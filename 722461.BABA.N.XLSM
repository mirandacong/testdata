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externalLink+xml" PartName="/xl/externalLinks/externalLink1.xml"/>
  <Override ContentType="application/vnd.openxmlformats-officedocument.spreadsheetml.externalLink+xml" PartName="/xl/externalLinks/externalLink10.xml"/>
  <Override ContentType="application/vnd.openxmlformats-officedocument.spreadsheetml.externalLink+xml" PartName="/xl/externalLinks/externalLink11.xml"/>
  <Override ContentType="application/vnd.openxmlformats-officedocument.spreadsheetml.externalLink+xml" PartName="/xl/externalLinks/externalLink12.xml"/>
  <Override ContentType="application/vnd.openxmlformats-officedocument.spreadsheetml.externalLink+xml" PartName="/xl/externalLinks/externalLink13.xml"/>
  <Override ContentType="application/vnd.openxmlformats-officedocument.spreadsheetml.externalLink+xml" PartName="/xl/externalLinks/externalLink14.xml"/>
  <Override ContentType="application/vnd.openxmlformats-officedocument.spreadsheetml.externalLink+xml" PartName="/xl/externalLinks/externalLink15.xml"/>
  <Override ContentType="application/vnd.openxmlformats-officedocument.spreadsheetml.externalLink+xml" PartName="/xl/externalLinks/externalLink16.xml"/>
  <Override ContentType="application/vnd.openxmlformats-officedocument.spreadsheetml.externalLink+xml" PartName="/xl/externalLinks/externalLink17.xml"/>
  <Override ContentType="application/vnd.openxmlformats-officedocument.spreadsheetml.externalLink+xml" PartName="/xl/externalLinks/externalLink18.xml"/>
  <Override ContentType="application/vnd.openxmlformats-officedocument.spreadsheetml.externalLink+xml" PartName="/xl/externalLinks/externalLink19.xml"/>
  <Override ContentType="application/vnd.openxmlformats-officedocument.spreadsheetml.externalLink+xml" PartName="/xl/externalLinks/externalLink2.xml"/>
  <Override ContentType="application/vnd.openxmlformats-officedocument.spreadsheetml.externalLink+xml" PartName="/xl/externalLinks/externalLink20.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spreadsheetml.externalLink+xml" PartName="/xl/externalLinks/externalLink6.xml"/>
  <Override ContentType="application/vnd.openxmlformats-officedocument.spreadsheetml.externalLink+xml" PartName="/xl/externalLinks/externalLink7.xml"/>
  <Override ContentType="application/vnd.openxmlformats-officedocument.spreadsheetml.externalLink+xml" PartName="/xl/externalLinks/externalLink8.xml"/>
  <Override ContentType="application/vnd.openxmlformats-officedocument.spreadsheetml.externalLink+xml" PartName="/xl/externalLinks/externalLink9.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thumbnail.wmf" Type="http://schemas.openxmlformats.org/package/2006/relationships/metadata/thumbnail"/>
<Relationship Id="rId3" Target="docProps/core.xml" Type="http://schemas.openxmlformats.org/package/2006/relationships/metadata/core-properties"/>
<Relationship Id="rId4" Target="docProps/app.xml" Type="http://schemas.openxmlformats.org/officeDocument/2006/relationships/extended-properties"/>
<Relationship Id="rId5"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5" yWindow="1185" windowWidth="13410" windowHeight="4080" tabRatio="746"/>
  </bookViews>
  <sheets>
    <sheet name="ImportantDisclosures" sheetId="121" r:id="rId1"/>
    <sheet name="Reported" sheetId="94" r:id="rId2"/>
    <sheet name="Scenario" sheetId="17" r:id="rId3"/>
    <sheet name="Model" sheetId="1" r:id="rId4"/>
    <sheet name="Valuation" sheetId="15" r:id="rId5"/>
    <sheet name="IndexInformation" sheetId="122" r:id="rId6"/>
    <sheet name="ModPubIndex" sheetId="123" r:id="rId7"/>
    <sheet name="MW-Cache" sheetId="56" state="veryHidden" r:id="rId8"/>
  </sheets>
  <functionGroups builtInGroupCount="17">
    <functionGroup name="MicroCharts"/>
  </functionGroup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s>
  <definedNames>
    <definedName name="__FDS_HYPERLINK_TOGGLE_STATE__" hidden="1">"ON"</definedName>
    <definedName name="__FDS_UNIQUE_RANGE_ID_GENERATOR_COUNTER" hidden="1">1</definedName>
    <definedName name="_1__FDSAUDITLINK__" hidden="1">{"fdsup://directions/FAT%20Viewer?VAR:PED=LTM&amp;VAR:PERIOD=FIXED&amp;VAR:V=11.895150&amp;VAR:PCT=Y&amp;VAR:AUDIT_ID=00000117&amp;VAR:DATE=20100430&amp;action=UPDATE&amp;creator=factset&amp;DOC_NAME=FAT:FMA_audit_SUMMARY.fat&amp;DISPLAY_STRING=Display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__FDSAUDITLINK__" hidden="1">{"fdsup://directions/FAT%20Viewer?VAR:PED=LTM&amp;VAR:PERIOD=FIXED&amp;VAR:V=10.394928&amp;VAR:PCT=Y&amp;VAR:AUDIT_ID=00000117&amp;VAR:DATE=20090731&amp;action=UPDATE&amp;creator=factset&amp;DOC_NAME=FAT:FMA_audit_SUMMARY.fat&amp;DISPLAY_STRING=Display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0__FDSAUDITLINK__" hidden="1">{"fdsup://directions/FAT%20Viewer?VAR:PED=LTM&amp;VAR:PERIOD=FIXED&amp;VAR:V=9.698249&amp;VAR:PCT=Y&amp;VAR:AUDIT_ID=00000117&amp;VAR:DATE=20020131&amp;action=UPDATE&amp;creator=factset&amp;DOC_NAME=FAT:FMA_audit_SUMMARY.fat&amp;DISPLAY_STRING=Display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1__FDSAUDITLINK__" hidden="1">{"fdsup://directions/FAT%20Viewer?VAR:PED=LTM&amp;VAR:PERIOD=FIXED&amp;VAR:V=9.783866&amp;VAR:PCT=Y&amp;VAR:AUDIT_ID=00000117&amp;VAR:DATE=20011231&amp;action=UPDATE&amp;creator=factset&amp;DOC_NAME=FAT:FMA_audit_SUMMARY.fat&amp;DISPLAY_STRING=Display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2__FDSAUDITLINK__" hidden="1">{"fdsup://directions/FAT%20Viewer?VAR:PED=LTM&amp;VAR:PERIOD=FIXED&amp;VAR:V=10.038153&amp;VAR:PCT=Y&amp;VAR:AUDIT_ID=00000117&amp;VAR:DATE=20011130&amp;action=UPDATE&amp;creator=factset&amp;DOC_NAME=FAT:FMA_audit_SUMMARY.fat&amp;DISPLAY_STRING=Display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3__FDSAUDITLINK__" hidden="1">{"fdsup://directions/FAT%20Viewer?VAR:PED=LTM&amp;VAR:PERIOD=FIXED&amp;VAR:V=12.472499&amp;VAR:PCT=Y&amp;VAR:AUDIT_ID=00000117&amp;VAR:DATE=20011031&amp;action=UPDATE&amp;creator=factset&amp;DOC_NAME=FAT:FMA_audit_SUMMARY.fat&amp;DISPLAY_STRING=Display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4__FDSAUDITLINK__" hidden="1">{"fdsup://directions/FAT%20Viewer?VAR:PED=LTM&amp;VAR:PERIOD=FIXED&amp;VAR:V=12.431097&amp;VAR:PCT=Y&amp;VAR:AUDIT_ID=00000117&amp;VAR:DATE=20010928&amp;action=UPDATE&amp;creator=factset&amp;DOC_NAME=FAT:FMA_audit_SUMMARY.fat&amp;DISPLAY_STRING=Display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5__FDSAUDITLINK__" hidden="1">{"fdsup://directions/FAT%20Viewer?VAR:PED=LTM&amp;VAR:PERIOD=FIXED&amp;VAR:V=12.490390&amp;VAR:PCT=Y&amp;VAR:AUDIT_ID=00000117&amp;VAR:DATE=20010831&amp;action=UPDATE&amp;creator=factset&amp;DOC_NAME=FAT:FMA_audit_SUMMARY.fat&amp;DISPLAY_STRING=Display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6__FDSAUDITLINK__" hidden="1">{"fdsup://directions/FAT%20Viewer?VAR:PED=LTM&amp;VAR:PERIOD=FIXED&amp;VAR:V=14.515507&amp;VAR:PCT=Y&amp;VAR:AUDIT_ID=00000117&amp;VAR:DATE=20010731&amp;action=UPDATE&amp;creator=factset&amp;DOC_NAME=FAT:FMA_audit_SUMMARY.fat&amp;DISPLAY_STRING=Display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7__FDSAUDITLINK__" hidden="1">{"fdsup://directions/FAT%20Viewer?VAR:PED=LTM&amp;VAR:PERIOD=FIXED&amp;VAR:V=14.817412&amp;VAR:PCT=Y&amp;VAR:AUDIT_ID=00000117&amp;VAR:DATE=20010629&amp;action=UPDATE&amp;creator=factset&amp;DOC_NAME=FAT:FMA_audit_SUMMARY.fat&amp;DISPLAY_STRING=Display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8__FDSAUDITLINK__" hidden="1">{"fdsup://directions/FAT%20Viewer?VAR:PED=LTM&amp;VAR:PERIOD=FIXED&amp;VAR:V=15.038557&amp;VAR:PCT=Y&amp;VAR:AUDIT_ID=00000117&amp;VAR:DATE=20010531&amp;action=UPDATE&amp;creator=factset&amp;DOC_NAME=FAT:FMA_audit_SUMMARY.fat&amp;DISPLAY_STRING=Display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09__FDSAUDITLINK__" hidden="1">{"fdsup://directions/FAT%20Viewer?VAR:PED=LTM&amp;VAR:PERIOD=FIXED&amp;VAR:V=17.078829&amp;VAR:PCT=Y&amp;VAR:AUDIT_ID=00000117&amp;VAR:DATE=20010430&amp;action=UPDATE&amp;creator=factset&amp;DOC_NAME=FAT:FMA_audit_SUMMARY.fat&amp;DISPLAY_STRING=Display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__FDSAUDITLINK__" hidden="1">{"fdsup://directions/FAT%20Viewer?VAR:PED=LTM&amp;VAR:PERIOD=FIXED&amp;VAR:V=10.467942&amp;VAR:PCT=Y&amp;VAR:AUDIT_ID=00000117&amp;VAR:DATE=20090630&amp;action=UPDATE&amp;creator=factset&amp;DOC_NAME=FAT:FMA_audit_SUMMARY.fat&amp;DISPLAY_STRING=Display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0__FDSAUDITLINK__" hidden="1">{"fdsup://directions/FAT%20Viewer?VAR:PED=LTM&amp;VAR:PERIOD=FIXED&amp;VAR:V=17.140788&amp;VAR:PCT=Y&amp;VAR:AUDIT_ID=00000117&amp;VAR:DATE=20010330&amp;action=UPDATE&amp;creator=factset&amp;DOC_NAME=FAT:FMA_audit_SUMMARY.fat&amp;DISPLAY_STRING=Display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1__FDSAUDITLINK__" hidden="1">{"fdsup://directions/FAT%20Viewer?VAR:PED=LTM&amp;VAR:PERIOD=FIXED&amp;VAR:V=17.223252&amp;VAR:PCT=Y&amp;VAR:AUDIT_ID=00000117&amp;VAR:DATE=20010228&amp;action=UPDATE&amp;creator=factset&amp;DOC_NAME=FAT:FMA_audit_SUMMARY.fat&amp;DISPLAY_STRING=Display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2__FDSAUDITLINK__" hidden="1">{"fdsup://directions/FAT%20Viewer?VAR:PED=LTM&amp;VAR:PERIOD=FIXED&amp;VAR:V=17.819081&amp;VAR:PCT=Y&amp;VAR:AUDIT_ID=00000117&amp;VAR:DATE=20010131&amp;action=UPDATE&amp;creator=factset&amp;DOC_NAME=FAT:FMA_audit_SUMMARY.fat&amp;DISPLAY_STRING=Display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3__FDSAUDITLINK__" hidden="1">{"fdsup://directions/FAT%20Viewer?VAR:PED=LTM&amp;VAR:PERIOD=FIXED&amp;VAR:V=17.846502&amp;VAR:PCT=Y&amp;VAR:AUDIT_ID=00000117&amp;VAR:DATE=20001229&amp;action=UPDATE&amp;creator=factset&amp;DOC_NAME=FAT:FMA_audit_SUMMARY.fat&amp;DISPLAY_STRING=Display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4__FDSAUDITLINK__" hidden="1">{"fdsup://directions/FAT%20Viewer?VAR:PED=LTM&amp;VAR:PERIOD=FIXED&amp;VAR:V=17.795523&amp;VAR:PCT=Y&amp;VAR:AUDIT_ID=00000117&amp;VAR:DATE=20001130&amp;action=UPDATE&amp;creator=factset&amp;DOC_NAME=FAT:FMA_audit_SUMMARY.fat&amp;DISPLAY_STRING=Display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5__FDSAUDITLINK__" hidden="1">{"fdsup://directions/FAT%20Viewer?VAR:PED=LTM&amp;VAR:PERIOD=FIXED&amp;VAR:V=17.313531&amp;VAR:PCT=Y&amp;VAR:AUDIT_ID=00000117&amp;VAR:DATE=20001031&amp;action=UPDATE&amp;creator=factset&amp;DOC_NAME=FAT:FMA_audit_SUMMARY.fat&amp;DISPLAY_STRING=Display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6__FDSAUDITLINK__" hidden="1">{"fdsup://directions/FAT%20Viewer?VAR:PED=LTM&amp;VAR:PERIOD=FIXED&amp;VAR:V=17.315078&amp;VAR:PCT=Y&amp;VAR:AUDIT_ID=00000117&amp;VAR:DATE=20000929&amp;action=UPDATE&amp;creator=factset&amp;DOC_NAME=FAT:FMA_audit_SUMMARY.fat&amp;DISPLAY_STRING=Display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7__FDSAUDITLINK__" hidden="1">{"fdsup://directions/FAT%20Viewer?VAR:PED=LTM&amp;VAR:PERIOD=FIXED&amp;VAR:V=17.311893&amp;VAR:PCT=Y&amp;VAR:AUDIT_ID=00000117&amp;VAR:DATE=20000831&amp;action=UPDATE&amp;creator=factset&amp;DOC_NAME=FAT:FMA_audit_SUMMARY.fat&amp;DISPLAY_STRING=Display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8__FDSAUDITLINK__" hidden="1">{"fdsup://directions/FAT%20Viewer?VAR:PED=LTM&amp;VAR:PERIOD=FIXED&amp;VAR:V=17.985334&amp;VAR:PCT=Y&amp;VAR:AUDIT_ID=00000117&amp;VAR:DATE=20000731&amp;action=UPDATE&amp;creator=factset&amp;DOC_NAME=FAT:FMA_audit_SUMMARY.fat&amp;DISPLAY_STRING=Display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19__FDSAUDITLINK__" hidden="1">{"fdsup://directions/FAT%20Viewer?VAR:PED=LTM&amp;VAR:PERIOD=FIXED&amp;VAR:V=18.043879&amp;VAR:PCT=Y&amp;VAR:AUDIT_ID=00000117&amp;VAR:DATE=20000630&amp;action=UPDATE&amp;creator=factset&amp;DOC_NAME=FAT:FMA_audit_SUMMARY.fat&amp;DISPLAY_STRING=Display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__FDSAUDITLINK__" hidden="1">{"fdsup://directions/FAT%20Viewer?VAR:PED=LTM&amp;VAR:PERIOD=FIXED&amp;VAR:V=10.171890&amp;VAR:PCT=Y&amp;VAR:AUDIT_ID=00000117&amp;VAR:DATE=20090529&amp;action=UPDATE&amp;creator=factset&amp;DOC_NAME=FAT:FMA_audit_SUMMARY.fat&amp;DISPLAY_STRING=Display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0__FDSAUDITLINK__" hidden="1">{"fdsup://directions/FAT%20Viewer?VAR:PED=LTM&amp;VAR:PERIOD=FIXED&amp;VAR:V=18.113732&amp;VAR:PCT=Y&amp;VAR:AUDIT_ID=00000117&amp;VAR:DATE=20000531&amp;action=UPDATE&amp;creator=factset&amp;DOC_NAME=FAT:FMA_audit_SUMMARY.fat&amp;DISPLAY_STRING=Display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1__FDSAUDITLINK__" hidden="1">{"fdsup://directions/FAT%20Viewer?VAR:PED=LTM&amp;VAR:PERIOD=FIXED&amp;VAR:V=18.148817&amp;VAR:PCT=Y&amp;VAR:AUDIT_ID=00000117&amp;VAR:DATE=20000428&amp;action=UPDATE&amp;creator=factset&amp;DOC_NAME=FAT:FMA_audit_SUMMARY.fat&amp;DISPLAY_STRING=Display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2__FDSAUDITLINK__" hidden="1">{"fdsup://directions/FAT%20Viewer?VAR:PED=LTM&amp;VAR:PERIOD=FIXED&amp;VAR:V=18.151948&amp;VAR:PCT=Y&amp;VAR:AUDIT_ID=00000117&amp;VAR:DATE=20000331&amp;action=UPDATE&amp;creator=factset&amp;DOC_NAME=FAT:FMA_audit_SUMMARY.fat&amp;DISPLAY_STRING=Display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3__FDSAUDITLINK__" hidden="1">{"fdsup://directions/FAT%20Viewer?VAR:PED=LTM&amp;VAR:PERIOD=FIXED&amp;VAR:V=18.135408&amp;VAR:PCT=Y&amp;VAR:AUDIT_ID=00000117&amp;VAR:DATE=20000229&amp;action=UPDATE&amp;creator=factset&amp;DOC_NAME=FAT:FMA_audit_SUMMARY.fat&amp;DISPLAY_STRING=Display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4__FDSAUDITLINK__" hidden="1">{"fdsup://directions/FAT%20Viewer?VAR:PED=LTM&amp;VAR:PERIOD=FIXED&amp;VAR:V=17.549425&amp;VAR:PCT=Y&amp;VAR:AUDIT_ID=00000117&amp;VAR:DATE=20000131&amp;action=UPDATE&amp;creator=factset&amp;DOC_NAME=FAT:FMA_audit_SUMMARY.fat&amp;DISPLAY_STRING=Display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5__FDSAUDITLINK__" hidden="1">{"fdsup://directions/FAT%20Viewer?VAR:PED=LTM&amp;VAR:PERIOD=FIXED&amp;VAR:V=17.472250&amp;VAR:PCT=Y&amp;VAR:AUDIT_ID=00000117&amp;VAR:DATE=19991231&amp;action=UPDATE&amp;creator=factset&amp;DOC_NAME=FAT:FMA_audit_SUMMARY.fat&amp;DISPLAY_STRING=Display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6__FDSAUDITLINK__" hidden="1">{"fdsup://directions/FAT%20Viewer?VAR:PED=LTM&amp;VAR:PERIOD=FIXED&amp;VAR:V=17.412870&amp;VAR:PCT=Y&amp;VAR:AUDIT_ID=00000117&amp;VAR:DATE=19991130&amp;action=UPDATE&amp;creator=factset&amp;DOC_NAME=FAT:FMA_audit_SUMMARY.fat&amp;DISPLAY_STRING=Display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7__FDSAUDITLINK__" hidden="1">{"fdsup://directions/FAT%20Viewer?VAR:PED=LTM&amp;VAR:PERIOD=FIXED&amp;VAR:V=16.787584&amp;VAR:PCT=Y&amp;VAR:AUDIT_ID=00000117&amp;VAR:DATE=19991029&amp;action=UPDATE&amp;creator=factset&amp;DOC_NAME=FAT:FMA_audit_SUMMARY.fat&amp;DISPLAY_STRING=Display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8__FDSAUDITLINK__" hidden="1">{"fdsup://directions/FAT%20Viewer?VAR:PED=LTM&amp;VAR:PERIOD=FIXED&amp;VAR:V=16.735491&amp;VAR:PCT=Y&amp;VAR:AUDIT_ID=00000117&amp;VAR:DATE=19990930&amp;action=UPDATE&amp;creator=factset&amp;DOC_NAME=FAT:FMA_audit_SUMMARY.fat&amp;DISPLAY_STRING=Display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29__FDSAUDITLINK__" hidden="1">{"fdsup://directions/FAT%20Viewer?VAR:PED=LTM&amp;VAR:PERIOD=FIXED&amp;VAR:V=16.757353&amp;VAR:PCT=Y&amp;VAR:AUDIT_ID=00000117&amp;VAR:DATE=19990831&amp;action=UPDATE&amp;creator=factset&amp;DOC_NAME=FAT:FMA_audit_SUMMARY.fat&amp;DISPLAY_STRING=Display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__FDSAUDITLINK__" hidden="1">{"fdsup://directions/FAT%20Viewer?VAR:PED=LTM&amp;VAR:PERIOD=FIXED&amp;VAR:V=12.307794&amp;VAR:PCT=Y&amp;VAR:AUDIT_ID=00000117&amp;VAR:DATE=20090430&amp;action=UPDATE&amp;creator=factset&amp;DOC_NAME=FAT:FMA_audit_SUMMARY.fat&amp;DISPLAY_STRING=Display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0__FDSAUDITLINK__" hidden="1">{"fdsup://directions/FAT%20Viewer?VAR:PED=LTM&amp;VAR:PERIOD=FIXED&amp;VAR:V=16.209629&amp;VAR:PCT=Y&amp;VAR:AUDIT_ID=00000117&amp;VAR:DATE=19990730&amp;action=UPDATE&amp;creator=factset&amp;DOC_NAME=FAT:FMA_audit_SUMMARY.fat&amp;DISPLAY_STRING=Display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1__FDSAUDITLINK__" hidden="1">{"fdsup://directions/FAT%20Viewer?VAR:PED=LTM&amp;VAR:PERIOD=FIXED&amp;VAR:V=16.168356&amp;VAR:PCT=Y&amp;VAR:AUDIT_ID=00000117&amp;VAR:DATE=19990630&amp;action=UPDATE&amp;creator=factset&amp;DOC_NAME=FAT:FMA_audit_SUMMARY.fat&amp;DISPLAY_STRING=Display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2__FDSAUDITLINK__" hidden="1">{"fdsup://directions/FAT%20Viewer?VAR:PED=LTM&amp;VAR:PERIOD=FIXED&amp;VAR:V=16.057293&amp;VAR:PCT=Y&amp;VAR:AUDIT_ID=00000117&amp;VAR:DATE=19990531&amp;action=UPDATE&amp;creator=factset&amp;DOC_NAME=FAT:FMA_audit_SUMMARY.fat&amp;DISPLAY_STRING=Display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3__FDSAUDITLINK__" hidden="1">{"fdsup://directions/FAT%20Viewer?VAR:PED=LTM&amp;VAR:PERIOD=FIXED&amp;VAR:V=16.752252&amp;VAR:PCT=Y&amp;VAR:AUDIT_ID=00000117&amp;VAR:DATE=19990430&amp;action=UPDATE&amp;creator=factset&amp;DOC_NAME=FAT:FMA_audit_SUMMARY.fat&amp;DISPLAY_STRING=Display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4__FDSAUDITLINK__" hidden="1">{"fdsup://directions/FAT%20Viewer?VAR:PED=LTM&amp;VAR:PERIOD=FIXED&amp;VAR:V=16.766283&amp;VAR:PCT=Y&amp;VAR:AUDIT_ID=00000117&amp;VAR:DATE=19990331&amp;action=UPDATE&amp;creator=factset&amp;DOC_NAME=FAT:FMA_audit_SUMMARY.fat&amp;DISPLAY_STRING=Display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5__FDSAUDITLINK__" hidden="1">{"fdsup://directions/FAT%20Viewer?VAR:PED=LTM&amp;VAR:PERIOD=FIXED&amp;VAR:V=16.692796&amp;VAR:PCT=Y&amp;VAR:AUDIT_ID=00000117&amp;VAR:DATE=19990226&amp;action=UPDATE&amp;creator=factset&amp;DOC_NAME=FAT:FMA_audit_SUMMARY.fat&amp;DISPLAY_STRING=Display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6__FDSAUDITLINK__" hidden="1">{"fdsup://directions/FAT%20Viewer?VAR:PED=LTM&amp;VAR:PERIOD=FIXED&amp;VAR:V=17.247288&amp;VAR:PCT=Y&amp;VAR:AUDIT_ID=00000117&amp;VAR:DATE=19990129&amp;action=UPDATE&amp;creator=factset&amp;DOC_NAME=FAT:FMA_audit_SUMMARY.fat&amp;DISPLAY_STRING=Display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7__FDSAUDITLINK__" hidden="1">{"fdsup://directions/FAT%20Viewer?VAR:PED=LTM&amp;VAR:PERIOD=FIXED&amp;VAR:V=17.271473&amp;VAR:PCT=Y&amp;VAR:AUDIT_ID=00000117&amp;VAR:DATE=19981231&amp;action=UPDATE&amp;creator=factset&amp;DOC_NAME=FAT:FMA_audit_SUMMARY.fat&amp;DISPLAY_STRING=Display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Equity&amp;VAR:FQLFORMULA=FMA_ROE&amp;VAR:MEASURE=ROE&amp;VAR:NULL=.HTML&amp;VAR:PED=LTM&amp;VAR:PERIOD=FIXED&amp;VAR:THRESH=-|-|-|-|-|-&amp;VAR:PCT=Y&amp;VAR:V=11.762966&amp;VAR:P=1&amp;VAR:DATE=20100430"}</definedName>
    <definedName name="_1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Equity&amp;VAR:FQLFORMULA=FMA_ROE&amp;VAR:MEASURE=ROE&amp;VAR:NULL=.HTML&amp;VAR:PED=LTM&amp;VAR:PERIOD=FIXED&amp;VAR:THRESH=-|-|-|-|-|-&amp;VAR:PCT=Y&amp;VAR:V=11.722138&amp;VAR:P=1&amp;VAR:DATE=20100331"}</definedName>
    <definedName name="_14__FDSAUDITLINK__" hidden="1">{"fdsup://directions/FAT%20Viewer?VAR:PED=LTM&amp;VAR:PERIOD=FIXED&amp;VAR:V=12.329435&amp;VAR:PCT=Y&amp;VAR:AUDIT_ID=00000117&amp;VAR:DATE=20090331&amp;action=UPDATE&amp;creator=factset&amp;DOC_NAME=FAT:FMA_audit_SUMMARY.fat&amp;DISPLAY_STRING=Display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Equity&amp;VAR:FQLFORMULA=FMA_ROE&amp;VAR:MEASURE=ROE&amp;VAR:NULL=.HTML&amp;VAR:PED=LTM&amp;VAR:PERIOD=FIXED&amp;VAR:THRESH=-|-|-|-|-|-&amp;VAR:PCT=Y&amp;VAR:V=11.669013&amp;VAR:P=1&amp;VAR:DATE=20100226"}</definedName>
    <definedName name="_1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Equity&amp;VAR:FQLFORMULA=FMA_ROE&amp;VAR:MEASURE=ROE&amp;VAR:NULL=.HTML&amp;VAR:PED=LTM&amp;VAR:PERIOD=FIXED&amp;VAR:THRESH=-|-|-|-|-|-&amp;VAR:PCT=Y&amp;VAR:V=8.487493&amp;VAR:P=1&amp;VAR:DATE=20100129"}</definedName>
    <definedName name="_1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Equity&amp;VAR:FQLFORMULA=FMA_ROE&amp;VAR:MEASURE=ROE&amp;VAR:NULL=.HTML&amp;VAR:PED=LTM&amp;VAR:PERIOD=FIXED&amp;VAR:THRESH=-|-|-|-|-|-&amp;VAR:PCT=Y&amp;VAR:V=8.393671&amp;VAR:P=1&amp;VAR:DATE=20091231"}</definedName>
    <definedName name="_1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Equity&amp;VAR:FQLFORMULA=FMA_ROE&amp;VAR:MEASURE=ROE&amp;VAR:NULL=.HTML&amp;VAR:PED=LTM&amp;VAR:PERIOD=FIXED&amp;VAR:THRESH=-|-|-|-|-|-&amp;VAR:PCT=Y&amp;VAR:V=8.686432&amp;VAR:P=1&amp;VAR:DATE=20091130"}</definedName>
    <definedName name="_1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Equity&amp;VAR:FQLFORMULA=FMA_ROE&amp;VAR:MEASURE=ROE&amp;VAR:NULL=.HTML&amp;VAR:PED=LTM&amp;VAR:PERIOD=FIXED&amp;VAR:THRESH=-|-|-|-|-|-&amp;VAR:PCT=Y&amp;VAR:V=8.402373&amp;VAR:P=1&amp;VAR:DATE=20091030"}</definedName>
    <definedName name="_1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Equity&amp;VAR:FQLFORMULA=FMA_ROE&amp;VAR:MEASURE=ROE&amp;VAR:NULL=.HTML&amp;VAR:PED=LTM&amp;VAR:PERIOD=FIXED&amp;VAR:THRESH=-|-|-|-|-|-&amp;VAR:PCT=Y&amp;VAR:V=8.460222&amp;VAR:P=1&amp;VAR:DATE=20090930"}</definedName>
    <definedName name="_1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Equity&amp;VAR:FQLFORMULA=FMA_ROE&amp;VAR:MEASURE=ROE&amp;VAR:NULL=.HTML&amp;VAR:PED=LTM&amp;VAR:PERIOD=FIXED&amp;VAR:THRESH=-|-|-|-|-|-&amp;VAR:PCT=Y&amp;VAR:V=8.675938&amp;VAR:P=1&amp;VAR:DATE=20090831"}</definedName>
    <definedName name="_1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Equity&amp;VAR:FQLFORMULA=FMA_ROE&amp;VAR:MEASURE=ROE&amp;VAR:NULL=.HTML&amp;VAR:PED=LTM&amp;VAR:PERIOD=FIXED&amp;VAR:THRESH=-|-|-|-|-|-&amp;VAR:PCT=Y&amp;VAR:V=9.831541&amp;VAR:P=1&amp;VAR:DATE=20090731"}</definedName>
    <definedName name="_1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Equity&amp;VAR:FQLFORMULA=FMA_ROE&amp;VAR:MEASURE=ROE&amp;VAR:NULL=.HTML&amp;VAR:PED=LTM&amp;VAR:PERIOD=FIXED&amp;VAR:THRESH=-|-|-|-|-|-&amp;VAR:PCT=Y&amp;VAR:V=9.900327&amp;VAR:P=1&amp;VAR:DATE=20090630"}</definedName>
    <definedName name="_1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Equity&amp;VAR:FQLFORMULA=FMA_ROE&amp;VAR:MEASURE=ROE&amp;VAR:NULL=.HTML&amp;VAR:PED=LTM&amp;VAR:PERIOD=FIXED&amp;VAR:THRESH=-|-|-|-|-|-&amp;VAR:PCT=Y&amp;VAR:V=9.590304&amp;VAR:P=1&amp;VAR:DATE=20090529"}</definedName>
    <definedName name="_15__FDSAUDITLINK__" hidden="1">{"fdsup://directions/FAT%20Viewer?VAR:PED=LTM&amp;VAR:PERIOD=FIXED&amp;VAR:V=12.411445&amp;VAR:PCT=Y&amp;VAR:AUDIT_ID=00000117&amp;VAR:DATE=20090227&amp;action=UPDATE&amp;creator=factset&amp;DOC_NAME=FAT:FMA_audit_SUMMARY.fat&amp;DISPLAY_STRING=Display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Equity&amp;VAR:FQLFORMULA=FMA_ROE&amp;VAR:MEASURE=ROE&amp;VAR:NULL=.HTML&amp;VAR:PED=LTM&amp;VAR:PERIOD=FIXED&amp;VAR:THRESH=-|-|-|-|-|-&amp;VAR:PCT=Y&amp;VAR:V=11.698240&amp;VAR:P=1&amp;VAR:DATE=20090430"}</definedName>
    <definedName name="_1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Equity&amp;VAR:FQLFORMULA=FMA_ROE&amp;VAR:MEASURE=ROE&amp;VAR:NULL=.HTML&amp;VAR:PED=LTM&amp;VAR:PERIOD=FIXED&amp;VAR:THRESH=-|-|-|-|-|-&amp;VAR:PCT=Y&amp;VAR:V=11.718265&amp;VAR:P=1&amp;VAR:DATE=20090331"}</definedName>
    <definedName name="_1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Equity&amp;VAR:FQLFORMULA=FMA_ROE&amp;VAR:MEASURE=ROE&amp;VAR:NULL=.HTML&amp;VAR:PED=LTM&amp;VAR:PERIOD=FIXED&amp;VAR:THRESH=-|-|-|-|-|-&amp;VAR:PCT=Y&amp;VAR:V=11.802463&amp;VAR:P=1&amp;VAR:DATE=20090227"}</definedName>
    <definedName name="_1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Equity&amp;VAR:FQLFORMULA=FMA_ROE&amp;VAR:MEASURE=ROE&amp;VAR:NULL=.HTML&amp;VAR:PED=LTM&amp;VAR:PERIOD=FIXED&amp;VAR:THRESH=-|-|-|-|-|-&amp;VAR:PCT=Y&amp;VAR:V=13.721366&amp;VAR:P=1&amp;VAR:DATE=20090130"}</definedName>
    <definedName name="_1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Equity&amp;VAR:FQLFORMULA=FMA_ROE&amp;VAR:MEASURE=ROE&amp;VAR:NULL=.HTML&amp;VAR:PED=LTM&amp;VAR:PERIOD=FIXED&amp;VAR:THRESH=-|-|-|-|-|-&amp;VAR:PCT=Y&amp;VAR:V=13.033469&amp;VAR:P=1&amp;VAR:DATE=20081231"}</definedName>
    <definedName name="_1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Equity&amp;VAR:FQLFORMULA=FMA_ROE&amp;VAR:MEASURE=ROE&amp;VAR:NULL=.HTML&amp;VAR:PED=LTM&amp;VAR:PERIOD=FIXED&amp;VAR:THRESH=-|-|-|-|-|-&amp;VAR:PCT=Y&amp;VAR:V=13.118599&amp;VAR:P=1&amp;VAR:DATE=20081128"}</definedName>
    <definedName name="_1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Equity&amp;VAR:FQLFORMULA=FMA_ROE&amp;VAR:MEASURE=ROE&amp;VAR:NULL=.HTML&amp;VAR:PED=LTM&amp;VAR:PERIOD=FIXED&amp;VAR:THRESH=-|-|-|-|-|-&amp;VAR:PCT=Y&amp;VAR:V=12.897286&amp;VAR:P=1&amp;VAR:DATE=20081031"}</definedName>
    <definedName name="_1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Equity&amp;VAR:FQLFORMULA=FMA_ROE&amp;VAR:MEASURE=ROE&amp;VAR:NULL=.HTML&amp;VAR:PED=LTM&amp;VAR:PERIOD=FIXED&amp;VAR:THRESH=-|-|-|-|-|-&amp;VAR:PCT=Y&amp;VAR:V=13.058599&amp;VAR:P=1&amp;VAR:DATE=20080930"}</definedName>
    <definedName name="_1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Equity&amp;VAR:FQLFORMULA=FMA_ROE&amp;VAR:MEASURE=ROE&amp;VAR:NULL=.HTML&amp;VAR:PED=LTM&amp;VAR:PERIOD=FIXED&amp;VAR:THRESH=-|-|-|-|-|-&amp;VAR:PCT=Y&amp;VAR:V=12.447618&amp;VAR:P=1&amp;VAR:DATE=20080829"}</definedName>
    <definedName name="_1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Equity&amp;VAR:FQLFORMULA=FMA_ROE&amp;VAR:MEASURE=ROE&amp;VAR:NULL=.HTML&amp;VAR:PED=LTM&amp;VAR:PERIOD=FIXED&amp;VAR:THRESH=-|-|-|-|-|-&amp;VAR:PCT=Y&amp;VAR:V=13.827284&amp;VAR:P=1&amp;VAR:DATE=20080731"}</definedName>
    <definedName name="_16__FDSAUDITLINK__" hidden="1">{"fdsup://directions/FAT%20Viewer?VAR:PED=LTM&amp;VAR:PERIOD=FIXED&amp;VAR:V=14.021774&amp;VAR:PCT=Y&amp;VAR:AUDIT_ID=00000117&amp;VAR:DATE=20090130&amp;action=UPDATE&amp;creator=factset&amp;DOC_NAME=FAT:FMA_audit_SUMMARY.fat&amp;DISPLAY_STRING=Display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Equity&amp;VAR:FQLFORMULA=FMA_ROE&amp;VAR:MEASURE=ROE&amp;VAR:NULL=.HTML&amp;VAR:PED=LTM&amp;VAR:PERIOD=FIXED&amp;VAR:THRESH=-|-|-|-|-|-&amp;VAR:PCT=Y&amp;VAR:V=13.984017&amp;VAR:P=1&amp;VAR:DATE=20080630"}</definedName>
    <definedName name="_1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Equity&amp;VAR:FQLFORMULA=FMA_ROE&amp;VAR:MEASURE=ROE&amp;VAR:NULL=.HTML&amp;VAR:PED=LTM&amp;VAR:PERIOD=FIXED&amp;VAR:THRESH=-|-|-|-|-|-&amp;VAR:PCT=Y&amp;VAR:V=13.670739&amp;VAR:P=1&amp;VAR:DATE=20080530"}</definedName>
    <definedName name="_1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Equity&amp;VAR:FQLFORMULA=FMA_ROE&amp;VAR:MEASURE=ROE&amp;VAR:NULL=.HTML&amp;VAR:PED=LTM&amp;VAR:PERIOD=FIXED&amp;VAR:THRESH=-|-|-|-|-|-&amp;VAR:PCT=Y&amp;VAR:V=13.363044&amp;VAR:P=1&amp;VAR:DATE=20080430"}</definedName>
    <definedName name="_1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Equity&amp;VAR:FQLFORMULA=FMA_ROE&amp;VAR:MEASURE=ROE&amp;VAR:NULL=.HTML&amp;VAR:PED=LTM&amp;VAR:PERIOD=FIXED&amp;VAR:THRESH=-|-|-|-|-|-&amp;VAR:PCT=Y&amp;VAR:V=13.434152&amp;VAR:P=1&amp;VAR:DATE=20080331"}</definedName>
    <definedName name="_1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Equity&amp;VAR:FQLFORMULA=FMA_ROE&amp;VAR:MEASURE=ROE&amp;VAR:NULL=.HTML&amp;VAR:PED=LTM&amp;VAR:PERIOD=FIXED&amp;VAR:THRESH=-|-|-|-|-|-&amp;VAR:PCT=Y&amp;VAR:V=13.613938&amp;VAR:P=1&amp;VAR:DATE=20080229"}</definedName>
    <definedName name="_1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Equity&amp;VAR:FQLFORMULA=FMA_ROE&amp;VAR:MEASURE=ROE&amp;VAR:NULL=.HTML&amp;VAR:PED=LTM&amp;VAR:PERIOD=FIXED&amp;VAR:THRESH=-|-|-|-|-|-&amp;VAR:PCT=Y&amp;VAR:V=15.630959&amp;VAR:P=1&amp;VAR:DATE=20080131"}</definedName>
    <definedName name="_1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Equity&amp;VAR:FQLFORMULA=FMA_ROE&amp;VAR:MEASURE=ROE&amp;VAR:NULL=.HTML&amp;VAR:PED=LTM&amp;VAR:PERIOD=FIXED&amp;VAR:THRESH=-|-|-|-|-|-&amp;VAR:PCT=Y&amp;VAR:V=15.817758&amp;VAR:P=1&amp;VAR:DATE=20071231"}</definedName>
    <definedName name="_1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Equity&amp;VAR:FQLFORMULA=FMA_ROE&amp;VAR:MEASURE=ROE&amp;VAR:NULL=.HTML&amp;VAR:PED=LTM&amp;VAR:PERIOD=FIXED&amp;VAR:THRESH=-|-|-|-|-|-&amp;VAR:PCT=Y&amp;VAR:V=15.820871&amp;VAR:P=1&amp;VAR:DATE=20071130"}</definedName>
    <definedName name="_1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Equity&amp;VAR:FQLFORMULA=FMA_ROE&amp;VAR:MEASURE=ROE&amp;VAR:NULL=.HTML&amp;VAR:PED=LTM&amp;VAR:PERIOD=FIXED&amp;VAR:THRESH=-|-|-|-|-|-&amp;VAR:PCT=Y&amp;VAR:V=16.998701&amp;VAR:P=1&amp;VAR:DATE=20071031"}</definedName>
    <definedName name="_1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Equity&amp;VAR:FQLFORMULA=FMA_ROE&amp;VAR:MEASURE=ROE&amp;VAR:NULL=.HTML&amp;VAR:PED=LTM&amp;VAR:PERIOD=FIXED&amp;VAR:THRESH=-|-|-|-|-|-&amp;VAR:PCT=Y&amp;VAR:V=16.974273&amp;VAR:P=1&amp;VAR:DATE=20070928"}</definedName>
    <definedName name="_17__FDSAUDITLINK__" hidden="1">{"fdsup://directions/FAT%20Viewer?VAR:PED=LTM&amp;VAR:PERIOD=FIXED&amp;VAR:V=13.331147&amp;VAR:PCT=Y&amp;VAR:AUDIT_ID=00000117&amp;VAR:DATE=20081231&amp;action=UPDATE&amp;creator=factset&amp;DOC_NAME=FAT:FMA_audit_SUMMARY.fat&amp;DISPLAY_STRING=Display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Equity&amp;VAR:FQLFORMULA=FMA_ROE&amp;VAR:MEASURE=ROE&amp;VAR:NULL=.HTML&amp;VAR:PED=LTM&amp;VAR:PERIOD=FIXED&amp;VAR:THRESH=-|-|-|-|-|-&amp;VAR:PCT=Y&amp;VAR:V=16.979385&amp;VAR:P=1&amp;VAR:DATE=20070831"}</definedName>
    <definedName name="_1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Equity&amp;VAR:FQLFORMULA=FMA_ROE&amp;VAR:MEASURE=ROE&amp;VAR:NULL=.HTML&amp;VAR:PED=LTM&amp;VAR:PERIOD=FIXED&amp;VAR:THRESH=-|-|-|-|-|-&amp;VAR:PCT=Y&amp;VAR:V=16.918845&amp;VAR:P=1&amp;VAR:DATE=20070731"}</definedName>
    <definedName name="_1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Equity&amp;VAR:FQLFORMULA=FMA_ROE&amp;VAR:MEASURE=ROE&amp;VAR:NULL=.HTML&amp;VAR:PED=LTM&amp;VAR:PERIOD=FIXED&amp;VAR:THRESH=-|-|-|-|-|-&amp;VAR:PCT=Y&amp;VAR:V=16.933916&amp;VAR:P=1&amp;VAR:DATE=20070629"}</definedName>
    <definedName name="_1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Equity&amp;VAR:FQLFORMULA=FMA_ROE&amp;VAR:MEASURE=ROE&amp;VAR:NULL=.HTML&amp;VAR:PED=LTM&amp;VAR:PERIOD=FIXED&amp;VAR:THRESH=-|-|-|-|-|-&amp;VAR:PCT=Y&amp;VAR:V=16.912256&amp;VAR:P=1&amp;VAR:DATE=20070531"}</definedName>
    <definedName name="_1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Equity&amp;VAR:FQLFORMULA=FMA_ROE&amp;VAR:MEASURE=ROE&amp;VAR:NULL=.HTML&amp;VAR:PED=LTM&amp;VAR:PERIOD=FIXED&amp;VAR:THRESH=-|-|-|-|-|-&amp;VAR:PCT=Y&amp;VAR:V=17.259031&amp;VAR:P=1&amp;VAR:DATE=20070430"}</definedName>
    <definedName name="_17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Equity&amp;VAR:FQLFORMULA=FMA_ROE&amp;VAR:MEASURE=ROE&amp;VAR:NULL=.HTML&amp;VAR:PED=LTM&amp;VAR:PERIOD=FIXED&amp;VAR:THRESH=-|-|-|-|-|-&amp;VAR:PCT=Y&amp;VAR:V=17.267356&amp;VAR:P=1&amp;VAR:DATE=20070330"}</definedName>
    <definedName name="_17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Equity&amp;VAR:FQLFORMULA=FMA_ROE&amp;VAR:MEASURE=ROE&amp;VAR:NULL=.HTML&amp;VAR:PED=LTM&amp;VAR:PERIOD=FIXED&amp;VAR:THRESH=-|-|-|-|-|-&amp;VAR:PCT=Y&amp;VAR:V=17.290516&amp;VAR:P=1&amp;VAR:DATE=20070228"}</definedName>
    <definedName name="_17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Equity&amp;VAR:FQLFORMULA=FMA_ROE&amp;VAR:MEASURE=ROE&amp;VAR:NULL=.HTML&amp;VAR:PED=LTM&amp;VAR:PERIOD=FIXED&amp;VAR:THRESH=-|-|-|-|-|-&amp;VAR:PCT=Y&amp;VAR:V=16.633726&amp;VAR:P=1&amp;VAR:DATE=20070131"}</definedName>
    <definedName name="_17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Equity&amp;VAR:FQLFORMULA=FMA_ROE&amp;VAR:MEASURE=ROE&amp;VAR:NULL=.HTML&amp;VAR:PED=LTM&amp;VAR:PERIOD=FIXED&amp;VAR:THRESH=-|-|-|-|-|-&amp;VAR:PCT=Y&amp;VAR:V=16.650900&amp;VAR:P=1&amp;VAR:DATE=20061229"}</definedName>
    <definedName name="_17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Equity&amp;VAR:FQLFORMULA=FMA_ROE&amp;VAR:MEASURE=ROE&amp;VAR:NULL=.HTML&amp;VAR:PED=LTM&amp;VAR:PERIOD=FIXED&amp;VAR:THRESH=-|-|-|-|-|-&amp;VAR:PCT=Y&amp;VAR:V=16.662461&amp;VAR:P=1&amp;VAR:DATE=20061130"}</definedName>
    <definedName name="_18__FDSAUDITLINK__" hidden="1">{"fdsup://directions/FAT%20Viewer?VAR:PED=LTM&amp;VAR:PERIOD=FIXED&amp;VAR:V=13.414812&amp;VAR:PCT=Y&amp;VAR:AUDIT_ID=00000117&amp;VAR:DATE=20081128&amp;action=UPDATE&amp;creator=factset&amp;DOC_NAME=FAT:FMA_audit_SUMMARY.fat&amp;DISPLAY_STRING=Display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8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Equity&amp;VAR:FQLFORMULA=FMA_ROE&amp;VAR:MEASURE=ROE&amp;VAR:NULL=.HTML&amp;VAR:PED=LTM&amp;VAR:PERIOD=FIXED&amp;VAR:THRESH=-|-|-|-|-|-&amp;VAR:PCT=Y&amp;VAR:V=16.689001&amp;VAR:P=1&amp;VAR:DATE=20061031"}</definedName>
    <definedName name="_18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Equity&amp;VAR:FQLFORMULA=FMA_ROE&amp;VAR:MEASURE=ROE&amp;VAR:NULL=.HTML&amp;VAR:PED=LTM&amp;VAR:PERIOD=FIXED&amp;VAR:THRESH=-|-|-|-|-|-&amp;VAR:PCT=Y&amp;VAR:V=16.691808&amp;VAR:P=1&amp;VAR:DATE=20060929"}</definedName>
    <definedName name="_18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Equity&amp;VAR:FQLFORMULA=FMA_ROE&amp;VAR:MEASURE=ROE&amp;VAR:NULL=.HTML&amp;VAR:PED=LTM&amp;VAR:PERIOD=FIXED&amp;VAR:THRESH=-|-|-|-|-|-&amp;VAR:PCT=Y&amp;VAR:V=16.667768&amp;VAR:P=1&amp;VAR:DATE=20060831"}</definedName>
    <definedName name="_18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Equity&amp;VAR:FQLFORMULA=FMA_ROE&amp;VAR:MEASURE=ROE&amp;VAR:NULL=.HTML&amp;VAR:PED=LTM&amp;VAR:PERIOD=FIXED&amp;VAR:THRESH=-|-|-|-|-|-&amp;VAR:PCT=Y&amp;VAR:V=16.918022&amp;VAR:P=1&amp;VAR:DATE=20060731"}</definedName>
    <definedName name="_18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Equity&amp;VAR:FQLFORMULA=FMA_ROE&amp;VAR:MEASURE=ROE&amp;VAR:NULL=.HTML&amp;VAR:PED=LTM&amp;VAR:PERIOD=FIXED&amp;VAR:THRESH=-|-|-|-|-|-&amp;VAR:PCT=Y&amp;VAR:V=16.863860&amp;VAR:P=1&amp;VAR:DATE=20060630"}</definedName>
    <definedName name="_18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Equity&amp;VAR:FQLFORMULA=FMA_ROE&amp;VAR:MEASURE=ROE&amp;VAR:NULL=.HTML&amp;VAR:PED=LTM&amp;VAR:PERIOD=FIXED&amp;VAR:THRESH=-|-|-|-|-|-&amp;VAR:PCT=Y&amp;VAR:V=16.857500&amp;VAR:P=1&amp;VAR:DATE=20060531"}</definedName>
    <definedName name="_18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Equity&amp;VAR:FQLFORMULA=FMA_ROE&amp;VAR:MEASURE=ROE&amp;VAR:NULL=.HTML&amp;VAR:PED=LTM&amp;VAR:PERIOD=FIXED&amp;VAR:THRESH=-|-|-|-|-|-&amp;VAR:PCT=Y&amp;VAR:V=16.798180&amp;VAR:P=1&amp;VAR:DATE=20060428"}</definedName>
    <definedName name="_18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Equity&amp;VAR:FQLFORMULA=FMA_ROE&amp;VAR:MEASURE=ROE&amp;VAR:NULL=.HTML&amp;VAR:PED=LTM&amp;VAR:PERIOD=FIXED&amp;VAR:THRESH=-|-|-|-|-|-&amp;VAR:PCT=Y&amp;VAR:V=16.801839&amp;VAR:P=1&amp;VAR:DATE=20060331"}</definedName>
    <definedName name="_18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Equity&amp;VAR:FQLFORMULA=FMA_ROE&amp;VAR:MEASURE=ROE&amp;VAR:NULL=.HTML&amp;VAR:PED=LTM&amp;VAR:PERIOD=FIXED&amp;VAR:THRESH=-|-|-|-|-|-&amp;VAR:PCT=Y&amp;VAR:V=16.744023&amp;VAR:P=1&amp;VAR:DATE=20060228"}</definedName>
    <definedName name="_18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Equity&amp;VAR:FQLFORMULA=FMA_ROE&amp;VAR:MEASURE=ROE&amp;VAR:NULL=.HTML&amp;VAR:PED=LTM&amp;VAR:PERIOD=FIXED&amp;VAR:THRESH=-|-|-|-|-|-&amp;VAR:PCT=Y&amp;VAR:V=16.914075&amp;VAR:P=1&amp;VAR:DATE=20060131"}</definedName>
    <definedName name="_19__FDSAUDITLINK__" hidden="1">{"fdsup://directions/FAT%20Viewer?VAR:PED=LTM&amp;VAR:PERIOD=FIXED&amp;VAR:V=13.175984&amp;VAR:PCT=Y&amp;VAR:AUDIT_ID=00000117&amp;VAR:DATE=20081031&amp;action=UPDATE&amp;creator=factset&amp;DOC_NAME=FAT:FMA_audit_SUMMARY.fat&amp;DISPLAY_STRING=Display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19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Equity&amp;VAR:FQLFORMULA=FMA_ROE&amp;VAR:MEASURE=ROE&amp;VAR:NULL=.HTML&amp;VAR:PED=LTM&amp;VAR:PERIOD=FIXED&amp;VAR:THRESH=-|-|-|-|-|-&amp;VAR:PCT=Y&amp;VAR:V=16.879670&amp;VAR:P=1&amp;VAR:DATE=20051230"}</definedName>
    <definedName name="_19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Equity&amp;VAR:FQLFORMULA=FMA_ROE&amp;VAR:MEASURE=ROE&amp;VAR:NULL=.HTML&amp;VAR:PED=LTM&amp;VAR:PERIOD=FIXED&amp;VAR:THRESH=-|-|-|-|-|-&amp;VAR:PCT=Y&amp;VAR:V=16.876454&amp;VAR:P=1&amp;VAR:DATE=20051130"}</definedName>
    <definedName name="_19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Equity&amp;VAR:FQLFORMULA=FMA_ROE&amp;VAR:MEASURE=ROE&amp;VAR:NULL=.HTML&amp;VAR:PED=LTM&amp;VAR:PERIOD=FIXED&amp;VAR:THRESH=-|-|-|-|-|-&amp;VAR:PCT=Y&amp;VAR:V=16.691886&amp;VAR:P=1&amp;VAR:DATE=20051031"}</definedName>
    <definedName name="_19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Equity&amp;VAR:FQLFORMULA=FMA_ROE&amp;VAR:MEASURE=ROE&amp;VAR:NULL=.HTML&amp;VAR:PED=LTM&amp;VAR:PERIOD=FIXED&amp;VAR:THRESH=-|-|-|-|-|-&amp;VAR:PCT=Y&amp;VAR:V=16.527957&amp;VAR:P=1&amp;VAR:DATE=20050930"}</definedName>
    <definedName name="_19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Equity&amp;VAR:FQLFORMULA=FMA_ROE&amp;VAR:MEASURE=ROE&amp;VAR:NULL=.HTML&amp;VAR:PED=LTM&amp;VAR:PERIOD=FIXED&amp;VAR:THRESH=-|-|-|-|-|-&amp;VAR:PCT=Y&amp;VAR:V=16.541679&amp;VAR:P=1&amp;VAR:DATE=20050831"}</definedName>
    <definedName name="_19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Equity&amp;VAR:FQLFORMULA=FMA_ROE&amp;VAR:MEASURE=ROE&amp;VAR:NULL=.HTML&amp;VAR:PED=LTM&amp;VAR:PERIOD=FIXED&amp;VAR:THRESH=-|-|-|-|-|-&amp;VAR:PCT=Y&amp;VAR:V=15.787460&amp;VAR:P=1&amp;VAR:DATE=20050729"}</definedName>
    <definedName name="_19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Equity&amp;VAR:FQLFORMULA=FMA_ROE&amp;VAR:MEASURE=ROE&amp;VAR:NULL=.HTML&amp;VAR:PED=LTM&amp;VAR:PERIOD=FIXED&amp;VAR:THRESH=-|-|-|-|-|-&amp;VAR:PCT=Y&amp;VAR:V=15.769967&amp;VAR:P=1&amp;VAR:DATE=20050630"}</definedName>
    <definedName name="_19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Equity&amp;VAR:FQLFORMULA=FMA_ROE&amp;VAR:MEASURE=ROE&amp;VAR:NULL=.HTML&amp;VAR:PED=LTM&amp;VAR:PERIOD=FIXED&amp;VAR:THRESH=-|-|-|-|-|-&amp;VAR:PCT=Y&amp;VAR:V=15.748078&amp;VAR:P=1&amp;VAR:DATE=20050531"}</definedName>
    <definedName name="_19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Equity&amp;VAR:FQLFORMULA=FMA_ROE&amp;VAR:MEASURE=ROE&amp;VAR:NULL=.HTML&amp;VAR:PED=LTM&amp;VAR:PERIOD=FIXED&amp;VAR:THRESH=-|-|-|-|-|-&amp;VAR:PCT=Y&amp;VAR:V=15.847456&amp;VAR:P=1&amp;VAR:DATE=20050429"}</definedName>
    <definedName name="_19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Equity&amp;VAR:FQLFORMULA=FMA_ROE&amp;VAR:MEASURE=ROE&amp;VAR:NULL=.HTML&amp;VAR:PED=LTM&amp;VAR:PERIOD=FIXED&amp;VAR:THRESH=-|-|-|-|-|-&amp;VAR:PCT=Y&amp;VAR:V=15.843074&amp;VAR:P=1&amp;VAR:DATE=20050331"}</definedName>
    <definedName name="_2__FDSAUDITLINK__" hidden="1">{"fdsup://directions/FAT%20Viewer?VAR:PED=LTM&amp;VAR:PERIOD=FIXED&amp;VAR:V=11.854430&amp;VAR:PCT=Y&amp;VAR:AUDIT_ID=00000117&amp;VAR:DATE=20100331&amp;action=UPDATE&amp;creator=factset&amp;DOC_NAME=FAT:FMA_audit_SUMMARY.fat&amp;DISPLAY_STRING=Display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0__FDSAUDITLINK__" hidden="1">{"fdsup://directions/FAT%20Viewer?VAR:PED=LTM&amp;VAR:PERIOD=FIXED&amp;VAR:V=13.342847&amp;VAR:PCT=Y&amp;VAR:AUDIT_ID=00000117&amp;VAR:DATE=20080930&amp;action=UPDATE&amp;creator=factset&amp;DOC_NAME=FAT:FMA_audit_SUMMARY.fat&amp;DISPLAY_STRING=Display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0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Equity&amp;VAR:FQLFORMULA=FMA_ROE&amp;VAR:MEASURE=ROE&amp;VAR:NULL=.HTML&amp;VAR:PED=LTM&amp;VAR:PERIOD=FIXED&amp;VAR:THRESH=-|-|-|-|-|-&amp;VAR:PCT=Y&amp;VAR:V=15.876181&amp;VAR:P=1&amp;VAR:DATE=20050228"}</definedName>
    <definedName name="_20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Equity&amp;VAR:FQLFORMULA=FMA_ROE&amp;VAR:MEASURE=ROE&amp;VAR:NULL=.HTML&amp;VAR:PED=LTM&amp;VAR:PERIOD=FIXED&amp;VAR:THRESH=-|-|-|-|-|-&amp;VAR:PCT=Y&amp;VAR:V=15.390034&amp;VAR:P=1&amp;VAR:DATE=20050131"}</definedName>
    <definedName name="_20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Equity&amp;VAR:FQLFORMULA=FMA_ROE&amp;VAR:MEASURE=ROE&amp;VAR:NULL=.HTML&amp;VAR:PED=LTM&amp;VAR:PERIOD=FIXED&amp;VAR:THRESH=-|-|-|-|-|-&amp;VAR:PCT=Y&amp;VAR:V=15.394577&amp;VAR:P=1&amp;VAR:DATE=20041231"}</definedName>
    <definedName name="_20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Equity&amp;VAR:FQLFORMULA=FMA_ROE&amp;VAR:MEASURE=ROE&amp;VAR:NULL=.HTML&amp;VAR:PED=LTM&amp;VAR:PERIOD=FIXED&amp;VAR:THRESH=-|-|-|-|-|-&amp;VAR:PCT=Y&amp;VAR:V=15.424695&amp;VAR:P=1&amp;VAR:DATE=20041130"}</definedName>
    <definedName name="_20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Equity&amp;VAR:FQLFORMULA=FMA_ROE&amp;VAR:MEASURE=ROE&amp;VAR:NULL=.HTML&amp;VAR:PED=LTM&amp;VAR:PERIOD=FIXED&amp;VAR:THRESH=-|-|-|-|-|-&amp;VAR:PCT=Y&amp;VAR:V=15.377739&amp;VAR:P=1&amp;VAR:DATE=20041029"}</definedName>
    <definedName name="_20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Equity&amp;VAR:FQLFORMULA=FMA_ROE&amp;VAR:MEASURE=ROE&amp;VAR:NULL=.HTML&amp;VAR:PED=LTM&amp;VAR:PERIOD=FIXED&amp;VAR:THRESH=-|-|-|-|-|-&amp;VAR:PCT=Y&amp;VAR:V=15.254686&amp;VAR:P=1&amp;VAR:DATE=20040930"}</definedName>
    <definedName name="_20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Equity&amp;VAR:FQLFORMULA=FMA_ROE&amp;VAR:MEASURE=ROE&amp;VAR:NULL=.HTML&amp;VAR:PED=LTM&amp;VAR:PERIOD=FIXED&amp;VAR:THRESH=-|-|-|-|-|-&amp;VAR:PCT=Y&amp;VAR:V=15.170527&amp;VAR:P=1&amp;VAR:DATE=20040831"}</definedName>
    <definedName name="_20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Equity&amp;VAR:FQLFORMULA=FMA_ROE&amp;VAR:MEASURE=ROE&amp;VAR:NULL=.HTML&amp;VAR:PED=LTM&amp;VAR:PERIOD=FIXED&amp;VAR:THRESH=-|-|-|-|-|-&amp;VAR:PCT=Y&amp;VAR:V=14.969450&amp;VAR:P=1&amp;VAR:DATE=20040730"}</definedName>
    <definedName name="_20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Equity&amp;VAR:FQLFORMULA=FMA_ROE&amp;VAR:MEASURE=ROE&amp;VAR:NULL=.HTML&amp;VAR:PED=LTM&amp;VAR:PERIOD=FIXED&amp;VAR:THRESH=-|-|-|-|-|-&amp;VAR:PCT=Y&amp;VAR:V=14.848572&amp;VAR:P=1&amp;VAR:DATE=20040630"}</definedName>
    <definedName name="_20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Equity&amp;VAR:FQLFORMULA=FMA_ROE&amp;VAR:MEASURE=ROE&amp;VAR:NULL=.HTML&amp;VAR:PED=LTM&amp;VAR:PERIOD=FIXED&amp;VAR:THRESH=-|-|-|-|-|-&amp;VAR:PCT=Y&amp;VAR:V=14.800475&amp;VAR:P=1&amp;VAR:DATE=20040531"}</definedName>
    <definedName name="_21__FDSAUDITLINK__" hidden="1">{"fdsup://directions/FAT%20Viewer?VAR:PED=LTM&amp;VAR:PERIOD=FIXED&amp;VAR:V=12.720948&amp;VAR:PCT=Y&amp;VAR:AUDIT_ID=00000117&amp;VAR:DATE=20080829&amp;action=UPDATE&amp;creator=factset&amp;DOC_NAME=FAT:FMA_audit_SUMMARY.fat&amp;DISPLAY_STRING=Display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1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Equity&amp;VAR:FQLFORMULA=FMA_ROE&amp;VAR:MEASURE=ROE&amp;VAR:NULL=.HTML&amp;VAR:PED=LTM&amp;VAR:PERIOD=FIXED&amp;VAR:THRESH=-|-|-|-|-|-&amp;VAR:PCT=Y&amp;VAR:V=15.383219&amp;VAR:P=1&amp;VAR:DATE=20040430"}</definedName>
    <definedName name="_21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Equity&amp;VAR:FQLFORMULA=FMA_ROE&amp;VAR:MEASURE=ROE&amp;VAR:NULL=.HTML&amp;VAR:PED=LTM&amp;VAR:PERIOD=FIXED&amp;VAR:THRESH=-|-|-|-|-|-&amp;VAR:PCT=Y&amp;VAR:V=15.335340&amp;VAR:P=1&amp;VAR:DATE=20040331"}</definedName>
    <definedName name="_21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Equity&amp;VAR:FQLFORMULA=FMA_ROE&amp;VAR:MEASURE=ROE&amp;VAR:NULL=.HTML&amp;VAR:PED=LTM&amp;VAR:PERIOD=FIXED&amp;VAR:THRESH=-|-|-|-|-|-&amp;VAR:PCT=Y&amp;VAR:V=15.349756&amp;VAR:P=1&amp;VAR:DATE=20040227"}</definedName>
    <definedName name="_21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Equity&amp;VAR:FQLFORMULA=FMA_ROE&amp;VAR:MEASURE=ROE&amp;VAR:NULL=.HTML&amp;VAR:PED=LTM&amp;VAR:PERIOD=FIXED&amp;VAR:THRESH=-|-|-|-|-|-&amp;VAR:PCT=Y&amp;VAR:V=14.730568&amp;VAR:P=1&amp;VAR:DATE=20040130"}</definedName>
    <definedName name="_21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Equity&amp;VAR:FQLFORMULA=FMA_ROE&amp;VAR:MEASURE=ROE&amp;VAR:NULL=.HTML&amp;VAR:PED=LTM&amp;VAR:PERIOD=FIXED&amp;VAR:THRESH=-|-|-|-|-|-&amp;VAR:PCT=Y&amp;VAR:V=14.718904&amp;VAR:P=1&amp;VAR:DATE=20031231"}</definedName>
    <definedName name="_21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Equity&amp;VAR:FQLFORMULA=FMA_ROE&amp;VAR:MEASURE=ROE&amp;VAR:NULL=.HTML&amp;VAR:PED=LTM&amp;VAR:PERIOD=FIXED&amp;VAR:THRESH=-|-|-|-|-|-&amp;VAR:PCT=Y&amp;VAR:V=14.585346&amp;VAR:P=1&amp;VAR:DATE=20031128"}</definedName>
    <definedName name="_21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Equity&amp;VAR:FQLFORMULA=FMA_ROE&amp;VAR:MEASURE=ROE&amp;VAR:NULL=.HTML&amp;VAR:PED=LTM&amp;VAR:PERIOD=FIXED&amp;VAR:THRESH=-|-|-|-|-|-&amp;VAR:PCT=Y&amp;VAR:V=13.908043&amp;VAR:P=1&amp;VAR:DATE=20031031"}</definedName>
    <definedName name="_21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Equity&amp;VAR:FQLFORMULA=FMA_ROE&amp;VAR:MEASURE=ROE&amp;VAR:NULL=.HTML&amp;VAR:PED=LTM&amp;VAR:PERIOD=FIXED&amp;VAR:THRESH=-|-|-|-|-|-&amp;VAR:PCT=Y&amp;VAR:V=13.877560&amp;VAR:P=1&amp;VAR:DATE=20030930"}</definedName>
    <definedName name="_21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Equity&amp;VAR:FQLFORMULA=FMA_ROE&amp;VAR:MEASURE=ROE&amp;VAR:NULL=.HTML&amp;VAR:PED=LTM&amp;VAR:PERIOD=FIXED&amp;VAR:THRESH=-|-|-|-|-|-&amp;VAR:PCT=Y&amp;VAR:V=13.856191&amp;VAR:P=1&amp;VAR:DATE=20030829"}</definedName>
    <definedName name="_21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Equity&amp;VAR:FQLFORMULA=FMA_ROE&amp;VAR:MEASURE=ROE&amp;VAR:NULL=.HTML&amp;VAR:PED=LTM&amp;VAR:PERIOD=FIXED&amp;VAR:THRESH=-|-|-|-|-|-&amp;VAR:PCT=Y&amp;VAR:V=13.440329&amp;VAR:P=1&amp;VAR:DATE=20030731"}</definedName>
    <definedName name="_22__FDSAUDITLINK__" hidden="1">{"fdsup://directions/FAT%20Viewer?VAR:PED=LTM&amp;VAR:PERIOD=FIXED&amp;VAR:V=14.128935&amp;VAR:PCT=Y&amp;VAR:AUDIT_ID=00000117&amp;VAR:DATE=20080731&amp;action=UPDATE&amp;creator=factset&amp;DOC_NAME=FAT:FMA_audit_SUMMARY.fat&amp;DISPLAY_STRING=Display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2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Equity&amp;VAR:FQLFORMULA=FMA_ROE&amp;VAR:MEASURE=ROE&amp;VAR:NULL=.HTML&amp;VAR:PED=LTM&amp;VAR:PERIOD=FIXED&amp;VAR:THRESH=-|-|-|-|-|-&amp;VAR:PCT=Y&amp;VAR:V=13.479730&amp;VAR:P=1&amp;VAR:DATE=20030630"}</definedName>
    <definedName name="_22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Equity&amp;VAR:FQLFORMULA=FMA_ROE&amp;VAR:MEASURE=ROE&amp;VAR:NULL=.HTML&amp;VAR:PED=LTM&amp;VAR:PERIOD=FIXED&amp;VAR:THRESH=-|-|-|-|-|-&amp;VAR:PCT=Y&amp;VAR:V=13.468264&amp;VAR:P=1&amp;VAR:DATE=20030530"}</definedName>
    <definedName name="_22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Equity&amp;VAR:FQLFORMULA=FMA_ROE&amp;VAR:MEASURE=ROE&amp;VAR:NULL=.HTML&amp;VAR:PED=LTM&amp;VAR:PERIOD=FIXED&amp;VAR:THRESH=-|-|-|-|-|-&amp;VAR:PCT=Y&amp;VAR:V=13.536398&amp;VAR:P=1&amp;VAR:DATE=20030430"}</definedName>
    <definedName name="_22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Equity&amp;VAR:FQLFORMULA=FMA_ROE&amp;VAR:MEASURE=ROE&amp;VAR:NULL=.HTML&amp;VAR:PED=LTM&amp;VAR:PERIOD=FIXED&amp;VAR:THRESH=-|-|-|-|-|-&amp;VAR:PCT=Y&amp;VAR:V=13.507727&amp;VAR:P=1&amp;VAR:DATE=20030331"}</definedName>
    <definedName name="_22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Equity&amp;VAR:FQLFORMULA=FMA_ROE&amp;VAR:MEASURE=ROE&amp;VAR:NULL=.HTML&amp;VAR:PED=LTM&amp;VAR:PERIOD=FIXED&amp;VAR:THRESH=-|-|-|-|-|-&amp;VAR:PCT=Y&amp;VAR:V=13.478861&amp;VAR:P=1&amp;VAR:DATE=20030228"}</definedName>
    <definedName name="_22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Equity&amp;VAR:FQLFORMULA=FMA_ROE&amp;VAR:MEASURE=ROE&amp;VAR:NULL=.HTML&amp;VAR:PED=LTM&amp;VAR:PERIOD=FIXED&amp;VAR:THRESH=-|-|-|-|-|-&amp;VAR:PCT=Y&amp;VAR:V=11.448824&amp;VAR:P=1&amp;VAR:DATE=20030131"}</definedName>
    <definedName name="_22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Equity&amp;VAR:FQLFORMULA=FMA_ROE&amp;VAR:MEASURE=ROE&amp;VAR:NULL=.HTML&amp;VAR:PED=LTM&amp;VAR:PERIOD=FIXED&amp;VAR:THRESH=-|-|-|-|-|-&amp;VAR:PCT=Y&amp;VAR:V=11.446424&amp;VAR:P=1&amp;VAR:DATE=20021231"}</definedName>
    <definedName name="_22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Equity&amp;VAR:FQLFORMULA=FMA_ROE&amp;VAR:MEASURE=ROE&amp;VAR:NULL=.HTML&amp;VAR:PED=LTM&amp;VAR:PERIOD=FIXED&amp;VAR:THRESH=-|-|-|-|-|-&amp;VAR:PCT=Y&amp;VAR:V=11.351811&amp;VAR:P=1&amp;VAR:DATE=20021129"}</definedName>
    <definedName name="_22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Equity&amp;VAR:FQLFORMULA=FMA_ROE&amp;VAR:MEASURE=ROE&amp;VAR:NULL=.HTML&amp;VAR:PED=LTM&amp;VAR:PERIOD=FIXED&amp;VAR:THRESH=-|-|-|-|-|-&amp;VAR:PCT=Y&amp;VAR:V=11.121153&amp;VAR:P=1&amp;VAR:DATE=20021031"}</definedName>
    <definedName name="_22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Equity&amp;VAR:FQLFORMULA=FMA_ROE&amp;VAR:MEASURE=ROE&amp;VAR:NULL=.HTML&amp;VAR:PED=LTM&amp;VAR:PERIOD=FIXED&amp;VAR:THRESH=-|-|-|-|-|-&amp;VAR:PCT=Y&amp;VAR:V=11.118872&amp;VAR:P=1&amp;VAR:DATE=20020930"}</definedName>
    <definedName name="_23__FDSAUDITLINK__" hidden="1">{"fdsup://directions/FAT%20Viewer?VAR:PED=LTM&amp;VAR:PERIOD=FIXED&amp;VAR:V=14.288703&amp;VAR:PCT=Y&amp;VAR:AUDIT_ID=00000117&amp;VAR:DATE=20080630&amp;action=UPDATE&amp;creator=factset&amp;DOC_NAME=FAT:FMA_audit_SUMMARY.fat&amp;DISPLAY_STRING=Display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3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Equity&amp;VAR:FQLFORMULA=FMA_ROE&amp;VAR:MEASURE=ROE&amp;VAR:NULL=.HTML&amp;VAR:PED=LTM&amp;VAR:PERIOD=FIXED&amp;VAR:THRESH=-|-|-|-|-|-&amp;VAR:PCT=Y&amp;VAR:V=11.171120&amp;VAR:P=1&amp;VAR:DATE=20020830"}</definedName>
    <definedName name="_23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Equity&amp;VAR:FQLFORMULA=FMA_ROE&amp;VAR:MEASURE=ROE&amp;VAR:NULL=.HTML&amp;VAR:PED=LTM&amp;VAR:PERIOD=FIXED&amp;VAR:THRESH=-|-|-|-|-|-&amp;VAR:PCT=Y&amp;VAR:V=9.103261&amp;VAR:P=1&amp;VAR:DATE=20020731"}</definedName>
    <definedName name="_23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Equity&amp;VAR:FQLFORMULA=FMA_ROE&amp;VAR:MEASURE=ROE&amp;VAR:NULL=.HTML&amp;VAR:PED=LTM&amp;VAR:PERIOD=FIXED&amp;VAR:THRESH=-|-|-|-|-|-&amp;VAR:PCT=Y&amp;VAR:V=8.507379&amp;VAR:P=1&amp;VAR:DATE=20020628"}</definedName>
    <definedName name="_23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Equity&amp;VAR:FQLFORMULA=FMA_ROE&amp;VAR:MEASURE=ROE&amp;VAR:NULL=.HTML&amp;VAR:PED=LTM&amp;VAR:PERIOD=FIXED&amp;VAR:THRESH=-|-|-|-|-|-&amp;VAR:PCT=Y&amp;VAR:V=8.548987&amp;VAR:P=1&amp;VAR:DATE=20020531"}</definedName>
    <definedName name="_23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Equity&amp;VAR:FQLFORMULA=FMA_ROE&amp;VAR:MEASURE=ROE&amp;VAR:NULL=.HTML&amp;VAR:PED=LTM&amp;VAR:PERIOD=FIXED&amp;VAR:THRESH=-|-|-|-|-|-&amp;VAR:PCT=Y&amp;VAR:V=9.782448&amp;VAR:P=1&amp;VAR:DATE=20020430"}</definedName>
    <definedName name="_23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Equity&amp;VAR:FQLFORMULA=FMA_ROE&amp;VAR:MEASURE=ROE&amp;VAR:NULL=.HTML&amp;VAR:PED=LTM&amp;VAR:PERIOD=FIXED&amp;VAR:THRESH=-|-|-|-|-|-&amp;VAR:PCT=Y&amp;VAR:V=9.807833&amp;VAR:P=1&amp;VAR:DATE=20020329"}</definedName>
    <definedName name="_23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Equity&amp;VAR:FQLFORMULA=FMA_ROE&amp;VAR:MEASURE=ROE&amp;VAR:NULL=.HTML&amp;VAR:PED=LTM&amp;VAR:PERIOD=FIXED&amp;VAR:THRESH=-|-|-|-|-|-&amp;VAR:PCT=Y&amp;VAR:V=9.919854&amp;VAR:P=1&amp;VAR:DATE=20020228"}</definedName>
    <definedName name="_23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Equity&amp;VAR:FQLFORMULA=FMA_ROE&amp;VAR:MEASURE=ROE&amp;VAR:NULL=.HTML&amp;VAR:PED=LTM&amp;VAR:PERIOD=FIXED&amp;VAR:THRESH=-|-|-|-|-|-&amp;VAR:PCT=Y&amp;VAR:V=9.258598&amp;VAR:P=1&amp;VAR:DATE=20020131"}</definedName>
    <definedName name="_23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Equity&amp;VAR:FQLFORMULA=FMA_ROE&amp;VAR:MEASURE=ROE&amp;VAR:NULL=.HTML&amp;VAR:PED=LTM&amp;VAR:PERIOD=FIXED&amp;VAR:THRESH=-|-|-|-|-|-&amp;VAR:PCT=Y&amp;VAR:V=9.339668&amp;VAR:P=1&amp;VAR:DATE=20011231"}</definedName>
    <definedName name="_23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Equity&amp;VAR:FQLFORMULA=FMA_ROE&amp;VAR:MEASURE=ROE&amp;VAR:NULL=.HTML&amp;VAR:PED=LTM&amp;VAR:PERIOD=FIXED&amp;VAR:THRESH=-|-|-|-|-|-&amp;VAR:PCT=Y&amp;VAR:V=9.591758&amp;VAR:P=1&amp;VAR:DATE=20011130"}</definedName>
    <definedName name="_24__FDSAUDITLINK__" hidden="1">{"fdsup://directions/FAT%20Viewer?VAR:PED=LTM&amp;VAR:PERIOD=FIXED&amp;VAR:V=13.971458&amp;VAR:PCT=Y&amp;VAR:AUDIT_ID=00000117&amp;VAR:DATE=20080530&amp;action=UPDATE&amp;creator=factset&amp;DOC_NAME=FAT:FMA_audit_SUMMARY.fat&amp;DISPLAY_STRING=Display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4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Equity&amp;VAR:FQLFORMULA=FMA_ROE&amp;VAR:MEASURE=ROE&amp;VAR:NULL=.HTML&amp;VAR:PED=LTM&amp;VAR:PERIOD=FIXED&amp;VAR:THRESH=-|-|-|-|-|-&amp;VAR:PCT=Y&amp;VAR:V=12.260906&amp;VAR:P=1&amp;VAR:DATE=20011031"}</definedName>
    <definedName name="_24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Equity&amp;VAR:FQLFORMULA=FMA_ROE&amp;VAR:MEASURE=ROE&amp;VAR:NULL=.HTML&amp;VAR:PED=LTM&amp;VAR:PERIOD=FIXED&amp;VAR:THRESH=-|-|-|-|-|-&amp;VAR:PCT=Y&amp;VAR:V=12.221473&amp;VAR:P=1&amp;VAR:DATE=20010928"}</definedName>
    <definedName name="_24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Equity&amp;VAR:FQLFORMULA=FMA_ROE&amp;VAR:MEASURE=ROE&amp;VAR:NULL=.HTML&amp;VAR:PED=LTM&amp;VAR:PERIOD=FIXED&amp;VAR:THRESH=-|-|-|-|-|-&amp;VAR:PCT=Y&amp;VAR:V=12.278360&amp;VAR:P=1&amp;VAR:DATE=20010831"}</definedName>
    <definedName name="_24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Equity&amp;VAR:FQLFORMULA=FMA_ROE&amp;VAR:MEASURE=ROE&amp;VAR:NULL=.HTML&amp;VAR:PED=LTM&amp;VAR:PERIOD=FIXED&amp;VAR:THRESH=-|-|-|-|-|-&amp;VAR:PCT=Y&amp;VAR:V=14.448210&amp;VAR:P=1&amp;VAR:DATE=20010731"}</definedName>
    <definedName name="_24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Equity&amp;VAR:FQLFORMULA=FMA_ROE&amp;VAR:MEASURE=ROE&amp;VAR:NULL=.HTML&amp;VAR:PED=LTM&amp;VAR:PERIOD=FIXED&amp;VAR:THRESH=-|-|-|-|-|-&amp;VAR:PCT=Y&amp;VAR:V=14.741526&amp;VAR:P=1&amp;VAR:DATE=20010629"}</definedName>
    <definedName name="_24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Equity&amp;VAR:FQLFORMULA=FMA_ROE&amp;VAR:MEASURE=ROE&amp;VAR:NULL=.HTML&amp;VAR:PED=LTM&amp;VAR:PERIOD=FIXED&amp;VAR:THRESH=-|-|-|-|-|-&amp;VAR:PCT=Y&amp;VAR:V=14.958398&amp;VAR:P=1&amp;VAR:DATE=20010531"}</definedName>
    <definedName name="_24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Equity&amp;VAR:FQLFORMULA=FMA_ROE&amp;VAR:MEASURE=ROE&amp;VAR:NULL=.HTML&amp;VAR:PED=LTM&amp;VAR:PERIOD=FIXED&amp;VAR:THRESH=-|-|-|-|-|-&amp;VAR:PCT=Y&amp;VAR:V=17.002564&amp;VAR:P=1&amp;VAR:DATE=20010430"}</definedName>
    <definedName name="_24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Equity&amp;VAR:FQLFORMULA=FMA_ROE&amp;VAR:MEASURE=ROE&amp;VAR:NULL=.HTML&amp;VAR:PED=LTM&amp;VAR:PERIOD=FIXED&amp;VAR:THRESH=-|-|-|-|-|-&amp;VAR:PCT=Y&amp;VAR:V=17.062201&amp;VAR:P=1&amp;VAR:DATE=20010330"}</definedName>
    <definedName name="_24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Equity&amp;VAR:FQLFORMULA=FMA_ROE&amp;VAR:MEASURE=ROE&amp;VAR:NULL=.HTML&amp;VAR:PED=LTM&amp;VAR:PERIOD=FIXED&amp;VAR:THRESH=-|-|-|-|-|-&amp;VAR:PCT=Y&amp;VAR:V=17.136988&amp;VAR:P=1&amp;VAR:DATE=20010228"}</definedName>
    <definedName name="_24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Equity&amp;VAR:FQLFORMULA=FMA_ROE&amp;VAR:MEASURE=ROE&amp;VAR:NULL=.HTML&amp;VAR:PED=LTM&amp;VAR:PERIOD=FIXED&amp;VAR:THRESH=-|-|-|-|-|-&amp;VAR:PCT=Y&amp;VAR:V=17.340840&amp;VAR:P=1&amp;VAR:DATE=20010131"}</definedName>
    <definedName name="_25__FDSAUDITLINK__" hidden="1">{"fdsup://directions/FAT%20Viewer?VAR:PED=LTM&amp;VAR:PERIOD=FIXED&amp;VAR:V=14.096671&amp;VAR:PCT=Y&amp;VAR:AUDIT_ID=00000117&amp;VAR:DATE=20080430&amp;action=UPDATE&amp;creator=factset&amp;DOC_NAME=FAT:FMA_audit_SUMMARY.fat&amp;DISPLAY_STRING=Display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5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Equity&amp;VAR:FQLFORMULA=FMA_ROE&amp;VAR:MEASURE=ROE&amp;VAR:NULL=.HTML&amp;VAR:PED=LTM&amp;VAR:PERIOD=FIXED&amp;VAR:THRESH=-|-|-|-|-|-&amp;VAR:PCT=Y&amp;VAR:V=17.365026&amp;VAR:P=1&amp;VAR:DATE=20001229"}</definedName>
    <definedName name="_25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Equity&amp;VAR:FQLFORMULA=FMA_ROE&amp;VAR:MEASURE=ROE&amp;VAR:NULL=.HTML&amp;VAR:PED=LTM&amp;VAR:PERIOD=FIXED&amp;VAR:THRESH=-|-|-|-|-|-&amp;VAR:PCT=Y&amp;VAR:V=17.315228&amp;VAR:P=1&amp;VAR:DATE=20001130"}</definedName>
    <definedName name="_25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Equity&amp;VAR:FQLFORMULA=FMA_ROE&amp;VAR:MEASURE=ROE&amp;VAR:NULL=.HTML&amp;VAR:PED=LTM&amp;VAR:PERIOD=FIXED&amp;VAR:THRESH=-|-|-|-|-|-&amp;VAR:PCT=Y&amp;VAR:V=16.687493&amp;VAR:P=1&amp;VAR:DATE=20001031"}</definedName>
    <definedName name="_25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Equity&amp;VAR:FQLFORMULA=FMA_ROE&amp;VAR:MEASURE=ROE&amp;VAR:NULL=.HTML&amp;VAR:PED=LTM&amp;VAR:PERIOD=FIXED&amp;VAR:THRESH=-|-|-|-|-|-&amp;VAR:PCT=Y&amp;VAR:V=16.700053&amp;VAR:P=1&amp;VAR:DATE=20000929"}</definedName>
    <definedName name="_25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Equity&amp;VAR:FQLFORMULA=FMA_ROE&amp;VAR:MEASURE=ROE&amp;VAR:NULL=.HTML&amp;VAR:PED=LTM&amp;VAR:PERIOD=FIXED&amp;VAR:THRESH=-|-|-|-|-|-&amp;VAR:PCT=Y&amp;VAR:V=16.701709&amp;VAR:P=1&amp;VAR:DATE=20000831"}</definedName>
    <definedName name="_25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Equity&amp;VAR:FQLFORMULA=FMA_ROE&amp;VAR:MEASURE=ROE&amp;VAR:NULL=.HTML&amp;VAR:PED=LTM&amp;VAR:PERIOD=FIXED&amp;VAR:THRESH=-|-|-|-|-|-&amp;VAR:PCT=Y&amp;VAR:V=17.303039&amp;VAR:P=1&amp;VAR:DATE=20000731"}</definedName>
    <definedName name="_25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Equity&amp;VAR:FQLFORMULA=FMA_ROE&amp;VAR:MEASURE=ROE&amp;VAR:NULL=.HTML&amp;VAR:PED=LTM&amp;VAR:PERIOD=FIXED&amp;VAR:THRESH=-|-|-|-|-|-&amp;VAR:PCT=Y&amp;VAR:V=17.350517&amp;VAR:P=1&amp;VAR:DATE=20000630"}</definedName>
    <definedName name="_25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Equity&amp;VAR:FQLFORMULA=FMA_ROE&amp;VAR:MEASURE=ROE&amp;VAR:NULL=.HTML&amp;VAR:PED=LTM&amp;VAR:PERIOD=FIXED&amp;VAR:THRESH=-|-|-|-|-|-&amp;VAR:PCT=Y&amp;VAR:V=17.426237&amp;VAR:P=1&amp;VAR:DATE=20000531"}</definedName>
    <definedName name="_25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Equity&amp;VAR:FQLFORMULA=FMA_ROE&amp;VAR:MEASURE=ROE&amp;VAR:NULL=.HTML&amp;VAR:PED=LTM&amp;VAR:PERIOD=FIXED&amp;VAR:THRESH=-|-|-|-|-|-&amp;VAR:PCT=Y&amp;VAR:V=17.914162&amp;VAR:P=1&amp;VAR:DATE=20000428"}</definedName>
    <definedName name="_25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Equity&amp;VAR:FQLFORMULA=FMA_ROE&amp;VAR:MEASURE=ROE&amp;VAR:NULL=.HTML&amp;VAR:PED=LTM&amp;VAR:PERIOD=FIXED&amp;VAR:THRESH=-|-|-|-|-|-&amp;VAR:PCT=Y&amp;VAR:V=17.917002&amp;VAR:P=1&amp;VAR:DATE=20000331"}</definedName>
    <definedName name="_26__FDSAUDITLINK__" hidden="1">{"fdsup://directions/FAT%20Viewer?VAR:PED=LTM&amp;VAR:PERIOD=FIXED&amp;VAR:V=14.169960&amp;VAR:PCT=Y&amp;VAR:AUDIT_ID=00000117&amp;VAR:DATE=20080331&amp;action=UPDATE&amp;creator=factset&amp;DOC_NAME=FAT:FMA_audit_SUMMARY.fat&amp;DISPLAY_STRING=Display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6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Equity&amp;VAR:FQLFORMULA=FMA_ROE&amp;VAR:MEASURE=ROE&amp;VAR:NULL=.HTML&amp;VAR:PED=LTM&amp;VAR:PERIOD=FIXED&amp;VAR:THRESH=-|-|-|-|-|-&amp;VAR:PCT=Y&amp;VAR:V=17.900477&amp;VAR:P=1&amp;VAR:DATE=20000229"}</definedName>
    <definedName name="_26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Equity&amp;VAR:FQLFORMULA=FMA_ROE&amp;VAR:MEASURE=ROE&amp;VAR:NULL=.HTML&amp;VAR:PED=LTM&amp;VAR:PERIOD=FIXED&amp;VAR:THRESH=-|-|-|-|-|-&amp;VAR:PCT=Y&amp;VAR:V=17.558354&amp;VAR:P=1&amp;VAR:DATE=20000131"}</definedName>
    <definedName name="_26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Equity&amp;VAR:FQLFORMULA=FMA_ROE&amp;VAR:MEASURE=ROE&amp;VAR:NULL=.HTML&amp;VAR:PED=LTM&amp;VAR:PERIOD=FIXED&amp;VAR:THRESH=-|-|-|-|-|-&amp;VAR:PCT=Y&amp;VAR:V=17.475509&amp;VAR:P=1&amp;VAR:DATE=19991231"}</definedName>
    <definedName name="_26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Equity&amp;VAR:FQLFORMULA=FMA_ROE&amp;VAR:MEASURE=ROE&amp;VAR:NULL=.HTML&amp;VAR:PED=LTM&amp;VAR:PERIOD=FIXED&amp;VAR:THRESH=-|-|-|-|-|-&amp;VAR:PCT=Y&amp;VAR:V=17.414396&amp;VAR:P=1&amp;VAR:DATE=19991130"}</definedName>
    <definedName name="_26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Equity&amp;VAR:FQLFORMULA=FMA_ROE&amp;VAR:MEASURE=ROE&amp;VAR:NULL=.HTML&amp;VAR:PED=LTM&amp;VAR:PERIOD=FIXED&amp;VAR:THRESH=-|-|-|-|-|-&amp;VAR:PCT=Y&amp;VAR:V=16.683087&amp;VAR:P=1&amp;VAR:DATE=19991029"}</definedName>
    <definedName name="_265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Equity&amp;VAR:FQLFORMULA=FMA_ROE&amp;VAR:MEASURE=ROE&amp;VAR:NULL=.HTML&amp;VAR:PED=LTM&amp;VAR:PERIOD=FIXED&amp;VAR:THRESH=-|-|-|-|-|-&amp;VAR:PCT=Y&amp;VAR:V=16.632117&amp;VAR:P=1&amp;VAR:DATE=19990930"}</definedName>
    <definedName name="_266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Equity&amp;VAR:FQLFORMULA=FMA_ROE&amp;VAR:MEASURE=ROE&amp;VAR:NULL=.HTML&amp;VAR:PED=LTM&amp;VAR:PERIOD=FIXED&amp;VAR:THRESH=-|-|-|-|-|-&amp;VAR:PCT=Y&amp;VAR:V=16.660722&amp;VAR:P=1&amp;VAR:DATE=19990831"}</definedName>
    <definedName name="_267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Equity&amp;VAR:FQLFORMULA=FMA_ROE&amp;VAR:MEASURE=ROE&amp;VAR:NULL=.HTML&amp;VAR:PED=LTM&amp;VAR:PERIOD=FIXED&amp;VAR:THRESH=-|-|-|-|-|-&amp;VAR:PCT=Y&amp;VAR:V=16.118914&amp;VAR:P=1&amp;VAR:DATE=19990730"}</definedName>
    <definedName name="_268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Equity&amp;VAR:FQLFORMULA=FMA_ROE&amp;VAR:MEASURE=ROE&amp;VAR:NULL=.HTML&amp;VAR:PED=LTM&amp;VAR:PERIOD=FIXED&amp;VAR:THRESH=-|-|-|-|-|-&amp;VAR:PCT=Y&amp;VAR:V=16.078918&amp;VAR:P=1&amp;VAR:DATE=19990630"}</definedName>
    <definedName name="_269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Equity&amp;VAR:FQLFORMULA=FMA_ROE&amp;VAR:MEASURE=ROE&amp;VAR:NULL=.HTML&amp;VAR:PED=LTM&amp;VAR:PERIOD=FIXED&amp;VAR:THRESH=-|-|-|-|-|-&amp;VAR:PCT=Y&amp;VAR:V=15.973611&amp;VAR:P=1&amp;VAR:DATE=19990531"}</definedName>
    <definedName name="_27__FDSAUDITLINK__" hidden="1">{"fdsup://directions/FAT%20Viewer?VAR:PED=LTM&amp;VAR:PERIOD=FIXED&amp;VAR:V=14.353529&amp;VAR:PCT=Y&amp;VAR:AUDIT_ID=00000117&amp;VAR:DATE=20080229&amp;action=UPDATE&amp;creator=factset&amp;DOC_NAME=FAT:FMA_audit_SUMMARY.fat&amp;DISPLAY_STRING=Display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70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Equity&amp;VAR:FQLFORMULA=FMA_ROE&amp;VAR:MEASURE=ROE&amp;VAR:NULL=.HTML&amp;VAR:PED=LTM&amp;VAR:PERIOD=FIXED&amp;VAR:THRESH=-|-|-|-|-|-&amp;VAR:PCT=Y&amp;VAR:V=16.307698&amp;VAR:P=1&amp;VAR:DATE=19990430"}</definedName>
    <definedName name="_271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Equity&amp;VAR:FQLFORMULA=FMA_ROE&amp;VAR:MEASURE=ROE&amp;VAR:NULL=.HTML&amp;VAR:PED=LTM&amp;VAR:PERIOD=FIXED&amp;VAR:THRESH=-|-|-|-|-|-&amp;VAR:PCT=Y&amp;VAR:V=16.319406&amp;VAR:P=1&amp;VAR:DATE=19990331"}</definedName>
    <definedName name="_272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Equity&amp;VAR:FQLFORMULA=FMA_ROE&amp;VAR:MEASURE=ROE&amp;VAR:NULL=.HTML&amp;VAR:PED=LTM&amp;VAR:PERIOD=FIXED&amp;VAR:THRESH=-|-|-|-|-|-&amp;VAR:PCT=Y&amp;VAR:V=16.248922&amp;VAR:P=1&amp;VAR:DATE=19990226"}</definedName>
    <definedName name="_273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Equity&amp;VAR:FQLFORMULA=FMA_ROE&amp;VAR:MEASURE=ROE&amp;VAR:NULL=.HTML&amp;VAR:PED=LTM&amp;VAR:PERIOD=FIXED&amp;VAR:THRESH=-|-|-|-|-|-&amp;VAR:PCT=Y&amp;VAR:V=17.021319&amp;VAR:P=1&amp;VAR:DATE=19990129"}</definedName>
    <definedName name="_274__FDSAUDITLINK__" hidden="1">{"fdsup://directions/FAT%20Viewer?WINDOW=first_popup&amp;DYN_ARGS=TRUE&amp;START_MAXIMIZED=FALSE&amp;TITLEBAR=FactSet Market Aggregates&amp;ACTION=UPDATE&amp;CREATOR=FACTSET&amp;HEIGHT=525&amp;WIDTH=500&amp;DOC_NAME=FAT:FMA_AUDIT_SUMMARY.FAT&amp;VAR:CURRENCY=USD&amp;VAR:AUDIT_ID=00000117&amp;VAR:CALC","_MODE=PORTFOLIO&amp;VAR:CHGPERIOD=NA&amp;DISPLAY_STRING=Return on Equity&amp;VAR:FQLFORMULA=FMA_ROE&amp;VAR:MEASURE=ROE&amp;VAR:NULL=.HTML&amp;VAR:PED=LTM&amp;VAR:PERIOD=FIXED&amp;VAR:THRESH=-|-|-|-|-|-&amp;VAR:PCT=Y&amp;VAR:V=17.049871&amp;VAR:P=1&amp;VAR:DATE=19981231"}</definedName>
    <definedName name="_275__FDSAUDITLINK__" hidden="1">{"fdsup://directions/FAT%20Viewer?VAR:PED=LTM&amp;VAR:PERIOD=FIXED&amp;VAR:V=15.957744&amp;VAR:AUDIT_ID=00000117&amp;VAR:DATE=20050630&amp;action=UPDATE&amp;creator=factset&amp;DOC_NAME=FAT:FMA_audit_SUMMARY.fat&amp;DISPLAY_STRING=Display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76__FDSAUDITLINK__" hidden="1">{"fdsup://directions/FAT%20Viewer?VAR:PED=LTM&amp;VAR:PERIOD=FIXED&amp;VAR:V=15.935509&amp;VAR:AUDIT_ID=00000117&amp;VAR:DATE=20050531&amp;action=UPDATE&amp;creator=factset&amp;DOC_NAME=FAT:FMA_audit_SUMMARY.fat&amp;DISPLAY_STRING=Display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77__FDSAUDITLINK__" hidden="1">{"fdsup://directions/FAT%20Viewer?VAR:PED=LTM&amp;VAR:PERIOD=FIXED&amp;VAR:V=15.982424&amp;VAR:AUDIT_ID=00000117&amp;VAR:DATE=20050429&amp;action=UPDATE&amp;creator=factset&amp;DOC_NAME=FAT:FMA_audit_SUMMARY.fat&amp;DISPLAY_STRING=Display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78__FDSAUDITLINK__" hidden="1">{"fdsup://directions/FAT%20Viewer?VAR:PED=LTM&amp;VAR:PERIOD=FIXED&amp;VAR:V=15.978345&amp;VAR:AUDIT_ID=00000117&amp;VAR:DATE=20050331&amp;action=UPDATE&amp;creator=factset&amp;DOC_NAME=FAT:FMA_audit_SUMMARY.fat&amp;DISPLAY_STRING=Display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79__FDSAUDITLINK__" hidden="1">{"fdsup://directions/FAT%20Viewer?VAR:PED=LTM&amp;VAR:PERIOD=FIXED&amp;VAR:V=16.007842&amp;VAR:AUDIT_ID=00000117&amp;VAR:DATE=20050228&amp;action=UPDATE&amp;creator=factset&amp;DOC_NAME=FAT:FMA_audit_SUMMARY.fat&amp;DISPLAY_STRING=Display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__FDSAUDITLINK__" hidden="1">{"fdsup://directions/FAT%20Viewer?VAR:PED=LTM&amp;VAR:PERIOD=FIXED&amp;VAR:V=15.939981&amp;VAR:PCT=Y&amp;VAR:AUDIT_ID=00000117&amp;VAR:DATE=20080131&amp;action=UPDATE&amp;creator=factset&amp;DOC_NAME=FAT:FMA_audit_SUMMARY.fat&amp;DISPLAY_STRING=Display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80__FDSAUDITLINK__" hidden="1">{"fdsup://directions/FAT%20Viewer?VAR:PED=LTM&amp;VAR:PERIOD=FIXED&amp;VAR:V=16.232008&amp;VAR:AUDIT_ID=00000117&amp;VAR:DATE=20050131&amp;action=UPDATE&amp;creator=factset&amp;DOC_NAME=FAT:FMA_audit_SUMMARY.fat&amp;DISPLAY_STRING=Display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1__FDSAUDITLINK__" hidden="1">{"fdsup://directions/FAT%20Viewer?VAR:PED=LTM&amp;VAR:PERIOD=FIXED&amp;VAR:V=16.238597&amp;VAR:AUDIT_ID=00000117&amp;VAR:DATE=20041231&amp;action=UPDATE&amp;creator=factset&amp;DOC_NAME=FAT:FMA_audit_SUMMARY.fat&amp;DISPLAY_STRING=Display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2__FDSAUDITLINK__" hidden="1">{"fdsup://directions/FAT%20Viewer?VAR:PED=LTM&amp;VAR:PERIOD=FIXED&amp;VAR:V=16.308641&amp;VAR:AUDIT_ID=00000117&amp;VAR:DATE=20041130&amp;action=UPDATE&amp;creator=factset&amp;DOC_NAME=FAT:FMA_audit_SUMMARY.fat&amp;DISPLAY_STRING=Display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3__FDSAUDITLINK__" hidden="1">{"fdsup://directions/FAT%20Viewer?VAR:PED=LTM&amp;VAR:PERIOD=FIXED&amp;VAR:V=16.285346&amp;VAR:AUDIT_ID=00000117&amp;VAR:DATE=20041029&amp;action=UPDATE&amp;creator=factset&amp;DOC_NAME=FAT:FMA_audit_SUMMARY.fat&amp;DISPLAY_STRING=Display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4__FDSAUDITLINK__" hidden="1">{"fdsup://directions/FAT%20Viewer?VAR:PED=LTM&amp;VAR:PERIOD=FIXED&amp;VAR:V=16.165335&amp;VAR:AUDIT_ID=00000117&amp;VAR:DATE=20040930&amp;action=UPDATE&amp;creator=factset&amp;DOC_NAME=FAT:FMA_audit_SUMMARY.fat&amp;DISPLAY_STRING=Display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5__FDSAUDITLINK__" hidden="1">{"fdsup://directions/FAT%20Viewer?VAR:PED=LTM&amp;VAR:PERIOD=FIXED&amp;VAR:V=16.083887&amp;VAR:AUDIT_ID=00000117&amp;VAR:DATE=20040831&amp;action=UPDATE&amp;creator=factset&amp;DOC_NAME=FAT:FMA_audit_SUMMARY.fat&amp;DISPLAY_STRING=Display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6__FDSAUDITLINK__" hidden="1">{"fdsup://directions/FAT%20Viewer?VAR:PED=LTM&amp;VAR:PERIOD=FIXED&amp;VAR:V=15.833198&amp;VAR:AUDIT_ID=00000117&amp;VAR:DATE=20040730&amp;action=UPDATE&amp;creator=factset&amp;DOC_NAME=FAT:FMA_audit_SUMMARY.fat&amp;DISPLAY_STRING=Display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7__FDSAUDITLINK__" hidden="1">{"fdsup://directions/FAT%20Viewer?VAR:PED=LTM&amp;VAR:PERIOD=FIXED&amp;VAR:V=15.714774&amp;VAR:AUDIT_ID=00000117&amp;VAR:DATE=20040630&amp;action=UPDATE&amp;creator=factset&amp;DOC_NAME=FAT:FMA_audit_SUMMARY.fat&amp;DISPLAY_STRING=Display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8__FDSAUDITLINK__" hidden="1">{"fdsup://directions/FAT%20Viewer?VAR:PED=LTM&amp;VAR:PERIOD=FIXED&amp;VAR:V=15.677164&amp;VAR:AUDIT_ID=00000117&amp;VAR:DATE=20040531&amp;action=UPDATE&amp;creator=factset&amp;DOC_NAME=FAT:FMA_audit_SUMMARY.fat&amp;DISPLAY_STRING=Display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89__FDSAUDITLINK__" hidden="1">{"fdsup://directions/FAT%20Viewer?VAR:PED=LTM&amp;VAR:PERIOD=FIXED&amp;VAR:V=15.617196&amp;VAR:AUDIT_ID=00000117&amp;VAR:DATE=20040430&amp;action=UPDATE&amp;creator=factset&amp;DOC_NAME=FAT:FMA_audit_SUMMARY.fat&amp;DISPLAY_STRING=Display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__FDSAUDITLINK__" hidden="1">{"fdsup://directions/FAT%20Viewer?VAR:PED=LTM&amp;VAR:PERIOD=FIXED&amp;VAR:V=16.128600&amp;VAR:PCT=Y&amp;VAR:AUDIT_ID=00000117&amp;VAR:DATE=20071231&amp;action=UPDATE&amp;creator=factset&amp;DOC_NAME=FAT:FMA_audit_SUMMARY.fat&amp;DISPLAY_STRING=Display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290__FDSAUDITLINK__" hidden="1">{"fdsup://directions/FAT%20Viewer?VAR:PED=LTM&amp;VAR:PERIOD=FIXED&amp;VAR:V=15.551713&amp;VAR:AUDIT_ID=00000117&amp;VAR:DATE=20040331&amp;action=UPDATE&amp;creator=factset&amp;DOC_NAME=FAT:FMA_audit_SUMMARY.fat&amp;DISPLAY_STRING=Display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1__FDSAUDITLINK__" hidden="1">{"fdsup://directions/FAT%20Viewer?VAR:PED=LTM&amp;VAR:PERIOD=FIXED&amp;VAR:V=15.566558&amp;VAR:AUDIT_ID=00000117&amp;VAR:DATE=20040227&amp;action=UPDATE&amp;creator=factset&amp;DOC_NAME=FAT:FMA_audit_SUMMARY.fat&amp;DISPLAY_STRING=Display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2__FDSAUDITLINK__" hidden="1">{"fdsup://directions/FAT%20Viewer?VAR:PED=LTM&amp;VAR:PERIOD=FIXED&amp;VAR:V=15.069693&amp;VAR:AUDIT_ID=00000117&amp;VAR:DATE=20040130&amp;action=UPDATE&amp;creator=factset&amp;DOC_NAME=FAT:FMA_audit_SUMMARY.fat&amp;DISPLAY_STRING=Display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3__FDSAUDITLINK__" hidden="1">{"fdsup://directions/FAT%20Viewer?VAR:PED=LTM&amp;VAR:PERIOD=FIXED&amp;VAR:V=15.058002&amp;VAR:AUDIT_ID=00000117&amp;VAR:DATE=20031231&amp;action=UPDATE&amp;creator=factset&amp;DOC_NAME=FAT:FMA_audit_SUMMARY.fat&amp;DISPLAY_STRING=Display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4__FDSAUDITLINK__" hidden="1">{"fdsup://directions/FAT%20Viewer?VAR:PED=LTM&amp;VAR:PERIOD=FIXED&amp;VAR:V=14.922808&amp;VAR:AUDIT_ID=00000117&amp;VAR:DATE=20031128&amp;action=UPDATE&amp;creator=factset&amp;DOC_NAME=FAT:FMA_audit_SUMMARY.fat&amp;DISPLAY_STRING=Display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5__FDSAUDITLINK__" hidden="1">{"fdsup://directions/FAT%20Viewer?VAR:PED=LTM&amp;VAR:PERIOD=FIXED&amp;VAR:V=14.278835&amp;VAR:AUDIT_ID=00000117&amp;VAR:DATE=20031031&amp;action=UPDATE&amp;creator=factset&amp;DOC_NAME=FAT:FMA_audit_SUMMARY.fat&amp;DISPLAY_STRING=Display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6__FDSAUDITLINK__" hidden="1">{"fdsup://directions/FAT%20Viewer?VAR:PED=LTM&amp;VAR:PERIOD=FIXED&amp;VAR:V=14.248429&amp;VAR:AUDIT_ID=00000117&amp;VAR:DATE=20030930&amp;action=UPDATE&amp;creator=factset&amp;DOC_NAME=FAT:FMA_audit_SUMMARY.fat&amp;DISPLAY_STRING=Display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7__FDSAUDITLINK__" hidden="1">{"fdsup://directions/FAT%20Viewer?VAR:PED=LTM&amp;VAR:PERIOD=FIXED&amp;VAR:V=14.227058&amp;VAR:AUDIT_ID=00000117&amp;VAR:DATE=20030829&amp;action=UPDATE&amp;creator=factset&amp;DOC_NAME=FAT:FMA_audit_SUMMARY.fat&amp;DISPLAY_STRING=Display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8__FDSAUDITLINK__" hidden="1">{"fdsup://directions/FAT%20Viewer?VAR:PED=LTM&amp;VAR:PERIOD=FIXED&amp;VAR:V=13.822657&amp;VAR:AUDIT_ID=00000117&amp;VAR:DATE=20030731&amp;action=UPDATE&amp;creator=factset&amp;DOC_NAME=FAT:FMA_audit_SUMMARY.fat&amp;DISPLAY_STRING=Display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299__FDSAUDITLINK__" hidden="1">{"fdsup://directions/FAT%20Viewer?VAR:PED=LTM&amp;VAR:PERIOD=FIXED&amp;VAR:V=13.862011&amp;VAR:AUDIT_ID=00000117&amp;VAR:DATE=20030630&amp;action=UPDATE&amp;creator=factset&amp;DOC_NAME=FAT:FMA_audit_SUMMARY.fat&amp;DISPLAY_STRING=Display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__FDSAUDITLINK__" hidden="1">{"fdsup://directions/FAT%20Viewer?VAR:PED=LTM&amp;VAR:PERIOD=FIXED&amp;VAR:V=11.802582&amp;VAR:PCT=Y&amp;VAR:AUDIT_ID=00000117&amp;VAR:DATE=20100226&amp;action=UPDATE&amp;creator=factset&amp;DOC_NAME=FAT:FMA_audit_SUMMARY.fat&amp;DISPLAY_STRING=Display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0__FDSAUDITLINK__" hidden="1">{"fdsup://directions/FAT%20Viewer?VAR:PED=LTM&amp;VAR:PERIOD=FIXED&amp;VAR:V=16.134110&amp;VAR:PCT=Y&amp;VAR:AUDIT_ID=00000117&amp;VAR:DATE=20071130&amp;action=UPDATE&amp;creator=factset&amp;DOC_NAME=FAT:FMA_audit_SUMMARY.fat&amp;DISPLAY_STRING=Display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00__FDSAUDITLINK__" hidden="1">{"fdsup://directions/FAT%20Viewer?VAR:PED=LTM&amp;VAR:PERIOD=FIXED&amp;VAR:V=13.849118&amp;VAR:AUDIT_ID=00000117&amp;VAR:DATE=20030530&amp;action=UPDATE&amp;creator=factset&amp;DOC_NAME=FAT:FMA_audit_SUMMARY.fat&amp;DISPLAY_STRING=Display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1__FDSAUDITLINK__" hidden="1">{"fdsup://directions/FAT%20Viewer?VAR:PED=LTM&amp;VAR:PERIOD=FIXED&amp;VAR:V=13.957286&amp;VAR:AUDIT_ID=00000117&amp;VAR:DATE=20030430&amp;action=UPDATE&amp;creator=factset&amp;DOC_NAME=FAT:FMA_audit_SUMMARY.fat&amp;DISPLAY_STRING=Display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2__FDSAUDITLINK__" hidden="1">{"fdsup://directions/FAT%20Viewer?VAR:PED=LTM&amp;VAR:PERIOD=FIXED&amp;VAR:V=13.931012&amp;VAR:AUDIT_ID=00000117&amp;VAR:DATE=20030331&amp;action=UPDATE&amp;creator=factset&amp;DOC_NAME=FAT:FMA_audit_SUMMARY.fat&amp;DISPLAY_STRING=Display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3__FDSAUDITLINK__" hidden="1">{"fdsup://directions/FAT%20Viewer?VAR:PED=LTM&amp;VAR:PERIOD=FIXED&amp;VAR:V=13.901098&amp;VAR:AUDIT_ID=00000117&amp;VAR:DATE=20030228&amp;action=UPDATE&amp;creator=factset&amp;DOC_NAME=FAT:FMA_audit_SUMMARY.fat&amp;DISPLAY_STRING=Display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4__FDSAUDITLINK__" hidden="1">{"fdsup://directions/FAT%20Viewer?VAR:PED=LTM&amp;VAR:PERIOD=FIXED&amp;VAR:V=11.523502&amp;VAR:AUDIT_ID=00000117&amp;VAR:DATE=20030131&amp;action=UPDATE&amp;creator=factset&amp;DOC_NAME=FAT:FMA_audit_SUMMARY.fat&amp;DISPLAY_STRING=Display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5__FDSAUDITLINK__" hidden="1">{"fdsup://directions/FAT%20Viewer?VAR:PED=LTM&amp;VAR:PERIOD=FIXED&amp;VAR:V=11.521269&amp;VAR:AUDIT_ID=00000117&amp;VAR:DATE=20021231&amp;action=UPDATE&amp;creator=factset&amp;DOC_NAME=FAT:FMA_audit_SUMMARY.fat&amp;DISPLAY_STRING=Display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6__FDSAUDITLINK__" hidden="1">{"fdsup://directions/FAT%20Viewer?VAR:PED=LTM&amp;VAR:PERIOD=FIXED&amp;VAR:V=11.425267&amp;VAR:AUDIT_ID=00000117&amp;VAR:DATE=20021129&amp;action=UPDATE&amp;creator=factset&amp;DOC_NAME=FAT:FMA_audit_SUMMARY.fat&amp;DISPLAY_STRING=Display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7__FDSAUDITLINK__" hidden="1">{"fdsup://directions/FAT%20Viewer?VAR:PED=LTM&amp;VAR:PERIOD=FIXED&amp;VAR:V=11.230830&amp;VAR:AUDIT_ID=00000117&amp;VAR:DATE=20021031&amp;action=UPDATE&amp;creator=factset&amp;DOC_NAME=FAT:FMA_audit_SUMMARY.fat&amp;DISPLAY_STRING=Display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8__FDSAUDITLINK__" hidden="1">{"fdsup://directions/FAT%20Viewer?VAR:PED=LTM&amp;VAR:PERIOD=FIXED&amp;VAR:V=11.230403&amp;VAR:AUDIT_ID=00000117&amp;VAR:DATE=20020930&amp;action=UPDATE&amp;creator=factset&amp;DOC_NAME=FAT:FMA_audit_SUMMARY.fat&amp;DISPLAY_STRING=Display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09__FDSAUDITLINK__" hidden="1">{"fdsup://directions/FAT%20Viewer?VAR:PED=LTM&amp;VAR:PERIOD=FIXED&amp;VAR:V=11.285871&amp;VAR:AUDIT_ID=00000117&amp;VAR:DATE=20020830&amp;action=UPDATE&amp;creator=factset&amp;DOC_NAME=FAT:FMA_audit_SUMMARY.fat&amp;DISPLAY_STRING=Display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__FDSAUDITLINK__" hidden="1">{"fdsup://directions/FAT%20Viewer?VAR:PED=LTM&amp;VAR:PERIOD=FIXED&amp;VAR:V=17.246191&amp;VAR:PCT=Y&amp;VAR:AUDIT_ID=00000117&amp;VAR:DATE=20071031&amp;action=UPDATE&amp;creator=factset&amp;DOC_NAME=FAT:FMA_audit_SUMMARY.fat&amp;DISPLAY_STRING=Display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10__FDSAUDITLINK__" hidden="1">{"fdsup://directions/FAT%20Viewer?VAR:PED=LTM&amp;VAR:PERIOD=FIXED&amp;VAR:V=9.278871&amp;VAR:AUDIT_ID=00000117&amp;VAR:DATE=20020731&amp;action=UPDATE&amp;creator=factset&amp;DOC_NAME=FAT:FMA_audit_SUMMARY.fat&amp;DISPLAY_STRING=Display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1__FDSAUDITLINK__" hidden="1">{"fdsup://directions/FAT%20Viewer?VAR:PED=LTM&amp;VAR:PERIOD=FIXED&amp;VAR:V=8.665143&amp;VAR:AUDIT_ID=00000117&amp;VAR:DATE=20020628&amp;action=UPDATE&amp;creator=factset&amp;DOC_NAME=FAT:FMA_audit_SUMMARY.fat&amp;DISPLAY_STRING=Display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2__FDSAUDITLINK__" hidden="1">{"fdsup://directions/FAT%20Viewer?VAR:PED=LTM&amp;VAR:PERIOD=FIXED&amp;VAR:V=8.705477&amp;VAR:AUDIT_ID=00000117&amp;VAR:DATE=20020531&amp;action=UPDATE&amp;creator=factset&amp;DOC_NAME=FAT:FMA_audit_SUMMARY.fat&amp;DISPLAY_STRING=Display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3__FDSAUDITLINK__" hidden="1">{"fdsup://directions/FAT%20Viewer?VAR:PED=LTM&amp;VAR:PERIOD=FIXED&amp;VAR:V=9.861193&amp;VAR:AUDIT_ID=00000117&amp;VAR:DATE=20020430&amp;action=UPDATE&amp;creator=factset&amp;DOC_NAME=FAT:FMA_audit_SUMMARY.fat&amp;DISPLAY_STRING=Display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4__FDSAUDITLINK__" hidden="1">{"fdsup://directions/FAT%20Viewer?VAR:PED=LTM&amp;VAR:PERIOD=FIXED&amp;VAR:V=9.885325&amp;VAR:AUDIT_ID=00000117&amp;VAR:DATE=20020329&amp;action=UPDATE&amp;creator=factset&amp;DOC_NAME=FAT:FMA_audit_SUMMARY.fat&amp;DISPLAY_STRING=Display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5__FDSAUDITLINK__" hidden="1">{"fdsup://directions/FAT%20Viewer?VAR:PED=LTM&amp;VAR:PERIOD=FIXED&amp;VAR:V=9.998547&amp;VAR:AUDIT_ID=00000117&amp;VAR:DATE=20020228&amp;action=UPDATE&amp;creator=factset&amp;DOC_NAME=FAT:FMA_audit_SUMMARY.fat&amp;DISPLAY_STRING=Display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6__FDSAUDITLINK__" hidden="1">{"fdsup://directions/FAT%20Viewer?VAR:PED=LTM&amp;VAR:PERIOD=FIXED&amp;VAR:V=9.623608&amp;VAR:AUDIT_ID=00000117&amp;VAR:DATE=20020131&amp;action=UPDATE&amp;creator=factset&amp;DOC_NAME=FAT:FMA_audit_SUMMARY.fat&amp;DISPLAY_STRING=Display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7__FDSAUDITLINK__" hidden="1">{"fdsup://directions/FAT%20Viewer?VAR:PED=LTM&amp;VAR:PERIOD=FIXED&amp;VAR:V=9.711156&amp;VAR:AUDIT_ID=00000117&amp;VAR:DATE=20011231&amp;action=UPDATE&amp;creator=factset&amp;DOC_NAME=FAT:FMA_audit_SUMMARY.fat&amp;DISPLAY_STRING=Display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8__FDSAUDITLINK__" hidden="1">{"fdsup://directions/FAT%20Viewer?VAR:PED=LTM&amp;VAR:PERIOD=FIXED&amp;VAR:V=9.965587&amp;VAR:AUDIT_ID=00000117&amp;VAR:DATE=20011130&amp;action=UPDATE&amp;creator=factset&amp;DOC_NAME=FAT:FMA_audit_SUMMARY.fat&amp;DISPLAY_STRING=Display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19__FDSAUDITLINK__" hidden="1">{"fdsup://directions/FAT%20Viewer?VAR:PED=LTM&amp;VAR:PERIOD=FIXED&amp;VAR:V=12.468636&amp;VAR:AUDIT_ID=00000117&amp;VAR:DATE=20011031&amp;action=UPDATE&amp;creator=factset&amp;DOC_NAME=FAT:FMA_audit_SUMMARY.fat&amp;DISPLAY_STRING=Display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__FDSAUDITLINK__" hidden="1">{"fdsup://directions/FAT%20Viewer?VAR:PED=LTM&amp;VAR:PERIOD=FIXED&amp;VAR:V=17.221723&amp;VAR:PCT=Y&amp;VAR:AUDIT_ID=00000117&amp;VAR:DATE=20070928&amp;action=UPDATE&amp;creator=factset&amp;DOC_NAME=FAT:FMA_audit_SUMMARY.fat&amp;DISPLAY_STRING=Display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20__FDSAUDITLINK__" hidden="1">{"fdsup://directions/FAT%20Viewer?VAR:PED=LTM&amp;VAR:PERIOD=FIXED&amp;VAR:V=12.424910&amp;VAR:AUDIT_ID=00000117&amp;VAR:DATE=20010928&amp;action=UPDATE&amp;creator=factset&amp;DOC_NAME=FAT:FMA_audit_SUMMARY.fat&amp;DISPLAY_STRING=Display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1__FDSAUDITLINK__" hidden="1">{"fdsup://directions/FAT%20Viewer?VAR:PED=LTM&amp;VAR:PERIOD=FIXED&amp;VAR:V=12.485321&amp;VAR:AUDIT_ID=00000117&amp;VAR:DATE=20010831&amp;action=UPDATE&amp;creator=factset&amp;DOC_NAME=FAT:FMA_audit_SUMMARY.fat&amp;DISPLAY_STRING=Display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2__FDSAUDITLINK__" hidden="1">{"fdsup://directions/FAT%20Viewer?VAR:PED=LTM&amp;VAR:PERIOD=FIXED&amp;VAR:V=14.485207&amp;VAR:AUDIT_ID=00000117&amp;VAR:DATE=20010731&amp;action=UPDATE&amp;creator=factset&amp;DOC_NAME=FAT:FMA_audit_SUMMARY.fat&amp;DISPLAY_STRING=Display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3__FDSAUDITLINK__" hidden="1">{"fdsup://directions/FAT%20Viewer?VAR:PED=LTM&amp;VAR:PERIOD=FIXED&amp;VAR:V=14.787643&amp;VAR:AUDIT_ID=00000117&amp;VAR:DATE=20010629&amp;action=UPDATE&amp;creator=factset&amp;DOC_NAME=FAT:FMA_audit_SUMMARY.fat&amp;DISPLAY_STRING=Display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4__FDSAUDITLINK__" hidden="1">{"fdsup://directions/FAT%20Viewer?VAR:PED=LTM&amp;VAR:PERIOD=FIXED&amp;VAR:V=15.010218&amp;VAR:AUDIT_ID=00000117&amp;VAR:DATE=20010531&amp;action=UPDATE&amp;creator=factset&amp;DOC_NAME=FAT:FMA_audit_SUMMARY.fat&amp;DISPLAY_STRING=Display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5__FDSAUDITLINK__" hidden="1">{"fdsup://directions/FAT%20Viewer?VAR:PED=LTM&amp;VAR:PERIOD=FIXED&amp;VAR:V=17.143333&amp;VAR:AUDIT_ID=00000117&amp;VAR:DATE=20010430&amp;action=UPDATE&amp;creator=factset&amp;DOC_NAME=FAT:FMA_audit_SUMMARY.fat&amp;DISPLAY_STRING=Display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6__FDSAUDITLINK__" hidden="1">{"fdsup://directions/FAT%20Viewer?VAR:PED=LTM&amp;VAR:PERIOD=FIXED&amp;VAR:V=17.205063&amp;VAR:AUDIT_ID=00000117&amp;VAR:DATE=20010330&amp;action=UPDATE&amp;creator=factset&amp;DOC_NAME=FAT:FMA_audit_SUMMARY.fat&amp;DISPLAY_STRING=Display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7__FDSAUDITLINK__" hidden="1">{"fdsup://directions/FAT%20Viewer?VAR:PED=LTM&amp;VAR:PERIOD=FIXED&amp;VAR:V=17.284885&amp;VAR:AUDIT_ID=00000117&amp;VAR:DATE=20010228&amp;action=UPDATE&amp;creator=factset&amp;DOC_NAME=FAT:FMA_audit_SUMMARY.fat&amp;DISPLAY_STRING=Display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8__FDSAUDITLINK__" hidden="1">{"fdsup://directions/FAT%20Viewer?VAR:PED=LTM&amp;VAR:PERIOD=FIXED&amp;VAR:V=17.749186&amp;VAR:AUDIT_ID=00000117&amp;VAR:DATE=20010131&amp;action=UPDATE&amp;creator=factset&amp;DOC_NAME=FAT:FMA_audit_SUMMARY.fat&amp;DISPLAY_STRING=Display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29__FDSAUDITLINK__" hidden="1">{"fdsup://directions/FAT%20Viewer?VAR:PED=LTM&amp;VAR:PERIOD=FIXED&amp;VAR:V=17.777360&amp;VAR:AUDIT_ID=00000117&amp;VAR:DATE=20001229&amp;action=UPDATE&amp;creator=factset&amp;DOC_NAME=FAT:FMA_audit_SUMMARY.fat&amp;DISPLAY_STRING=Display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__FDSAUDITLINK__" hidden="1">{"fdsup://directions/FAT%20Viewer?VAR:PED=LTM&amp;VAR:PERIOD=FIXED&amp;VAR:V=17.225696&amp;VAR:PCT=Y&amp;VAR:AUDIT_ID=00000117&amp;VAR:DATE=20070831&amp;action=UPDATE&amp;creator=factset&amp;DOC_NAME=FAT:FMA_audit_SUMMARY.fat&amp;DISPLAY_STRING=Display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30__FDSAUDITLINK__" hidden="1">{"fdsup://directions/FAT%20Viewer?VAR:PED=LTM&amp;VAR:PERIOD=FIXED&amp;VAR:V=17.724286&amp;VAR:AUDIT_ID=00000117&amp;VAR:DATE=20001130&amp;action=UPDATE&amp;creator=factset&amp;DOC_NAME=FAT:FMA_audit_SUMMARY.fat&amp;DISPLAY_STRING=Display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1__FDSAUDITLINK__" hidden="1">{"fdsup://directions/FAT%20Viewer?VAR:PED=LTM&amp;VAR:PERIOD=FIXED&amp;VAR:V=17.232092&amp;VAR:AUDIT_ID=00000117&amp;VAR:DATE=20001031&amp;action=UPDATE&amp;creator=factset&amp;DOC_NAME=FAT:FMA_audit_SUMMARY.fat&amp;DISPLAY_STRING=Display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2__FDSAUDITLINK__" hidden="1">{"fdsup://directions/FAT%20Viewer?VAR:PED=LTM&amp;VAR:PERIOD=FIXED&amp;VAR:V=17.232880&amp;VAR:AUDIT_ID=00000117&amp;VAR:DATE=20000929&amp;action=UPDATE&amp;creator=factset&amp;DOC_NAME=FAT:FMA_audit_SUMMARY.fat&amp;DISPLAY_STRING=Display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3__FDSAUDITLINK__" hidden="1">{"fdsup://directions/FAT%20Viewer?VAR:PED=LTM&amp;VAR:PERIOD=FIXED&amp;VAR:V=17.230615&amp;VAR:AUDIT_ID=00000117&amp;VAR:DATE=20000831&amp;action=UPDATE&amp;creator=factset&amp;DOC_NAME=FAT:FMA_audit_SUMMARY.fat&amp;DISPLAY_STRING=Display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4__FDSAUDITLINK__" hidden="1">{"fdsup://directions/FAT%20Viewer?VAR:PED=LTM&amp;VAR:PERIOD=FIXED&amp;VAR:V=17.887434&amp;VAR:AUDIT_ID=00000117&amp;VAR:DATE=20000731&amp;action=UPDATE&amp;creator=factset&amp;DOC_NAME=FAT:FMA_audit_SUMMARY.fat&amp;DISPLAY_STRING=Display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5__FDSAUDITLINK__" hidden="1">{"fdsup://directions/FAT%20Viewer?VAR:PED=LTM&amp;VAR:PERIOD=FIXED&amp;VAR:V=17.948121&amp;VAR:AUDIT_ID=00000117&amp;VAR:DATE=20000630&amp;action=UPDATE&amp;creator=factset&amp;DOC_NAME=FAT:FMA_audit_SUMMARY.fat&amp;DISPLAY_STRING=Display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6__FDSAUDITLINK__" hidden="1">{"fdsup://directions/FAT%20Viewer?VAR:PED=LTM&amp;VAR:PERIOD=FIXED&amp;VAR:V=18.020318&amp;VAR:AUDIT_ID=00000117&amp;VAR:DATE=20000531&amp;action=UPDATE&amp;creator=factset&amp;DOC_NAME=FAT:FMA_audit_SUMMARY.fat&amp;DISPLAY_STRING=Display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7__FDSAUDITLINK__" hidden="1">{"fdsup://directions/FAT%20Viewer?VAR:PED=LTM&amp;VAR:PERIOD=FIXED&amp;VAR:V=18.162474&amp;VAR:AUDIT_ID=00000117&amp;VAR:DATE=20000428&amp;action=UPDATE&amp;creator=factset&amp;DOC_NAME=FAT:FMA_audit_SUMMARY.fat&amp;DISPLAY_STRING=Display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8__FDSAUDITLINK__" hidden="1">{"fdsup://directions/FAT%20Viewer?VAR:PED=LTM&amp;VAR:PERIOD=FIXED&amp;VAR:V=18.168992&amp;VAR:AUDIT_ID=00000117&amp;VAR:DATE=20000331&amp;action=UPDATE&amp;creator=factset&amp;DOC_NAME=FAT:FMA_audit_SUMMARY.fat&amp;DISPLAY_STRING=Display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39__FDSAUDITLINK__" hidden="1">{"fdsup://directions/FAT%20Viewer?VAR:PED=LTM&amp;VAR:PERIOD=FIXED&amp;VAR:V=21.311338&amp;VAR:AUDIT_ID=00000117&amp;VAR:DATE=20000229&amp;action=UPDATE&amp;creator=factset&amp;DOC_NAME=FAT:FMA_audit_SUMMARY.fat&amp;DISPLAY_STRING=Display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__FDSAUDITLINK__" hidden="1">{"fdsup://directions/FAT%20Viewer?VAR:PED=LTM&amp;VAR:PERIOD=FIXED&amp;VAR:V=16.978452&amp;VAR:PCT=Y&amp;VAR:AUDIT_ID=00000117&amp;VAR:DATE=20070731&amp;action=UPDATE&amp;creator=factset&amp;DOC_NAME=FAT:FMA_audit_SUMMARY.fat&amp;DISPLAY_STRING=Display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40__FDSAUDITLINK__" hidden="1">{"fdsup://directions/FAT%20Viewer?VAR:PED=LTM&amp;VAR:PERIOD=FIXED&amp;VAR:V=20.887755&amp;VAR:AUDIT_ID=00000117&amp;VAR:DATE=20000131&amp;action=UPDATE&amp;creator=factset&amp;DOC_NAME=FAT:FMA_audit_SUMMARY.fat&amp;DISPLAY_STRING=Display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1__FDSAUDITLINK__" hidden="1">{"fdsup://directions/FAT%20Viewer?VAR:PED=LTM&amp;VAR:PERIOD=FIXED&amp;VAR:V=20.807412&amp;VAR:AUDIT_ID=00000117&amp;VAR:DATE=19991231&amp;action=UPDATE&amp;creator=factset&amp;DOC_NAME=FAT:FMA_audit_SUMMARY.fat&amp;DISPLAY_STRING=Display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2__FDSAUDITLINK__" hidden="1">{"fdsup://directions/FAT%20Viewer?VAR:PED=LTM&amp;VAR:PERIOD=FIXED&amp;VAR:V=20.751984&amp;VAR:AUDIT_ID=00000117&amp;VAR:DATE=19991130&amp;action=UPDATE&amp;creator=factset&amp;DOC_NAME=FAT:FMA_audit_SUMMARY.fat&amp;DISPLAY_STRING=Display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3__FDSAUDITLINK__" hidden="1">{"fdsup://directions/FAT%20Viewer?VAR:PED=LTM&amp;VAR:PERIOD=FIXED&amp;VAR:V=20.197026&amp;VAR:AUDIT_ID=00000117&amp;VAR:DATE=19991029&amp;action=UPDATE&amp;creator=factset&amp;DOC_NAME=FAT:FMA_audit_SUMMARY.fat&amp;DISPLAY_STRING=Display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4__FDSAUDITLINK__" hidden="1">{"fdsup://directions/FAT%20Viewer?VAR:PED=LTM&amp;VAR:PERIOD=FIXED&amp;VAR:V=20.159075&amp;VAR:AUDIT_ID=00000117&amp;VAR:DATE=19990930&amp;action=UPDATE&amp;creator=factset&amp;DOC_NAME=FAT:FMA_audit_SUMMARY.fat&amp;DISPLAY_STRING=Display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5__FDSAUDITLINK__" hidden="1">{"fdsup://directions/FAT%20Viewer?VAR:PED=LTM&amp;VAR:PERIOD=FIXED&amp;VAR:V=16.827981&amp;VAR:AUDIT_ID=00000117&amp;VAR:DATE=19990831&amp;action=UPDATE&amp;creator=factset&amp;DOC_NAME=FAT:FMA_audit_SUMMARY.fat&amp;DISPLAY_STRING=Display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6__FDSAUDITLINK__" hidden="1">{"fdsup://directions/FAT%20Viewer?VAR:PED=LTM&amp;VAR:PERIOD=FIXED&amp;VAR:V=16.258460&amp;VAR:AUDIT_ID=00000117&amp;VAR:DATE=19990730&amp;action=UPDATE&amp;creator=factset&amp;DOC_NAME=FAT:FMA_audit_SUMMARY.fat&amp;DISPLAY_STRING=Display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7__FDSAUDITLINK__" hidden="1">{"fdsup://directions/FAT%20Viewer?VAR:PED=LTM&amp;VAR:PERIOD=FIXED&amp;VAR:V=16.222559&amp;VAR:AUDIT_ID=00000117&amp;VAR:DATE=19990630&amp;action=UPDATE&amp;creator=factset&amp;DOC_NAME=FAT:FMA_audit_SUMMARY.fat&amp;DISPLAY_STRING=Display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8__FDSAUDITLINK__" hidden="1">{"fdsup://directions/FAT%20Viewer?VAR:PED=LTM&amp;VAR:PERIOD=FIXED&amp;VAR:V=19.520000&amp;VAR:AUDIT_ID=00000117&amp;VAR:DATE=19990531&amp;action=UPDATE&amp;creator=factset&amp;DOC_NAME=FAT:FMA_audit_SUMMARY.fat&amp;DISPLAY_STRING=Display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49__FDSAUDITLINK__" hidden="1">{"fdsup://directions/FAT%20Viewer?VAR:PED=LTM&amp;VAR:PERIOD=FIXED&amp;VAR:V=20.365960&amp;VAR:AUDIT_ID=00000117&amp;VAR:DATE=19990430&amp;action=UPDATE&amp;creator=factset&amp;DOC_NAME=FAT:FMA_audit_SUMMARY.fat&amp;DISPLAY_STRING=Display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5__FDSAUDITLINK__" hidden="1">{"fdsup://directions/FAT%20Viewer?VAR:PED=LTM&amp;VAR:PERIOD=FIXED&amp;VAR:V=16.994473&amp;VAR:PCT=Y&amp;VAR:AUDIT_ID=00000117&amp;VAR:DATE=20070629&amp;action=UPDATE&amp;creator=factset&amp;DOC_NAME=FAT:FMA_audit_SUMMARY.fat&amp;DISPLAY_STRING=Display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0__FDSAUDITLINK__" hidden="1">{"fdsup://directions/FAT%20Viewer?VAR:PED=LTM&amp;VAR:PERIOD=FIXED&amp;VAR:V=20.389307&amp;VAR:AUDIT_ID=00000117&amp;VAR:DATE=19990331&amp;action=UPDATE&amp;creator=factset&amp;DOC_NAME=FAT:FMA_audit_SUMMARY.fat&amp;DISPLAY_STRING=Display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51__FDSAUDITLINK__" hidden="1">{"fdsup://directions/FAT%20Viewer?VAR:PED=LTM&amp;VAR:PERIOD=FIXED&amp;VAR:V=16.827998&amp;VAR:AUDIT_ID=00000117&amp;VAR:DATE=19990226&amp;action=UPDATE&amp;creator=factset&amp;DOC_NAME=FAT:FMA_audit_SUMMARY.fat&amp;DISPLAY_STRING=Display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52__FDSAUDITLINK__" hidden="1">{"fdsup://directions/FAT%20Viewer?VAR:PED=LTM&amp;VAR:PERIOD=FIXED&amp;VAR:V=17.246817&amp;VAR:AUDIT_ID=00000117&amp;VAR:DATE=19990129&amp;action=UPDATE&amp;creator=factset&amp;DOC_NAME=FAT:FMA_audit_SUMMARY.fat&amp;DISPLAY_STRING=Display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53__FDSAUDITLINK__" hidden="1">{"fdsup://directions/FAT%20Viewer?VAR:PED=LTM&amp;VAR:PERIOD=FIXED&amp;VAR:V=17.270792&amp;VAR:AUDIT_ID=00000117&amp;VAR:DATE=19981231&amp;action=UPDATE&amp;creator=factset&amp;DOC_NAME=FAT:FMA_audit_SUMMARY.fat&amp;DISPLAY_STRING=Display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Aggregates&amp;VAR:MEASURE=ROE&amp;VAR:CALC_MODE=PORTFOLIO&amp;VAR:CHGPERIOD=NA&amp;VAR:FQLFORMULA=FMA_ROE&amp;VAR:CURRENCY=NA&amp;VAR:P=NA&amp;VAR:THRESH=||||&amp;VAR:null=.html"}</definedName>
    <definedName name="_354__FDSAUDITLINK__" hidden="1">{"fdsup://directions/FAT%20Viewer?VAR:PED=LTM&amp;VAR:PERIOD=FIXED&amp;VAR:V=11.804540&amp;VAR:PCT=Y&amp;VAR:AUDIT_ID=00000117&amp;VAR:DATE=20100430&amp;action=UPDATE&amp;creator=factset&amp;DOC_NAME=FAT:FMA_audit_SUMMARY.fat&amp;DISPLAY_STRING=Display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5__FDSAUDITLINK__" hidden="1">{"fdsup://directions/FAT%20Viewer?VAR:PED=LTM&amp;VAR:PERIOD=FIXED&amp;VAR:V=11.763804&amp;VAR:PCT=Y&amp;VAR:AUDIT_ID=00000117&amp;VAR:DATE=20100331&amp;action=UPDATE&amp;creator=factset&amp;DOC_NAME=FAT:FMA_audit_SUMMARY.fat&amp;DISPLAY_STRING=Display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6__FDSAUDITLINK__" hidden="1">{"fdsup://directions/FAT%20Viewer?VAR:PED=LTM&amp;VAR:PERIOD=FIXED&amp;VAR:V=11.711569&amp;VAR:PCT=Y&amp;VAR:AUDIT_ID=00000117&amp;VAR:DATE=20100226&amp;action=UPDATE&amp;creator=factset&amp;DOC_NAME=FAT:FMA_audit_SUMMARY.fat&amp;DISPLAY_STRING=Display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7__FDSAUDITLINK__" hidden="1">{"fdsup://directions/FAT%20Viewer?VAR:PED=LTM&amp;VAR:PERIOD=FIXED&amp;VAR:V=8.973483&amp;VAR:PCT=Y&amp;VAR:AUDIT_ID=00000117&amp;VAR:DATE=20100129&amp;action=UPDATE&amp;creator=factset&amp;DOC_NAME=FAT:FMA_audit_SUMMARY.fat&amp;DISPLAY_STRING=Display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8__FDSAUDITLINK__" hidden="1">{"fdsup://directions/FAT%20Viewer?VAR:PED=LTM&amp;VAR:PERIOD=FIXED&amp;VAR:V=8.880615&amp;VAR:PCT=Y&amp;VAR:AUDIT_ID=00000117&amp;VAR:DATE=20091231&amp;action=UPDATE&amp;creator=factset&amp;DOC_NAME=FAT:FMA_audit_SUMMARY.fat&amp;DISPLAY_STRING=Display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59__FDSAUDITLINK__" hidden="1">{"fdsup://directions/FAT%20Viewer?VAR:PED=LTM&amp;VAR:PERIOD=FIXED&amp;VAR:V=9.176790&amp;VAR:PCT=Y&amp;VAR:AUDIT_ID=00000117&amp;VAR:DATE=20091130&amp;action=UPDATE&amp;creator=factset&amp;DOC_NAME=FAT:FMA_audit_SUMMARY.fat&amp;DISPLAY_STRING=Display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__FDSAUDITLINK__" hidden="1">{"fdsup://directions/FAT%20Viewer?VAR:PED=LTM&amp;VAR:PERIOD=FIXED&amp;VAR:V=16.973704&amp;VAR:PCT=Y&amp;VAR:AUDIT_ID=00000117&amp;VAR:DATE=20070531&amp;action=UPDATE&amp;creator=factset&amp;DOC_NAME=FAT:FMA_audit_SUMMARY.fat&amp;DISPLAY_STRING=Display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0__FDSAUDITLINK__" hidden="1">{"fdsup://directions/FAT%20Viewer?VAR:PED=LTM&amp;VAR:PERIOD=FIXED&amp;VAR:V=8.899970&amp;VAR:PCT=Y&amp;VAR:AUDIT_ID=00000117&amp;VAR:DATE=20091030&amp;action=UPDATE&amp;creator=factset&amp;DOC_NAME=FAT:FMA_audit_SUMMARY.fat&amp;DISPLAY_STRING=Display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1__FDSAUDITLINK__" hidden="1">{"fdsup://directions/FAT%20Viewer?VAR:PED=LTM&amp;VAR:PERIOD=FIXED&amp;VAR:V=8.958509&amp;VAR:PCT=Y&amp;VAR:AUDIT_ID=00000117&amp;VAR:DATE=20090930&amp;action=UPDATE&amp;creator=factset&amp;DOC_NAME=FAT:FMA_audit_SUMMARY.fat&amp;DISPLAY_STRING=Display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2__FDSAUDITLINK__" hidden="1">{"fdsup://directions/FAT%20Viewer?VAR:PED=LTM&amp;VAR:PERIOD=FIXED&amp;VAR:V=9.179790&amp;VAR:PCT=Y&amp;VAR:AUDIT_ID=00000117&amp;VAR:DATE=20090831&amp;action=UPDATE&amp;creator=factset&amp;DOC_NAME=FAT:FMA_audit_SUMMARY.fat&amp;DISPLAY_STRING=Display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3__FDSAUDITLINK__" hidden="1">{"fdsup://directions/FAT%20Viewer?VAR:PED=LTM&amp;VAR:PERIOD=FIXED&amp;VAR:V=10.380803&amp;VAR:PCT=Y&amp;VAR:AUDIT_ID=00000117&amp;VAR:DATE=20090731&amp;action=UPDATE&amp;creator=factset&amp;DOC_NAME=FAT:FMA_audit_SUMMARY.fat&amp;DISPLAY_STRING=Display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4__FDSAUDITLINK__" hidden="1">{"fdsup://directions/FAT%20Viewer?VAR:PED=LTM&amp;VAR:PERIOD=FIXED&amp;VAR:V=10.453848&amp;VAR:PCT=Y&amp;VAR:AUDIT_ID=00000117&amp;VAR:DATE=20090630&amp;action=UPDATE&amp;creator=factset&amp;DOC_NAME=FAT:FMA_audit_SUMMARY.fat&amp;DISPLAY_STRING=Display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5__FDSAUDITLINK__" hidden="1">{"fdsup://directions/FAT%20Viewer?VAR:PED=LTM&amp;VAR:PERIOD=FIXED&amp;VAR:V=10.156778&amp;VAR:PCT=Y&amp;VAR:AUDIT_ID=00000117&amp;VAR:DATE=20090529&amp;action=UPDATE&amp;creator=factset&amp;DOC_NAME=FAT:FMA_audit_SUMMARY.fat&amp;DISPLAY_STRING=Display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6__FDSAUDITLINK__" hidden="1">{"fdsup://directions/FAT%20Viewer?VAR:PED=LTM&amp;VAR:PERIOD=FIXED&amp;VAR:V=12.298170&amp;VAR:PCT=Y&amp;VAR:AUDIT_ID=00000117&amp;VAR:DATE=20090430&amp;action=UPDATE&amp;creator=factset&amp;DOC_NAME=FAT:FMA_audit_SUMMARY.fat&amp;DISPLAY_STRING=Display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7__FDSAUDITLINK__" hidden="1">{"fdsup://directions/FAT%20Viewer?VAR:PED=LTM&amp;VAR:PERIOD=FIXED&amp;VAR:V=12.319827&amp;VAR:PCT=Y&amp;VAR:AUDIT_ID=00000117&amp;VAR:DATE=20090331&amp;action=UPDATE&amp;creator=factset&amp;DOC_NAME=FAT:FMA_audit_SUMMARY.fat&amp;DISPLAY_STRING=Display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8__FDSAUDITLINK__" hidden="1">{"fdsup://directions/FAT%20Viewer?VAR:PED=LTM&amp;VAR:PERIOD=FIXED&amp;VAR:V=12.401987&amp;VAR:PCT=Y&amp;VAR:AUDIT_ID=00000117&amp;VAR:DATE=20090227&amp;action=UPDATE&amp;creator=factset&amp;DOC_NAME=FAT:FMA_audit_SUMMARY.fat&amp;DISPLAY_STRING=Display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69__FDSAUDITLINK__" hidden="1">{"fdsup://directions/FAT%20Viewer?VAR:PED=LTM&amp;VAR:PERIOD=FIXED&amp;VAR:V=14.050403&amp;VAR:PCT=Y&amp;VAR:AUDIT_ID=00000117&amp;VAR:DATE=20090130&amp;action=UPDATE&amp;creator=factset&amp;DOC_NAME=FAT:FMA_audit_SUMMARY.fat&amp;DISPLAY_STRING=Display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__FDSAUDITLINK__" hidden="1">{"fdsup://directions/FAT%20Viewer?VAR:PED=LTM&amp;VAR:PERIOD=FIXED&amp;VAR:V=17.296974&amp;VAR:PCT=Y&amp;VAR:AUDIT_ID=00000117&amp;VAR:DATE=20070430&amp;action=UPDATE&amp;creator=factset&amp;DOC_NAME=FAT:FMA_audit_SUMMARY.fat&amp;DISPLAY_STRING=Display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0__FDSAUDITLINK__" hidden="1">{"fdsup://directions/FAT%20Viewer?VAR:PED=LTM&amp;VAR:PERIOD=FIXED&amp;VAR:V=13.359033&amp;VAR:PCT=Y&amp;VAR:AUDIT_ID=00000117&amp;VAR:DATE=20081231&amp;action=UPDATE&amp;creator=factset&amp;DOC_NAME=FAT:FMA_audit_SUMMARY.fat&amp;DISPLAY_STRING=Display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1__FDSAUDITLINK__" hidden="1">{"fdsup://directions/FAT%20Viewer?VAR:PED=LTM&amp;VAR:PERIOD=FIXED&amp;VAR:V=13.442463&amp;VAR:PCT=Y&amp;VAR:AUDIT_ID=00000117&amp;VAR:DATE=20081128&amp;action=UPDATE&amp;creator=factset&amp;DOC_NAME=FAT:FMA_audit_SUMMARY.fat&amp;DISPLAY_STRING=Display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2__FDSAUDITLINK__" hidden="1">{"fdsup://directions/FAT%20Viewer?VAR:PED=LTM&amp;VAR:PERIOD=FIXED&amp;VAR:V=13.176884&amp;VAR:PCT=Y&amp;VAR:AUDIT_ID=00000117&amp;VAR:DATE=20081031&amp;action=UPDATE&amp;creator=factset&amp;DOC_NAME=FAT:FMA_audit_SUMMARY.fat&amp;DISPLAY_STRING=Display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3__FDSAUDITLINK__" hidden="1">{"fdsup://directions/FAT%20Viewer?VAR:PED=LTM&amp;VAR:PERIOD=FIXED&amp;VAR:V=13.344003&amp;VAR:PCT=Y&amp;VAR:AUDIT_ID=00000117&amp;VAR:DATE=20080930&amp;action=UPDATE&amp;creator=factset&amp;DOC_NAME=FAT:FMA_audit_SUMMARY.fat&amp;DISPLAY_STRING=Display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4__FDSAUDITLINK__" hidden="1">{"fdsup://directions/FAT%20Viewer?VAR:PED=LTM&amp;VAR:PERIOD=FIXED&amp;VAR:V=12.720907&amp;VAR:PCT=Y&amp;VAR:AUDIT_ID=00000117&amp;VAR:DATE=20080829&amp;action=UPDATE&amp;creator=factset&amp;DOC_NAME=FAT:FMA_audit_SUMMARY.fat&amp;DISPLAY_STRING=Display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5__FDSAUDITLINK__" hidden="1">{"fdsup://directions/FAT%20Viewer?VAR:PED=LTM&amp;VAR:PERIOD=FIXED&amp;VAR:V=14.127105&amp;VAR:PCT=Y&amp;VAR:AUDIT_ID=00000117&amp;VAR:DATE=20080731&amp;action=UPDATE&amp;creator=factset&amp;DOC_NAME=FAT:FMA_audit_SUMMARY.fat&amp;DISPLAY_STRING=Display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6__FDSAUDITLINK__" hidden="1">{"fdsup://directions/FAT%20Viewer?VAR:PED=LTM&amp;VAR:PERIOD=FIXED&amp;VAR:V=14.287098&amp;VAR:PCT=Y&amp;VAR:AUDIT_ID=00000117&amp;VAR:DATE=20080630&amp;action=UPDATE&amp;creator=factset&amp;DOC_NAME=FAT:FMA_audit_SUMMARY.fat&amp;DISPLAY_STRING=Display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7__FDSAUDITLINK__" hidden="1">{"fdsup://directions/FAT%20Viewer?VAR:PED=LTM&amp;VAR:PERIOD=FIXED&amp;VAR:V=13.969414&amp;VAR:PCT=Y&amp;VAR:AUDIT_ID=00000117&amp;VAR:DATE=20080530&amp;action=UPDATE&amp;creator=factset&amp;DOC_NAME=FAT:FMA_audit_SUMMARY.fat&amp;DISPLAY_STRING=Display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8__FDSAUDITLINK__" hidden="1">{"fdsup://directions/FAT%20Viewer?VAR:PED=LTM&amp;VAR:PERIOD=FIXED&amp;VAR:V=13.629757&amp;VAR:PCT=Y&amp;VAR:AUDIT_ID=00000117&amp;VAR:DATE=20080430&amp;action=UPDATE&amp;creator=factset&amp;DOC_NAME=FAT:FMA_audit_SUMMARY.fat&amp;DISPLAY_STRING=Display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79__FDSAUDITLINK__" hidden="1">{"fdsup://directions/FAT%20Viewer?VAR:PED=LTM&amp;VAR:PERIOD=FIXED&amp;VAR:V=13.701819&amp;VAR:PCT=Y&amp;VAR:AUDIT_ID=00000117&amp;VAR:DATE=20080331&amp;action=UPDATE&amp;creator=factset&amp;DOC_NAME=FAT:FMA_audit_SUMMARY.fat&amp;DISPLAY_STRING=Display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__FDSAUDITLINK__" hidden="1">{"fdsup://directions/FAT%20Viewer?VAR:PED=LTM&amp;VAR:PERIOD=FIXED&amp;VAR:V=17.305759&amp;VAR:PCT=Y&amp;VAR:AUDIT_ID=00000117&amp;VAR:DATE=20070330&amp;action=UPDATE&amp;creator=factset&amp;DOC_NAME=FAT:FMA_audit_SUMMARY.fat&amp;DISPLAY_STRING=Display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0__FDSAUDITLINK__" hidden="1">{"fdsup://directions/FAT%20Viewer?VAR:PED=LTM&amp;VAR:PERIOD=FIXED&amp;VAR:V=13.886447&amp;VAR:PCT=Y&amp;VAR:AUDIT_ID=00000117&amp;VAR:DATE=20080229&amp;action=UPDATE&amp;creator=factset&amp;DOC_NAME=FAT:FMA_audit_SUMMARY.fat&amp;DISPLAY_STRING=Display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1__FDSAUDITLINK__" hidden="1">{"fdsup://directions/FAT%20Viewer?VAR:PED=LTM&amp;VAR:PERIOD=FIXED&amp;VAR:V=15.926374&amp;VAR:PCT=Y&amp;VAR:AUDIT_ID=00000117&amp;VAR:DATE=20080131&amp;action=UPDATE&amp;creator=factset&amp;DOC_NAME=FAT:FMA_audit_SUMMARY.fat&amp;DISPLAY_STRING=Display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2__FDSAUDITLINK__" hidden="1">{"fdsup://directions/FAT%20Viewer?VAR:PED=LTM&amp;VAR:PERIOD=FIXED&amp;VAR:V=16.115259&amp;VAR:PCT=Y&amp;VAR:AUDIT_ID=00000117&amp;VAR:DATE=20071231&amp;action=UPDATE&amp;creator=factset&amp;DOC_NAME=FAT:FMA_audit_SUMMARY.fat&amp;DISPLAY_STRING=Display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3__FDSAUDITLINK__" hidden="1">{"fdsup://directions/FAT%20Viewer?VAR:PED=LTM&amp;VAR:PERIOD=FIXED&amp;VAR:V=16.120663&amp;VAR:PCT=Y&amp;VAR:AUDIT_ID=00000117&amp;VAR:DATE=20071130&amp;action=UPDATE&amp;creator=factset&amp;DOC_NAME=FAT:FMA_audit_SUMMARY.fat&amp;DISPLAY_STRING=Display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4__FDSAUDITLINK__" hidden="1">{"fdsup://directions/FAT%20Viewer?VAR:PED=LTM&amp;VAR:PERIOD=FIXED&amp;VAR:V=17.237000&amp;VAR:PCT=Y&amp;VAR:AUDIT_ID=00000117&amp;VAR:DATE=20071031&amp;action=UPDATE&amp;creator=factset&amp;DOC_NAME=FAT:FMA_audit_SUMMARY.fat&amp;DISPLAY_STRING=Display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5__FDSAUDITLINK__" hidden="1">{"fdsup://directions/FAT%20Viewer?VAR:PED=LTM&amp;VAR:PERIOD=FIXED&amp;VAR:V=17.212490&amp;VAR:PCT=Y&amp;VAR:AUDIT_ID=00000117&amp;VAR:DATE=20070928&amp;action=UPDATE&amp;creator=factset&amp;DOC_NAME=FAT:FMA_audit_SUMMARY.fat&amp;DISPLAY_STRING=Display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6__FDSAUDITLINK__" hidden="1">{"fdsup://directions/FAT%20Viewer?VAR:PED=LTM&amp;VAR:PERIOD=FIXED&amp;VAR:V=17.214592&amp;VAR:PCT=Y&amp;VAR:AUDIT_ID=00000117&amp;VAR:DATE=20070831&amp;action=UPDATE&amp;creator=factset&amp;DOC_NAME=FAT:FMA_audit_SUMMARY.fat&amp;DISPLAY_STRING=Display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7__FDSAUDITLINK__" hidden="1">{"fdsup://directions/FAT%20Viewer?VAR:PED=LTM&amp;VAR:PERIOD=FIXED&amp;VAR:V=16.961347&amp;VAR:PCT=Y&amp;VAR:AUDIT_ID=00000117&amp;VAR:DATE=20070731&amp;action=UPDATE&amp;creator=factset&amp;DOC_NAME=FAT:FMA_audit_SUMMARY.fat&amp;DISPLAY_STRING=Display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8__FDSAUDITLINK__" hidden="1">{"fdsup://directions/FAT%20Viewer?VAR:PED=LTM&amp;VAR:PERIOD=FIXED&amp;VAR:V=16.977230&amp;VAR:PCT=Y&amp;VAR:AUDIT_ID=00000117&amp;VAR:DATE=20070629&amp;action=UPDATE&amp;creator=factset&amp;DOC_NAME=FAT:FMA_audit_SUMMARY.fat&amp;DISPLAY_STRING=Display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89__FDSAUDITLINK__" hidden="1">{"fdsup://directions/FAT%20Viewer?VAR:PED=LTM&amp;VAR:PERIOD=FIXED&amp;VAR:V=16.956362&amp;VAR:PCT=Y&amp;VAR:AUDIT_ID=00000117&amp;VAR:DATE=20070531&amp;action=UPDATE&amp;creator=factset&amp;DOC_NAME=FAT:FMA_audit_SUMMARY.fat&amp;DISPLAY_STRING=Display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__FDSAUDITLINK__" hidden="1">{"fdsup://directions/FAT%20Viewer?VAR:PED=LTM&amp;VAR:PERIOD=FIXED&amp;VAR:V=17.328991&amp;VAR:PCT=Y&amp;VAR:AUDIT_ID=00000117&amp;VAR:DATE=20070228&amp;action=UPDATE&amp;creator=factset&amp;DOC_NAME=FAT:FMA_audit_SUMMARY.fat&amp;DISPLAY_STRING=Display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0__FDSAUDITLINK__" hidden="1">{"fdsup://directions/FAT%20Viewer?VAR:PED=LTM&amp;VAR:PERIOD=FIXED&amp;VAR:V=17.297906&amp;VAR:PCT=Y&amp;VAR:AUDIT_ID=00000117&amp;VAR:DATE=20070430&amp;action=UPDATE&amp;creator=factset&amp;DOC_NAME=FAT:FMA_audit_SUMMARY.fat&amp;DISPLAY_STRING=Display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1__FDSAUDITLINK__" hidden="1">{"fdsup://directions/FAT%20Viewer?VAR:PED=LTM&amp;VAR:PERIOD=FIXED&amp;VAR:V=17.306268&amp;VAR:PCT=Y&amp;VAR:AUDIT_ID=00000117&amp;VAR:DATE=20070330&amp;action=UPDATE&amp;creator=factset&amp;DOC_NAME=FAT:FMA_audit_SUMMARY.fat&amp;DISPLAY_STRING=Display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2__FDSAUDITLINK__" hidden="1">{"fdsup://directions/FAT%20Viewer?VAR:PED=LTM&amp;VAR:PERIOD=FIXED&amp;VAR:V=17.329500&amp;VAR:PCT=Y&amp;VAR:AUDIT_ID=00000117&amp;VAR:DATE=20070228&amp;action=UPDATE&amp;creator=factset&amp;DOC_NAME=FAT:FMA_audit_SUMMARY.fat&amp;DISPLAY_STRING=Display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3__FDSAUDITLINK__" hidden="1">{"fdsup://directions/FAT%20Viewer?VAR:PED=LTM&amp;VAR:PERIOD=FIXED&amp;VAR:V=16.611996&amp;VAR:PCT=Y&amp;VAR:AUDIT_ID=00000117&amp;VAR:DATE=20070131&amp;action=UPDATE&amp;creator=factset&amp;DOC_NAME=FAT:FMA_audit_SUMMARY.fat&amp;DISPLAY_STRING=Display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4__FDSAUDITLINK__" hidden="1">{"fdsup://directions/FAT%20Viewer?VAR:PED=LTM&amp;VAR:PERIOD=FIXED&amp;VAR:V=16.632973&amp;VAR:PCT=Y&amp;VAR:AUDIT_ID=00000117&amp;VAR:DATE=20061229&amp;action=UPDATE&amp;creator=factset&amp;DOC_NAME=FAT:FMA_audit_SUMMARY.fat&amp;DISPLAY_STRING=Display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5__FDSAUDITLINK__" hidden="1">{"fdsup://directions/FAT%20Viewer?VAR:PED=LTM&amp;VAR:PERIOD=FIXED&amp;VAR:V=16.645221&amp;VAR:PCT=Y&amp;VAR:AUDIT_ID=00000117&amp;VAR:DATE=20061130&amp;action=UPDATE&amp;creator=factset&amp;DOC_NAME=FAT:FMA_audit_SUMMARY.fat&amp;DISPLAY_STRING=Display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6__FDSAUDITLINK__" hidden="1">{"fdsup://directions/FAT%20Viewer?VAR:PED=LTM&amp;VAR:PERIOD=FIXED&amp;VAR:V=16.531140&amp;VAR:PCT=Y&amp;VAR:AUDIT_ID=00000117&amp;VAR:DATE=20061031&amp;action=UPDATE&amp;creator=factset&amp;DOC_NAME=FAT:FMA_audit_SUMMARY.fat&amp;DISPLAY_STRING=Display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7__FDSAUDITLINK__" hidden="1">{"fdsup://directions/FAT%20Viewer?VAR:PED=LTM&amp;VAR:PERIOD=FIXED&amp;VAR:V=16.533500&amp;VAR:PCT=Y&amp;VAR:AUDIT_ID=00000117&amp;VAR:DATE=20060929&amp;action=UPDATE&amp;creator=factset&amp;DOC_NAME=FAT:FMA_audit_SUMMARY.fat&amp;DISPLAY_STRING=Display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8__FDSAUDITLINK__" hidden="1">{"fdsup://directions/FAT%20Viewer?VAR:PED=LTM&amp;VAR:PERIOD=FIXED&amp;VAR:V=16.508113&amp;VAR:PCT=Y&amp;VAR:AUDIT_ID=00000117&amp;VAR:DATE=20060831&amp;action=UPDATE&amp;creator=factset&amp;DOC_NAME=FAT:FMA_audit_SUMMARY.fat&amp;DISPLAY_STRING=Display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399__FDSAUDITLINK__" hidden="1">{"fdsup://directions/FAT%20Viewer?VAR:PED=LTM&amp;VAR:PERIOD=FIXED&amp;VAR:V=16.764855&amp;VAR:PCT=Y&amp;VAR:AUDIT_ID=00000117&amp;VAR:DATE=20060731&amp;action=UPDATE&amp;creator=factset&amp;DOC_NAME=FAT:FMA_audit_SUMMARY.fat&amp;DISPLAY_STRING=Display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__FDSAUDITLINK__" hidden="1">{"fdsup://directions/FAT%20Viewer?VAR:PED=LTM&amp;VAR:PERIOD=FIXED&amp;VAR:V=8.973888&amp;VAR:PCT=Y&amp;VAR:AUDIT_ID=00000117&amp;VAR:DATE=20100129&amp;action=UPDATE&amp;creator=factset&amp;DOC_NAME=FAT:FMA_audit_SUMMARY.fat&amp;DISPLAY_STRING=Display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__FDSAUDITLINK__" hidden="1">{"fdsup://directions/FAT%20Viewer?VAR:PED=LTM&amp;VAR:PERIOD=FIXED&amp;VAR:V=16.615166&amp;VAR:PCT=Y&amp;VAR:AUDIT_ID=00000117&amp;VAR:DATE=20070131&amp;action=UPDATE&amp;creator=factset&amp;DOC_NAME=FAT:FMA_audit_SUMMARY.fat&amp;DISPLAY_STRING=Display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0__FDSAUDITLINK__" hidden="1">{"fdsup://directions/FAT%20Viewer?VAR:PED=LTM&amp;VAR:PERIOD=FIXED&amp;VAR:V=16.709310&amp;VAR:PCT=Y&amp;VAR:AUDIT_ID=00000117&amp;VAR:DATE=20060630&amp;action=UPDATE&amp;creator=factset&amp;DOC_NAME=FAT:FMA_audit_SUMMARY.fat&amp;DISPLAY_STRING=Display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1__FDSAUDITLINK__" hidden="1">{"fdsup://directions/FAT%20Viewer?VAR:PED=LTM&amp;VAR:PERIOD=FIXED&amp;VAR:V=16.701004&amp;VAR:PCT=Y&amp;VAR:AUDIT_ID=00000117&amp;VAR:DATE=20060531&amp;action=UPDATE&amp;creator=factset&amp;DOC_NAME=FAT:FMA_audit_SUMMARY.fat&amp;DISPLAY_STRING=Display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2__FDSAUDITLINK__" hidden="1">{"fdsup://directions/FAT%20Viewer?VAR:PED=LTM&amp;VAR:PERIOD=FIXED&amp;VAR:V=16.624500&amp;VAR:PCT=Y&amp;VAR:AUDIT_ID=00000117&amp;VAR:DATE=20060428&amp;action=UPDATE&amp;creator=factset&amp;DOC_NAME=FAT:FMA_audit_SUMMARY.fat&amp;DISPLAY_STRING=Display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3__FDSAUDITLINK__" hidden="1">{"fdsup://directions/FAT%20Viewer?VAR:PED=LTM&amp;VAR:PERIOD=FIXED&amp;VAR:V=16.626962&amp;VAR:PCT=Y&amp;VAR:AUDIT_ID=00000117&amp;VAR:DATE=20060331&amp;action=UPDATE&amp;creator=factset&amp;DOC_NAME=FAT:FMA_audit_SUMMARY.fat&amp;DISPLAY_STRING=Display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4__FDSAUDITLINK__" hidden="1">{"fdsup://directions/FAT%20Viewer?VAR:PED=LTM&amp;VAR:PERIOD=FIXED&amp;VAR:V=16.568932&amp;VAR:PCT=Y&amp;VAR:AUDIT_ID=00000117&amp;VAR:DATE=20060228&amp;action=UPDATE&amp;creator=factset&amp;DOC_NAME=FAT:FMA_audit_SUMMARY.fat&amp;DISPLAY_STRING=Display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5__FDSAUDITLINK__" hidden="1">{"fdsup://directions/FAT%20Viewer?VAR:PED=LTM&amp;VAR:PERIOD=FIXED&amp;VAR:V=16.725807&amp;VAR:PCT=Y&amp;VAR:AUDIT_ID=00000117&amp;VAR:DATE=20060131&amp;action=UPDATE&amp;creator=factset&amp;DOC_NAME=FAT:FMA_audit_SUMMARY.fat&amp;DISPLAY_STRING=Display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6__FDSAUDITLINK__" hidden="1">{"fdsup://directions/FAT%20Viewer?VAR:PED=LTM&amp;VAR:PERIOD=FIXED&amp;VAR:V=16.689484&amp;VAR:PCT=Y&amp;VAR:AUDIT_ID=00000117&amp;VAR:DATE=20051230&amp;action=UPDATE&amp;creator=factset&amp;DOC_NAME=FAT:FMA_audit_SUMMARY.fat&amp;DISPLAY_STRING=Display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7__FDSAUDITLINK__" hidden="1">{"fdsup://directions/FAT%20Viewer?VAR:PED=LTM&amp;VAR:PERIOD=FIXED&amp;VAR:V=16.688727&amp;VAR:PCT=Y&amp;VAR:AUDIT_ID=00000117&amp;VAR:DATE=20051130&amp;action=UPDATE&amp;creator=factset&amp;DOC_NAME=FAT:FMA_audit_SUMMARY.fat&amp;DISPLAY_STRING=Display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8__FDSAUDITLINK__" hidden="1">{"fdsup://directions/FAT%20Viewer?VAR:PED=LTM&amp;VAR:PERIOD=FIXED&amp;VAR:V=16.636415&amp;VAR:PCT=Y&amp;VAR:AUDIT_ID=00000117&amp;VAR:DATE=20051031&amp;action=UPDATE&amp;creator=factset&amp;DOC_NAME=FAT:FMA_audit_SUMMARY.fat&amp;DISPLAY_STRING=Display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09__FDSAUDITLINK__" hidden="1">{"fdsup://directions/FAT%20Viewer?VAR:PED=LTM&amp;VAR:PERIOD=FIXED&amp;VAR:V=16.470382&amp;VAR:PCT=Y&amp;VAR:AUDIT_ID=00000117&amp;VAR:DATE=20050930&amp;action=UPDATE&amp;creator=factset&amp;DOC_NAME=FAT:FMA_audit_SUMMARY.fat&amp;DISPLAY_STRING=Display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__FDSAUDITLINK__" hidden="1">{"fdsup://directions/FAT%20Viewer?VAR:PED=LTM&amp;VAR:PERIOD=FIXED&amp;VAR:V=16.632588&amp;VAR:PCT=Y&amp;VAR:AUDIT_ID=00000117&amp;VAR:DATE=20061229&amp;action=UPDATE&amp;creator=factset&amp;DOC_NAME=FAT:FMA_audit_SUMMARY.fat&amp;DISPLAY_STRING=Display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0__FDSAUDITLINK__" hidden="1">{"fdsup://directions/FAT%20Viewer?VAR:PED=LTM&amp;VAR:PERIOD=FIXED&amp;VAR:V=16.484475&amp;VAR:PCT=Y&amp;VAR:AUDIT_ID=00000117&amp;VAR:DATE=20050831&amp;action=UPDATE&amp;creator=factset&amp;DOC_NAME=FAT:FMA_audit_SUMMARY.fat&amp;DISPLAY_STRING=Display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1__FDSAUDITLINK__" hidden="1">{"fdsup://directions/FAT%20Viewer?VAR:PED=LTM&amp;VAR:PERIOD=FIXED&amp;VAR:V=15.897252&amp;VAR:PCT=Y&amp;VAR:AUDIT_ID=00000117&amp;VAR:DATE=20050729&amp;action=UPDATE&amp;creator=factset&amp;DOC_NAME=FAT:FMA_audit_SUMMARY.fat&amp;DISPLAY_STRING=Display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2__FDSAUDITLINK__" hidden="1">{"fdsup://directions/FAT%20Viewer?VAR:PED=LTM&amp;VAR:PERIOD=FIXED&amp;VAR:V=15.879886&amp;VAR:PCT=Y&amp;VAR:AUDIT_ID=00000117&amp;VAR:DATE=20050630&amp;action=UPDATE&amp;creator=factset&amp;DOC_NAME=FAT:FMA_audit_SUMMARY.fat&amp;DISPLAY_STRING=Display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3__FDSAUDITLINK__" hidden="1">{"fdsup://directions/FAT%20Viewer?VAR:PED=LTM&amp;VAR:PERIOD=FIXED&amp;VAR:V=15.857796&amp;VAR:PCT=Y&amp;VAR:AUDIT_ID=00000117&amp;VAR:DATE=20050531&amp;action=UPDATE&amp;creator=factset&amp;DOC_NAME=FAT:FMA_audit_SUMMARY.fat&amp;DISPLAY_STRING=Display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4__FDSAUDITLINK__" hidden="1">{"fdsup://directions/FAT%20Viewer?VAR:PED=LTM&amp;VAR:PERIOD=FIXED&amp;VAR:V=15.871055&amp;VAR:PCT=Y&amp;VAR:AUDIT_ID=00000117&amp;VAR:DATE=20050429&amp;action=UPDATE&amp;creator=factset&amp;DOC_NAME=FAT:FMA_audit_SUMMARY.fat&amp;DISPLAY_STRING=Display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5__FDSAUDITLINK__" hidden="1">{"fdsup://directions/FAT%20Viewer?VAR:PED=LTM&amp;VAR:PERIOD=FIXED&amp;VAR:V=15.866636&amp;VAR:PCT=Y&amp;VAR:AUDIT_ID=00000117&amp;VAR:DATE=20050331&amp;action=UPDATE&amp;creator=factset&amp;DOC_NAME=FAT:FMA_audit_SUMMARY.fat&amp;DISPLAY_STRING=Display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6__FDSAUDITLINK__" hidden="1">{"fdsup://directions/FAT%20Viewer?VAR:PED=LTM&amp;VAR:PERIOD=FIXED&amp;VAR:V=15.898235&amp;VAR:PCT=Y&amp;VAR:AUDIT_ID=00000117&amp;VAR:DATE=20050228&amp;action=UPDATE&amp;creator=factset&amp;DOC_NAME=FAT:FMA_audit_SUMMARY.fat&amp;DISPLAY_STRING=Display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7__FDSAUDITLINK__" hidden="1">{"fdsup://directions/FAT%20Viewer?VAR:PED=LTM&amp;VAR:PERIOD=FIXED&amp;VAR:V=16.166316&amp;VAR:PCT=Y&amp;VAR:AUDIT_ID=00000117&amp;VAR:DATE=20050131&amp;action=UPDATE&amp;creator=factset&amp;DOC_NAME=FAT:FMA_audit_SUMMARY.fat&amp;DISPLAY_STRING=Display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8__FDSAUDITLINK__" hidden="1">{"fdsup://directions/FAT%20Viewer?VAR:PED=LTM&amp;VAR:PERIOD=FIXED&amp;VAR:V=16.172760&amp;VAR:PCT=Y&amp;VAR:AUDIT_ID=00000117&amp;VAR:DATE=20041231&amp;action=UPDATE&amp;creator=factset&amp;DOC_NAME=FAT:FMA_audit_SUMMARY.fat&amp;DISPLAY_STRING=Display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19__FDSAUDITLINK__" hidden="1">{"fdsup://directions/FAT%20Viewer?VAR:PED=LTM&amp;VAR:PERIOD=FIXED&amp;VAR:V=16.243190&amp;VAR:PCT=Y&amp;VAR:AUDIT_ID=00000117&amp;VAR:DATE=20041130&amp;action=UPDATE&amp;creator=factset&amp;DOC_NAME=FAT:FMA_audit_SUMMARY.fat&amp;DISPLAY_STRING=Display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__FDSAUDITLINK__" hidden="1">{"fdsup://directions/FAT%20Viewer?VAR:PED=LTM&amp;VAR:PERIOD=FIXED&amp;VAR:V=16.644970&amp;VAR:PCT=Y&amp;VAR:AUDIT_ID=00000117&amp;VAR:DATE=20061130&amp;action=UPDATE&amp;creator=factset&amp;DOC_NAME=FAT:FMA_audit_SUMMARY.fat&amp;DISPLAY_STRING=Display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0__FDSAUDITLINK__" hidden="1">{"fdsup://directions/FAT%20Viewer?VAR:PED=LTM&amp;VAR:PERIOD=FIXED&amp;VAR:V=16.269566&amp;VAR:PCT=Y&amp;VAR:AUDIT_ID=00000117&amp;VAR:DATE=20041029&amp;action=UPDATE&amp;creator=factset&amp;DOC_NAME=FAT:FMA_audit_SUMMARY.fat&amp;DISPLAY_STRING=Display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1__FDSAUDITLINK__" hidden="1">{"fdsup://directions/FAT%20Viewer?VAR:PED=LTM&amp;VAR:PERIOD=FIXED&amp;VAR:V=16.140777&amp;VAR:PCT=Y&amp;VAR:AUDIT_ID=00000117&amp;VAR:DATE=20040930&amp;action=UPDATE&amp;creator=factset&amp;DOC_NAME=FAT:FMA_audit_SUMMARY.fat&amp;DISPLAY_STRING=Display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2__FDSAUDITLINK__" hidden="1">{"fdsup://directions/FAT%20Viewer?VAR:PED=LTM&amp;VAR:PERIOD=FIXED&amp;VAR:V=16.059755&amp;VAR:PCT=Y&amp;VAR:AUDIT_ID=00000117&amp;VAR:DATE=20040831&amp;action=UPDATE&amp;creator=factset&amp;DOC_NAME=FAT:FMA_audit_SUMMARY.fat&amp;DISPLAY_STRING=Display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3__FDSAUDITLINK__" hidden="1">{"fdsup://directions/FAT%20Viewer?VAR:PED=LTM&amp;VAR:PERIOD=FIXED&amp;VAR:V=15.826939&amp;VAR:PCT=Y&amp;VAR:AUDIT_ID=00000117&amp;VAR:DATE=20040730&amp;action=UPDATE&amp;creator=factset&amp;DOC_NAME=FAT:FMA_audit_SUMMARY.fat&amp;DISPLAY_STRING=Display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4__FDSAUDITLINK__" hidden="1">{"fdsup://directions/FAT%20Viewer?VAR:PED=LTM&amp;VAR:PERIOD=FIXED&amp;VAR:V=15.708393&amp;VAR:PCT=Y&amp;VAR:AUDIT_ID=00000117&amp;VAR:DATE=20040630&amp;action=UPDATE&amp;creator=factset&amp;DOC_NAME=FAT:FMA_audit_SUMMARY.fat&amp;DISPLAY_STRING=Display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5__FDSAUDITLINK__" hidden="1">{"fdsup://directions/FAT%20Viewer?VAR:PED=LTM&amp;VAR:PERIOD=FIXED&amp;VAR:V=15.670654&amp;VAR:PCT=Y&amp;VAR:AUDIT_ID=00000117&amp;VAR:DATE=20040531&amp;action=UPDATE&amp;creator=factset&amp;DOC_NAME=FAT:FMA_audit_SUMMARY.fat&amp;DISPLAY_STRING=Display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6__FDSAUDITLINK__" hidden="1">{"fdsup://directions/FAT%20Viewer?VAR:PED=LTM&amp;VAR:PERIOD=FIXED&amp;VAR:V=15.624337&amp;VAR:PCT=Y&amp;VAR:AUDIT_ID=00000117&amp;VAR:DATE=20040430&amp;action=UPDATE&amp;creator=factset&amp;DOC_NAME=FAT:FMA_audit_SUMMARY.fat&amp;DISPLAY_STRING=Display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7__FDSAUDITLINK__" hidden="1">{"fdsup://directions/FAT%20Viewer?VAR:PED=LTM&amp;VAR:PERIOD=FIXED&amp;VAR:V=15.577105&amp;VAR:PCT=Y&amp;VAR:AUDIT_ID=00000117&amp;VAR:DATE=20040331&amp;action=UPDATE&amp;creator=factset&amp;DOC_NAME=FAT:FMA_audit_SUMMARY.fat&amp;DISPLAY_STRING=Display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8__FDSAUDITLINK__" hidden="1">{"fdsup://directions/FAT%20Viewer?VAR:PED=LTM&amp;VAR:PERIOD=FIXED&amp;VAR:V=15.591905&amp;VAR:PCT=Y&amp;VAR:AUDIT_ID=00000117&amp;VAR:DATE=20040227&amp;action=UPDATE&amp;creator=factset&amp;DOC_NAME=FAT:FMA_audit_SUMMARY.fat&amp;DISPLAY_STRING=Display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29__FDSAUDITLINK__" hidden="1">{"fdsup://directions/FAT%20Viewer?VAR:PED=LTM&amp;VAR:PERIOD=FIXED&amp;VAR:V=15.028685&amp;VAR:PCT=Y&amp;VAR:AUDIT_ID=00000117&amp;VAR:DATE=20040130&amp;action=UPDATE&amp;creator=factset&amp;DOC_NAME=FAT:FMA_audit_SUMMARY.fat&amp;DISPLAY_STRING=Display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__FDSAUDITLINK__" hidden="1">{"fdsup://directions/FAT%20Viewer?VAR:PED=LTM&amp;VAR:PERIOD=FIXED&amp;VAR:V=16.520646&amp;VAR:PCT=Y&amp;VAR:AUDIT_ID=00000117&amp;VAR:DATE=20061031&amp;action=UPDATE&amp;creator=factset&amp;DOC_NAME=FAT:FMA_audit_SUMMARY.fat&amp;DISPLAY_STRING=Display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0__FDSAUDITLINK__" hidden="1">{"fdsup://directions/FAT%20Viewer?VAR:PED=LTM&amp;VAR:PERIOD=FIXED&amp;VAR:V=15.017618&amp;VAR:PCT=Y&amp;VAR:AUDIT_ID=00000117&amp;VAR:DATE=20031231&amp;action=UPDATE&amp;creator=factset&amp;DOC_NAME=FAT:FMA_audit_SUMMARY.fat&amp;DISPLAY_STRING=Display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1__FDSAUDITLINK__" hidden="1">{"fdsup://directions/FAT%20Viewer?VAR:PED=LTM&amp;VAR:PERIOD=FIXED&amp;VAR:V=14.882030&amp;VAR:PCT=Y&amp;VAR:AUDIT_ID=00000117&amp;VAR:DATE=20031128&amp;action=UPDATE&amp;creator=factset&amp;DOC_NAME=FAT:FMA_audit_SUMMARY.fat&amp;DISPLAY_STRING=Display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2__FDSAUDITLINK__" hidden="1">{"fdsup://directions/FAT%20Viewer?VAR:PED=LTM&amp;VAR:PERIOD=FIXED&amp;VAR:V=14.289902&amp;VAR:PCT=Y&amp;VAR:AUDIT_ID=00000117&amp;VAR:DATE=20031031&amp;action=UPDATE&amp;creator=factset&amp;DOC_NAME=FAT:FMA_audit_SUMMARY.fat&amp;DISPLAY_STRING=Display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3__FDSAUDITLINK__" hidden="1">{"fdsup://directions/FAT%20Viewer?VAR:PED=LTM&amp;VAR:PERIOD=FIXED&amp;VAR:V=14.259553&amp;VAR:PCT=Y&amp;VAR:AUDIT_ID=00000117&amp;VAR:DATE=20030930&amp;action=UPDATE&amp;creator=factset&amp;DOC_NAME=FAT:FMA_audit_SUMMARY.fat&amp;DISPLAY_STRING=Display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4__FDSAUDITLINK__" hidden="1">{"fdsup://directions/FAT%20Viewer?VAR:PED=LTM&amp;VAR:PERIOD=FIXED&amp;VAR:V=14.236775&amp;VAR:PCT=Y&amp;VAR:AUDIT_ID=00000117&amp;VAR:DATE=20030829&amp;action=UPDATE&amp;creator=factset&amp;DOC_NAME=FAT:FMA_audit_SUMMARY.fat&amp;DISPLAY_STRING=Display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5__FDSAUDITLINK__" hidden="1">{"fdsup://directions/FAT%20Viewer?VAR:PED=LTM&amp;VAR:PERIOD=FIXED&amp;VAR:V=13.831589&amp;VAR:PCT=Y&amp;VAR:AUDIT_ID=00000117&amp;VAR:DATE=20030731&amp;action=UPDATE&amp;creator=factset&amp;DOC_NAME=FAT:FMA_audit_SUMMARY.fat&amp;DISPLAY_STRING=Display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6__FDSAUDITLINK__" hidden="1">{"fdsup://directions/FAT%20Viewer?VAR:PED=LTM&amp;VAR:PERIOD=FIXED&amp;VAR:V=13.872644&amp;VAR:PCT=Y&amp;VAR:AUDIT_ID=00000117&amp;VAR:DATE=20030630&amp;action=UPDATE&amp;creator=factset&amp;DOC_NAME=FAT:FMA_audit_SUMMARY.fat&amp;DISPLAY_STRING=Display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7__FDSAUDITLINK__" hidden="1">{"fdsup://directions/FAT%20Viewer?VAR:PED=LTM&amp;VAR:PERIOD=FIXED&amp;VAR:V=13.859701&amp;VAR:PCT=Y&amp;VAR:AUDIT_ID=00000117&amp;VAR:DATE=20030530&amp;action=UPDATE&amp;creator=factset&amp;DOC_NAME=FAT:FMA_audit_SUMMARY.fat&amp;DISPLAY_STRING=Display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8__FDSAUDITLINK__" hidden="1">{"fdsup://directions/FAT%20Viewer?VAR:PED=LTM&amp;VAR:PERIOD=FIXED&amp;VAR:V=13.981692&amp;VAR:PCT=Y&amp;VAR:AUDIT_ID=00000117&amp;VAR:DATE=20030430&amp;action=UPDATE&amp;creator=factset&amp;DOC_NAME=FAT:FMA_audit_SUMMARY.fat&amp;DISPLAY_STRING=Display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39__FDSAUDITLINK__" hidden="1">{"fdsup://directions/FAT%20Viewer?VAR:PED=LTM&amp;VAR:PERIOD=FIXED&amp;VAR:V=13.953136&amp;VAR:PCT=Y&amp;VAR:AUDIT_ID=00000117&amp;VAR:DATE=20030331&amp;action=UPDATE&amp;creator=factset&amp;DOC_NAME=FAT:FMA_audit_SUMMARY.fat&amp;DISPLAY_STRING=Display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__FDSAUDITLINK__" hidden="1">{"fdsup://directions/FAT%20Viewer?VAR:PED=LTM&amp;VAR:PERIOD=FIXED&amp;VAR:V=16.522971&amp;VAR:PCT=Y&amp;VAR:AUDIT_ID=00000117&amp;VAR:DATE=20060929&amp;action=UPDATE&amp;creator=factset&amp;DOC_NAME=FAT:FMA_audit_SUMMARY.fat&amp;DISPLAY_STRING=Display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0__FDSAUDITLINK__" hidden="1">{"fdsup://directions/FAT%20Viewer?VAR:PED=LTM&amp;VAR:PERIOD=FIXED&amp;VAR:V=13.923918&amp;VAR:PCT=Y&amp;VAR:AUDIT_ID=00000117&amp;VAR:DATE=20030228&amp;action=UPDATE&amp;creator=factset&amp;DOC_NAME=FAT:FMA_audit_SUMMARY.fat&amp;DISPLAY_STRING=Display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1__FDSAUDITLINK__" hidden="1">{"fdsup://directions/FAT%20Viewer?VAR:PED=LTM&amp;VAR:PERIOD=FIXED&amp;VAR:V=11.470413&amp;VAR:PCT=Y&amp;VAR:AUDIT_ID=00000117&amp;VAR:DATE=20030131&amp;action=UPDATE&amp;creator=factset&amp;DOC_NAME=FAT:FMA_audit_SUMMARY.fat&amp;DISPLAY_STRING=Display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2__FDSAUDITLINK__" hidden="1">{"fdsup://directions/FAT%20Viewer?VAR:PED=LTM&amp;VAR:PERIOD=FIXED&amp;VAR:V=11.467958&amp;VAR:PCT=Y&amp;VAR:AUDIT_ID=00000117&amp;VAR:DATE=20021231&amp;action=UPDATE&amp;creator=factset&amp;DOC_NAME=FAT:FMA_audit_SUMMARY.fat&amp;DISPLAY_STRING=Display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3__FDSAUDITLINK__" hidden="1">{"fdsup://directions/FAT%20Viewer?VAR:PED=LTM&amp;VAR:PERIOD=FIXED&amp;VAR:V=11.371607&amp;VAR:PCT=Y&amp;VAR:AUDIT_ID=00000117&amp;VAR:DATE=20021129&amp;action=UPDATE&amp;creator=factset&amp;DOC_NAME=FAT:FMA_audit_SUMMARY.fat&amp;DISPLAY_STRING=Display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4__FDSAUDITLINK__" hidden="1">{"fdsup://directions/FAT%20Viewer?VAR:PED=LTM&amp;VAR:PERIOD=FIXED&amp;VAR:V=11.141989&amp;VAR:PCT=Y&amp;VAR:AUDIT_ID=00000117&amp;VAR:DATE=20021031&amp;action=UPDATE&amp;creator=factset&amp;DOC_NAME=FAT:FMA_audit_SUMMARY.fat&amp;DISPLAY_STRING=Display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5__FDSAUDITLINK__" hidden="1">{"fdsup://directions/FAT%20Viewer?VAR:PED=LTM&amp;VAR:PERIOD=FIXED&amp;VAR:V=11.139657&amp;VAR:PCT=Y&amp;VAR:AUDIT_ID=00000117&amp;VAR:DATE=20020930&amp;action=UPDATE&amp;creator=factset&amp;DOC_NAME=FAT:FMA_audit_SUMMARY.fat&amp;DISPLAY_STRING=Display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6__FDSAUDITLINK__" hidden="1">{"fdsup://directions/FAT%20Viewer?VAR:PED=LTM&amp;VAR:PERIOD=FIXED&amp;VAR:V=11.193104&amp;VAR:PCT=Y&amp;VAR:AUDIT_ID=00000117&amp;VAR:DATE=20020830&amp;action=UPDATE&amp;creator=factset&amp;DOC_NAME=FAT:FMA_audit_SUMMARY.fat&amp;DISPLAY_STRING=Display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7__FDSAUDITLINK__" hidden="1">{"fdsup://directions/FAT%20Viewer?VAR:PED=LTM&amp;VAR:PERIOD=FIXED&amp;VAR:V=8.908331&amp;VAR:PCT=Y&amp;VAR:AUDIT_ID=00000117&amp;VAR:DATE=20020731&amp;action=UPDATE&amp;creator=factset&amp;DOC_NAME=FAT:FMA_audit_SUMMARY.fat&amp;DISPLAY_STRING=Display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8__FDSAUDITLINK__" hidden="1">{"fdsup://directions/FAT%20Viewer?VAR:PED=LTM&amp;VAR:PERIOD=FIXED&amp;VAR:V=8.301003&amp;VAR:PCT=Y&amp;VAR:AUDIT_ID=00000117&amp;VAR:DATE=20020628&amp;action=UPDATE&amp;creator=factset&amp;DOC_NAME=FAT:FMA_audit_SUMMARY.fat&amp;DISPLAY_STRING=Display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49__FDSAUDITLINK__" hidden="1">{"fdsup://directions/FAT%20Viewer?VAR:PED=LTM&amp;VAR:PERIOD=FIXED&amp;VAR:V=8.341989&amp;VAR:PCT=Y&amp;VAR:AUDIT_ID=00000117&amp;VAR:DATE=20020531&amp;action=UPDATE&amp;creator=factset&amp;DOC_NAME=FAT:FMA_audit_SUMMARY.fat&amp;DISPLAY_STRING=Display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__FDSAUDITLINK__" hidden="1">{"fdsup://directions/FAT%20Viewer?VAR:PED=LTM&amp;VAR:PERIOD=FIXED&amp;VAR:V=16.498154&amp;VAR:PCT=Y&amp;VAR:AUDIT_ID=00000117&amp;VAR:DATE=20060831&amp;action=UPDATE&amp;creator=factset&amp;DOC_NAME=FAT:FMA_audit_SUMMARY.fat&amp;DISPLAY_STRING=Display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0__FDSAUDITLINK__" hidden="1">{"fdsup://directions/FAT%20Viewer?VAR:PED=LTM&amp;VAR:PERIOD=FIXED&amp;VAR:V=9.656544&amp;VAR:PCT=Y&amp;VAR:AUDIT_ID=00000117&amp;VAR:DATE=20020430&amp;action=UPDATE&amp;creator=factset&amp;DOC_NAME=FAT:FMA_audit_SUMMARY.fat&amp;DISPLAY_STRING=Display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1__FDSAUDITLINK__" hidden="1">{"fdsup://directions/FAT%20Viewer?VAR:PED=LTM&amp;VAR:PERIOD=FIXED&amp;VAR:V=9.682115&amp;VAR:PCT=Y&amp;VAR:AUDIT_ID=00000117&amp;VAR:DATE=20020329&amp;action=UPDATE&amp;creator=factset&amp;DOC_NAME=FAT:FMA_audit_SUMMARY.fat&amp;DISPLAY_STRING=Display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2__FDSAUDITLINK__" hidden="1">{"fdsup://directions/FAT%20Viewer?VAR:PED=LTM&amp;VAR:PERIOD=FIXED&amp;VAR:V=9.809144&amp;VAR:PCT=Y&amp;VAR:AUDIT_ID=00000117&amp;VAR:DATE=20020228&amp;action=UPDATE&amp;creator=factset&amp;DOC_NAME=FAT:FMA_audit_SUMMARY.fat&amp;DISPLAY_STRING=Display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3__FDSAUDITLINK__" hidden="1">{"fdsup://directions/FAT%20Viewer?VAR:PED=LTM&amp;VAR:PERIOD=FIXED&amp;VAR:V=9.540363&amp;VAR:PCT=Y&amp;VAR:AUDIT_ID=00000117&amp;VAR:DATE=20020131&amp;action=UPDATE&amp;creator=factset&amp;DOC_NAME=FAT:FMA_audit_SUMMARY.fat&amp;DISPLAY_STRING=Display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4__FDSAUDITLINK__" hidden="1">{"fdsup://directions/FAT%20Viewer?VAR:PED=LTM&amp;VAR:PERIOD=FIXED&amp;VAR:V=9.624442&amp;VAR:PCT=Y&amp;VAR:AUDIT_ID=00000117&amp;VAR:DATE=20011231&amp;action=UPDATE&amp;creator=factset&amp;DOC_NAME=FAT:FMA_audit_SUMMARY.fat&amp;DISPLAY_STRING=Display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5__FDSAUDITLINK__" hidden="1">{"fdsup://directions/FAT%20Viewer?VAR:PED=LTM&amp;VAR:PERIOD=FIXED&amp;VAR:V=9.882483&amp;VAR:PCT=Y&amp;VAR:AUDIT_ID=00000117&amp;VAR:DATE=20011130&amp;action=UPDATE&amp;creator=factset&amp;DOC_NAME=FAT:FMA_audit_SUMMARY.fat&amp;DISPLAY_STRING=Display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6__FDSAUDITLINK__" hidden="1">{"fdsup://directions/FAT%20Viewer?VAR:PED=LTM&amp;VAR:PERIOD=FIXED&amp;VAR:V=12.406344&amp;VAR:PCT=Y&amp;VAR:AUDIT_ID=00000117&amp;VAR:DATE=20011031&amp;action=UPDATE&amp;creator=factset&amp;DOC_NAME=FAT:FMA_audit_SUMMARY.fat&amp;DISPLAY_STRING=Display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7__FDSAUDITLINK__" hidden="1">{"fdsup://directions/FAT%20Viewer?VAR:PED=LTM&amp;VAR:PERIOD=FIXED&amp;VAR:V=12.365176&amp;VAR:PCT=Y&amp;VAR:AUDIT_ID=00000117&amp;VAR:DATE=20010928&amp;action=UPDATE&amp;creator=factset&amp;DOC_NAME=FAT:FMA_audit_SUMMARY.fat&amp;DISPLAY_STRING=Display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8__FDSAUDITLINK__" hidden="1">{"fdsup://directions/FAT%20Viewer?VAR:PED=LTM&amp;VAR:PERIOD=FIXED&amp;VAR:V=12.423816&amp;VAR:PCT=Y&amp;VAR:AUDIT_ID=00000117&amp;VAR:DATE=20010831&amp;action=UPDATE&amp;creator=factset&amp;DOC_NAME=FAT:FMA_audit_SUMMARY.fat&amp;DISPLAY_STRING=Display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59__FDSAUDITLINK__" hidden="1">{"fdsup://directions/FAT%20Viewer?VAR:PED=LTM&amp;VAR:PERIOD=FIXED&amp;VAR:V=14.457670&amp;VAR:PCT=Y&amp;VAR:AUDIT_ID=00000117&amp;VAR:DATE=20010731&amp;action=UPDATE&amp;creator=factset&amp;DOC_NAME=FAT:FMA_audit_SUMMARY.fat&amp;DISPLAY_STRING=Display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__FDSAUDITLINK__" hidden="1">{"fdsup://directions/FAT%20Viewer?VAR:PED=LTM&amp;VAR:PERIOD=FIXED&amp;VAR:V=16.739130&amp;VAR:PCT=Y&amp;VAR:AUDIT_ID=00000117&amp;VAR:DATE=20060731&amp;action=UPDATE&amp;creator=factset&amp;DOC_NAME=FAT:FMA_audit_SUMMARY.fat&amp;DISPLAY_STRING=Display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0__FDSAUDITLINK__" hidden="1">{"fdsup://directions/FAT%20Viewer?VAR:PED=LTM&amp;VAR:PERIOD=FIXED&amp;VAR:V=14.756916&amp;VAR:PCT=Y&amp;VAR:AUDIT_ID=00000117&amp;VAR:DATE=20010629&amp;action=UPDATE&amp;creator=factset&amp;DOC_NAME=FAT:FMA_audit_SUMMARY.fat&amp;DISPLAY_STRING=Display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1__FDSAUDITLINK__" hidden="1">{"fdsup://directions/FAT%20Viewer?VAR:PED=LTM&amp;VAR:PERIOD=FIXED&amp;VAR:V=14.974292&amp;VAR:PCT=Y&amp;VAR:AUDIT_ID=00000117&amp;VAR:DATE=20010531&amp;action=UPDATE&amp;creator=factset&amp;DOC_NAME=FAT:FMA_audit_SUMMARY.fat&amp;DISPLAY_STRING=Display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2__FDSAUDITLINK__" hidden="1">{"fdsup://directions/FAT%20Viewer?VAR:PED=LTM&amp;VAR:PERIOD=FIXED&amp;VAR:V=16.989283&amp;VAR:PCT=Y&amp;VAR:AUDIT_ID=00000117&amp;VAR:DATE=20010430&amp;action=UPDATE&amp;creator=factset&amp;DOC_NAME=FAT:FMA_audit_SUMMARY.fat&amp;DISPLAY_STRING=Display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3__FDSAUDITLINK__" hidden="1">{"fdsup://directions/FAT%20Viewer?VAR:PED=LTM&amp;VAR:PERIOD=FIXED&amp;VAR:V=17.050610&amp;VAR:PCT=Y&amp;VAR:AUDIT_ID=00000117&amp;VAR:DATE=20010330&amp;action=UPDATE&amp;creator=factset&amp;DOC_NAME=FAT:FMA_audit_SUMMARY.fat&amp;DISPLAY_STRING=Display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4__FDSAUDITLINK__" hidden="1">{"fdsup://directions/FAT%20Viewer?VAR:PED=LTM&amp;VAR:PERIOD=FIXED&amp;VAR:V=17.136455&amp;VAR:PCT=Y&amp;VAR:AUDIT_ID=00000117&amp;VAR:DATE=20010228&amp;action=UPDATE&amp;creator=factset&amp;DOC_NAME=FAT:FMA_audit_SUMMARY.fat&amp;DISPLAY_STRING=Display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5__FDSAUDITLINK__" hidden="1">{"fdsup://directions/FAT%20Viewer?VAR:PED=LTM&amp;VAR:PERIOD=FIXED&amp;VAR:V=17.729160&amp;VAR:PCT=Y&amp;VAR:AUDIT_ID=00000117&amp;VAR:DATE=20010131&amp;action=UPDATE&amp;creator=factset&amp;DOC_NAME=FAT:FMA_audit_SUMMARY.fat&amp;DISPLAY_STRING=Display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6__FDSAUDITLINK__" hidden="1">{"fdsup://directions/FAT%20Viewer?VAR:PED=LTM&amp;VAR:PERIOD=FIXED&amp;VAR:V=17.755982&amp;VAR:PCT=Y&amp;VAR:AUDIT_ID=00000117&amp;VAR:DATE=20001229&amp;action=UPDATE&amp;creator=factset&amp;DOC_NAME=FAT:FMA_audit_SUMMARY.fat&amp;DISPLAY_STRING=Display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7__FDSAUDITLINK__" hidden="1">{"fdsup://directions/FAT%20Viewer?VAR:PED=LTM&amp;VAR:PERIOD=FIXED&amp;VAR:V=17.787130&amp;VAR:PCT=Y&amp;VAR:AUDIT_ID=00000117&amp;VAR:DATE=20001130&amp;action=UPDATE&amp;creator=factset&amp;DOC_NAME=FAT:FMA_audit_SUMMARY.fat&amp;DISPLAY_STRING=Display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8__FDSAUDITLINK__" hidden="1">{"fdsup://directions/FAT%20Viewer?VAR:PED=LTM&amp;VAR:PERIOD=FIXED&amp;VAR:V=17.310107&amp;VAR:PCT=Y&amp;VAR:AUDIT_ID=00000117&amp;VAR:DATE=20001031&amp;action=UPDATE&amp;creator=factset&amp;DOC_NAME=FAT:FMA_audit_SUMMARY.fat&amp;DISPLAY_STRING=Display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69__FDSAUDITLINK__" hidden="1">{"fdsup://directions/FAT%20Viewer?VAR:PED=LTM&amp;VAR:PERIOD=FIXED&amp;VAR:V=17.304538&amp;VAR:PCT=Y&amp;VAR:AUDIT_ID=00000117&amp;VAR:DATE=20000929&amp;action=UPDATE&amp;creator=factset&amp;DOC_NAME=FAT:FMA_audit_SUMMARY.fat&amp;DISPLAY_STRING=Display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__FDSAUDITLINK__" hidden="1">{"fdsup://directions/FAT%20Viewer?VAR:PED=LTM&amp;VAR:PERIOD=FIXED&amp;VAR:V=16.683568&amp;VAR:PCT=Y&amp;VAR:AUDIT_ID=00000117&amp;VAR:DATE=20060630&amp;action=UPDATE&amp;creator=factset&amp;DOC_NAME=FAT:FMA_audit_SUMMARY.fat&amp;DISPLAY_STRING=Display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0__FDSAUDITLINK__" hidden="1">{"fdsup://directions/FAT%20Viewer?VAR:PED=LTM&amp;VAR:PERIOD=FIXED&amp;VAR:V=17.301412&amp;VAR:PCT=Y&amp;VAR:AUDIT_ID=00000117&amp;VAR:DATE=20000831&amp;action=UPDATE&amp;creator=factset&amp;DOC_NAME=FAT:FMA_audit_SUMMARY.fat&amp;DISPLAY_STRING=Display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1__FDSAUDITLINK__" hidden="1">{"fdsup://directions/FAT%20Viewer?VAR:PED=LTM&amp;VAR:PERIOD=FIXED&amp;VAR:V=17.979507&amp;VAR:PCT=Y&amp;VAR:AUDIT_ID=00000117&amp;VAR:DATE=20000731&amp;action=UPDATE&amp;creator=factset&amp;DOC_NAME=FAT:FMA_audit_SUMMARY.fat&amp;DISPLAY_STRING=Display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2__FDSAUDITLINK__" hidden="1">{"fdsup://directions/FAT%20Viewer?VAR:PED=LTM&amp;VAR:PERIOD=FIXED&amp;VAR:V=18.037978&amp;VAR:PCT=Y&amp;VAR:AUDIT_ID=00000117&amp;VAR:DATE=20000630&amp;action=UPDATE&amp;creator=factset&amp;DOC_NAME=FAT:FMA_audit_SUMMARY.fat&amp;DISPLAY_STRING=Display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3__FDSAUDITLINK__" hidden="1">{"fdsup://directions/FAT%20Viewer?VAR:PED=LTM&amp;VAR:PERIOD=FIXED&amp;VAR:V=18.107897&amp;VAR:PCT=Y&amp;VAR:AUDIT_ID=00000117&amp;VAR:DATE=20000531&amp;action=UPDATE&amp;creator=factset&amp;DOC_NAME=FAT:FMA_audit_SUMMARY.fat&amp;DISPLAY_STRING=Display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4__FDSAUDITLINK__" hidden="1">{"fdsup://directions/FAT%20Viewer?VAR:PED=LTM&amp;VAR:PERIOD=FIXED&amp;VAR:V=18.143314&amp;VAR:PCT=Y&amp;VAR:AUDIT_ID=00000117&amp;VAR:DATE=20000428&amp;action=UPDATE&amp;creator=factset&amp;DOC_NAME=FAT:FMA_audit_SUMMARY.fat&amp;DISPLAY_STRING=Display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5__FDSAUDITLINK__" hidden="1">{"fdsup://directions/FAT%20Viewer?VAR:PED=LTM&amp;VAR:PERIOD=FIXED&amp;VAR:V=18.146181&amp;VAR:PCT=Y&amp;VAR:AUDIT_ID=00000117&amp;VAR:DATE=20000331&amp;action=UPDATE&amp;creator=factset&amp;DOC_NAME=FAT:FMA_audit_SUMMARY.fat&amp;DISPLAY_STRING=Display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6__FDSAUDITLINK__" hidden="1">{"fdsup://directions/FAT%20Viewer?VAR:PED=LTM&amp;VAR:PERIOD=FIXED&amp;VAR:V=18.129620&amp;VAR:PCT=Y&amp;VAR:AUDIT_ID=00000117&amp;VAR:DATE=20000229&amp;action=UPDATE&amp;creator=factset&amp;DOC_NAME=FAT:FMA_audit_SUMMARY.fat&amp;DISPLAY_STRING=Display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7__FDSAUDITLINK__" hidden="1">{"fdsup://directions/FAT%20Viewer?VAR:PED=LTM&amp;VAR:PERIOD=FIXED&amp;VAR:V=17.530520&amp;VAR:PCT=Y&amp;VAR:AUDIT_ID=00000117&amp;VAR:DATE=20000131&amp;action=UPDATE&amp;creator=factset&amp;DOC_NAME=FAT:FMA_audit_SUMMARY.fat&amp;DISPLAY_STRING=Display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8__FDSAUDITLINK__" hidden="1">{"fdsup://directions/FAT%20Viewer?VAR:PED=LTM&amp;VAR:PERIOD=FIXED&amp;VAR:V=17.453323&amp;VAR:PCT=Y&amp;VAR:AUDIT_ID=00000117&amp;VAR:DATE=19991231&amp;action=UPDATE&amp;creator=factset&amp;DOC_NAME=FAT:FMA_audit_SUMMARY.fat&amp;DISPLAY_STRING=Display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79__FDSAUDITLINK__" hidden="1">{"fdsup://directions/FAT%20Viewer?VAR:PED=LTM&amp;VAR:PERIOD=FIXED&amp;VAR:V=17.393953&amp;VAR:PCT=Y&amp;VAR:AUDIT_ID=00000117&amp;VAR:DATE=19991130&amp;action=UPDATE&amp;creator=factset&amp;DOC_NAME=FAT:FMA_audit_SUMMARY.fat&amp;DISPLAY_STRING=Display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__FDSAUDITLINK__" hidden="1">{"fdsup://directions/FAT%20Viewer?VAR:PED=LTM&amp;VAR:PERIOD=FIXED&amp;VAR:V=16.675389&amp;VAR:PCT=Y&amp;VAR:AUDIT_ID=00000117&amp;VAR:DATE=20060531&amp;action=UPDATE&amp;creator=factset&amp;DOC_NAME=FAT:FMA_audit_SUMMARY.fat&amp;DISPLAY_STRING=Display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0__FDSAUDITLINK__" hidden="1">{"fdsup://directions/FAT%20Viewer?VAR:PED=LTM&amp;VAR:PERIOD=FIXED&amp;VAR:V=16.768381&amp;VAR:PCT=Y&amp;VAR:AUDIT_ID=00000117&amp;VAR:DATE=19991029&amp;action=UPDATE&amp;creator=factset&amp;DOC_NAME=FAT:FMA_audit_SUMMARY.fat&amp;DISPLAY_STRING=Display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1__FDSAUDITLINK__" hidden="1">{"fdsup://directions/FAT%20Viewer?VAR:PED=LTM&amp;VAR:PERIOD=FIXED&amp;VAR:V=16.679348&amp;VAR:PCT=Y&amp;VAR:AUDIT_ID=00000117&amp;VAR:DATE=19990930&amp;action=UPDATE&amp;creator=factset&amp;DOC_NAME=FAT:FMA_audit_SUMMARY.fat&amp;DISPLAY_STRING=Display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2__FDSAUDITLINK__" hidden="1">{"fdsup://directions/FAT%20Viewer?VAR:PED=LTM&amp;VAR:PERIOD=FIXED&amp;VAR:V=16.738041&amp;VAR:PCT=Y&amp;VAR:AUDIT_ID=00000117&amp;VAR:DATE=19990831&amp;action=UPDATE&amp;creator=factset&amp;DOC_NAME=FAT:FMA_audit_SUMMARY.fat&amp;DISPLAY_STRING=Display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3__FDSAUDITLINK__" hidden="1">{"fdsup://directions/FAT%20Viewer?VAR:PED=LTM&amp;VAR:PERIOD=FIXED&amp;VAR:V=16.189419&amp;VAR:PCT=Y&amp;VAR:AUDIT_ID=00000117&amp;VAR:DATE=19990730&amp;action=UPDATE&amp;creator=factset&amp;DOC_NAME=FAT:FMA_audit_SUMMARY.fat&amp;DISPLAY_STRING=Display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4__FDSAUDITLINK__" hidden="1">{"fdsup://directions/FAT%20Viewer?VAR:PED=LTM&amp;VAR:PERIOD=FIXED&amp;VAR:V=16.148137&amp;VAR:PCT=Y&amp;VAR:AUDIT_ID=00000117&amp;VAR:DATE=19990630&amp;action=UPDATE&amp;creator=factset&amp;DOC_NAME=FAT:FMA_audit_SUMMARY.fat&amp;DISPLAY_STRING=Display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5__FDSAUDITLINK__" hidden="1">{"fdsup://directions/FAT%20Viewer?VAR:PED=LTM&amp;VAR:PERIOD=FIXED&amp;VAR:V=16.036450&amp;VAR:PCT=Y&amp;VAR:AUDIT_ID=00000117&amp;VAR:DATE=19990531&amp;action=UPDATE&amp;creator=factset&amp;DOC_NAME=FAT:FMA_audit_SUMMARY.fat&amp;DISPLAY_STRING=Display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6__FDSAUDITLINK__" hidden="1">{"fdsup://directions/FAT%20Viewer?VAR:PED=LTM&amp;VAR:PERIOD=FIXED&amp;VAR:V=16.754836&amp;VAR:PCT=Y&amp;VAR:AUDIT_ID=00000117&amp;VAR:DATE=19990430&amp;action=UPDATE&amp;creator=factset&amp;DOC_NAME=FAT:FMA_audit_SUMMARY.fat&amp;DISPLAY_STRING=Display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7__FDSAUDITLINK__" hidden="1">{"fdsup://directions/FAT%20Viewer?VAR:PED=LTM&amp;VAR:PERIOD=FIXED&amp;VAR:V=16.768873&amp;VAR:PCT=Y&amp;VAR:AUDIT_ID=00000117&amp;VAR:DATE=19990331&amp;action=UPDATE&amp;creator=factset&amp;DOC_NAME=FAT:FMA_audit_SUMMARY.fat&amp;DISPLAY_STRING=Display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8__FDSAUDITLINK__" hidden="1">{"fdsup://directions/FAT%20Viewer?VAR:PED=LTM&amp;VAR:PERIOD=FIXED&amp;VAR:V=16.695312&amp;VAR:PCT=Y&amp;VAR:AUDIT_ID=00000117&amp;VAR:DATE=19990226&amp;action=UPDATE&amp;creator=factset&amp;DOC_NAME=FAT:FMA_audit_SUMMARY.fat&amp;DISPLAY_STRING=Display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89__FDSAUDITLINK__" hidden="1">{"fdsup://directions/FAT%20Viewer?VAR:PED=LTM&amp;VAR:PERIOD=FIXED&amp;VAR:V=17.249149&amp;VAR:PCT=Y&amp;VAR:AUDIT_ID=00000117&amp;VAR:DATE=19990129&amp;action=UPDATE&amp;creator=factset&amp;DOC_NAME=FAT:FMA_audit_SUMMARY.fat&amp;DISPLAY_STRING=Display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9__FDSAUDITLINK__" hidden="1">{"fdsup://directions/FAT%20Viewer?VAR:PED=LTM&amp;VAR:PERIOD=FIXED&amp;VAR:V=16.628943&amp;VAR:PCT=Y&amp;VAR:AUDIT_ID=00000117&amp;VAR:DATE=20060428&amp;action=UPDATE&amp;creator=factset&amp;DOC_NAME=FAT:FMA_audit_SUMMARY.fat&amp;DISPLAY_STRING=Display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490__FDSAUDITLINK__" hidden="1">{"fdsup://directions/FAT%20Viewer?VAR:PED=LTM&amp;VAR:PERIOD=FIXED&amp;VAR:V=17.273337&amp;VAR:PCT=Y&amp;VAR:AUDIT_ID=00000117&amp;VAR:DATE=19981231&amp;action=UPDATE&amp;creator=factset&amp;DOC_NAME=FAT:FMA_audit_SUMMARY.fat&amp;DISPLAY_STRING=Display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__FDSAUDITLINK__" hidden="1">{"fdsup://directions/FAT%20Viewer?VAR:PED=LTM&amp;VAR:PERIOD=FIXED&amp;VAR:V=8.881015&amp;VAR:PCT=Y&amp;VAR:AUDIT_ID=00000117&amp;VAR:DATE=20091231&amp;action=UPDATE&amp;creator=factset&amp;DOC_NAME=FAT:FMA_audit_SUMMARY.fat&amp;DISPLAY_STRING=Display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0__FDSAUDITLINK__" hidden="1">{"fdsup://directions/FAT%20Viewer?VAR:PED=LTM&amp;VAR:PERIOD=FIXED&amp;VAR:V=16.631435&amp;VAR:PCT=Y&amp;VAR:AUDIT_ID=00000117&amp;VAR:DATE=20060331&amp;action=UPDATE&amp;creator=factset&amp;DOC_NAME=FAT:FMA_audit_SUMMARY.fat&amp;DISPLAY_STRING=Display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1__FDSAUDITLINK__" hidden="1">{"fdsup://directions/FAT%20Viewer?VAR:PED=LTM&amp;VAR:PERIOD=FIXED&amp;VAR:V=16.573460&amp;VAR:PCT=Y&amp;VAR:AUDIT_ID=00000117&amp;VAR:DATE=20060228&amp;action=UPDATE&amp;creator=factset&amp;DOC_NAME=FAT:FMA_audit_SUMMARY.fat&amp;DISPLAY_STRING=Display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2__FDSAUDITLINK__" hidden="1">{"fdsup://directions/FAT%20Viewer?VAR:PED=LTM&amp;VAR:PERIOD=FIXED&amp;VAR:V=16.717035&amp;VAR:PCT=Y&amp;VAR:AUDIT_ID=00000117&amp;VAR:DATE=20060131&amp;action=UPDATE&amp;creator=factset&amp;DOC_NAME=FAT:FMA_audit_SUMMARY.fat&amp;DISPLAY_STRING=Display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3__FDSAUDITLINK__" hidden="1">{"fdsup://directions/FAT%20Viewer?VAR:PED=LTM&amp;VAR:PERIOD=FIXED&amp;VAR:V=16.680668&amp;VAR:PCT=Y&amp;VAR:AUDIT_ID=00000117&amp;VAR:DATE=20051230&amp;action=UPDATE&amp;creator=factset&amp;DOC_NAME=FAT:FMA_audit_SUMMARY.fat&amp;DISPLAY_STRING=Display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4__FDSAUDITLINK__" hidden="1">{"fdsup://directions/FAT%20Viewer?VAR:PED=LTM&amp;VAR:PERIOD=FIXED&amp;VAR:V=16.680418&amp;VAR:PCT=Y&amp;VAR:AUDIT_ID=00000117&amp;VAR:DATE=20051130&amp;action=UPDATE&amp;creator=factset&amp;DOC_NAME=FAT:FMA_audit_SUMMARY.fat&amp;DISPLAY_STRING=Display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5__FDSAUDITLINK__" hidden="1">{"fdsup://directions/FAT%20Viewer?VAR:PED=LTM&amp;VAR:PERIOD=FIXED&amp;VAR:V=16.786498&amp;VAR:PCT=Y&amp;VAR:AUDIT_ID=00000117&amp;VAR:DATE=20051031&amp;action=UPDATE&amp;creator=factset&amp;DOC_NAME=FAT:FMA_audit_SUMMARY.fat&amp;DISPLAY_STRING=Display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6__FDSAUDITLINK__" hidden="1">{"fdsup://directions/FAT%20Viewer?VAR:PED=LTM&amp;VAR:PERIOD=FIXED&amp;VAR:V=16.621548&amp;VAR:PCT=Y&amp;VAR:AUDIT_ID=00000117&amp;VAR:DATE=20050930&amp;action=UPDATE&amp;creator=factset&amp;DOC_NAME=FAT:FMA_audit_SUMMARY.fat&amp;DISPLAY_STRING=Display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7__FDSAUDITLINK__" hidden="1">{"fdsup://directions/FAT%20Viewer?VAR:PED=LTM&amp;VAR:PERIOD=FIXED&amp;VAR:V=16.632879&amp;VAR:PCT=Y&amp;VAR:AUDIT_ID=00000117&amp;VAR:DATE=20050831&amp;action=UPDATE&amp;creator=factset&amp;DOC_NAME=FAT:FMA_audit_SUMMARY.fat&amp;DISPLAY_STRING=Display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8__FDSAUDITLINK__" hidden="1">{"fdsup://directions/FAT%20Viewer?VAR:PED=LTM&amp;VAR:PERIOD=FIXED&amp;VAR:V=15.946367&amp;VAR:PCT=Y&amp;VAR:AUDIT_ID=00000117&amp;VAR:DATE=20050729&amp;action=UPDATE&amp;creator=factset&amp;DOC_NAME=FAT:FMA_audit_SUMMARY.fat&amp;DISPLAY_STRING=Display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59__FDSAUDITLINK__" hidden="1">{"fdsup://directions/FAT%20Viewer?VAR:PED=LTM&amp;VAR:PERIOD=FIXED&amp;VAR:V=15.929095&amp;VAR:PCT=Y&amp;VAR:AUDIT_ID=00000117&amp;VAR:DATE=20050630&amp;action=UPDATE&amp;creator=factset&amp;DOC_NAME=FAT:FMA_audit_SUMMARY.fat&amp;DISPLAY_STRING=Display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__FDSAUDITLINK__" hidden="1">{"fdsup://directions/FAT%20Viewer?VAR:PED=LTM&amp;VAR:PERIOD=FIXED&amp;VAR:V=9.180679&amp;VAR:PCT=Y&amp;VAR:AUDIT_ID=00000117&amp;VAR:DATE=20091130&amp;action=UPDATE&amp;creator=factset&amp;DOC_NAME=FAT:FMA_audit_SUMMARY.fat&amp;DISPLAY_STRING=Display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0__FDSAUDITLINK__" hidden="1">{"fdsup://directions/FAT%20Viewer?VAR:PED=LTM&amp;VAR:PERIOD=FIXED&amp;VAR:V=15.906912&amp;VAR:PCT=Y&amp;VAR:AUDIT_ID=00000117&amp;VAR:DATE=20050531&amp;action=UPDATE&amp;creator=factset&amp;DOC_NAME=FAT:FMA_audit_SUMMARY.fat&amp;DISPLAY_STRING=Display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1__FDSAUDITLINK__" hidden="1">{"fdsup://directions/FAT%20Viewer?VAR:PED=LTM&amp;VAR:PERIOD=FIXED&amp;VAR:V=15.918060&amp;VAR:PCT=Y&amp;VAR:AUDIT_ID=00000117&amp;VAR:DATE=20050429&amp;action=UPDATE&amp;creator=factset&amp;DOC_NAME=FAT:FMA_audit_SUMMARY.fat&amp;DISPLAY_STRING=Display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2__FDSAUDITLINK__" hidden="1">{"fdsup://directions/FAT%20Viewer?VAR:PED=LTM&amp;VAR:PERIOD=FIXED&amp;VAR:V=15.913719&amp;VAR:PCT=Y&amp;VAR:AUDIT_ID=00000117&amp;VAR:DATE=20050331&amp;action=UPDATE&amp;creator=factset&amp;DOC_NAME=FAT:FMA_audit_SUMMARY.fat&amp;DISPLAY_STRING=Display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3__FDSAUDITLINK__" hidden="1">{"fdsup://directions/FAT%20Viewer?VAR:PED=LTM&amp;VAR:PERIOD=FIXED&amp;VAR:V=15.946005&amp;VAR:PCT=Y&amp;VAR:AUDIT_ID=00000117&amp;VAR:DATE=20050228&amp;action=UPDATE&amp;creator=factset&amp;DOC_NAME=FAT:FMA_audit_SUMMARY.fat&amp;DISPLAY_STRING=Display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4__FDSAUDITLINK__" hidden="1">{"fdsup://directions/FAT%20Viewer?VAR:PED=LTM&amp;VAR:PERIOD=FIXED&amp;VAR:V=16.260704&amp;VAR:PCT=Y&amp;VAR:AUDIT_ID=00000117&amp;VAR:DATE=20050131&amp;action=UPDATE&amp;creator=factset&amp;DOC_NAME=FAT:FMA_audit_SUMMARY.fat&amp;DISPLAY_STRING=Display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5__FDSAUDITLINK__" hidden="1">{"fdsup://directions/FAT%20Viewer?VAR:PED=LTM&amp;VAR:PERIOD=FIXED&amp;VAR:V=16.267390&amp;VAR:PCT=Y&amp;VAR:AUDIT_ID=00000117&amp;VAR:DATE=20041231&amp;action=UPDATE&amp;creator=factset&amp;DOC_NAME=FAT:FMA_audit_SUMMARY.fat&amp;DISPLAY_STRING=Display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6__FDSAUDITLINK__" hidden="1">{"fdsup://directions/FAT%20Viewer?VAR:PED=LTM&amp;VAR:PERIOD=FIXED&amp;VAR:V=16.304718&amp;VAR:PCT=Y&amp;VAR:AUDIT_ID=00000117&amp;VAR:DATE=20041130&amp;action=UPDATE&amp;creator=factset&amp;DOC_NAME=FAT:FMA_audit_SUMMARY.fat&amp;DISPLAY_STRING=Display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7__FDSAUDITLINK__" hidden="1">{"fdsup://directions/FAT%20Viewer?VAR:PED=LTM&amp;VAR:PERIOD=FIXED&amp;VAR:V=16.290961&amp;VAR:PCT=Y&amp;VAR:AUDIT_ID=00000117&amp;VAR:DATE=20041029&amp;action=UPDATE&amp;creator=factset&amp;DOC_NAME=FAT:FMA_audit_SUMMARY.fat&amp;DISPLAY_STRING=Display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8__FDSAUDITLINK__" hidden="1">{"fdsup://directions/FAT%20Viewer?VAR:PED=LTM&amp;VAR:PERIOD=FIXED&amp;VAR:V=16.162162&amp;VAR:PCT=Y&amp;VAR:AUDIT_ID=00000117&amp;VAR:DATE=20040930&amp;action=UPDATE&amp;creator=factset&amp;DOC_NAME=FAT:FMA_audit_SUMMARY.fat&amp;DISPLAY_STRING=Display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69__FDSAUDITLINK__" hidden="1">{"fdsup://directions/FAT%20Viewer?VAR:PED=LTM&amp;VAR:PERIOD=FIXED&amp;VAR:V=16.080642&amp;VAR:PCT=Y&amp;VAR:AUDIT_ID=00000117&amp;VAR:DATE=20040831&amp;action=UPDATE&amp;creator=factset&amp;DOC_NAME=FAT:FMA_audit_SUMMARY.fat&amp;DISPLAY_STRING=Display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__FDSAUDITLINK__" hidden="1">{"fdsup://directions/FAT%20Viewer?VAR:PED=LTM&amp;VAR:PERIOD=FIXED&amp;VAR:V=8.917013&amp;VAR:PCT=Y&amp;VAR:AUDIT_ID=00000117&amp;VAR:DATE=20091030&amp;action=UPDATE&amp;creator=factset&amp;DOC_NAME=FAT:FMA_audit_SUMMARY.fat&amp;DISPLAY_STRING=Display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0__FDSAUDITLINK__" hidden="1">{"fdsup://directions/FAT%20Viewer?VAR:PED=LTM&amp;VAR:PERIOD=FIXED&amp;VAR:V=15.845703&amp;VAR:PCT=Y&amp;VAR:AUDIT_ID=00000117&amp;VAR:DATE=20040730&amp;action=UPDATE&amp;creator=factset&amp;DOC_NAME=FAT:FMA_audit_SUMMARY.fat&amp;DISPLAY_STRING=Display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1__FDSAUDITLINK__" hidden="1">{"fdsup://directions/FAT%20Viewer?VAR:PED=LTM&amp;VAR:PERIOD=FIXED&amp;VAR:V=15.727325&amp;VAR:PCT=Y&amp;VAR:AUDIT_ID=00000117&amp;VAR:DATE=20040630&amp;action=UPDATE&amp;creator=factset&amp;DOC_NAME=FAT:FMA_audit_SUMMARY.fat&amp;DISPLAY_STRING=Display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2__FDSAUDITLINK__" hidden="1">{"fdsup://directions/FAT%20Viewer?VAR:PED=LTM&amp;VAR:PERIOD=FIXED&amp;VAR:V=15.689625&amp;VAR:PCT=Y&amp;VAR:AUDIT_ID=00000117&amp;VAR:DATE=20040531&amp;action=UPDATE&amp;creator=factset&amp;DOC_NAME=FAT:FMA_audit_SUMMARY.fat&amp;DISPLAY_STRING=Display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3__FDSAUDITLINK__" hidden="1">{"fdsup://directions/FAT%20Viewer?VAR:PED=LTM&amp;VAR:PERIOD=FIXED&amp;VAR:V=15.664960&amp;VAR:PCT=Y&amp;VAR:AUDIT_ID=00000117&amp;VAR:DATE=20040430&amp;action=UPDATE&amp;creator=factset&amp;DOC_NAME=FAT:FMA_audit_SUMMARY.fat&amp;DISPLAY_STRING=Display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4__FDSAUDITLINK__" hidden="1">{"fdsup://directions/FAT%20Viewer?VAR:PED=LTM&amp;VAR:PERIOD=FIXED&amp;VAR:V=15.597285&amp;VAR:PCT=Y&amp;VAR:AUDIT_ID=00000117&amp;VAR:DATE=20040331&amp;action=UPDATE&amp;creator=factset&amp;DOC_NAME=FAT:FMA_audit_SUMMARY.fat&amp;DISPLAY_STRING=Display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5__FDSAUDITLINK__" hidden="1">{"fdsup://directions/FAT%20Viewer?VAR:PED=LTM&amp;VAR:PERIOD=FIXED&amp;VAR:V=15.612139&amp;VAR:PCT=Y&amp;VAR:AUDIT_ID=00000117&amp;VAR:DATE=20040227&amp;action=UPDATE&amp;creator=factset&amp;DOC_NAME=FAT:FMA_audit_SUMMARY.fat&amp;DISPLAY_STRING=Display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6__FDSAUDITLINK__" hidden="1">{"fdsup://directions/FAT%20Viewer?VAR:PED=LTM&amp;VAR:PERIOD=FIXED&amp;VAR:V=15.051866&amp;VAR:PCT=Y&amp;VAR:AUDIT_ID=00000117&amp;VAR:DATE=20040130&amp;action=UPDATE&amp;creator=factset&amp;DOC_NAME=FAT:FMA_audit_SUMMARY.fat&amp;DISPLAY_STRING=Display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7__FDSAUDITLINK__" hidden="1">{"fdsup://directions/FAT%20Viewer?VAR:PED=LTM&amp;VAR:PERIOD=FIXED&amp;VAR:V=15.040866&amp;VAR:PCT=Y&amp;VAR:AUDIT_ID=00000117&amp;VAR:DATE=20031231&amp;action=UPDATE&amp;creator=factset&amp;DOC_NAME=FAT:FMA_audit_SUMMARY.fat&amp;DISPLAY_STRING=Display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8__FDSAUDITLINK__" hidden="1">{"fdsup://directions/FAT%20Viewer?VAR:PED=LTM&amp;VAR:PERIOD=FIXED&amp;VAR:V=14.905480&amp;VAR:PCT=Y&amp;VAR:AUDIT_ID=00000117&amp;VAR:DATE=20031128&amp;action=UPDATE&amp;creator=factset&amp;DOC_NAME=FAT:FMA_audit_SUMMARY.fat&amp;DISPLAY_STRING=Display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79__FDSAUDITLINK__" hidden="1">{"fdsup://directions/FAT%20Viewer?VAR:PED=LTM&amp;VAR:PERIOD=FIXED&amp;VAR:V=14.258918&amp;VAR:PCT=Y&amp;VAR:AUDIT_ID=00000117&amp;VAR:DATE=20031031&amp;action=UPDATE&amp;creator=factset&amp;DOC_NAME=FAT:FMA_audit_SUMMARY.fat&amp;DISPLAY_STRING=Display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__FDSAUDITLINK__" hidden="1">{"fdsup://directions/FAT%20Viewer?VAR:PED=LTM&amp;VAR:PERIOD=FIXED&amp;VAR:V=8.975472&amp;VAR:PCT=Y&amp;VAR:AUDIT_ID=00000117&amp;VAR:DATE=20090930&amp;action=UPDATE&amp;creator=factset&amp;DOC_NAME=FAT:FMA_audit_SUMMARY.fat&amp;DISPLAY_STRING=Display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0__FDSAUDITLINK__" hidden="1">{"fdsup://directions/FAT%20Viewer?VAR:PED=LTM&amp;VAR:PERIOD=FIXED&amp;VAR:V=14.228536&amp;VAR:PCT=Y&amp;VAR:AUDIT_ID=00000117&amp;VAR:DATE=20030930&amp;action=UPDATE&amp;creator=factset&amp;DOC_NAME=FAT:FMA_audit_SUMMARY.fat&amp;DISPLAY_STRING=Display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1__FDSAUDITLINK__" hidden="1">{"fdsup://directions/FAT%20Viewer?VAR:PED=LTM&amp;VAR:PERIOD=FIXED&amp;VAR:V=14.205863&amp;VAR:PCT=Y&amp;VAR:AUDIT_ID=00000117&amp;VAR:DATE=20030829&amp;action=UPDATE&amp;creator=factset&amp;DOC_NAME=FAT:FMA_audit_SUMMARY.fat&amp;DISPLAY_STRING=Display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2__FDSAUDITLINK__" hidden="1">{"fdsup://directions/FAT%20Viewer?VAR:PED=LTM&amp;VAR:PERIOD=FIXED&amp;VAR:V=13.803387&amp;VAR:PCT=Y&amp;VAR:AUDIT_ID=00000117&amp;VAR:DATE=20030731&amp;action=UPDATE&amp;creator=factset&amp;DOC_NAME=FAT:FMA_audit_SUMMARY.fat&amp;DISPLAY_STRING=Display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3__FDSAUDITLINK__" hidden="1">{"fdsup://directions/FAT%20Viewer?VAR:PED=LTM&amp;VAR:PERIOD=FIXED&amp;VAR:V=13.844338&amp;VAR:PCT=Y&amp;VAR:AUDIT_ID=00000117&amp;VAR:DATE=20030630&amp;action=UPDATE&amp;creator=factset&amp;DOC_NAME=FAT:FMA_audit_SUMMARY.fat&amp;DISPLAY_STRING=Display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4__FDSAUDITLINK__" hidden="1">{"fdsup://directions/FAT%20Viewer?VAR:PED=LTM&amp;VAR:PERIOD=FIXED&amp;VAR:V=13.831460&amp;VAR:PCT=Y&amp;VAR:AUDIT_ID=00000117&amp;VAR:DATE=20030530&amp;action=UPDATE&amp;creator=factset&amp;DOC_NAME=FAT:FMA_audit_SUMMARY.fat&amp;DISPLAY_STRING=Display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5__FDSAUDITLINK__" hidden="1">{"fdsup://directions/FAT%20Viewer?VAR:PED=LTM&amp;VAR:PERIOD=FIXED&amp;VAR:V=13.944780&amp;VAR:PCT=Y&amp;VAR:AUDIT_ID=00000117&amp;VAR:DATE=20030430&amp;action=UPDATE&amp;creator=factset&amp;DOC_NAME=FAT:FMA_audit_SUMMARY.fat&amp;DISPLAY_STRING=Display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6__FDSAUDITLINK__" hidden="1">{"fdsup://directions/FAT%20Viewer?VAR:PED=LTM&amp;VAR:PERIOD=FIXED&amp;VAR:V=13.916196&amp;VAR:PCT=Y&amp;VAR:AUDIT_ID=00000117&amp;VAR:DATE=20030331&amp;action=UPDATE&amp;creator=factset&amp;DOC_NAME=FAT:FMA_audit_SUMMARY.fat&amp;DISPLAY_STRING=Display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7__FDSAUDITLINK__" hidden="1">{"fdsup://directions/FAT%20Viewer?VAR:PED=LTM&amp;VAR:PERIOD=FIXED&amp;VAR:V=13.886985&amp;VAR:PCT=Y&amp;VAR:AUDIT_ID=00000117&amp;VAR:DATE=20030228&amp;action=UPDATE&amp;creator=factset&amp;DOC_NAME=FAT:FMA_audit_SUMMARY.fat&amp;DISPLAY_STRING=Display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8__FDSAUDITLINK__" hidden="1">{"fdsup://directions/FAT%20Viewer?VAR:PED=LTM&amp;VAR:PERIOD=FIXED&amp;VAR:V=11.478142&amp;VAR:PCT=Y&amp;VAR:AUDIT_ID=00000117&amp;VAR:DATE=20030131&amp;action=UPDATE&amp;creator=factset&amp;DOC_NAME=FAT:FMA_audit_SUMMARY.fat&amp;DISPLAY_STRING=Display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89__FDSAUDITLINK__" hidden="1">{"fdsup://directions/FAT%20Viewer?VAR:PED=LTM&amp;VAR:PERIOD=FIXED&amp;VAR:V=11.475684&amp;VAR:PCT=Y&amp;VAR:AUDIT_ID=00000117&amp;VAR:DATE=20021231&amp;action=UPDATE&amp;creator=factset&amp;DOC_NAME=FAT:FMA_audit_SUMMARY.fat&amp;DISPLAY_STRING=Display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__FDSAUDITLINK__" hidden="1">{"fdsup://directions/FAT%20Viewer?VAR:PED=LTM&amp;VAR:PERIOD=FIXED&amp;VAR:V=9.196503&amp;VAR:PCT=Y&amp;VAR:AUDIT_ID=00000117&amp;VAR:DATE=20090831&amp;action=UPDATE&amp;creator=factset&amp;DOC_NAME=FAT:FMA_audit_SUMMARY.fat&amp;DISPLAY_STRING=Display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0__FDSAUDITLINK__" hidden="1">{"fdsup://directions/FAT%20Viewer?VAR:PED=LTM&amp;VAR:PERIOD=FIXED&amp;VAR:V=11.379526&amp;VAR:PCT=Y&amp;VAR:AUDIT_ID=00000117&amp;VAR:DATE=20021129&amp;action=UPDATE&amp;creator=factset&amp;DOC_NAME=FAT:FMA_audit_SUMMARY.fat&amp;DISPLAY_STRING=Display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1__FDSAUDITLINK__" hidden="1">{"fdsup://directions/FAT%20Viewer?VAR:PED=LTM&amp;VAR:PERIOD=FIXED&amp;VAR:V=11.194320&amp;VAR:PCT=Y&amp;VAR:AUDIT_ID=00000117&amp;VAR:DATE=20021031&amp;action=UPDATE&amp;creator=factset&amp;DOC_NAME=FAT:FMA_audit_SUMMARY.fat&amp;DISPLAY_STRING=Display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2__FDSAUDITLINK__" hidden="1">{"fdsup://directions/FAT%20Viewer?VAR:PED=LTM&amp;VAR:PERIOD=FIXED&amp;VAR:V=11.191963&amp;VAR:PCT=Y&amp;VAR:AUDIT_ID=00000117&amp;VAR:DATE=20020930&amp;action=UPDATE&amp;creator=factset&amp;DOC_NAME=FAT:FMA_audit_SUMMARY.fat&amp;DISPLAY_STRING=Display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3__FDSAUDITLINK__" hidden="1">{"fdsup://directions/FAT%20Viewer?VAR:PED=LTM&amp;VAR:PERIOD=FIXED&amp;VAR:V=11.245677&amp;VAR:PCT=Y&amp;VAR:AUDIT_ID=00000117&amp;VAR:DATE=20020830&amp;action=UPDATE&amp;creator=factset&amp;DOC_NAME=FAT:FMA_audit_SUMMARY.fat&amp;DISPLAY_STRING=Display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4__FDSAUDITLINK__" hidden="1">{"fdsup://directions/FAT%20Viewer?VAR:PED=LTM&amp;VAR:PERIOD=FIXED&amp;VAR:V=9.245041&amp;VAR:PCT=Y&amp;VAR:AUDIT_ID=00000117&amp;VAR:DATE=20020731&amp;action=UPDATE&amp;creator=factset&amp;DOC_NAME=FAT:FMA_audit_SUMMARY.fat&amp;DISPLAY_STRING=Display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5__FDSAUDITLINK__" hidden="1">{"fdsup://directions/FAT%20Viewer?VAR:PED=LTM&amp;VAR:PERIOD=FIXED&amp;VAR:V=8.638103&amp;VAR:PCT=Y&amp;VAR:AUDIT_ID=00000117&amp;VAR:DATE=20020628&amp;action=UPDATE&amp;creator=factset&amp;DOC_NAME=FAT:FMA_audit_SUMMARY.fat&amp;DISPLAY_STRING=Display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6__FDSAUDITLINK__" hidden="1">{"fdsup://directions/FAT%20Viewer?VAR:PED=LTM&amp;VAR:PERIOD=FIXED&amp;VAR:V=8.679847&amp;VAR:PCT=Y&amp;VAR:AUDIT_ID=00000117&amp;VAR:DATE=20020531&amp;action=UPDATE&amp;creator=factset&amp;DOC_NAME=FAT:FMA_audit_SUMMARY.fat&amp;DISPLAY_STRING=Display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7__FDSAUDITLINK__" hidden="1">{"fdsup://directions/FAT%20Viewer?VAR:PED=LTM&amp;VAR:PERIOD=FIXED&amp;VAR:V=9.975536&amp;VAR:PCT=Y&amp;VAR:AUDIT_ID=00000117&amp;VAR:DATE=20020430&amp;action=UPDATE&amp;creator=factset&amp;DOC_NAME=FAT:FMA_audit_SUMMARY.fat&amp;DISPLAY_STRING=Display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8__FDSAUDITLINK__" hidden="1">{"fdsup://directions/FAT%20Viewer?VAR:PED=LTM&amp;VAR:PERIOD=FIXED&amp;VAR:V=10.001811&amp;VAR:PCT=Y&amp;VAR:AUDIT_ID=00000117&amp;VAR:DATE=20020329&amp;action=UPDATE&amp;creator=factset&amp;DOC_NAME=FAT:FMA_audit_SUMMARY.fat&amp;DISPLAY_STRING=Display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99__FDSAUDITLINK__" hidden="1">{"fdsup://directions/FAT%20Viewer?VAR:PED=LTM&amp;VAR:PERIOD=FIXED&amp;VAR:V=10.117698&amp;VAR:PCT=Y&amp;VAR:AUDIT_ID=00000117&amp;VAR:DATE=20020228&amp;action=UPDATE&amp;creator=factset&amp;DOC_NAME=FAT:FMA_audit_SUMMARY.fat&amp;DISPLAY_STRING=Display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_bdm.02E29E7B1053433EA3CCCBE4E5141596.edm" hidden="1">[1]Sheet1!$A:$IV</definedName>
    <definedName name="_bdm.41807D9BEFAF4799A611ED3D8B837BB8.edm" hidden="1">'[2]Affordability (09)'!$A:$IV</definedName>
    <definedName name="_bdm.42F67CCC3C1C45638B5EC98256E90947.edm" hidden="1">'[3]Good 12-00 (2)'!$A:$IV</definedName>
    <definedName name="_bdm.46D56600DB7840728F138544F8E425DB.edm" hidden="1">'[3]Good 11-36'!$A:$IV</definedName>
    <definedName name="_bdm.60A1016E4A5045B0B4BE42FB21AAF6D6.edm" hidden="1">'[3]Good 11-50'!$A:$IV</definedName>
    <definedName name="_bdm.6853770FAC6645E0B784D7E292730E5B.edm" hidden="1">[4]China!$A:$IV</definedName>
    <definedName name="_bdm.C7C6FBA36F39444B8BCEC128D5B7F931.edm" hidden="1">'[3]Sheet3 (5)'!$A:$IV</definedName>
    <definedName name="_Order1" hidden="1">0</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dditionalInstructions">IndexInformation!$B$42</definedName>
    <definedName name="Address" localSheetId="0">ImportantDisclosures!$A$2:$A$2</definedName>
    <definedName name="Adjusted_Net_Operating_Profit">[5]NOPAT_VDF!$C$26:$AU$26</definedName>
    <definedName name="All_00_PS">[6]Depreciation!$AJ$227</definedName>
    <definedName name="All_00_Rev">[6]Depreciation!$AG$227</definedName>
    <definedName name="All_97_Rev">[6]Depreciation!$AD$227</definedName>
    <definedName name="All_98_PS">[6]Depreciation!$AH$227</definedName>
    <definedName name="All_98_Rev">[6]Depreciation!$AE$227</definedName>
    <definedName name="All_99_PS">[6]Depreciation!$AI$227</definedName>
    <definedName name="All_99_Rev">[6]Depreciation!$AF$227</definedName>
    <definedName name="All_EPS_00">[6]Depreciation!$AC$227</definedName>
    <definedName name="All_EPS_98">[6]Depreciation!$AA$227</definedName>
    <definedName name="All_EPS_99">[6]Depreciation!$AB$227</definedName>
    <definedName name="All_Mkt_Cap">[6]Depreciation!$T$227</definedName>
    <definedName name="All_Off_High">[6]Depreciation!$N$227</definedName>
    <definedName name="All_Stocks">[6]Depreciation!$C$227</definedName>
    <definedName name="ANA" localSheetId="6">ModPubIndex!$A$7</definedName>
    <definedName name="Authors" localSheetId="0">ImportantDisclosures!$A$7</definedName>
    <definedName name="Authors" localSheetId="5">IndexInformation!$B$18</definedName>
    <definedName name="Average_invested_capital">'[5]Invested capital_VDF'!$C$89:$AZ$89</definedName>
    <definedName name="Average_invested_capital_DCF">[5]DCF_VDF!$C$78:$AZ$78</definedName>
    <definedName name="BRO" localSheetId="6">ModPubIndex!$A$1</definedName>
    <definedName name="bt">[7]EVA1!$S$11</definedName>
    <definedName name="cap">[8]GS_DCF!$Y$10:$AH$10</definedName>
    <definedName name="Cash_DCF">[5]DCF_VDF!$C$33:$AZ$33</definedName>
    <definedName name="Cash_Operating_Taxes">[5]NOPAT_VDF!$C$39:$AU$39</definedName>
    <definedName name="Catalog_Path">'[9]DDETABLE '!$AD$5</definedName>
    <definedName name="cc_ReportCurrency">"HKD"</definedName>
    <definedName name="cc_ReportCurrencyUnit">"HK$"</definedName>
    <definedName name="cc_ReportCurrencyUnitFactor">1</definedName>
    <definedName name="CFormats">'[9]DDETABLE '!$AO$2:$AO$17</definedName>
    <definedName name="CHART1">"Chart 2"</definedName>
    <definedName name="chg">[8]GS_DCF!$Y$12:$AH$12</definedName>
    <definedName name="Choices" localSheetId="4">Valuation!Choices</definedName>
    <definedName name="Choices">[10]EBITDA!Choices</definedName>
    <definedName name="Choices_Wrapper" localSheetId="4">Valuation!Choices_Wrapper</definedName>
    <definedName name="Choices_Wrapper">[10]EBITDA!Choices_Wrapper</definedName>
    <definedName name="codeDestination">'[9]DDETABLE '!$K$9</definedName>
    <definedName name="CODELK_Path">'[9]DDETABLE '!$AD$4</definedName>
    <definedName name="cogs_handsets">[11]Costs!$A$15:$IV$15</definedName>
    <definedName name="cogs_internet">[11]Costs!$A$26:$IV$26</definedName>
    <definedName name="cogs_mobile">[11]Costs!$A$21:$IV$21</definedName>
    <definedName name="cogs_other">[11]Costs!$A$30:$IV$30</definedName>
    <definedName name="company_list">OFFSET([12]Transform!$AE$7,0,0,[12]Transform!$AE$4,1)</definedName>
    <definedName name="CopyrightStamp">ImportantDisclosures!$A$27</definedName>
    <definedName name="COU" localSheetId="6">ModPubIndex!$A$5</definedName>
    <definedName name="Cov_00_PS">[6]Depreciation!$AJ$231</definedName>
    <definedName name="Cov_00_Rev">[6]Depreciation!$AG$228</definedName>
    <definedName name="Cov_97_Rev">[6]Depreciation!$AD$228</definedName>
    <definedName name="Cov_98_PS">[6]Depreciation!$AH$231</definedName>
    <definedName name="Cov_98_Rev">[6]Depreciation!$AE$228</definedName>
    <definedName name="Cov_99_PS">[6]Depreciation!$AI$231</definedName>
    <definedName name="Cov_99_Rev">[6]Depreciation!$AF$228</definedName>
    <definedName name="Cov_EPS_00">[6]Depreciation!$AC$231</definedName>
    <definedName name="Cov_EPS_98">[6]Depreciation!$AA$231</definedName>
    <definedName name="Cov_EPS_99">[6]Depreciation!$AB$231</definedName>
    <definedName name="Cov_Mkt_Cap">[6]Depreciation!$T$228</definedName>
    <definedName name="Cov_Off_High">[6]Depreciation!$N$227</definedName>
    <definedName name="Cov_Perf_97">[6]Depreciation!$O$231</definedName>
    <definedName name="Cov_Perf_98">[6]Depreciation!$P$231</definedName>
    <definedName name="Cov_Perf_99">[6]Depreciation!$Q$231</definedName>
    <definedName name="Cov_Univ_Avg">[6]Depreciation!$C$231</definedName>
    <definedName name="Cov_Univ_Total">[6]Depreciation!$C$228</definedName>
    <definedName name="CQEnd" localSheetId="5">IndexInformation!$B$31</definedName>
    <definedName name="CTopics">'[9]DDETABLE '!$AM$2:$AM$4</definedName>
    <definedName name="Currency" localSheetId="5">IndexInformation!$B$24</definedName>
    <definedName name="CurrentStockPrice" localSheetId="5">IndexInformation!$B$23</definedName>
    <definedName name="CurrQtrEPS" localSheetId="5">IndexInformation!$B$29</definedName>
    <definedName name="CurrYearEPS" localSheetId="5">IndexInformation!$B$11</definedName>
    <definedName name="CurrYearTotalRevenue" localSheetId="5">IndexInformation!$B$10</definedName>
    <definedName name="CurrYearTotalRevenueActual" localSheetId="5">IndexInformation!$B$32</definedName>
    <definedName name="CUSIP" localSheetId="5">IndexInformation!$B$20</definedName>
    <definedName name="CYEnd" localSheetId="5">IndexInformation!$B$30</definedName>
    <definedName name="Data_start_col">[13]Summary!$Q$17</definedName>
    <definedName name="data_table">[13]Summary!$A$12:$V$308</definedName>
    <definedName name="dataseries4">OFFSET([14]c1!$G$12,0,0,COUNTA([14]c1!$G$12:$G$31),1)</definedName>
    <definedName name="Date" localSheetId="0">ImportantDisclosures!$A$8</definedName>
    <definedName name="DCF_EY1">[5]DCF_VDF!$D$1:$D$65536</definedName>
    <definedName name="DCF_EY10">[5]DCF_VDF!$M$1:$M$65536</definedName>
    <definedName name="DCF_EY14">[5]DCF_VDF!$Q$1:$Q$65536</definedName>
    <definedName name="DCF_EY15">[5]DCF_VDF!$R$1:$R$65536</definedName>
    <definedName name="DCF_EY2">[5]DCF_VDF!$E$1:$E$65536</definedName>
    <definedName name="DCF_EY24">[5]DCF_VDF!$AA$1:$AA$65536</definedName>
    <definedName name="DCF_EY25">[5]DCF_VDF!$AB$1:$AB$65536</definedName>
    <definedName name="DCF_EY3">[5]DCF_VDF!$F$1:$F$65536</definedName>
    <definedName name="DCF_EY4">[5]DCF_VDF!$G$1:$G$65536</definedName>
    <definedName name="DCF_EY5">[5]DCF_VDF!$H$1:$H$65536</definedName>
    <definedName name="DCF_EY9">[5]DCF_VDF!$L$1:$L$65536</definedName>
    <definedName name="DCF_P">[5]DCF_VDF!$C$1:$C$65536</definedName>
    <definedName name="Debt_growth">[5]NOPAT_VDF!$M$153:$Q$153</definedName>
    <definedName name="Deleted" localSheetId="5">IndexInformation!$B$27</definedName>
    <definedName name="dep">[8]GS_DCF!$Y$8:$AH$8</definedName>
    <definedName name="Dep_and_Amort">[5]NOPAT_VDF!$C$100:$AU$100</definedName>
    <definedName name="Depreciation">[11]Depreciation!$A$7:$IV$7</definedName>
    <definedName name="Description" localSheetId="5">IndexInformation!$B$7</definedName>
    <definedName name="Discipline" localSheetId="5">IndexInformation!$B$3</definedName>
    <definedName name="DISCIPLINE" localSheetId="6">ModPubIndex!$A$12</definedName>
    <definedName name="DisclosuresText">ImportantDisclosures!$A$22</definedName>
    <definedName name="Discount_factor">[15]DCF!$A$21:$IV$21</definedName>
    <definedName name="Distribution" localSheetId="5">IndexInformation!$B$26</definedName>
    <definedName name="DistTable" localSheetId="0">ImportantDisclosures!#REF!</definedName>
    <definedName name="DistTablePreamble" localSheetId="0">ImportantDisclosures!#REF!</definedName>
    <definedName name="Djzh15" xlm="1" functionGroupId="14">0</definedName>
    <definedName name="Djzh16" xlm="1" functionGroupId="14">0</definedName>
    <definedName name="Djzh17" xlm="1" functionGroupId="18">0</definedName>
    <definedName name="Djzh18" xlm="1" functionGroupId="18">0</definedName>
    <definedName name="DOCDAT" localSheetId="6">ModPubIndex!$A$2</definedName>
    <definedName name="DOCTIME" localSheetId="6">ModPubIndex!$A$3</definedName>
    <definedName name="DocType" localSheetId="5">IndexInformation!$B$5</definedName>
    <definedName name="DSDDE_Path">'[9]DDETABLE '!$AD$3</definedName>
    <definedName name="ebit">[8]GS_DCF!$Y$7:$AH$7</definedName>
    <definedName name="EBIT_margin">[5]NOPAT_VDF!$C$111:$AU$111</definedName>
    <definedName name="EBITA">[5]NOPAT_VDF!$C$101:$AZ$101</definedName>
    <definedName name="EBITDA">[5]NOPAT_VDF!$C$102:$AE$102</definedName>
    <definedName name="EBITDA_DCF">[5]DCF_VDF!$C$15:$AZ$15</definedName>
    <definedName name="EBITDA_margin">[5]NOPAT_VDF!$C$109:$AZ$109</definedName>
    <definedName name="ecom_costs">[16]PROFSVC!$A$20:$Q$20</definedName>
    <definedName name="ecom_gm">[16]PROFSVC!$A$23:$Q$23</definedName>
    <definedName name="ecom_gp">[16]PROFSVC!$A$22:$Q$22</definedName>
    <definedName name="ecom_revs">[16]PROFSVC!$A$18:$Q$18</definedName>
    <definedName name="EMAIL_ALERT" localSheetId="6">ModPubIndex!$A$10</definedName>
    <definedName name="EmailAlert" localSheetId="5">IndexInformation!$B$28</definedName>
    <definedName name="EPS">[5]NOPAT_VDF!$C$96:$AU$96</definedName>
    <definedName name="Excel_Version">'[9]DDETABLE '!$AD$8</definedName>
    <definedName name="Excess_cash">'[5]Invested capital_VDF'!$C$5:$AE$5</definedName>
    <definedName name="ExtFiles">'[9]DDETABLE '!$AG$2:$AG$10</definedName>
    <definedName name="FAMERangeKRI_BALAL99">[7]EVA1!$T$93:$T$93</definedName>
    <definedName name="FAMERangeKRI_BALAM99">[7]EVA1!$U$93:$U$93</definedName>
    <definedName name="FAMERangeKRI_BALAN99">[7]EVA1!$V$93:$V$93</definedName>
    <definedName name="FINOptions">"0,0,1,1,1,0,0,-1,0,0,2,0,"</definedName>
    <definedName name="FiveYearGrowthRate" localSheetId="5">IndexInformation!$B$16</definedName>
    <definedName name="Fixed_asset_turns">'[5]Invested capital_VDF'!$C$99:$AU$99</definedName>
    <definedName name="FollowingYearEPS" localSheetId="5">IndexInformation!$B$15</definedName>
    <definedName name="FollowingYearTotalRevenue" localSheetId="5">IndexInformation!$B$14</definedName>
    <definedName name="FollowingYearTotalRevenueActual" localSheetId="5">IndexInformation!$B$34</definedName>
    <definedName name="Formats">'[9]DDETABLE '!$AN$2:$AN$11</definedName>
    <definedName name="free">[8]GS_DCF!$Y$11:$AH$11</definedName>
    <definedName name="FREQS">'[9]DDETABLE '!$AP$2:$AP$6</definedName>
    <definedName name="FX">Valuation!$B$4</definedName>
    <definedName name="Glossary">[17]Summary!$Q$17</definedName>
    <definedName name="Gross_income">[5]NOPAT_VDF!$C$10:$AE$10</definedName>
    <definedName name="Growth">[6]Depreciation!$C$229</definedName>
    <definedName name="Growth_97">[6]Depreciation!$AD$229</definedName>
    <definedName name="Growth_98">[6]Depreciation!$AE$229</definedName>
    <definedName name="Growth_99">[6]Depreciation!$AF$229</definedName>
    <definedName name="Handset_revs">[11]Revenues!$A$63:$IV$63</definedName>
    <definedName name="HL" localSheetId="6">ModPubIndex!$A$8</definedName>
    <definedName name="IC_1">'[5]Invested capital_VDF'!$P$1:$P$65536</definedName>
    <definedName name="IC_2">'[5]Invested capital_VDF'!$O$1:$O$65536</definedName>
    <definedName name="IC_P">'[5]Invested capital_VDF'!$Q$1:$Q$65536</definedName>
    <definedName name="IC_P1">'[5]Invested capital_VDF'!$R$1:$R$65536</definedName>
    <definedName name="IC_P2">'[5]Invested capital_VDF'!$S$1:$S$65536</definedName>
    <definedName name="IC_P3">'[5]Invested capital_VDF'!$T$1:$T$65536</definedName>
    <definedName name="Income_equivalents">[5]NOPAT_VDF!$C$30:$AZ$30</definedName>
    <definedName name="Income_from_Unconsolidated_Subs">[5]NOPAT_VDF!$C$48:$AZ$48</definedName>
    <definedName name="Income_tax">[5]NOPAT_VDF!$C$34:$AE$34</definedName>
    <definedName name="Increase_Capitalized_R_D_net">[5]NOPAT_VDF!$C$22:$AZ$22</definedName>
    <definedName name="IND" localSheetId="6">ModPubIndex!$A$9</definedName>
    <definedName name="index">[18]Sheet1!$A$1:$B$15</definedName>
    <definedName name="Industry" localSheetId="0">ImportantDisclosures!$A$12</definedName>
    <definedName name="IndustryId">IndexInformation!$B$40</definedName>
    <definedName name="IndustryRating" localSheetId="0">ImportantDisclosures!$A$13</definedName>
    <definedName name="interest_expense">[11]PNL!$A$35:$IV$35</definedName>
    <definedName name="Interest_expense_income">[5]NOPAT_VDF!$C$63:$AE$63</definedName>
    <definedName name="interest_income">[11]PNL!$A$34:$IV$34</definedName>
    <definedName name="Invested_capital">'[5]Invested capital_VDF'!$C$87:$AE$87</definedName>
    <definedName name="Invested_capital_DCF">[5]DCF_VDF!$C$77:$AZ$77</definedName>
    <definedName name="Invested_capital_turns">'[5]Invested capital_VDF'!$C$102:$AU$102</definedName>
    <definedName name="Invested_capital_turns_DCF">[5]DCF_VDF!$C$83:$AZ$83</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L_DATE_SCHEDULE" hidden="1">"c2481"</definedName>
    <definedName name="IQ_CALL_FEATURE" hidden="1">"c2197"</definedName>
    <definedName name="IQ_CALL_PRICE_SCHEDULE" hidden="1">"c2482"</definedName>
    <definedName name="IQ_CALLABLE" hidden="1">"c2196"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SH" hidden="1">"c1458"</definedName>
    <definedName name="IQ_CASH_ACQUIRE_CF" hidden="1">"c116"</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PAYOUT" hidden="1">"c3005"</definedName>
    <definedName name="IQ_DISTRIBUTABLE_CASH_SHARE" hidden="1">"c3003"</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INT" hidden="1">"c360"</definedName>
    <definedName name="IQ_EBIT_MARGIN" hidden="1">"c359"</definedName>
    <definedName name="IQ_EBIT_OVER_IE" hidden="1">"c1369"</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INT" hidden="1">"c373"</definedName>
    <definedName name="IQ_EBITDA_MARGIN" hidden="1">"c372"</definedName>
    <definedName name="IQ_EBITDA_OVER_TOTAL_IE" hidden="1">"c1371"</definedName>
    <definedName name="IQ_EBITDAR" hidden="1">"c2989"</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NORM" hidden="1">"c1902"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H" hidden="1">100000</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LTMMONTH" hidden="1">120000</definedName>
    <definedName name="IQ_MACHINERY" hidden="1">"c711"</definedName>
    <definedName name="IQ_MAINT_CAPEX" hidden="1">"c2947"</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M_ACCOUNT" hidden="1">"c743"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MTD" hidden="1">800000</definedName>
    <definedName name="IQ_NAMES_REVISION_DATE_" hidden="1">41864.6516550926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"c1448"</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"c1023"</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NORMALIZED" hidden="1">"c2207"</definedName>
    <definedName name="IQ_PE_RATIO" hidden="1">"c1610"</definedName>
    <definedName name="IQ_PENSION" hidden="1">"c1031"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ICE_OVER_BVPS" hidden="1">"c1412"</definedName>
    <definedName name="IQ_PRICE_OVER_LTM_EPS" hidden="1">"c1413"</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UTI" hidden="1">"c1125"</definedName>
    <definedName name="IQ_REVENUE" hidden="1">"c1422"</definedName>
    <definedName name="IQ_REVISION_DATE_" hidden="1">39143.5075347222</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MPLOYEE_AVG" hidden="1">"c1225"</definedName>
    <definedName name="IQ_TEV_TOTAL_REV" hidden="1">"c1226"</definedName>
    <definedName name="IQ_TEV_TOTAL_REV_AVG" hidden="1">"c1227"</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Ke">[5]WACC_VDF!$D$11</definedName>
    <definedName name="KeepVersions" localSheetId="5">IndexInformation!$B$8</definedName>
    <definedName name="LanguageCode">IndexInformation!$B$38</definedName>
    <definedName name="Last_Update">'[9]DDETABLE '!$E$9</definedName>
    <definedName name="LastCell" localSheetId="0">ImportantDisclosures!$A$22</definedName>
    <definedName name="Linking_17">Model!$BV$114:$CC$161</definedName>
    <definedName name="Linking_29">#N/A</definedName>
    <definedName name="Linking_39">'[10]Cloud business'!$F$87:$K$93</definedName>
    <definedName name="Linking_40">'[10]Cloud business'!$F$87:$K$94</definedName>
    <definedName name="Linking_55">Valuation!$B$17:$R$42</definedName>
    <definedName name="Linking_56">#N/A</definedName>
    <definedName name="Linking_57">Valuation!$B$17:$T$42</definedName>
    <definedName name="Linking_64">Valuation!$T$2:$X$14</definedName>
    <definedName name="Linking_66">Valuation!$T$2:$X$14</definedName>
    <definedName name="Linking_71">Valuation!$B$66:$L$74</definedName>
    <definedName name="Linking_72">0.559269831730769</definedName>
    <definedName name="Linking_73">Valuation!$T$2:$X$13</definedName>
    <definedName name="Linking_74">250</definedName>
    <definedName name="Linking_Range_1">[2]Charts!$A$77:$C$84</definedName>
    <definedName name="Linking_Range_112">Model!$BG$940:$BG$956</definedName>
    <definedName name="Linking_Range_113">Model!$BI$940:$BP$956</definedName>
    <definedName name="Linking_Range_114">Model!$V$940:$AC$956</definedName>
    <definedName name="Linking_Range_115">Model!$AD$940:$AJ$956</definedName>
    <definedName name="Linking_Range_116">Model!$V$958:$AC$976</definedName>
    <definedName name="Linking_Range_123">Scenario!$N$260:$R$267</definedName>
    <definedName name="Linking_Range_2">[2]Charts!$A$76:$E$84</definedName>
    <definedName name="Linking_Range_22">Valuation!$B$17:$O$141</definedName>
    <definedName name="Linking_Range_28">Valuation!$B$17:$O$42</definedName>
    <definedName name="Linking_Range_29">Valuation!$B$17:$O$141</definedName>
    <definedName name="Linking_Range_38">Valuation!$L$143:$R$149</definedName>
    <definedName name="Linking_Range_76">'[10]Cloud business'!$F$104:$J$114</definedName>
    <definedName name="Linking_Range_85">Valuation!$B$17:$R$42</definedName>
    <definedName name="Linking_Range_86">Valuation!$L$143:$R$158</definedName>
    <definedName name="Linking_Text_2">[2]Charts!$B$142</definedName>
    <definedName name="Links">'[9]DDETABLE '!$AH$2</definedName>
    <definedName name="LiveReqs">'[9]DDETABLE '!$H$6</definedName>
    <definedName name="local_costs">[16]PROFSVC!$A$24:$Q$24</definedName>
    <definedName name="local_gm">[16]PROFSVC!$A$27:$Q$27</definedName>
    <definedName name="local_gp">[16]PROFSVC!$A$26:$Q$26</definedName>
    <definedName name="local_revs">[16]PROFSVC!$A$16:$Q$16</definedName>
    <definedName name="M_PlaceofPath" hidden="1">"\\SNYCEQT0100\HOME\LZURLO\DATA\TELMEX\Models\tmx_vdf.xls"</definedName>
    <definedName name="Macau_costs">[11]Macau!$A$33:$IV$33</definedName>
    <definedName name="Macau_revenues">[11]Macau!$A$31:$IV$31</definedName>
    <definedName name="MacroVersion" localSheetId="5">IndexInformation!$B$1</definedName>
    <definedName name="MemFree">'[9]DDETABLE '!$AD$11</definedName>
    <definedName name="MemTotal">'[9]DDETABLE '!$AD$10</definedName>
    <definedName name="minorities">[11]PNL!$A$39:$IV$39</definedName>
    <definedName name="ModelPrice" localSheetId="0">ImportantDisclosures!$A$14</definedName>
    <definedName name="Multiplier" localSheetId="5">IndexInformation!$B$35</definedName>
    <definedName name="Net_Income">[5]NOPAT_VDF!$C$94:$AZ$94</definedName>
    <definedName name="Net_margin">[5]NOPAT_VDF!$C$113:$AU$113</definedName>
    <definedName name="Net_sales">[5]NOPAT_VDF!$C$8:$AE$8</definedName>
    <definedName name="Net_sales_DCF">[5]DCF_VDF!$C$9:$AZ$9</definedName>
    <definedName name="Net_working_capital_turns">'[5]Invested capital_VDF'!$C$97:$AU$97</definedName>
    <definedName name="NextYearEPS" localSheetId="5">IndexInformation!$B$13</definedName>
    <definedName name="NextYearTotalRevenue" localSheetId="5">IndexInformation!$B$12</definedName>
    <definedName name="NextYearTotalRevenueActual" localSheetId="5">IndexInformation!$B$33</definedName>
    <definedName name="NOPAT">[5]NOPAT_VDF!$C$41:$AU$41</definedName>
    <definedName name="NOPAT_DCF">[5]DCF_VDF!$C$12:$AZ$12</definedName>
    <definedName name="NOPAT_margin">[5]NOPAT_VDF!$C$112:$AU$112</definedName>
    <definedName name="NOPBT">[5]NOPAT_VDF!$C$32:$AU$32</definedName>
    <definedName name="NPT_1">[5]NOPAT_VDF!$P$1:$P$65536</definedName>
    <definedName name="NPT_2">[5]NOPAT_VDF!$O$1:$O$65536</definedName>
    <definedName name="NPT_P">[5]NOPAT_VDF!$Q$1:$Q$65536</definedName>
    <definedName name="Number_ordinary_shares">'[11]Capital Structure'!$A$24:$IV$24</definedName>
    <definedName name="ObjectType">IndexInformation!$B$37</definedName>
    <definedName name="Off_B_S_Income">[5]NOPAT_VDF!$C$7:$AZ$7</definedName>
    <definedName name="Off_B_S_Income_DCF">[5]DCF_VDF!$C$8:$BZ$8</definedName>
    <definedName name="Off_High_Cov">[6]Depreciation!$N$231</definedName>
    <definedName name="official_ARPU">[11]Revenues!$A$84:$IV$84</definedName>
    <definedName name="OL_1">'[5]PV of Op Leases_VDF'!$AD$1:$AD$65536</definedName>
    <definedName name="OL_P">'[5]PV of Op Leases_VDF'!$AF$1:$AF$65536</definedName>
    <definedName name="Operating_Lease_Expense">[5]NOPAT_VDF!$C$23:$AZ$23</definedName>
    <definedName name="Operating_Sys">'[9]DDETABLE '!$AD$9</definedName>
    <definedName name="opex_customer_retention">[11]Costs!$A$62:$IV$62</definedName>
    <definedName name="opex_network">[11]Costs!$A$39:$IV$39</definedName>
    <definedName name="opex_other">[11]Costs!$A$66:$IV$66</definedName>
    <definedName name="opex_rental">[11]Costs!$A$43:$IV$43</definedName>
    <definedName name="opex_salaries">[11]Costs!$A$50:$IV$50</definedName>
    <definedName name="opex_sales_marketing">[11]Costs!$A$56:$IV$56</definedName>
    <definedName name="Other_asset_turns">'[5]Invested capital_VDF'!$A$101:$Z$101</definedName>
    <definedName name="Other_Expenses">[5]NOPAT_VDF!$C$59:$AZ$59</definedName>
    <definedName name="Other_expenses_gains">[5]NOPAT_VDF!$C$14:$AZ$14</definedName>
    <definedName name="Other_Income">[5]NOPAT_VDF!$C$58:$AZ$58</definedName>
    <definedName name="PANA" localSheetId="6">ModPubIndex!$A$11</definedName>
    <definedName name="PathName" localSheetId="5">IndexInformation!$B$25</definedName>
    <definedName name="Perf_97">[6]Depreciation!$O$227</definedName>
    <definedName name="Perf_98">[6]Depreciation!$P$227</definedName>
    <definedName name="Perf_99">[6]Depreciation!$Q$227</definedName>
    <definedName name="PNL_extraordinary_items">[11]PNL!$A$29:$IV$29</definedName>
    <definedName name="PNL_other_income">[11]PNL!$A$36:$IV$36</definedName>
    <definedName name="Present_Value_Oper_lease">'[5]PV of Op Leases_VDF'!$C$51:$AW$51</definedName>
    <definedName name="Pretax_income">[5]NOPAT_VDF!$C$90:$AE$90</definedName>
    <definedName name="_xlnm.Print_Area" localSheetId="3">Model!$B$3:$AW$591</definedName>
    <definedName name="_xlnm.Print_Area" localSheetId="2">Scenario!$B:$R</definedName>
    <definedName name="_xlnm.Print_Area" localSheetId="4">Valuation!$B$2:$CE$268</definedName>
    <definedName name="_xlnm.Print_Titles" localSheetId="3">Model!$3:$334</definedName>
    <definedName name="_xlnm.Print_Titles" localSheetId="2">Scenario!$5:$5</definedName>
    <definedName name="_xlnm.Print_Titles" localSheetId="4">Valuation!$2:$3</definedName>
    <definedName name="PRODUCT" localSheetId="6">ModPubIndex!$A$6</definedName>
    <definedName name="ProjectName">{"Client Name or Project Name"}</definedName>
    <definedName name="PSYM" localSheetId="6">ModPubIndex!$A$4</definedName>
    <definedName name="PublishDate" localSheetId="5">IndexInformation!$B$2</definedName>
    <definedName name="R_D_amort_years">'[5]Invested capital_VDF'!$A$34</definedName>
    <definedName name="R_D_Amortization">'[5]Invested capital_VDF'!$C$31:$AU$31</definedName>
    <definedName name="R_D_expense">'[5]Invested capital_VDF'!$C$28:$AZ$28</definedName>
    <definedName name="Rating" localSheetId="5">IndexInformation!$B$9</definedName>
    <definedName name="RatingsDefined" localSheetId="0">ImportantDisclosures!$A$21</definedName>
    <definedName name="RatingsDefs" localSheetId="0">ImportantDisclosures!#REF!</definedName>
    <definedName name="RegACDisclosure" localSheetId="0">ImportantDisclosures!#REF!</definedName>
    <definedName name="reqdetails">'[9]DDETABLE '!$O$15:$T$345</definedName>
    <definedName name="Required_cash_percent">'[5]Invested capital_VDF'!$A$9</definedName>
    <definedName name="ResearchTopic" localSheetId="5">IndexInformation!$B$4</definedName>
    <definedName name="revs_cellular_total">[11]Revenues!$A$80:$IV$80</definedName>
    <definedName name="revs_internet">[11]Revenues!$A$134:$IV$134</definedName>
    <definedName name="revs_other">[11]Revenues!$A$136:$IV$136</definedName>
    <definedName name="RIC" localSheetId="5">IndexInformation!$B$21</definedName>
    <definedName name="Rmb_USD">Valuation!$B$4</definedName>
    <definedName name="RnD_expense">'[5]Invested capital_VDF'!$C$28:$AZ$28</definedName>
    <definedName name="rs">'[19]Dem-HH'!$I$13</definedName>
    <definedName name="Schedule">'[9]DDETABLE '!$E$5</definedName>
    <definedName name="Scroll_Data">OFFSET([12]Transform!$J$6,[12]Transform!$K$2,0,[12]Transform!$K$3,1)</definedName>
    <definedName name="Scroll_Data_y1">OFFSET([12]Transform!$K$6,[12]Transform!$K$2,0,[12]Transform!$K$3,1)</definedName>
    <definedName name="Scroll_Data_y2">OFFSET([12]Transform!$M$6,[12]Transform!$K$2,0,[12]Transform!$K$3,1)</definedName>
    <definedName name="Scroll_Data_y3">OFFSET([12]Transform!$O$6,[12]Transform!$K$2,0,[12]Transform!$K$3,1)</definedName>
    <definedName name="SECSettlement" localSheetId="0">ImportantDisclosures!#REF!</definedName>
    <definedName name="SEDOL" localSheetId="5">IndexInformation!$B$22</definedName>
    <definedName name="Segment1_income">[5]NOPAT_VDF!$C$5:$AZ$5</definedName>
    <definedName name="Segment1_income_DCF">[5]DCF_VDF!$C$6:$BZ$6</definedName>
    <definedName name="Segment2_income">[5]NOPAT_VDF!$C$6:$AZ$6</definedName>
    <definedName name="Segment2_income_DCF">[5]DCF_VDF!$C$7:$BZ$7</definedName>
    <definedName name="sencount" hidden="1">1</definedName>
    <definedName name="Setup">'[9]DDETABLE '!$AC$2</definedName>
    <definedName name="sFormat">'[9]DDETABLE '!$AQ$4</definedName>
    <definedName name="sFreq">'[9]DDETABLE '!$AQ$5</definedName>
    <definedName name="SGA">[5]NOPAT_VDF!$C$12:$AE$12</definedName>
    <definedName name="Shares_DCF">[5]DCF_VDF!$C$37:$AZ$37</definedName>
    <definedName name="Shares_growth">[5]NOPAT_VDF!$M$151:$Q$151</definedName>
    <definedName name="ShowDetails">'[9]DDETABLE '!$AH$13</definedName>
    <definedName name="SourceDefined" localSheetId="0">ImportantDisclosures!$A$19</definedName>
    <definedName name="sTable">'[9]DDETABLE '!$AJ$2:$AQ$11</definedName>
    <definedName name="StockRating" localSheetId="0">ImportantDisclosures!$A$11</definedName>
    <definedName name="sTopic">'[9]DDETABLE '!$AQ$3</definedName>
    <definedName name="SubjectCode" localSheetId="5">IndexInformation!$B$6</definedName>
    <definedName name="SubmitterUserId">IndexInformation!$B$39</definedName>
    <definedName name="Subs_total">[11]Revenues!$A$25:$IV$25</definedName>
    <definedName name="SUPPRESSED" localSheetId="6">ModPubIndex!$A$13</definedName>
    <definedName name="sYesNo">'[9]DDETABLE '!$AQ$2</definedName>
    <definedName name="TableName">'[9]DDETABLE '!$E$6</definedName>
    <definedName name="TargetPrice" localSheetId="0">ImportantDisclosures!$A$15</definedName>
    <definedName name="Tax_expense">[11]PNL!$A$38:$IV$38</definedName>
    <definedName name="TemplateRegion">IndexInformation!$B$36</definedName>
    <definedName name="TestAdd">"Test RefersTo1"</definedName>
    <definedName name="Ticker" localSheetId="0">ImportantDisclosures!$A$10</definedName>
    <definedName name="TickerRegion">IndexInformation!$B$41</definedName>
    <definedName name="Tickers" localSheetId="5">IndexInformation!$B$19</definedName>
    <definedName name="Title">'[9]DDETABLE '!$E$8</definedName>
    <definedName name="Topics">'[9]DDETABLE '!$AL$2:$AL$3</definedName>
    <definedName name="Total_Amortization">[5]NOPAT_VDF!$C$18:$AZ$18</definedName>
    <definedName name="Total_COS">[5]NOPAT_VDF!$C$9:$AZ$9</definedName>
    <definedName name="Total_debt">'[5]Invested capital_VDF'!$C$61:$AU$61</definedName>
    <definedName name="Total_debt_DCF">[5]DCF_VDF!$C$35:$AZ$35</definedName>
    <definedName name="TotalReqs">'[9]DDETABLE '!$H$5</definedName>
    <definedName name="TotalTime">'[9]DDETABLE '!$H$7</definedName>
    <definedName name="UpdateReason" localSheetId="5">IndexInformation!$B$17</definedName>
    <definedName name="USD_RMB_2005">'[20]Control Sheet'!$D$3</definedName>
    <definedName name="USD_RMB_2006">'[20]Control Sheet'!$D$4</definedName>
    <definedName name="USD_RMB_20071H">'[20]Control Sheet'!$D$5</definedName>
    <definedName name="USD_RMB_20072H">'[20]Control Sheet'!$D$6</definedName>
    <definedName name="USRegDisclosures" localSheetId="0">ImportantDisclosures!#REF!</definedName>
    <definedName name="WACC">[15]DCF!$G$45</definedName>
    <definedName name="WACC_fore">[5]WACC_VDF!$J$21</definedName>
    <definedName name="WACC_P">'[5]Income Statement_VDF'!$R$44</definedName>
    <definedName name="WACC_P_1">[5]WACC_VDF!$U$23</definedName>
    <definedName name="wk">[8]GS_DCF!$Y$9:$AH$9</definedName>
    <definedName name="Wrapper" localSheetId="4">Valuation!Wrapper</definedName>
    <definedName name="Wrapper">[10]EBITDA!Wrapper</definedName>
    <definedName name="wsd" hidden="1">{"fdsup://directions/FAT%20Viewer?VAR:PED=LTM&amp;VAR:PERIOD=FIXED&amp;VAR:V=11.895150&amp;VAR:PCT=Y&amp;VAR:AUDIT_ID=00000117&amp;VAR:DATE=20100430&amp;action=UPDATE&amp;creator=factset&amp;DOC_NAME=FAT:FMA_audit_SUMMARY.fat&amp;DISPLAY_STRING=Display Audit for Return on Equity&amp;DYN_ARGS=TRUE","&amp;WINDOW=first_popup&amp;START_MAXIMIZED=FALSE&amp;WIDTH=500&amp;HEIGHT=525&amp;TITLEBAR=FactSet Market Aggregates&amp;VAR:MEASURE=ROE&amp;VAR:CALC_MODE=PORTFOLIO&amp;VAR:CHGPERIOD=NA&amp;VAR:FQLFORMULA=FMA_ROE&amp;VAR:CURRENCY=USD&amp;VAR:P=NA&amp;VAR:THRESH=||||&amp;VAR:null=.html"}</definedName>
    <definedName name="x_axis">OFFSET([12]Transform!$J$7,0,0,[12]Transform!$J$5,1)</definedName>
    <definedName name="y_axis1">OFFSET([12]Transform!$K$7,0,0,[12]Transform!$J$5,1)</definedName>
    <definedName name="y_axis2">OFFSET([12]Transform!$M$7,0,0,[12]Transform!$J$5,1)</definedName>
    <definedName name="y_axis3">OFFSET([12]Transform!$O$7,0,0,[12]Transform!$J$5,1)</definedName>
    <definedName name="YesNo">'[9]DDETABLE '!$AK$2:$AK$3</definedName>
  </definedNames>
  <calcPr calcId="145621" iterate="1"/>
</workbook>
</file>

<file path=xl/calcChain.xml><?xml version="1.0" encoding="utf-8"?>
<calcChain xmlns="http://schemas.openxmlformats.org/spreadsheetml/2006/main">
  <c r="O76" i="1" l="1"/>
  <c r="P76" i="1" s="1"/>
  <c r="Q76" i="1" s="1"/>
  <c r="R76" i="1" s="1"/>
  <c r="N72" i="1"/>
  <c r="L366" i="1" l="1"/>
  <c r="BD366" i="1" s="1"/>
  <c r="BA587" i="1"/>
  <c r="BC366" i="1" l="1"/>
  <c r="BA508" i="1"/>
  <c r="AT182" i="1" l="1"/>
  <c r="B160" i="1"/>
  <c r="AO157" i="1"/>
  <c r="U143" i="1"/>
  <c r="V143" i="1"/>
  <c r="W143" i="1"/>
  <c r="X143" i="1"/>
  <c r="Y143" i="1"/>
  <c r="V86" i="1"/>
  <c r="W86" i="1"/>
  <c r="X86" i="1"/>
  <c r="Y86" i="1"/>
  <c r="Z86" i="1"/>
  <c r="AA86" i="1"/>
  <c r="AB86" i="1"/>
  <c r="AC86" i="1"/>
  <c r="AD86" i="1"/>
  <c r="AE86" i="1"/>
  <c r="AF86" i="1"/>
  <c r="AG86" i="1"/>
  <c r="AH86" i="1"/>
  <c r="AI86" i="1"/>
  <c r="AJ86" i="1"/>
  <c r="AK86" i="1"/>
  <c r="AL86" i="1"/>
  <c r="AM86" i="1"/>
  <c r="AN86" i="1"/>
  <c r="AO86" i="1"/>
  <c r="V33" i="1" l="1"/>
  <c r="W33" i="1"/>
  <c r="X33" i="1"/>
  <c r="Y33" i="1"/>
  <c r="Z33" i="1"/>
  <c r="AA33" i="1"/>
  <c r="AB33" i="1"/>
  <c r="AC33" i="1"/>
  <c r="AD33" i="1"/>
  <c r="AE33" i="1"/>
  <c r="AF33" i="1"/>
  <c r="AG33" i="1"/>
  <c r="AH33" i="1"/>
  <c r="AI33" i="1"/>
  <c r="AJ33" i="1"/>
  <c r="AK33" i="1"/>
  <c r="AL33" i="1"/>
  <c r="AM33" i="1"/>
  <c r="AN33" i="1"/>
  <c r="AO33" i="1"/>
  <c r="V529" i="1"/>
  <c r="W529" i="1"/>
  <c r="X529" i="1"/>
  <c r="Y529" i="1"/>
  <c r="V530" i="1"/>
  <c r="W530" i="1"/>
  <c r="X530" i="1"/>
  <c r="Y530" i="1"/>
  <c r="V531" i="1"/>
  <c r="W531" i="1"/>
  <c r="X531" i="1"/>
  <c r="Y531" i="1"/>
  <c r="V532" i="1"/>
  <c r="W532" i="1"/>
  <c r="X532" i="1"/>
  <c r="Y532" i="1"/>
  <c r="V534" i="1"/>
  <c r="W534" i="1"/>
  <c r="X534" i="1"/>
  <c r="Y534" i="1"/>
  <c r="V535" i="1"/>
  <c r="W535" i="1"/>
  <c r="X535" i="1"/>
  <c r="Y535" i="1"/>
  <c r="V536" i="1"/>
  <c r="W536" i="1"/>
  <c r="X536" i="1"/>
  <c r="Y536" i="1"/>
  <c r="B532" i="1"/>
  <c r="B530" i="1"/>
  <c r="B531" i="1"/>
  <c r="B529" i="1"/>
  <c r="V520" i="1"/>
  <c r="W520" i="1"/>
  <c r="X520" i="1"/>
  <c r="Y520" i="1"/>
  <c r="V521" i="1"/>
  <c r="W521" i="1"/>
  <c r="X521" i="1"/>
  <c r="Y521" i="1"/>
  <c r="V522" i="1"/>
  <c r="W522" i="1"/>
  <c r="W528" i="1" s="1"/>
  <c r="X522" i="1"/>
  <c r="X528" i="1" s="1"/>
  <c r="Y522" i="1"/>
  <c r="V523" i="1"/>
  <c r="V527" i="1" s="1"/>
  <c r="W523" i="1"/>
  <c r="W527" i="1" s="1"/>
  <c r="X523" i="1"/>
  <c r="X527" i="1" s="1"/>
  <c r="Y523" i="1"/>
  <c r="Y527" i="1" s="1"/>
  <c r="V524" i="1"/>
  <c r="W524" i="1"/>
  <c r="X524" i="1"/>
  <c r="Y524" i="1"/>
  <c r="V525" i="1"/>
  <c r="W525" i="1"/>
  <c r="X525" i="1"/>
  <c r="Y525" i="1"/>
  <c r="V526" i="1"/>
  <c r="W526" i="1"/>
  <c r="X526" i="1"/>
  <c r="Y526" i="1"/>
  <c r="V528" i="1"/>
  <c r="Y528" i="1"/>
  <c r="C526" i="1"/>
  <c r="V427" i="1"/>
  <c r="W427" i="1"/>
  <c r="X427" i="1"/>
  <c r="Y427" i="1"/>
  <c r="V428" i="1"/>
  <c r="W428" i="1"/>
  <c r="X428" i="1"/>
  <c r="Y428" i="1"/>
  <c r="V429" i="1"/>
  <c r="W429" i="1"/>
  <c r="X429" i="1"/>
  <c r="Y429" i="1"/>
  <c r="V401" i="1"/>
  <c r="W401" i="1"/>
  <c r="X401" i="1"/>
  <c r="Y401" i="1"/>
  <c r="V402" i="1"/>
  <c r="W402" i="1"/>
  <c r="X402" i="1"/>
  <c r="Y402" i="1"/>
  <c r="V403" i="1"/>
  <c r="W403" i="1"/>
  <c r="X403" i="1"/>
  <c r="Y403" i="1"/>
  <c r="V404" i="1"/>
  <c r="W404" i="1"/>
  <c r="W410" i="1" s="1"/>
  <c r="W411" i="1" s="1"/>
  <c r="X404" i="1"/>
  <c r="X410" i="1" s="1"/>
  <c r="Y404" i="1"/>
  <c r="Y410" i="1" s="1"/>
  <c r="V405" i="1"/>
  <c r="W405" i="1"/>
  <c r="X405" i="1"/>
  <c r="Y405" i="1"/>
  <c r="V406" i="1"/>
  <c r="W406" i="1"/>
  <c r="X406" i="1"/>
  <c r="Y406" i="1"/>
  <c r="V407" i="1"/>
  <c r="W407" i="1"/>
  <c r="X407" i="1"/>
  <c r="Y407" i="1"/>
  <c r="V408" i="1"/>
  <c r="W408" i="1"/>
  <c r="X408" i="1"/>
  <c r="Y408" i="1"/>
  <c r="V409" i="1"/>
  <c r="W409" i="1"/>
  <c r="X409" i="1"/>
  <c r="Y409" i="1"/>
  <c r="V410" i="1"/>
  <c r="V411" i="1" s="1"/>
  <c r="V412" i="1"/>
  <c r="W412" i="1"/>
  <c r="X412" i="1"/>
  <c r="Y412" i="1"/>
  <c r="V413" i="1"/>
  <c r="W413" i="1"/>
  <c r="X413" i="1"/>
  <c r="Y413" i="1"/>
  <c r="V414" i="1"/>
  <c r="W414" i="1"/>
  <c r="X414" i="1"/>
  <c r="Y414" i="1"/>
  <c r="V415" i="1"/>
  <c r="W415" i="1"/>
  <c r="X415" i="1"/>
  <c r="Y415" i="1"/>
  <c r="V416" i="1"/>
  <c r="W416" i="1"/>
  <c r="X416" i="1"/>
  <c r="Y416" i="1"/>
  <c r="V417" i="1"/>
  <c r="W417" i="1"/>
  <c r="X417" i="1"/>
  <c r="Y417" i="1"/>
  <c r="V418" i="1"/>
  <c r="W418" i="1"/>
  <c r="X418" i="1"/>
  <c r="Y418" i="1"/>
  <c r="V419" i="1"/>
  <c r="W419" i="1"/>
  <c r="X419" i="1"/>
  <c r="Y419" i="1"/>
  <c r="V420" i="1"/>
  <c r="W420" i="1"/>
  <c r="X420" i="1"/>
  <c r="Y420" i="1"/>
  <c r="V421" i="1"/>
  <c r="W421" i="1"/>
  <c r="X421" i="1"/>
  <c r="Y421" i="1"/>
  <c r="V422" i="1"/>
  <c r="W422" i="1"/>
  <c r="X422" i="1"/>
  <c r="Y422" i="1"/>
  <c r="V423" i="1"/>
  <c r="W423" i="1"/>
  <c r="X423" i="1"/>
  <c r="Y423" i="1"/>
  <c r="V424" i="1"/>
  <c r="W424" i="1"/>
  <c r="X424" i="1"/>
  <c r="Y424" i="1"/>
  <c r="V425" i="1"/>
  <c r="W425" i="1"/>
  <c r="X425" i="1"/>
  <c r="Y425" i="1"/>
  <c r="C424" i="1"/>
  <c r="C416" i="1"/>
  <c r="C413" i="1"/>
  <c r="C414" i="1"/>
  <c r="C412" i="1"/>
  <c r="B413" i="1"/>
  <c r="B414" i="1"/>
  <c r="B415" i="1"/>
  <c r="B416" i="1"/>
  <c r="B412" i="1"/>
  <c r="C408" i="1"/>
  <c r="C409" i="1"/>
  <c r="C407" i="1"/>
  <c r="C405" i="1"/>
  <c r="C406" i="1"/>
  <c r="C404" i="1"/>
  <c r="C402" i="1"/>
  <c r="B411" i="1"/>
  <c r="C401" i="1"/>
  <c r="C393" i="1"/>
  <c r="N393" i="1"/>
  <c r="O393" i="1" s="1"/>
  <c r="P393" i="1" s="1"/>
  <c r="Q393" i="1" s="1"/>
  <c r="R393" i="1" s="1"/>
  <c r="E481" i="1"/>
  <c r="F481" i="1"/>
  <c r="G481" i="1"/>
  <c r="Y411" i="1" l="1"/>
  <c r="C410" i="1"/>
  <c r="X411" i="1"/>
  <c r="BC397" i="1" l="1"/>
  <c r="BD397" i="1" s="1"/>
  <c r="Q117" i="17"/>
  <c r="R117" i="17" s="1"/>
  <c r="N302" i="1"/>
  <c r="BB369" i="1"/>
  <c r="M366" i="1"/>
  <c r="N366" i="1" l="1"/>
  <c r="O366" i="1" s="1"/>
  <c r="P366" i="1" s="1"/>
  <c r="Q366" i="1" s="1"/>
  <c r="R366" i="1" s="1"/>
  <c r="BE366" i="1"/>
  <c r="L369" i="1"/>
  <c r="K586" i="1"/>
  <c r="L74" i="17"/>
  <c r="M74" i="17"/>
  <c r="O584" i="1" l="1"/>
  <c r="P584" i="1" s="1"/>
  <c r="Q584" i="1" s="1"/>
  <c r="R584" i="1" s="1"/>
  <c r="AZ563" i="1" l="1"/>
  <c r="AZ352" i="1"/>
  <c r="Y325" i="94"/>
  <c r="Z325" i="94"/>
  <c r="AZ570" i="1"/>
  <c r="AZ577" i="1"/>
  <c r="AZ583" i="1"/>
  <c r="AZ564" i="1"/>
  <c r="AZ565" i="1"/>
  <c r="AZ566" i="1"/>
  <c r="AZ515" i="1"/>
  <c r="AZ504" i="1"/>
  <c r="AZ508" i="1"/>
  <c r="AZ510" i="1"/>
  <c r="AZ477" i="1"/>
  <c r="AZ478" i="1"/>
  <c r="AZ479" i="1"/>
  <c r="AZ480" i="1"/>
  <c r="AZ489" i="1"/>
  <c r="AZ490" i="1"/>
  <c r="AZ491" i="1"/>
  <c r="AZ492" i="1"/>
  <c r="AZ493" i="1"/>
  <c r="AZ337" i="1"/>
  <c r="AZ344" i="1"/>
  <c r="AZ345" i="1"/>
  <c r="AZ346" i="1"/>
  <c r="AZ351" i="1"/>
  <c r="AZ356" i="1"/>
  <c r="AZ357" i="1"/>
  <c r="AZ358" i="1"/>
  <c r="AZ360" i="1"/>
  <c r="AZ362" i="1"/>
  <c r="AZ363" i="1"/>
  <c r="AZ364" i="1"/>
  <c r="AZ365" i="1"/>
  <c r="AZ367" i="1"/>
  <c r="AZ368" i="1"/>
  <c r="AZ369" i="1"/>
  <c r="AZ373" i="1"/>
  <c r="AZ386" i="1"/>
  <c r="AZ387" i="1"/>
  <c r="AZ321" i="1"/>
  <c r="AZ310" i="1"/>
  <c r="AZ289" i="1"/>
  <c r="AZ284" i="1"/>
  <c r="AZ279" i="1"/>
  <c r="BA280" i="1" s="1"/>
  <c r="AZ254" i="1"/>
  <c r="AZ232" i="1"/>
  <c r="AZ224" i="1"/>
  <c r="Z355" i="94"/>
  <c r="Z356" i="94"/>
  <c r="AZ220" i="1"/>
  <c r="AZ200" i="1"/>
  <c r="AZ201" i="1"/>
  <c r="AZ169" i="1"/>
  <c r="AZ170" i="1"/>
  <c r="AZ171" i="1"/>
  <c r="AZ162" i="1"/>
  <c r="AZ153" i="1"/>
  <c r="AZ106" i="1"/>
  <c r="AZ62" i="1"/>
  <c r="AZ63" i="1"/>
  <c r="AZ64" i="1"/>
  <c r="AZ65" i="1"/>
  <c r="AZ66" i="1"/>
  <c r="Z234" i="94"/>
  <c r="Z169" i="94"/>
  <c r="Z11" i="94"/>
  <c r="Z70" i="94" s="1"/>
  <c r="Z12" i="94"/>
  <c r="Z107" i="94"/>
  <c r="Z110" i="94"/>
  <c r="Z111" i="94"/>
  <c r="Z75" i="94"/>
  <c r="Z77" i="94"/>
  <c r="Z78" i="94"/>
  <c r="Z79" i="94"/>
  <c r="Z81" i="94"/>
  <c r="Z82" i="94"/>
  <c r="Z83" i="94"/>
  <c r="Z84" i="94"/>
  <c r="Z85" i="94"/>
  <c r="Z86" i="94"/>
  <c r="Z88" i="94"/>
  <c r="Z91" i="94"/>
  <c r="Z92" i="94"/>
  <c r="Z94" i="94"/>
  <c r="Z96" i="94"/>
  <c r="Z97" i="94"/>
  <c r="Z98" i="94"/>
  <c r="Z100" i="94"/>
  <c r="Z101" i="94"/>
  <c r="Z102" i="94"/>
  <c r="Z103" i="94"/>
  <c r="Z104" i="94"/>
  <c r="Z57" i="94"/>
  <c r="Z59" i="94" s="1"/>
  <c r="Z55" i="94" s="1"/>
  <c r="Z58" i="94"/>
  <c r="Z61" i="94"/>
  <c r="Z62" i="94"/>
  <c r="Z63" i="94"/>
  <c r="Z64" i="94"/>
  <c r="Z65" i="94"/>
  <c r="Z140" i="94"/>
  <c r="Z141" i="94"/>
  <c r="Z142" i="94"/>
  <c r="Z143" i="94"/>
  <c r="Z144" i="94"/>
  <c r="Z145" i="94"/>
  <c r="Z146" i="94"/>
  <c r="BE14" i="1"/>
  <c r="BD14" i="1"/>
  <c r="BC14" i="1"/>
  <c r="BB14" i="1"/>
  <c r="BA14" i="1"/>
  <c r="AY14" i="1"/>
  <c r="AX14" i="1"/>
  <c r="AW14" i="1"/>
  <c r="AV14" i="1"/>
  <c r="AU14" i="1"/>
  <c r="AT14" i="1"/>
  <c r="AQ14" i="1"/>
  <c r="AR14" i="1"/>
  <c r="AS14" i="1"/>
  <c r="AP14" i="1"/>
  <c r="I14" i="1"/>
  <c r="J14" i="1"/>
  <c r="Z157" i="94"/>
  <c r="Z158" i="94"/>
  <c r="Z159" i="94"/>
  <c r="Z160" i="94"/>
  <c r="Z162" i="94"/>
  <c r="Z153" i="94"/>
  <c r="Z341" i="94"/>
  <c r="Z342" i="94"/>
  <c r="Y342" i="94"/>
  <c r="Y341" i="94"/>
  <c r="Z326" i="94"/>
  <c r="Z327" i="94"/>
  <c r="Y327" i="94"/>
  <c r="Y326" i="94"/>
  <c r="Z268" i="94"/>
  <c r="Z269" i="94"/>
  <c r="Y269" i="94"/>
  <c r="Y268" i="94"/>
  <c r="BD41" i="1" l="1"/>
  <c r="AZ500" i="1"/>
  <c r="AZ481" i="1"/>
  <c r="AZ14" i="1"/>
  <c r="BD54" i="1" s="1"/>
  <c r="AZ498" i="1"/>
  <c r="AZ173" i="1"/>
  <c r="AZ502" i="1"/>
  <c r="BC41" i="1"/>
  <c r="BE54" i="1"/>
  <c r="BB41" i="1"/>
  <c r="AZ154" i="1"/>
  <c r="AZ501" i="1"/>
  <c r="AZ398" i="1"/>
  <c r="BE41" i="1"/>
  <c r="AZ474" i="1"/>
  <c r="AZ484" i="1" s="1"/>
  <c r="AZ347" i="1"/>
  <c r="Z90" i="94"/>
  <c r="Z109" i="94"/>
  <c r="Z68" i="94"/>
  <c r="Z69" i="94" s="1"/>
  <c r="J586" i="1"/>
  <c r="K587" i="1" s="1"/>
  <c r="I586" i="1"/>
  <c r="H586" i="1"/>
  <c r="G586" i="1"/>
  <c r="BA41" i="1" l="1"/>
  <c r="BA173" i="1"/>
  <c r="AZ483" i="1"/>
  <c r="AZ486" i="1"/>
  <c r="AZ485" i="1"/>
  <c r="Z89" i="94"/>
  <c r="Z108" i="94"/>
  <c r="J587" i="1"/>
  <c r="I587" i="1"/>
  <c r="H587" i="1"/>
  <c r="AZ487" i="1" l="1"/>
  <c r="BB173" i="1"/>
  <c r="BC173" i="1" s="1"/>
  <c r="BD173" i="1" s="1"/>
  <c r="BE173" i="1" s="1"/>
  <c r="Q648" i="1" l="1"/>
  <c r="R648" i="1" s="1"/>
  <c r="O72" i="1" l="1"/>
  <c r="Q72" i="1" l="1"/>
  <c r="R72" i="1" s="1"/>
  <c r="P72" i="1"/>
  <c r="M203" i="15"/>
  <c r="M207" i="15" s="1"/>
  <c r="M211" i="15" s="1"/>
  <c r="O191" i="15"/>
  <c r="N191" i="15"/>
  <c r="M191" i="15"/>
  <c r="O190" i="15"/>
  <c r="O194" i="15" s="1"/>
  <c r="N190" i="15"/>
  <c r="N194" i="15" s="1"/>
  <c r="M190" i="15"/>
  <c r="M194" i="15" s="1"/>
  <c r="L68" i="15" l="1"/>
  <c r="Q394" i="1" l="1"/>
  <c r="R394" i="1" s="1"/>
  <c r="P395" i="1"/>
  <c r="Q475" i="1"/>
  <c r="R475" i="1" s="1"/>
  <c r="BC365" i="1" l="1"/>
  <c r="BD365" i="1" l="1"/>
  <c r="BD369" i="1" s="1"/>
  <c r="BC369" i="1"/>
  <c r="J21" i="15"/>
  <c r="H21" i="15"/>
  <c r="I21" i="15"/>
  <c r="AV171" i="1" l="1"/>
  <c r="BJ153" i="1" l="1"/>
  <c r="BJ511" i="1" l="1"/>
  <c r="BI511" i="1"/>
  <c r="BJ114" i="1" l="1"/>
  <c r="BI19" i="1" l="1"/>
  <c r="BL19" i="1"/>
  <c r="BK19" i="1"/>
  <c r="BJ19" i="1"/>
  <c r="N397" i="1" l="1"/>
  <c r="O397" i="1" s="1"/>
  <c r="P397" i="1" s="1"/>
  <c r="Q397" i="1" s="1"/>
  <c r="R397" i="1" s="1"/>
  <c r="K75" i="17"/>
  <c r="K206" i="1" s="1"/>
  <c r="L75" i="17"/>
  <c r="Y11" i="94"/>
  <c r="Y12" i="94" s="1"/>
  <c r="AY153" i="1"/>
  <c r="AY563" i="1"/>
  <c r="AY564" i="1"/>
  <c r="AY565" i="1"/>
  <c r="AY566" i="1"/>
  <c r="AY570" i="1"/>
  <c r="AY577" i="1"/>
  <c r="AY583" i="1"/>
  <c r="AY515" i="1"/>
  <c r="AY504" i="1"/>
  <c r="AY508" i="1"/>
  <c r="AY510" i="1"/>
  <c r="AY477" i="1"/>
  <c r="AY478" i="1"/>
  <c r="AY479" i="1"/>
  <c r="AY480" i="1"/>
  <c r="AY489" i="1"/>
  <c r="AY490" i="1"/>
  <c r="AY491" i="1"/>
  <c r="AY492" i="1"/>
  <c r="AY493" i="1"/>
  <c r="AY337" i="1"/>
  <c r="AY344" i="1"/>
  <c r="AY345" i="1"/>
  <c r="AY346" i="1"/>
  <c r="AY351" i="1"/>
  <c r="AY356" i="1"/>
  <c r="AY357" i="1"/>
  <c r="AY358" i="1"/>
  <c r="AY360" i="1"/>
  <c r="AY362" i="1"/>
  <c r="AY363" i="1"/>
  <c r="AY364" i="1"/>
  <c r="AY365" i="1"/>
  <c r="AY367" i="1"/>
  <c r="AY368" i="1"/>
  <c r="AY369" i="1"/>
  <c r="AY373" i="1"/>
  <c r="AY386" i="1"/>
  <c r="AY387" i="1"/>
  <c r="AY321" i="1"/>
  <c r="AY310" i="1"/>
  <c r="AY284" i="1"/>
  <c r="AZ286" i="1" s="1"/>
  <c r="AY289" i="1"/>
  <c r="AZ291" i="1" s="1"/>
  <c r="AY254" i="1"/>
  <c r="AZ256" i="1" s="1"/>
  <c r="AY224" i="1"/>
  <c r="AZ226" i="1" s="1"/>
  <c r="AY232" i="1"/>
  <c r="AY220" i="1"/>
  <c r="AY169" i="1"/>
  <c r="AY170" i="1"/>
  <c r="AY171" i="1"/>
  <c r="AY162" i="1"/>
  <c r="AY106" i="1"/>
  <c r="AY62" i="1"/>
  <c r="AY63" i="1"/>
  <c r="AY64" i="1"/>
  <c r="AY65" i="1"/>
  <c r="AY66" i="1"/>
  <c r="Y91" i="94"/>
  <c r="Y55" i="94"/>
  <c r="Y81" i="94" s="1"/>
  <c r="Y57" i="94"/>
  <c r="Y58" i="94"/>
  <c r="Y61" i="94"/>
  <c r="Y62" i="94"/>
  <c r="Y64" i="94"/>
  <c r="Y65" i="94"/>
  <c r="Y85" i="94" s="1"/>
  <c r="Y111" i="94"/>
  <c r="Y75" i="94"/>
  <c r="Y86" i="94"/>
  <c r="Y355" i="94"/>
  <c r="Y356" i="94"/>
  <c r="Y234" i="94"/>
  <c r="Y157" i="94"/>
  <c r="Y158" i="94"/>
  <c r="Y159" i="94"/>
  <c r="Y160" i="94"/>
  <c r="Y162" i="94"/>
  <c r="Y140" i="94"/>
  <c r="Y141" i="94"/>
  <c r="Y142" i="94"/>
  <c r="Y143" i="94"/>
  <c r="Y144" i="94"/>
  <c r="Y145" i="94"/>
  <c r="Y146" i="94"/>
  <c r="Y153" i="94"/>
  <c r="AZ108" i="1" l="1"/>
  <c r="AY68" i="1"/>
  <c r="AZ442" i="1"/>
  <c r="AY481" i="1"/>
  <c r="AY174" i="1"/>
  <c r="AY183" i="1" s="1"/>
  <c r="AZ164" i="1"/>
  <c r="AY502" i="1"/>
  <c r="AY235" i="1"/>
  <c r="AY498" i="1"/>
  <c r="AY173" i="1"/>
  <c r="AY501" i="1"/>
  <c r="AY398" i="1"/>
  <c r="AY347" i="1"/>
  <c r="AY67" i="1"/>
  <c r="AY500" i="1"/>
  <c r="AY474" i="1"/>
  <c r="AY483" i="1" s="1"/>
  <c r="AY154" i="1"/>
  <c r="Y70" i="94"/>
  <c r="AY201" i="1" s="1"/>
  <c r="Y84" i="94"/>
  <c r="Y82" i="94"/>
  <c r="Y63" i="94"/>
  <c r="Y83" i="94"/>
  <c r="Y59" i="94"/>
  <c r="Y78" i="94"/>
  <c r="Y68" i="94"/>
  <c r="Y77" i="94"/>
  <c r="AY486" i="1" l="1"/>
  <c r="AY485" i="1"/>
  <c r="AY484" i="1"/>
  <c r="Y90" i="94"/>
  <c r="Y79" i="94"/>
  <c r="Y92" i="94"/>
  <c r="Y88" i="94"/>
  <c r="Y69" i="94"/>
  <c r="AY200" i="1" s="1"/>
  <c r="AY202" i="1" s="1"/>
  <c r="AY487" i="1" l="1"/>
  <c r="Y89" i="94"/>
  <c r="J178" i="17" l="1"/>
  <c r="J134" i="17"/>
  <c r="J92" i="17"/>
  <c r="N103" i="17" l="1"/>
  <c r="O103" i="17" s="1"/>
  <c r="P103" i="17" s="1"/>
  <c r="Q103" i="17" l="1"/>
  <c r="R103" i="17" s="1"/>
  <c r="O107" i="17"/>
  <c r="P107" i="17"/>
  <c r="N107" i="17"/>
  <c r="N71" i="17" s="1"/>
  <c r="N648" i="1"/>
  <c r="Q450" i="1"/>
  <c r="R450" i="1" s="1"/>
  <c r="M365" i="1"/>
  <c r="N365" i="1" l="1"/>
  <c r="M369" i="1"/>
  <c r="O365" i="1" l="1"/>
  <c r="N369" i="1"/>
  <c r="BC196" i="1"/>
  <c r="BD196" i="1"/>
  <c r="BE196" i="1"/>
  <c r="BB196" i="1"/>
  <c r="N280" i="1"/>
  <c r="O280" i="1" s="1"/>
  <c r="P280" i="1" s="1"/>
  <c r="Q280" i="1" s="1"/>
  <c r="R280" i="1" s="1"/>
  <c r="L279" i="1"/>
  <c r="L14" i="1" s="1"/>
  <c r="N189" i="1"/>
  <c r="O189" i="1" s="1"/>
  <c r="P189" i="1" s="1"/>
  <c r="Q189" i="1" s="1"/>
  <c r="R189" i="1" s="1"/>
  <c r="K279" i="1"/>
  <c r="K14" i="1" s="1"/>
  <c r="L54" i="1" l="1"/>
  <c r="P365" i="1"/>
  <c r="O369" i="1"/>
  <c r="L92" i="17"/>
  <c r="L178" i="17"/>
  <c r="L134" i="17"/>
  <c r="K134" i="17"/>
  <c r="K92" i="17"/>
  <c r="K178" i="17"/>
  <c r="M279" i="1"/>
  <c r="M14" i="1" s="1"/>
  <c r="M54" i="1" s="1"/>
  <c r="Q365" i="1" l="1"/>
  <c r="P369" i="1"/>
  <c r="M134" i="17"/>
  <c r="M178" i="17"/>
  <c r="M92" i="17"/>
  <c r="N279" i="1"/>
  <c r="N14" i="1" s="1"/>
  <c r="N54" i="1" s="1"/>
  <c r="K172" i="1"/>
  <c r="BE250" i="1"/>
  <c r="BC250" i="1"/>
  <c r="BD250" i="1"/>
  <c r="BB250" i="1"/>
  <c r="AY250" i="1"/>
  <c r="AZ250" i="1"/>
  <c r="BA250" i="1"/>
  <c r="AX250" i="1"/>
  <c r="AU250" i="1"/>
  <c r="AV250" i="1"/>
  <c r="AW250" i="1"/>
  <c r="AT250" i="1"/>
  <c r="AX220" i="1"/>
  <c r="R74" i="1"/>
  <c r="D504" i="1"/>
  <c r="AU171" i="1"/>
  <c r="AW171" i="1"/>
  <c r="AX171" i="1"/>
  <c r="AT171" i="1"/>
  <c r="AT173" i="1" s="1"/>
  <c r="AQ169" i="1"/>
  <c r="AR169" i="1"/>
  <c r="AS169" i="1"/>
  <c r="AT169" i="1"/>
  <c r="AU169" i="1"/>
  <c r="AV169" i="1"/>
  <c r="AW169" i="1"/>
  <c r="AX169" i="1"/>
  <c r="AP169" i="1"/>
  <c r="AX583" i="1"/>
  <c r="AX577" i="1"/>
  <c r="AX570" i="1"/>
  <c r="X234" i="94"/>
  <c r="X355" i="94"/>
  <c r="X356" i="94"/>
  <c r="X325" i="94"/>
  <c r="X110" i="94"/>
  <c r="X111" i="94"/>
  <c r="X75" i="94"/>
  <c r="X82" i="94"/>
  <c r="X86" i="94"/>
  <c r="X65" i="94"/>
  <c r="X85" i="94" s="1"/>
  <c r="X64" i="94"/>
  <c r="AX565" i="1" s="1"/>
  <c r="X63" i="94"/>
  <c r="X83" i="94" s="1"/>
  <c r="X62" i="94"/>
  <c r="X61" i="94"/>
  <c r="X81" i="94" s="1"/>
  <c r="X58" i="94"/>
  <c r="X78" i="94" s="1"/>
  <c r="X57" i="94"/>
  <c r="X77" i="94" s="1"/>
  <c r="X11" i="94"/>
  <c r="X70" i="94" s="1"/>
  <c r="AX477" i="1"/>
  <c r="AX478" i="1"/>
  <c r="AX479" i="1"/>
  <c r="AX480" i="1"/>
  <c r="AX489" i="1"/>
  <c r="AX490" i="1"/>
  <c r="AX491" i="1"/>
  <c r="AX492" i="1"/>
  <c r="AX493" i="1"/>
  <c r="AX510" i="1"/>
  <c r="AX515" i="1"/>
  <c r="AX504" i="1"/>
  <c r="AX337" i="1"/>
  <c r="AX344" i="1"/>
  <c r="AX345" i="1"/>
  <c r="AX346" i="1"/>
  <c r="AX351" i="1"/>
  <c r="AX356" i="1"/>
  <c r="AX357" i="1"/>
  <c r="AX358" i="1"/>
  <c r="AX360" i="1"/>
  <c r="AX362" i="1"/>
  <c r="AX363" i="1"/>
  <c r="AX364" i="1"/>
  <c r="AX365" i="1"/>
  <c r="AX367" i="1"/>
  <c r="AX368" i="1"/>
  <c r="AX369" i="1"/>
  <c r="AX373" i="1"/>
  <c r="AX386" i="1"/>
  <c r="AX387" i="1"/>
  <c r="AX321" i="1"/>
  <c r="BB321" i="1" s="1"/>
  <c r="BB18" i="1" s="1"/>
  <c r="AX310" i="1"/>
  <c r="AX297" i="1"/>
  <c r="AX289" i="1"/>
  <c r="AX284" i="1"/>
  <c r="AY286" i="1" s="1"/>
  <c r="AX254" i="1"/>
  <c r="AY256" i="1" s="1"/>
  <c r="AX232" i="1"/>
  <c r="AY234" i="1" s="1"/>
  <c r="AX224" i="1"/>
  <c r="AY226" i="1" s="1"/>
  <c r="AX162" i="1"/>
  <c r="AX174" i="1" s="1"/>
  <c r="AX153" i="1"/>
  <c r="AX106" i="1"/>
  <c r="AY108" i="1" s="1"/>
  <c r="AX62" i="1"/>
  <c r="AX63" i="1"/>
  <c r="AX64" i="1"/>
  <c r="AX65" i="1"/>
  <c r="X252" i="94"/>
  <c r="AX508" i="1" s="1"/>
  <c r="X191" i="94"/>
  <c r="X153" i="94"/>
  <c r="AX66" i="1" s="1"/>
  <c r="X59" i="94"/>
  <c r="AX563" i="1" s="1"/>
  <c r="X157" i="94"/>
  <c r="X158" i="94"/>
  <c r="X159" i="94"/>
  <c r="X160" i="94"/>
  <c r="X162" i="94"/>
  <c r="X140" i="94"/>
  <c r="X141" i="94"/>
  <c r="X142" i="94"/>
  <c r="X143" i="94"/>
  <c r="X144" i="94"/>
  <c r="X145" i="94"/>
  <c r="X146" i="94"/>
  <c r="AX170" i="1"/>
  <c r="AO59" i="1"/>
  <c r="AH46" i="1"/>
  <c r="AI46" i="1"/>
  <c r="AJ46" i="1"/>
  <c r="AK46" i="1"/>
  <c r="AL46" i="1"/>
  <c r="AM46" i="1"/>
  <c r="AN46" i="1"/>
  <c r="AO46" i="1"/>
  <c r="G879" i="1"/>
  <c r="F879" i="1"/>
  <c r="L207" i="17"/>
  <c r="M207" i="17"/>
  <c r="N207" i="17"/>
  <c r="O207" i="17"/>
  <c r="P207" i="17"/>
  <c r="Q207" i="17"/>
  <c r="R207" i="17"/>
  <c r="L193" i="17"/>
  <c r="M193" i="17"/>
  <c r="N193" i="17"/>
  <c r="K193" i="17"/>
  <c r="L204" i="17"/>
  <c r="M204" i="17"/>
  <c r="N204" i="17"/>
  <c r="O204" i="17"/>
  <c r="P204" i="17"/>
  <c r="Q204" i="17"/>
  <c r="R204" i="17"/>
  <c r="AL683" i="1"/>
  <c r="BE368" i="1"/>
  <c r="BE365" i="1"/>
  <c r="BE362" i="1"/>
  <c r="BC374" i="1"/>
  <c r="BD374" i="1" s="1"/>
  <c r="BC450" i="1"/>
  <c r="BB450" i="1"/>
  <c r="BD141" i="1"/>
  <c r="BD143" i="1" s="1"/>
  <c r="BC141" i="1"/>
  <c r="BC143" i="1" s="1"/>
  <c r="BB141" i="1"/>
  <c r="BB143" i="1" s="1"/>
  <c r="G824" i="1"/>
  <c r="F824" i="1"/>
  <c r="E824" i="1"/>
  <c r="J388" i="1"/>
  <c r="I388" i="1"/>
  <c r="H388" i="1"/>
  <c r="G388" i="1"/>
  <c r="F388" i="1"/>
  <c r="E388" i="1"/>
  <c r="K313" i="1"/>
  <c r="Q176" i="15"/>
  <c r="R172" i="15" s="1"/>
  <c r="T172" i="15" s="1"/>
  <c r="O174" i="15"/>
  <c r="O167" i="15"/>
  <c r="L14" i="17"/>
  <c r="L15" i="17"/>
  <c r="I342" i="1"/>
  <c r="O580" i="1"/>
  <c r="P580" i="1" s="1"/>
  <c r="Q580" i="1" s="1"/>
  <c r="R580" i="1" s="1"/>
  <c r="N50" i="15"/>
  <c r="N49" i="15"/>
  <c r="L149" i="17"/>
  <c r="M149" i="17"/>
  <c r="K149" i="17"/>
  <c r="L189" i="17"/>
  <c r="M189" i="17"/>
  <c r="N189" i="17"/>
  <c r="O189" i="17"/>
  <c r="P189" i="17"/>
  <c r="Q189" i="17"/>
  <c r="R189" i="17"/>
  <c r="M657" i="1"/>
  <c r="N657" i="1" s="1"/>
  <c r="O657" i="1" s="1"/>
  <c r="P657" i="1" s="1"/>
  <c r="Q657" i="1" s="1"/>
  <c r="R657" i="1" s="1"/>
  <c r="N330" i="1"/>
  <c r="O330" i="1" s="1"/>
  <c r="P330" i="1" s="1"/>
  <c r="Q330" i="1" s="1"/>
  <c r="R330" i="1" s="1"/>
  <c r="O302" i="1"/>
  <c r="P302" i="1" s="1"/>
  <c r="Q302" i="1" s="1"/>
  <c r="R302" i="1" s="1"/>
  <c r="N303" i="1"/>
  <c r="O303" i="1" s="1"/>
  <c r="P303" i="1" s="1"/>
  <c r="Q303" i="1" s="1"/>
  <c r="R303" i="1" s="1"/>
  <c r="N255" i="1"/>
  <c r="O255" i="1" s="1"/>
  <c r="P255" i="1" s="1"/>
  <c r="Q255" i="1" s="1"/>
  <c r="R255" i="1" s="1"/>
  <c r="N243" i="1"/>
  <c r="O243" i="1" s="1"/>
  <c r="P243" i="1" s="1"/>
  <c r="Q243" i="1" s="1"/>
  <c r="R243" i="1" s="1"/>
  <c r="N240" i="1"/>
  <c r="O240" i="1" s="1"/>
  <c r="P240" i="1" s="1"/>
  <c r="Q240" i="1" s="1"/>
  <c r="R240" i="1" s="1"/>
  <c r="N225" i="1"/>
  <c r="O225" i="1" s="1"/>
  <c r="P225" i="1" s="1"/>
  <c r="Q225" i="1" s="1"/>
  <c r="R225" i="1" s="1"/>
  <c r="N99" i="17"/>
  <c r="O99" i="17" s="1"/>
  <c r="L688" i="1"/>
  <c r="M688" i="1" s="1"/>
  <c r="N688" i="1" s="1"/>
  <c r="O688" i="1" s="1"/>
  <c r="P688" i="1" s="1"/>
  <c r="Q688" i="1" s="1"/>
  <c r="R688" i="1" s="1"/>
  <c r="K471" i="1"/>
  <c r="L471" i="1" s="1"/>
  <c r="M471" i="1" s="1"/>
  <c r="N471" i="1" s="1"/>
  <c r="O471" i="1" s="1"/>
  <c r="P471" i="1" s="1"/>
  <c r="Q471" i="1" s="1"/>
  <c r="R471" i="1" s="1"/>
  <c r="O193" i="17"/>
  <c r="O192" i="17" s="1"/>
  <c r="N149" i="17"/>
  <c r="O149" i="17"/>
  <c r="C6" i="1"/>
  <c r="C384" i="1" s="1"/>
  <c r="D6" i="1"/>
  <c r="D383" i="1" s="1"/>
  <c r="AK451" i="1"/>
  <c r="AF443" i="1"/>
  <c r="AG443" i="1"/>
  <c r="AE443" i="1"/>
  <c r="AF442" i="1"/>
  <c r="AG442" i="1"/>
  <c r="AH442" i="1"/>
  <c r="AI442" i="1"/>
  <c r="AJ442" i="1"/>
  <c r="AK442" i="1"/>
  <c r="AL442" i="1"/>
  <c r="AM442" i="1"/>
  <c r="AN442" i="1"/>
  <c r="AO442" i="1"/>
  <c r="AE442" i="1"/>
  <c r="AB441" i="1"/>
  <c r="AC441" i="1"/>
  <c r="AA441" i="1"/>
  <c r="Z562" i="1"/>
  <c r="AA562" i="1"/>
  <c r="AA567" i="1" s="1"/>
  <c r="AB562" i="1"/>
  <c r="AB567" i="1" s="1"/>
  <c r="AC562" i="1"/>
  <c r="AC567" i="1" s="1"/>
  <c r="AD562" i="1"/>
  <c r="AD567" i="1" s="1"/>
  <c r="AE562" i="1"/>
  <c r="AF562" i="1"/>
  <c r="AG562" i="1"/>
  <c r="AG567" i="1" s="1"/>
  <c r="AH562" i="1"/>
  <c r="AH567" i="1" s="1"/>
  <c r="AI562" i="1"/>
  <c r="AI165" i="1" s="1"/>
  <c r="AJ562" i="1"/>
  <c r="AJ165" i="1" s="1"/>
  <c r="AK562" i="1"/>
  <c r="AK567" i="1" s="1"/>
  <c r="AL562" i="1"/>
  <c r="AM562" i="1"/>
  <c r="AN562" i="1"/>
  <c r="AN567" i="1" s="1"/>
  <c r="AO562" i="1"/>
  <c r="AO567" i="1" s="1"/>
  <c r="AI515" i="1"/>
  <c r="AJ515" i="1"/>
  <c r="AK515" i="1"/>
  <c r="AL515" i="1"/>
  <c r="AM515" i="1"/>
  <c r="AN515" i="1"/>
  <c r="AO515" i="1"/>
  <c r="AP515" i="1"/>
  <c r="AQ515" i="1"/>
  <c r="AR515" i="1"/>
  <c r="AS515" i="1"/>
  <c r="AT515" i="1"/>
  <c r="AU515" i="1"/>
  <c r="AV515" i="1"/>
  <c r="AW515" i="1"/>
  <c r="H515" i="1"/>
  <c r="I515" i="1"/>
  <c r="J515" i="1"/>
  <c r="G515" i="1"/>
  <c r="AI508" i="1"/>
  <c r="AJ508" i="1"/>
  <c r="AK508" i="1"/>
  <c r="AI510" i="1"/>
  <c r="AJ510" i="1"/>
  <c r="AK510" i="1"/>
  <c r="AI504" i="1"/>
  <c r="G510" i="1"/>
  <c r="H510" i="1"/>
  <c r="I510" i="1"/>
  <c r="J510" i="1"/>
  <c r="AR352" i="1"/>
  <c r="AL508" i="1"/>
  <c r="AM508" i="1"/>
  <c r="AN508" i="1"/>
  <c r="AO508" i="1"/>
  <c r="AJ504" i="1"/>
  <c r="AK504" i="1"/>
  <c r="AL504" i="1"/>
  <c r="AM504" i="1"/>
  <c r="AN504" i="1"/>
  <c r="AO504" i="1"/>
  <c r="AP504" i="1"/>
  <c r="AQ504" i="1"/>
  <c r="AR504" i="1"/>
  <c r="AS504" i="1"/>
  <c r="AT504" i="1"/>
  <c r="AU504" i="1"/>
  <c r="AV504" i="1"/>
  <c r="AW504" i="1"/>
  <c r="AL510" i="1"/>
  <c r="AM510" i="1"/>
  <c r="AN510" i="1"/>
  <c r="AO510" i="1"/>
  <c r="AP510" i="1"/>
  <c r="AQ510" i="1"/>
  <c r="AR510" i="1"/>
  <c r="AS510" i="1"/>
  <c r="AT510" i="1"/>
  <c r="AU510" i="1"/>
  <c r="AV510" i="1"/>
  <c r="AW510" i="1"/>
  <c r="G508" i="1"/>
  <c r="H508" i="1"/>
  <c r="I508" i="1"/>
  <c r="J508" i="1"/>
  <c r="AP508" i="1"/>
  <c r="AQ508" i="1"/>
  <c r="AR508" i="1"/>
  <c r="AS508" i="1"/>
  <c r="AT508" i="1"/>
  <c r="AU508" i="1"/>
  <c r="AV508" i="1"/>
  <c r="AW508" i="1"/>
  <c r="M508" i="1"/>
  <c r="N508" i="1" s="1"/>
  <c r="O508" i="1" s="1"/>
  <c r="P508" i="1" s="1"/>
  <c r="Q508" i="1" s="1"/>
  <c r="R508" i="1" s="1"/>
  <c r="O7" i="15"/>
  <c r="P7" i="15"/>
  <c r="Q7" i="15"/>
  <c r="R7" i="15"/>
  <c r="N7" i="15"/>
  <c r="J23" i="15"/>
  <c r="G381" i="1"/>
  <c r="G382" i="1"/>
  <c r="H381" i="1"/>
  <c r="I381" i="1"/>
  <c r="H382" i="1"/>
  <c r="I382" i="1"/>
  <c r="J382" i="1"/>
  <c r="J381" i="1"/>
  <c r="K4" i="15"/>
  <c r="L4" i="15" s="1"/>
  <c r="J640" i="1"/>
  <c r="J802" i="1"/>
  <c r="I802" i="1"/>
  <c r="J772" i="1"/>
  <c r="J763" i="1"/>
  <c r="J719" i="1"/>
  <c r="K719" i="1" s="1"/>
  <c r="L719" i="1" s="1"/>
  <c r="M719" i="1" s="1"/>
  <c r="N719" i="1" s="1"/>
  <c r="O719" i="1" s="1"/>
  <c r="P719" i="1" s="1"/>
  <c r="Q719" i="1" s="1"/>
  <c r="R719" i="1" s="1"/>
  <c r="J715" i="1"/>
  <c r="K715" i="1" s="1"/>
  <c r="J701" i="1"/>
  <c r="J683" i="1"/>
  <c r="J689" i="1"/>
  <c r="J687" i="1"/>
  <c r="Q395" i="1"/>
  <c r="R395" i="1" s="1"/>
  <c r="AI450" i="1"/>
  <c r="AJ450" i="1"/>
  <c r="AK450" i="1"/>
  <c r="AL450" i="1"/>
  <c r="AM450" i="1"/>
  <c r="AN450" i="1"/>
  <c r="AO450" i="1"/>
  <c r="AH450" i="1"/>
  <c r="L816" i="1"/>
  <c r="M816" i="1"/>
  <c r="N816" i="1"/>
  <c r="O816" i="1"/>
  <c r="P816" i="1"/>
  <c r="Q816" i="1"/>
  <c r="R816" i="1"/>
  <c r="L778" i="1"/>
  <c r="M778" i="1"/>
  <c r="N778" i="1"/>
  <c r="O778" i="1"/>
  <c r="P778" i="1"/>
  <c r="Q778" i="1"/>
  <c r="R778" i="1"/>
  <c r="E771" i="1"/>
  <c r="F771" i="1"/>
  <c r="G771" i="1"/>
  <c r="E769" i="1"/>
  <c r="F769" i="1"/>
  <c r="G769" i="1"/>
  <c r="E765" i="1"/>
  <c r="E504" i="1" s="1"/>
  <c r="F765" i="1"/>
  <c r="F504" i="1" s="1"/>
  <c r="G765" i="1"/>
  <c r="E766" i="1"/>
  <c r="F766" i="1"/>
  <c r="G766" i="1"/>
  <c r="G326" i="1"/>
  <c r="H326" i="1" s="1"/>
  <c r="F326" i="1"/>
  <c r="I701" i="1"/>
  <c r="H701" i="1"/>
  <c r="F683" i="1"/>
  <c r="F698" i="1" s="1"/>
  <c r="G683" i="1"/>
  <c r="H683" i="1"/>
  <c r="I683" i="1"/>
  <c r="F660" i="1"/>
  <c r="G660" i="1"/>
  <c r="I633" i="1"/>
  <c r="J633" i="1"/>
  <c r="K633" i="1" s="1"/>
  <c r="L633" i="1" s="1"/>
  <c r="M633" i="1" s="1"/>
  <c r="N633" i="1" s="1"/>
  <c r="O633" i="1" s="1"/>
  <c r="P633" i="1" s="1"/>
  <c r="Q633" i="1" s="1"/>
  <c r="R633" i="1" s="1"/>
  <c r="G657" i="1"/>
  <c r="F657" i="1"/>
  <c r="E648" i="1"/>
  <c r="E650" i="1"/>
  <c r="E651" i="1"/>
  <c r="E652" i="1"/>
  <c r="E653" i="1"/>
  <c r="G653" i="1"/>
  <c r="F653" i="1"/>
  <c r="G652" i="1"/>
  <c r="F652" i="1"/>
  <c r="L651" i="1"/>
  <c r="M651" i="1" s="1"/>
  <c r="N651" i="1" s="1"/>
  <c r="O651" i="1" s="1"/>
  <c r="P651" i="1" s="1"/>
  <c r="Q651" i="1" s="1"/>
  <c r="R651" i="1" s="1"/>
  <c r="G651" i="1"/>
  <c r="F651" i="1"/>
  <c r="G650" i="1"/>
  <c r="F650" i="1"/>
  <c r="G648" i="1"/>
  <c r="F648" i="1"/>
  <c r="AS369" i="1"/>
  <c r="AT369" i="1"/>
  <c r="AU369" i="1"/>
  <c r="AV369" i="1"/>
  <c r="AW369" i="1"/>
  <c r="AR369" i="1"/>
  <c r="F450" i="1"/>
  <c r="G450" i="1"/>
  <c r="D450" i="1"/>
  <c r="L327" i="1"/>
  <c r="M327" i="1" s="1"/>
  <c r="N327" i="1" s="1"/>
  <c r="O327" i="1" s="1"/>
  <c r="P327" i="1" s="1"/>
  <c r="Q327" i="1" s="1"/>
  <c r="R327" i="1" s="1"/>
  <c r="D583" i="1"/>
  <c r="E583" i="1"/>
  <c r="F583" i="1"/>
  <c r="G583" i="1"/>
  <c r="AK583" i="1" s="1"/>
  <c r="D577" i="1"/>
  <c r="E577" i="1"/>
  <c r="F577" i="1"/>
  <c r="G577" i="1"/>
  <c r="AK577" i="1" s="1"/>
  <c r="C577" i="1"/>
  <c r="H727" i="1"/>
  <c r="I572" i="1"/>
  <c r="D570" i="1"/>
  <c r="E570" i="1"/>
  <c r="F570" i="1"/>
  <c r="F571" i="1" s="1"/>
  <c r="F573" i="1" s="1"/>
  <c r="G570" i="1"/>
  <c r="G571" i="1" s="1"/>
  <c r="G573" i="1" s="1"/>
  <c r="C570" i="1"/>
  <c r="L751" i="1"/>
  <c r="M751" i="1" s="1"/>
  <c r="N751" i="1" s="1"/>
  <c r="O751" i="1" s="1"/>
  <c r="P751" i="1" s="1"/>
  <c r="Q751" i="1" s="1"/>
  <c r="R751" i="1" s="1"/>
  <c r="L754" i="1"/>
  <c r="M754" i="1" s="1"/>
  <c r="N754" i="1" s="1"/>
  <c r="O754" i="1" s="1"/>
  <c r="P754" i="1" s="1"/>
  <c r="Q754" i="1" s="1"/>
  <c r="R754" i="1" s="1"/>
  <c r="C750" i="1"/>
  <c r="D750" i="1"/>
  <c r="F730" i="1"/>
  <c r="G736" i="1" s="1"/>
  <c r="H736" i="1" s="1"/>
  <c r="I736" i="1" s="1"/>
  <c r="G730" i="1"/>
  <c r="G735" i="1" s="1"/>
  <c r="E730" i="1"/>
  <c r="G753" i="1"/>
  <c r="AH498" i="1"/>
  <c r="AI498" i="1"/>
  <c r="AJ498" i="1"/>
  <c r="AK498" i="1"/>
  <c r="AH500" i="1"/>
  <c r="AI500" i="1"/>
  <c r="AJ500" i="1"/>
  <c r="AK500" i="1"/>
  <c r="AH501" i="1"/>
  <c r="AI501" i="1"/>
  <c r="AJ501" i="1"/>
  <c r="AK501" i="1"/>
  <c r="AH502" i="1"/>
  <c r="AI502" i="1"/>
  <c r="AJ502" i="1"/>
  <c r="AK502" i="1"/>
  <c r="E10" i="1"/>
  <c r="E11" i="1"/>
  <c r="E12" i="1"/>
  <c r="E13" i="1"/>
  <c r="E16" i="1"/>
  <c r="F18" i="1"/>
  <c r="G18" i="1"/>
  <c r="D18" i="1"/>
  <c r="E18" i="1"/>
  <c r="C18" i="1"/>
  <c r="C562" i="1"/>
  <c r="D562" i="1"/>
  <c r="AQ489" i="1"/>
  <c r="AR489" i="1"/>
  <c r="AS489" i="1"/>
  <c r="AT489" i="1"/>
  <c r="AU489" i="1"/>
  <c r="AV489" i="1"/>
  <c r="AW489" i="1"/>
  <c r="AQ490" i="1"/>
  <c r="AR490" i="1"/>
  <c r="AS490" i="1"/>
  <c r="AT490" i="1"/>
  <c r="AU490" i="1"/>
  <c r="AV490" i="1"/>
  <c r="AW490" i="1"/>
  <c r="AQ491" i="1"/>
  <c r="AR491" i="1"/>
  <c r="AS491" i="1"/>
  <c r="AT491" i="1"/>
  <c r="AU491" i="1"/>
  <c r="AV491" i="1"/>
  <c r="AW491" i="1"/>
  <c r="AQ492" i="1"/>
  <c r="AR492" i="1"/>
  <c r="AS492" i="1"/>
  <c r="AT492" i="1"/>
  <c r="AU492" i="1"/>
  <c r="AV492" i="1"/>
  <c r="AW492" i="1"/>
  <c r="AQ493" i="1"/>
  <c r="AR493" i="1"/>
  <c r="AS493" i="1"/>
  <c r="AT493" i="1"/>
  <c r="AU493" i="1"/>
  <c r="AV493" i="1"/>
  <c r="AW493" i="1"/>
  <c r="AP490" i="1"/>
  <c r="AP491" i="1"/>
  <c r="AP492" i="1"/>
  <c r="AP493" i="1"/>
  <c r="AP489" i="1"/>
  <c r="AH236" i="1"/>
  <c r="AI236" i="1"/>
  <c r="AJ236" i="1"/>
  <c r="AL236" i="1"/>
  <c r="AM236" i="1"/>
  <c r="AN236" i="1"/>
  <c r="AO236" i="1"/>
  <c r="O374" i="1"/>
  <c r="P374" i="1" s="1"/>
  <c r="Q374" i="1" s="1"/>
  <c r="R374" i="1" s="1"/>
  <c r="AL477" i="1"/>
  <c r="AL498" i="1" s="1"/>
  <c r="AM477" i="1"/>
  <c r="AN477" i="1"/>
  <c r="AO477" i="1"/>
  <c r="AO498" i="1" s="1"/>
  <c r="AL478" i="1"/>
  <c r="AL500" i="1" s="1"/>
  <c r="AM478" i="1"/>
  <c r="AN478" i="1"/>
  <c r="AO478" i="1"/>
  <c r="AL479" i="1"/>
  <c r="AM479" i="1"/>
  <c r="AN479" i="1"/>
  <c r="AO479" i="1"/>
  <c r="AL480" i="1"/>
  <c r="AM480" i="1"/>
  <c r="AN480" i="1"/>
  <c r="AO480" i="1"/>
  <c r="H504" i="1"/>
  <c r="I504" i="1"/>
  <c r="AP368" i="1"/>
  <c r="AQ368" i="1"/>
  <c r="AR368" i="1"/>
  <c r="AS368" i="1"/>
  <c r="AT368" i="1"/>
  <c r="AU368" i="1"/>
  <c r="AV368" i="1"/>
  <c r="AP363" i="1"/>
  <c r="AQ363" i="1"/>
  <c r="AR363" i="1"/>
  <c r="AS363" i="1"/>
  <c r="AT363" i="1"/>
  <c r="AU363" i="1"/>
  <c r="AV363" i="1"/>
  <c r="AW363" i="1"/>
  <c r="AP364" i="1"/>
  <c r="AQ364" i="1"/>
  <c r="AR364" i="1"/>
  <c r="AS364" i="1"/>
  <c r="AT364" i="1"/>
  <c r="AU364" i="1"/>
  <c r="AV364" i="1"/>
  <c r="AW364" i="1"/>
  <c r="AP365" i="1"/>
  <c r="AQ365" i="1"/>
  <c r="AR365" i="1"/>
  <c r="AS365" i="1"/>
  <c r="AT365" i="1"/>
  <c r="AU365" i="1"/>
  <c r="AV365" i="1"/>
  <c r="AW365" i="1"/>
  <c r="AP367" i="1"/>
  <c r="AQ367" i="1"/>
  <c r="AR367" i="1"/>
  <c r="AS367" i="1"/>
  <c r="AT367" i="1"/>
  <c r="AU367" i="1"/>
  <c r="AV367" i="1"/>
  <c r="AW367" i="1"/>
  <c r="AQ362" i="1"/>
  <c r="AR362" i="1"/>
  <c r="AS362" i="1"/>
  <c r="AT362" i="1"/>
  <c r="AU362" i="1"/>
  <c r="AV362" i="1"/>
  <c r="AW362" i="1"/>
  <c r="AP362" i="1"/>
  <c r="E500" i="1"/>
  <c r="F500" i="1"/>
  <c r="G500" i="1"/>
  <c r="E501" i="1"/>
  <c r="F501" i="1"/>
  <c r="G501" i="1"/>
  <c r="E502" i="1"/>
  <c r="F502" i="1"/>
  <c r="G502" i="1"/>
  <c r="E498" i="1"/>
  <c r="F498" i="1"/>
  <c r="G498" i="1"/>
  <c r="E464" i="1"/>
  <c r="F464" i="1"/>
  <c r="G464" i="1"/>
  <c r="J464" i="1"/>
  <c r="I464" i="1"/>
  <c r="H464" i="1"/>
  <c r="J6" i="1"/>
  <c r="AT6" i="1" s="1"/>
  <c r="H6" i="1"/>
  <c r="G6" i="1"/>
  <c r="F6" i="1"/>
  <c r="AF6" i="1" s="1"/>
  <c r="E6" i="1"/>
  <c r="Z6" i="1" s="1"/>
  <c r="H594" i="1"/>
  <c r="I594" i="1"/>
  <c r="J594" i="1"/>
  <c r="H595" i="1"/>
  <c r="I595" i="1"/>
  <c r="J595" i="1"/>
  <c r="K595" i="1" s="1"/>
  <c r="K788" i="1" s="1"/>
  <c r="H596" i="1"/>
  <c r="I596" i="1"/>
  <c r="J596" i="1"/>
  <c r="H597" i="1"/>
  <c r="I597" i="1"/>
  <c r="J597" i="1"/>
  <c r="K778" i="1" s="1"/>
  <c r="H598" i="1"/>
  <c r="I598" i="1"/>
  <c r="J598" i="1"/>
  <c r="K598" i="1" s="1"/>
  <c r="L598" i="1" s="1"/>
  <c r="M598" i="1" s="1"/>
  <c r="N598" i="1" s="1"/>
  <c r="O598" i="1" s="1"/>
  <c r="P598" i="1" s="1"/>
  <c r="Q598" i="1" s="1"/>
  <c r="R598" i="1" s="1"/>
  <c r="H599" i="1"/>
  <c r="I599" i="1"/>
  <c r="J599" i="1"/>
  <c r="E600" i="1"/>
  <c r="F600" i="1"/>
  <c r="G600" i="1"/>
  <c r="H602" i="1"/>
  <c r="I602" i="1"/>
  <c r="I674" i="1" s="1"/>
  <c r="J602" i="1"/>
  <c r="J674" i="1" s="1"/>
  <c r="H603" i="1"/>
  <c r="I603" i="1"/>
  <c r="J603" i="1"/>
  <c r="H604" i="1"/>
  <c r="I604" i="1"/>
  <c r="J604" i="1"/>
  <c r="K604" i="1" s="1"/>
  <c r="L604" i="1" s="1"/>
  <c r="M604" i="1" s="1"/>
  <c r="N604" i="1" s="1"/>
  <c r="H605" i="1"/>
  <c r="I605" i="1"/>
  <c r="J605" i="1"/>
  <c r="H606" i="1"/>
  <c r="I606" i="1"/>
  <c r="J606" i="1"/>
  <c r="K606" i="1" s="1"/>
  <c r="L606" i="1" s="1"/>
  <c r="M606" i="1" s="1"/>
  <c r="N606" i="1" s="1"/>
  <c r="O606" i="1" s="1"/>
  <c r="P606" i="1" s="1"/>
  <c r="Q606" i="1" s="1"/>
  <c r="R606" i="1" s="1"/>
  <c r="H607" i="1"/>
  <c r="H717" i="1" s="1"/>
  <c r="I607" i="1"/>
  <c r="I717" i="1" s="1"/>
  <c r="J607" i="1"/>
  <c r="J717" i="1" s="1"/>
  <c r="H608" i="1"/>
  <c r="H750" i="1" s="1"/>
  <c r="I608" i="1"/>
  <c r="I750" i="1" s="1"/>
  <c r="J608" i="1"/>
  <c r="J750" i="1" s="1"/>
  <c r="H611" i="1"/>
  <c r="I611" i="1"/>
  <c r="J611" i="1"/>
  <c r="H612" i="1"/>
  <c r="I612" i="1"/>
  <c r="J612" i="1"/>
  <c r="K816" i="1" s="1"/>
  <c r="H613" i="1"/>
  <c r="I613" i="1"/>
  <c r="J613" i="1"/>
  <c r="H614" i="1"/>
  <c r="I614" i="1"/>
  <c r="J614" i="1"/>
  <c r="H615" i="1"/>
  <c r="I615" i="1"/>
  <c r="J615" i="1"/>
  <c r="H616" i="1"/>
  <c r="I616" i="1"/>
  <c r="J616" i="1"/>
  <c r="H617" i="1"/>
  <c r="I617" i="1"/>
  <c r="J617" i="1"/>
  <c r="E618" i="1"/>
  <c r="F618" i="1"/>
  <c r="G618" i="1"/>
  <c r="H620" i="1"/>
  <c r="I620" i="1"/>
  <c r="J620" i="1"/>
  <c r="H621" i="1"/>
  <c r="I621" i="1"/>
  <c r="J621" i="1"/>
  <c r="H623" i="1"/>
  <c r="I623" i="1"/>
  <c r="J623" i="1"/>
  <c r="H624" i="1"/>
  <c r="I624" i="1"/>
  <c r="J624" i="1"/>
  <c r="K624" i="1" s="1"/>
  <c r="L624" i="1" s="1"/>
  <c r="M624" i="1" s="1"/>
  <c r="M763" i="1" s="1"/>
  <c r="H625" i="1"/>
  <c r="I625" i="1"/>
  <c r="J625" i="1"/>
  <c r="K625" i="1" s="1"/>
  <c r="L625" i="1" s="1"/>
  <c r="M625" i="1" s="1"/>
  <c r="N625" i="1" s="1"/>
  <c r="O625" i="1" s="1"/>
  <c r="P625" i="1" s="1"/>
  <c r="Q625" i="1" s="1"/>
  <c r="R625" i="1" s="1"/>
  <c r="E626" i="1"/>
  <c r="F626" i="1"/>
  <c r="G626" i="1"/>
  <c r="H629" i="1"/>
  <c r="I629" i="1"/>
  <c r="J629" i="1"/>
  <c r="H630" i="1"/>
  <c r="I630" i="1"/>
  <c r="J630" i="1"/>
  <c r="E631" i="1"/>
  <c r="F631" i="1"/>
  <c r="G631" i="1"/>
  <c r="H633" i="1"/>
  <c r="H634" i="1"/>
  <c r="I634" i="1"/>
  <c r="J634" i="1"/>
  <c r="H635" i="1"/>
  <c r="I635" i="1"/>
  <c r="J635" i="1"/>
  <c r="K635" i="1" s="1"/>
  <c r="L635" i="1" s="1"/>
  <c r="M635" i="1" s="1"/>
  <c r="N635" i="1" s="1"/>
  <c r="O635" i="1" s="1"/>
  <c r="P635" i="1" s="1"/>
  <c r="Q635" i="1" s="1"/>
  <c r="R635" i="1" s="1"/>
  <c r="H636" i="1"/>
  <c r="I636" i="1"/>
  <c r="J636" i="1"/>
  <c r="K636" i="1" s="1"/>
  <c r="L636" i="1" s="1"/>
  <c r="M636" i="1" s="1"/>
  <c r="N636" i="1" s="1"/>
  <c r="O636" i="1" s="1"/>
  <c r="P636" i="1" s="1"/>
  <c r="Q636" i="1" s="1"/>
  <c r="R636" i="1" s="1"/>
  <c r="H637" i="1"/>
  <c r="I637" i="1"/>
  <c r="J637" i="1"/>
  <c r="K637" i="1" s="1"/>
  <c r="L637" i="1" s="1"/>
  <c r="M637" i="1" s="1"/>
  <c r="N637" i="1" s="1"/>
  <c r="O637" i="1" s="1"/>
  <c r="P637" i="1" s="1"/>
  <c r="Q637" i="1" s="1"/>
  <c r="R637" i="1" s="1"/>
  <c r="E638" i="1"/>
  <c r="E641" i="1" s="1"/>
  <c r="F638" i="1"/>
  <c r="F641" i="1" s="1"/>
  <c r="G638" i="1"/>
  <c r="H638" i="1"/>
  <c r="I638" i="1"/>
  <c r="J638" i="1"/>
  <c r="K638" i="1" s="1"/>
  <c r="L638" i="1" s="1"/>
  <c r="M638" i="1" s="1"/>
  <c r="N638" i="1" s="1"/>
  <c r="O638" i="1" s="1"/>
  <c r="P638" i="1" s="1"/>
  <c r="Q638" i="1" s="1"/>
  <c r="R638" i="1" s="1"/>
  <c r="H639" i="1"/>
  <c r="I639" i="1"/>
  <c r="J639" i="1"/>
  <c r="K639" i="1" s="1"/>
  <c r="L639" i="1" s="1"/>
  <c r="M639" i="1" s="1"/>
  <c r="N639" i="1" s="1"/>
  <c r="O639" i="1" s="1"/>
  <c r="P639" i="1" s="1"/>
  <c r="Q639" i="1" s="1"/>
  <c r="R639" i="1" s="1"/>
  <c r="H640" i="1"/>
  <c r="I640" i="1"/>
  <c r="H642" i="1"/>
  <c r="I642" i="1"/>
  <c r="J642" i="1"/>
  <c r="E659" i="1"/>
  <c r="F659" i="1"/>
  <c r="G659" i="1"/>
  <c r="E660" i="1"/>
  <c r="E578" i="1" s="1"/>
  <c r="E664" i="1"/>
  <c r="F664" i="1"/>
  <c r="G664" i="1"/>
  <c r="E674" i="1"/>
  <c r="F674" i="1"/>
  <c r="G674" i="1"/>
  <c r="E677" i="1"/>
  <c r="F677" i="1"/>
  <c r="G677" i="1"/>
  <c r="H677" i="1"/>
  <c r="I677" i="1"/>
  <c r="J677" i="1"/>
  <c r="E683" i="1"/>
  <c r="E687" i="1"/>
  <c r="F687" i="1"/>
  <c r="G687" i="1"/>
  <c r="H687" i="1"/>
  <c r="I687" i="1"/>
  <c r="E689" i="1"/>
  <c r="F689" i="1"/>
  <c r="G689" i="1"/>
  <c r="H689" i="1"/>
  <c r="I689" i="1"/>
  <c r="I694" i="1"/>
  <c r="J694" i="1" s="1"/>
  <c r="K694" i="1" s="1"/>
  <c r="L694" i="1" s="1"/>
  <c r="M694" i="1" s="1"/>
  <c r="N694" i="1" s="1"/>
  <c r="O694" i="1" s="1"/>
  <c r="P694" i="1" s="1"/>
  <c r="Q694" i="1" s="1"/>
  <c r="R694" i="1" s="1"/>
  <c r="H699" i="1"/>
  <c r="H702" i="1"/>
  <c r="E715" i="1"/>
  <c r="F715" i="1"/>
  <c r="G715" i="1"/>
  <c r="H715" i="1"/>
  <c r="E717" i="1"/>
  <c r="F717" i="1"/>
  <c r="G717" i="1"/>
  <c r="E719" i="1"/>
  <c r="F719" i="1"/>
  <c r="G719" i="1"/>
  <c r="H719" i="1"/>
  <c r="I719" i="1"/>
  <c r="E750" i="1"/>
  <c r="F750" i="1"/>
  <c r="G750" i="1"/>
  <c r="I763" i="1"/>
  <c r="I772" i="1"/>
  <c r="K796" i="1"/>
  <c r="L796" i="1"/>
  <c r="M796" i="1"/>
  <c r="N796" i="1"/>
  <c r="O796" i="1"/>
  <c r="P796" i="1"/>
  <c r="Q796" i="1"/>
  <c r="R796" i="1"/>
  <c r="E802" i="1"/>
  <c r="F802" i="1"/>
  <c r="G802" i="1"/>
  <c r="H802" i="1"/>
  <c r="E816" i="1"/>
  <c r="F816" i="1"/>
  <c r="G816" i="1"/>
  <c r="H816" i="1"/>
  <c r="G833" i="1"/>
  <c r="H837" i="1"/>
  <c r="G840" i="1"/>
  <c r="G841" i="1"/>
  <c r="H337" i="1"/>
  <c r="AP337" i="1"/>
  <c r="AQ337" i="1"/>
  <c r="AR337" i="1"/>
  <c r="AS337" i="1"/>
  <c r="AT337" i="1"/>
  <c r="AU337" i="1"/>
  <c r="AV337" i="1"/>
  <c r="AW337" i="1"/>
  <c r="H344" i="1"/>
  <c r="AP344" i="1"/>
  <c r="AQ344" i="1"/>
  <c r="AR344" i="1"/>
  <c r="AS344" i="1"/>
  <c r="AT344" i="1"/>
  <c r="AU344" i="1"/>
  <c r="AV344" i="1"/>
  <c r="AW344" i="1"/>
  <c r="H345" i="1"/>
  <c r="AP345" i="1"/>
  <c r="AQ345" i="1"/>
  <c r="AR345" i="1"/>
  <c r="AS345" i="1"/>
  <c r="AT345" i="1"/>
  <c r="AU345" i="1"/>
  <c r="AV345" i="1"/>
  <c r="AW345" i="1"/>
  <c r="H346" i="1"/>
  <c r="AP346" i="1"/>
  <c r="AQ346" i="1"/>
  <c r="AR346" i="1"/>
  <c r="AS346" i="1"/>
  <c r="AT346" i="1"/>
  <c r="AU346" i="1"/>
  <c r="AV346" i="1"/>
  <c r="AW346" i="1"/>
  <c r="C347" i="1"/>
  <c r="D347" i="1"/>
  <c r="E347" i="1"/>
  <c r="F347" i="1"/>
  <c r="G347" i="1"/>
  <c r="Z347" i="1"/>
  <c r="AA347" i="1"/>
  <c r="AB347" i="1"/>
  <c r="AC347" i="1"/>
  <c r="AD347" i="1"/>
  <c r="AE347" i="1"/>
  <c r="AF347" i="1"/>
  <c r="AG347" i="1"/>
  <c r="AH347" i="1"/>
  <c r="AI347" i="1"/>
  <c r="AJ347" i="1"/>
  <c r="AK347" i="1"/>
  <c r="AL347" i="1"/>
  <c r="AM347" i="1"/>
  <c r="AN347" i="1"/>
  <c r="AO347" i="1"/>
  <c r="AP351" i="1"/>
  <c r="AQ351" i="1"/>
  <c r="AR351" i="1"/>
  <c r="AS351" i="1"/>
  <c r="AT351" i="1"/>
  <c r="AU351" i="1"/>
  <c r="AV351" i="1"/>
  <c r="AW351" i="1"/>
  <c r="AP356" i="1"/>
  <c r="AQ356" i="1"/>
  <c r="AR356" i="1"/>
  <c r="AS356" i="1"/>
  <c r="AT356" i="1"/>
  <c r="AU356" i="1"/>
  <c r="AV356" i="1"/>
  <c r="AW356" i="1"/>
  <c r="AP357" i="1"/>
  <c r="AQ357" i="1"/>
  <c r="AR357" i="1"/>
  <c r="AS357" i="1"/>
  <c r="AT357" i="1"/>
  <c r="AU357" i="1"/>
  <c r="AV357" i="1"/>
  <c r="AW357" i="1"/>
  <c r="AP358" i="1"/>
  <c r="AQ358" i="1"/>
  <c r="AR358" i="1"/>
  <c r="AS358" i="1"/>
  <c r="AT358" i="1"/>
  <c r="AU358" i="1"/>
  <c r="AV358" i="1"/>
  <c r="AW358" i="1"/>
  <c r="AP360" i="1"/>
  <c r="AQ360" i="1"/>
  <c r="AR360" i="1"/>
  <c r="AS360" i="1"/>
  <c r="AT360" i="1"/>
  <c r="AU360" i="1"/>
  <c r="AV360" i="1"/>
  <c r="AW360" i="1"/>
  <c r="AP369" i="1"/>
  <c r="AQ369" i="1"/>
  <c r="H373" i="1"/>
  <c r="AD373" i="1"/>
  <c r="AE373" i="1"/>
  <c r="AF373" i="1"/>
  <c r="AG373" i="1"/>
  <c r="AK373" i="1"/>
  <c r="AP373" i="1"/>
  <c r="AQ373" i="1"/>
  <c r="AR373" i="1"/>
  <c r="AS373" i="1"/>
  <c r="AT373" i="1"/>
  <c r="AU373" i="1"/>
  <c r="AV373" i="1"/>
  <c r="AW373" i="1"/>
  <c r="H376" i="1"/>
  <c r="AD376" i="1"/>
  <c r="AE376" i="1"/>
  <c r="AF376" i="1"/>
  <c r="AG376" i="1"/>
  <c r="AK376" i="1"/>
  <c r="H377" i="1"/>
  <c r="AD377" i="1"/>
  <c r="AE377" i="1"/>
  <c r="AF377" i="1"/>
  <c r="AG377" i="1"/>
  <c r="AK377" i="1"/>
  <c r="AP386" i="1"/>
  <c r="AQ386" i="1"/>
  <c r="AR386" i="1"/>
  <c r="AS386" i="1"/>
  <c r="AT386" i="1"/>
  <c r="AU386" i="1"/>
  <c r="AV386" i="1"/>
  <c r="AW386" i="1"/>
  <c r="AP387" i="1"/>
  <c r="AQ387" i="1"/>
  <c r="AR387" i="1"/>
  <c r="AS387" i="1"/>
  <c r="AT387" i="1"/>
  <c r="AU387" i="1"/>
  <c r="AV387" i="1"/>
  <c r="AW387" i="1"/>
  <c r="E458" i="1"/>
  <c r="F458" i="1"/>
  <c r="G458" i="1"/>
  <c r="H458" i="1"/>
  <c r="I458" i="1"/>
  <c r="J458" i="1"/>
  <c r="E474" i="1"/>
  <c r="E485" i="1" s="1"/>
  <c r="AB485" i="1" s="1"/>
  <c r="AB479" i="1" s="1"/>
  <c r="F474" i="1"/>
  <c r="G474" i="1"/>
  <c r="G484" i="1" s="1"/>
  <c r="AP477" i="1"/>
  <c r="AQ477" i="1"/>
  <c r="AR477" i="1"/>
  <c r="AS477" i="1"/>
  <c r="AT477" i="1"/>
  <c r="AU477" i="1"/>
  <c r="AV477" i="1"/>
  <c r="AW477" i="1"/>
  <c r="AP478" i="1"/>
  <c r="AQ478" i="1"/>
  <c r="AR478" i="1"/>
  <c r="AS478" i="1"/>
  <c r="AT478" i="1"/>
  <c r="AU478" i="1"/>
  <c r="AV478" i="1"/>
  <c r="AW478" i="1"/>
  <c r="AP479" i="1"/>
  <c r="AQ479" i="1"/>
  <c r="AR479" i="1"/>
  <c r="AS479" i="1"/>
  <c r="AT479" i="1"/>
  <c r="AU479" i="1"/>
  <c r="AV479" i="1"/>
  <c r="AW479" i="1"/>
  <c r="AP480" i="1"/>
  <c r="AQ480" i="1"/>
  <c r="AR480" i="1"/>
  <c r="AS480" i="1"/>
  <c r="AT480" i="1"/>
  <c r="AU480" i="1"/>
  <c r="AV480" i="1"/>
  <c r="AW480" i="1"/>
  <c r="AW502" i="1" s="1"/>
  <c r="AP297" i="1"/>
  <c r="AQ297" i="1"/>
  <c r="AR297" i="1"/>
  <c r="AS297" i="1"/>
  <c r="AT297" i="1"/>
  <c r="AU297" i="1"/>
  <c r="AV297" i="1"/>
  <c r="AV302" i="1" s="1"/>
  <c r="AW297" i="1"/>
  <c r="AO297" i="1"/>
  <c r="J823" i="1"/>
  <c r="G641" i="1"/>
  <c r="H369" i="1"/>
  <c r="AI474" i="1"/>
  <c r="AI484" i="1" s="1"/>
  <c r="H352" i="1"/>
  <c r="I699" i="1"/>
  <c r="J699" i="1" s="1"/>
  <c r="K699" i="1" s="1"/>
  <c r="L699" i="1" s="1"/>
  <c r="M699" i="1" s="1"/>
  <c r="N699" i="1" s="1"/>
  <c r="O699" i="1" s="1"/>
  <c r="P699" i="1" s="1"/>
  <c r="Q699" i="1" s="1"/>
  <c r="R699" i="1" s="1"/>
  <c r="H360" i="1"/>
  <c r="H358" i="1"/>
  <c r="H356" i="1"/>
  <c r="AJ474" i="1"/>
  <c r="AH474" i="1"/>
  <c r="AH484" i="1" s="1"/>
  <c r="H357" i="1"/>
  <c r="H577" i="1" s="1"/>
  <c r="H351" i="1"/>
  <c r="AQ289" i="1"/>
  <c r="AR289" i="1"/>
  <c r="AS289" i="1"/>
  <c r="AT289" i="1"/>
  <c r="AT16" i="1" s="1"/>
  <c r="AU289" i="1"/>
  <c r="AU16" i="1" s="1"/>
  <c r="AV289" i="1"/>
  <c r="AZ290" i="1" s="1"/>
  <c r="AW289" i="1"/>
  <c r="AP289" i="1"/>
  <c r="AQ254" i="1"/>
  <c r="AR254" i="1"/>
  <c r="AR13" i="1" s="1"/>
  <c r="AS254" i="1"/>
  <c r="AS13" i="1" s="1"/>
  <c r="AT254" i="1"/>
  <c r="AT13" i="1" s="1"/>
  <c r="AU254" i="1"/>
  <c r="AU255" i="1" s="1"/>
  <c r="AV254" i="1"/>
  <c r="AW254" i="1"/>
  <c r="AW13" i="1" s="1"/>
  <c r="AP254" i="1"/>
  <c r="AQ232" i="1"/>
  <c r="AR232" i="1"/>
  <c r="AR12" i="1" s="1"/>
  <c r="AS232" i="1"/>
  <c r="AT232" i="1"/>
  <c r="AT235" i="1" s="1"/>
  <c r="AU232" i="1"/>
  <c r="AV232" i="1"/>
  <c r="AV235" i="1" s="1"/>
  <c r="AW232" i="1"/>
  <c r="AW235" i="1" s="1"/>
  <c r="AP232" i="1"/>
  <c r="AP233" i="1" s="1"/>
  <c r="AP240" i="1" s="1"/>
  <c r="AQ224" i="1"/>
  <c r="AR224" i="1"/>
  <c r="AR11" i="1" s="1"/>
  <c r="AS224" i="1"/>
  <c r="AT224" i="1"/>
  <c r="AU224" i="1"/>
  <c r="AU225" i="1" s="1"/>
  <c r="AV224" i="1"/>
  <c r="AW224" i="1"/>
  <c r="AX226" i="1" s="1"/>
  <c r="AP224" i="1"/>
  <c r="AP11" i="1" s="1"/>
  <c r="AQ162" i="1"/>
  <c r="AR162" i="1"/>
  <c r="AR10" i="1" s="1"/>
  <c r="AS162" i="1"/>
  <c r="AT162" i="1"/>
  <c r="AU162" i="1"/>
  <c r="AV162" i="1"/>
  <c r="AW162" i="1"/>
  <c r="AP162" i="1"/>
  <c r="AP174" i="1" s="1"/>
  <c r="AP183" i="1" s="1"/>
  <c r="AQ10" i="1"/>
  <c r="L653" i="1"/>
  <c r="M653" i="1" s="1"/>
  <c r="N653" i="1" s="1"/>
  <c r="O653" i="1" s="1"/>
  <c r="P653" i="1" s="1"/>
  <c r="Q653" i="1" s="1"/>
  <c r="R653" i="1" s="1"/>
  <c r="O573" i="1"/>
  <c r="P573" i="1" s="1"/>
  <c r="Q573" i="1" s="1"/>
  <c r="R573" i="1" s="1"/>
  <c r="N322" i="1"/>
  <c r="O322" i="1" s="1"/>
  <c r="P322" i="1" s="1"/>
  <c r="Q322" i="1" s="1"/>
  <c r="R322" i="1" s="1"/>
  <c r="N314" i="1"/>
  <c r="O314" i="1" s="1"/>
  <c r="P314" i="1" s="1"/>
  <c r="Q314" i="1" s="1"/>
  <c r="R314" i="1" s="1"/>
  <c r="N316" i="1"/>
  <c r="O316" i="1" s="1"/>
  <c r="P316" i="1" s="1"/>
  <c r="Q316" i="1" s="1"/>
  <c r="R316" i="1" s="1"/>
  <c r="AU313" i="1"/>
  <c r="AK314" i="1"/>
  <c r="AL314" i="1"/>
  <c r="AM314" i="1"/>
  <c r="AN314" i="1"/>
  <c r="AR313" i="1"/>
  <c r="AV313" i="1" s="1"/>
  <c r="AZ313" i="1" s="1"/>
  <c r="AZ315" i="1" s="1"/>
  <c r="AO314" i="1"/>
  <c r="AS313" i="1"/>
  <c r="AP314" i="1"/>
  <c r="AQ314" i="1"/>
  <c r="M650" i="1"/>
  <c r="N650" i="1" s="1"/>
  <c r="O650" i="1" s="1"/>
  <c r="P650" i="1" s="1"/>
  <c r="Q650" i="1" s="1"/>
  <c r="R650" i="1" s="1"/>
  <c r="AH239" i="1"/>
  <c r="AI239" i="1"/>
  <c r="AJ239" i="1"/>
  <c r="AL239" i="1"/>
  <c r="AM239" i="1"/>
  <c r="AN239" i="1"/>
  <c r="AO239" i="1"/>
  <c r="E169" i="1"/>
  <c r="E181" i="1" s="1"/>
  <c r="F169" i="1"/>
  <c r="G169" i="1"/>
  <c r="E114" i="1"/>
  <c r="F114" i="1"/>
  <c r="G114" i="1"/>
  <c r="H114" i="1"/>
  <c r="I114" i="1"/>
  <c r="J114" i="1"/>
  <c r="Z121" i="1"/>
  <c r="Z122" i="1" s="1"/>
  <c r="AA121" i="1"/>
  <c r="AA122" i="1" s="1"/>
  <c r="AB121" i="1"/>
  <c r="AB122" i="1" s="1"/>
  <c r="AD121" i="1"/>
  <c r="AD125" i="1" s="1"/>
  <c r="AE121" i="1"/>
  <c r="AE122" i="1" s="1"/>
  <c r="AF121" i="1"/>
  <c r="AF170" i="1" s="1"/>
  <c r="AG121" i="1"/>
  <c r="AG122" i="1" s="1"/>
  <c r="AE116" i="1"/>
  <c r="AF116" i="1"/>
  <c r="AG116" i="1"/>
  <c r="AD117" i="1"/>
  <c r="AE117" i="1"/>
  <c r="AF117" i="1"/>
  <c r="AG117" i="1"/>
  <c r="AH120" i="1"/>
  <c r="AI120" i="1"/>
  <c r="AJ120" i="1"/>
  <c r="AK120" i="1"/>
  <c r="AK128" i="1" s="1"/>
  <c r="AL120" i="1"/>
  <c r="AL132" i="1" s="1"/>
  <c r="AM120" i="1"/>
  <c r="AN120" i="1"/>
  <c r="AN128" i="1" s="1"/>
  <c r="AO120" i="1"/>
  <c r="AO128" i="1" s="1"/>
  <c r="AD138" i="1"/>
  <c r="F106" i="1"/>
  <c r="F157" i="1" s="1"/>
  <c r="G106" i="1"/>
  <c r="G157" i="1" s="1"/>
  <c r="O185" i="17"/>
  <c r="P185" i="17"/>
  <c r="Q185" i="17"/>
  <c r="R185" i="17"/>
  <c r="W293" i="94"/>
  <c r="J138" i="1"/>
  <c r="J120" i="1"/>
  <c r="AW583" i="1"/>
  <c r="AW577" i="1"/>
  <c r="AW570" i="1"/>
  <c r="AW284" i="1"/>
  <c r="AW15" i="1" s="1"/>
  <c r="AW310" i="1"/>
  <c r="AW321" i="1"/>
  <c r="AW18" i="1" s="1"/>
  <c r="AS284" i="1"/>
  <c r="AS310" i="1"/>
  <c r="AS315" i="1" s="1"/>
  <c r="AS321" i="1"/>
  <c r="AW220" i="1"/>
  <c r="AW153" i="1"/>
  <c r="AW106" i="1"/>
  <c r="AW565" i="1"/>
  <c r="AS62" i="1"/>
  <c r="AS63" i="1"/>
  <c r="AS64" i="1"/>
  <c r="AS65" i="1"/>
  <c r="AS67" i="1"/>
  <c r="AW62" i="1"/>
  <c r="AW63" i="1"/>
  <c r="AW64" i="1"/>
  <c r="AW65" i="1"/>
  <c r="AW67" i="1"/>
  <c r="S323" i="94"/>
  <c r="S322" i="94"/>
  <c r="S321" i="94"/>
  <c r="S320" i="94"/>
  <c r="S319" i="94"/>
  <c r="S318" i="94"/>
  <c r="S317" i="94"/>
  <c r="S316" i="94"/>
  <c r="S315" i="94"/>
  <c r="S314" i="94"/>
  <c r="W323" i="94"/>
  <c r="W322" i="94"/>
  <c r="W321" i="94"/>
  <c r="W320" i="94"/>
  <c r="W319" i="94"/>
  <c r="W318" i="94"/>
  <c r="W317" i="94"/>
  <c r="W316" i="94"/>
  <c r="W315" i="94"/>
  <c r="W314" i="94"/>
  <c r="S313" i="94"/>
  <c r="W313" i="94"/>
  <c r="W312" i="94"/>
  <c r="S312" i="94"/>
  <c r="S309" i="94"/>
  <c r="S308" i="94"/>
  <c r="W309" i="94"/>
  <c r="W308" i="94"/>
  <c r="W303" i="94"/>
  <c r="W302" i="94"/>
  <c r="W301" i="94"/>
  <c r="W300" i="94"/>
  <c r="W299" i="94"/>
  <c r="W298" i="94"/>
  <c r="W297" i="94"/>
  <c r="W296" i="94"/>
  <c r="W295" i="94"/>
  <c r="W294" i="94"/>
  <c r="W292" i="94"/>
  <c r="W291" i="94"/>
  <c r="W290" i="94"/>
  <c r="S303" i="94"/>
  <c r="S302" i="94"/>
  <c r="S301" i="94"/>
  <c r="S300" i="94"/>
  <c r="S299" i="94"/>
  <c r="S298" i="94"/>
  <c r="S297" i="94"/>
  <c r="S296" i="94"/>
  <c r="S295" i="94"/>
  <c r="S294" i="94"/>
  <c r="S292" i="94"/>
  <c r="S290" i="94"/>
  <c r="W286" i="94"/>
  <c r="W285" i="94"/>
  <c r="W284" i="94"/>
  <c r="W283" i="94"/>
  <c r="W282" i="94"/>
  <c r="W280" i="94"/>
  <c r="W279" i="94"/>
  <c r="W281" i="94"/>
  <c r="W278" i="94"/>
  <c r="W277" i="94"/>
  <c r="W276" i="94"/>
  <c r="W273" i="94"/>
  <c r="W274" i="94"/>
  <c r="W272" i="94"/>
  <c r="S286" i="94"/>
  <c r="S285" i="94"/>
  <c r="S284" i="94"/>
  <c r="S283" i="94"/>
  <c r="S282" i="94"/>
  <c r="S280" i="94"/>
  <c r="S279" i="94"/>
  <c r="S281" i="94"/>
  <c r="S277" i="94"/>
  <c r="S276" i="94"/>
  <c r="S274" i="94"/>
  <c r="S273" i="94"/>
  <c r="S272" i="94"/>
  <c r="S278" i="94"/>
  <c r="E170" i="94"/>
  <c r="E162" i="94"/>
  <c r="E160" i="94"/>
  <c r="E159" i="94"/>
  <c r="E158" i="94"/>
  <c r="E157" i="94"/>
  <c r="E153" i="94"/>
  <c r="D153" i="94"/>
  <c r="E118" i="94"/>
  <c r="E146" i="94"/>
  <c r="E145" i="94"/>
  <c r="E144" i="94"/>
  <c r="E143" i="94"/>
  <c r="E142" i="94"/>
  <c r="E141" i="94"/>
  <c r="E140" i="94"/>
  <c r="E94" i="94"/>
  <c r="E96" i="94"/>
  <c r="E97" i="94"/>
  <c r="E100" i="94"/>
  <c r="E101" i="94"/>
  <c r="E103" i="94"/>
  <c r="E68" i="94"/>
  <c r="E71" i="94"/>
  <c r="E72" i="94" s="1"/>
  <c r="E70" i="94"/>
  <c r="E75" i="94"/>
  <c r="E77" i="94"/>
  <c r="E78" i="94"/>
  <c r="E81" i="94"/>
  <c r="E83" i="94"/>
  <c r="E85" i="94"/>
  <c r="E88" i="94"/>
  <c r="E65" i="94"/>
  <c r="E104" i="94"/>
  <c r="E63" i="94"/>
  <c r="E82" i="94"/>
  <c r="E59" i="94"/>
  <c r="E79" i="94"/>
  <c r="E42" i="94"/>
  <c r="E43" i="94"/>
  <c r="E44" i="94"/>
  <c r="E48" i="94"/>
  <c r="E50" i="94"/>
  <c r="E38" i="94"/>
  <c r="E37" i="94"/>
  <c r="E46" i="94"/>
  <c r="E29" i="94"/>
  <c r="W355" i="94"/>
  <c r="W356" i="94"/>
  <c r="W170" i="94"/>
  <c r="AW368" i="1"/>
  <c r="W157" i="94"/>
  <c r="W158" i="94"/>
  <c r="W159" i="94"/>
  <c r="W160" i="94"/>
  <c r="W162" i="94"/>
  <c r="S157" i="94"/>
  <c r="S158" i="94"/>
  <c r="S159" i="94"/>
  <c r="S160" i="94"/>
  <c r="S162" i="94"/>
  <c r="W153" i="94"/>
  <c r="AW66" i="1"/>
  <c r="S153" i="94"/>
  <c r="AS66" i="1" s="1"/>
  <c r="W140" i="94"/>
  <c r="W141" i="94"/>
  <c r="W142" i="94"/>
  <c r="W143" i="94"/>
  <c r="W144" i="94"/>
  <c r="W145" i="94"/>
  <c r="W146" i="94"/>
  <c r="W234" i="94"/>
  <c r="W96" i="94"/>
  <c r="W97" i="94"/>
  <c r="W100" i="94"/>
  <c r="W101" i="94"/>
  <c r="W103" i="94"/>
  <c r="W68" i="94"/>
  <c r="W71" i="94"/>
  <c r="W70" i="94"/>
  <c r="W65" i="94"/>
  <c r="AW566" i="1"/>
  <c r="W63" i="94"/>
  <c r="AW564" i="1" s="1"/>
  <c r="W59" i="94"/>
  <c r="W98" i="94" s="1"/>
  <c r="E7" i="94"/>
  <c r="E8" i="94"/>
  <c r="E6" i="94"/>
  <c r="W342" i="94"/>
  <c r="V342" i="94"/>
  <c r="U342" i="94"/>
  <c r="T342" i="94"/>
  <c r="S342" i="94"/>
  <c r="R342" i="94"/>
  <c r="Q342" i="94"/>
  <c r="P342" i="94"/>
  <c r="O342" i="94"/>
  <c r="N342" i="94"/>
  <c r="W341" i="94"/>
  <c r="V341" i="94"/>
  <c r="U341" i="94"/>
  <c r="T341" i="94"/>
  <c r="S341" i="94"/>
  <c r="R341" i="94"/>
  <c r="Q341" i="94"/>
  <c r="P341" i="94"/>
  <c r="O341" i="94"/>
  <c r="N341" i="94"/>
  <c r="E342" i="94"/>
  <c r="D342" i="94"/>
  <c r="C342" i="94"/>
  <c r="B342" i="94"/>
  <c r="E341" i="94"/>
  <c r="D341" i="94"/>
  <c r="C341" i="94"/>
  <c r="B341" i="94"/>
  <c r="E327" i="94"/>
  <c r="D327" i="94"/>
  <c r="C327" i="94"/>
  <c r="B327" i="94"/>
  <c r="E326" i="94"/>
  <c r="D326" i="94"/>
  <c r="C326" i="94"/>
  <c r="B326" i="94"/>
  <c r="W327" i="94"/>
  <c r="V327" i="94"/>
  <c r="U327" i="94"/>
  <c r="T327" i="94"/>
  <c r="S327" i="94"/>
  <c r="R327" i="94"/>
  <c r="Q327" i="94"/>
  <c r="P327" i="94"/>
  <c r="O327" i="94"/>
  <c r="W326" i="94"/>
  <c r="V326" i="94"/>
  <c r="U326" i="94"/>
  <c r="T326" i="94"/>
  <c r="S326" i="94"/>
  <c r="R326" i="94"/>
  <c r="Q326" i="94"/>
  <c r="P326" i="94"/>
  <c r="O326" i="94"/>
  <c r="N327" i="94"/>
  <c r="N326" i="94"/>
  <c r="E190" i="94"/>
  <c r="D190" i="94"/>
  <c r="C190" i="94"/>
  <c r="B190" i="94"/>
  <c r="E189" i="94"/>
  <c r="D189" i="94"/>
  <c r="C189" i="94"/>
  <c r="B189" i="94"/>
  <c r="E268" i="94"/>
  <c r="D268" i="94"/>
  <c r="C269" i="94"/>
  <c r="D269" i="94"/>
  <c r="E269" i="94"/>
  <c r="B269" i="94"/>
  <c r="O269" i="94"/>
  <c r="P269" i="94"/>
  <c r="Q269" i="94"/>
  <c r="R269" i="94"/>
  <c r="S269" i="94"/>
  <c r="T269" i="94"/>
  <c r="U269" i="94"/>
  <c r="V269" i="94"/>
  <c r="W269" i="94"/>
  <c r="N269" i="94"/>
  <c r="W190" i="94"/>
  <c r="V190" i="94"/>
  <c r="E84" i="94"/>
  <c r="E98" i="94"/>
  <c r="E31" i="94"/>
  <c r="E90" i="94"/>
  <c r="W92" i="94"/>
  <c r="S71" i="94"/>
  <c r="AW170" i="1"/>
  <c r="W88" i="94"/>
  <c r="W102" i="94"/>
  <c r="E36" i="94"/>
  <c r="AW563" i="1"/>
  <c r="AW201" i="1"/>
  <c r="W69" i="94"/>
  <c r="W90" i="94"/>
  <c r="W104" i="94"/>
  <c r="E102" i="94"/>
  <c r="W325" i="94"/>
  <c r="E69" i="94"/>
  <c r="W55" i="94"/>
  <c r="W79" i="94"/>
  <c r="E45" i="94"/>
  <c r="W110" i="94"/>
  <c r="W77" i="94"/>
  <c r="W81" i="94"/>
  <c r="W84" i="94"/>
  <c r="W78" i="94"/>
  <c r="W82" i="94"/>
  <c r="W86" i="94"/>
  <c r="W75" i="94"/>
  <c r="W85" i="94"/>
  <c r="AW200" i="1"/>
  <c r="W89" i="94"/>
  <c r="W83" i="94"/>
  <c r="E30" i="94"/>
  <c r="E89" i="94"/>
  <c r="N117" i="17"/>
  <c r="O117" i="17" s="1"/>
  <c r="J329" i="1"/>
  <c r="AV583" i="1"/>
  <c r="AV577" i="1"/>
  <c r="AV570" i="1"/>
  <c r="AR321" i="1"/>
  <c r="AR18" i="1" s="1"/>
  <c r="AR310" i="1"/>
  <c r="AR284" i="1"/>
  <c r="AV321" i="1"/>
  <c r="AZ322" i="1" s="1"/>
  <c r="AV310" i="1"/>
  <c r="AV284" i="1"/>
  <c r="AV220" i="1"/>
  <c r="AV106" i="1"/>
  <c r="AV153" i="1"/>
  <c r="AR67" i="1"/>
  <c r="AS94" i="1" s="1"/>
  <c r="AR66" i="1"/>
  <c r="AR65" i="1"/>
  <c r="AR64" i="1"/>
  <c r="AR63" i="1"/>
  <c r="AR62" i="1"/>
  <c r="AV67" i="1"/>
  <c r="AW94" i="1" s="1"/>
  <c r="AV66" i="1"/>
  <c r="AV65" i="1"/>
  <c r="AV64" i="1"/>
  <c r="AV63" i="1"/>
  <c r="AV82" i="1" s="1"/>
  <c r="AV62" i="1"/>
  <c r="V234" i="94"/>
  <c r="V65" i="94"/>
  <c r="V64" i="94"/>
  <c r="V62" i="94"/>
  <c r="V61" i="94"/>
  <c r="V100" i="94" s="1"/>
  <c r="V58" i="94"/>
  <c r="V57" i="94"/>
  <c r="V356" i="94"/>
  <c r="V355" i="94"/>
  <c r="V146" i="94"/>
  <c r="V145" i="94"/>
  <c r="V144" i="94"/>
  <c r="V143" i="94"/>
  <c r="V142" i="94"/>
  <c r="V141" i="94"/>
  <c r="V140" i="94"/>
  <c r="V162" i="94"/>
  <c r="V160" i="94"/>
  <c r="V159" i="94"/>
  <c r="V158" i="94"/>
  <c r="V157" i="94"/>
  <c r="R162" i="94"/>
  <c r="R160" i="94"/>
  <c r="R159" i="94"/>
  <c r="R158" i="94"/>
  <c r="R157" i="94"/>
  <c r="V70" i="94"/>
  <c r="V104" i="94"/>
  <c r="AV565" i="1"/>
  <c r="V103" i="94"/>
  <c r="AV566" i="1"/>
  <c r="AV201" i="1"/>
  <c r="V68" i="94"/>
  <c r="V96" i="94"/>
  <c r="V101" i="94"/>
  <c r="AZ141" i="1"/>
  <c r="AZ143" i="1" s="1"/>
  <c r="AY141" i="1"/>
  <c r="AY143" i="1" s="1"/>
  <c r="AX141" i="1"/>
  <c r="AX143" i="1" s="1"/>
  <c r="I301" i="1"/>
  <c r="F187" i="1"/>
  <c r="G187" i="1"/>
  <c r="H187" i="1"/>
  <c r="I187" i="1"/>
  <c r="AL187" i="1"/>
  <c r="G10" i="1"/>
  <c r="G11" i="1"/>
  <c r="G12" i="1"/>
  <c r="G13" i="1"/>
  <c r="G16" i="1"/>
  <c r="F16" i="1"/>
  <c r="F13" i="1"/>
  <c r="F12" i="1"/>
  <c r="F11" i="1"/>
  <c r="F10" i="1"/>
  <c r="AQ66" i="1"/>
  <c r="AP66" i="1"/>
  <c r="AQ65" i="1"/>
  <c r="AP65" i="1"/>
  <c r="AQ64" i="1"/>
  <c r="AP64" i="1"/>
  <c r="AQ63" i="1"/>
  <c r="AP63" i="1"/>
  <c r="AQ62" i="1"/>
  <c r="AP62" i="1"/>
  <c r="AP67" i="1"/>
  <c r="AT66" i="1"/>
  <c r="AT65" i="1"/>
  <c r="AT64" i="1"/>
  <c r="AT63" i="1"/>
  <c r="AT62" i="1"/>
  <c r="AT67" i="1"/>
  <c r="AU63" i="1"/>
  <c r="AU64" i="1"/>
  <c r="AU65" i="1"/>
  <c r="AU66" i="1"/>
  <c r="AU67" i="1"/>
  <c r="AU62" i="1"/>
  <c r="G562" i="1"/>
  <c r="G258" i="1" s="1"/>
  <c r="Z336" i="1"/>
  <c r="AB336" i="1"/>
  <c r="AA336" i="1"/>
  <c r="AC336" i="1"/>
  <c r="AC338" i="1" s="1"/>
  <c r="AC403" i="1" s="1"/>
  <c r="AN336" i="1"/>
  <c r="AO336" i="1"/>
  <c r="T146" i="94"/>
  <c r="T145" i="94"/>
  <c r="T144" i="94"/>
  <c r="T143" i="94"/>
  <c r="T140" i="94"/>
  <c r="T142" i="94"/>
  <c r="T141" i="94"/>
  <c r="U146" i="94"/>
  <c r="U145" i="94"/>
  <c r="U144" i="94"/>
  <c r="U143" i="94"/>
  <c r="U140" i="94"/>
  <c r="U142" i="94"/>
  <c r="U141" i="94"/>
  <c r="Q160" i="94"/>
  <c r="Q159" i="94"/>
  <c r="Q158" i="94"/>
  <c r="Q157" i="94"/>
  <c r="Q154" i="94"/>
  <c r="Q162" i="94" s="1"/>
  <c r="AQ67" i="1"/>
  <c r="AU106" i="1"/>
  <c r="AU583" i="1"/>
  <c r="AU577" i="1"/>
  <c r="AU570" i="1"/>
  <c r="AQ284" i="1"/>
  <c r="AQ310" i="1"/>
  <c r="AQ321" i="1"/>
  <c r="AU284" i="1"/>
  <c r="AU15" i="1" s="1"/>
  <c r="AU310" i="1"/>
  <c r="AY311" i="1" s="1"/>
  <c r="AU321" i="1"/>
  <c r="AU220" i="1"/>
  <c r="AU153" i="1"/>
  <c r="U70" i="94"/>
  <c r="Y109" i="94" s="1"/>
  <c r="U355" i="94"/>
  <c r="U356" i="94"/>
  <c r="U162" i="94"/>
  <c r="U160" i="94"/>
  <c r="U159" i="94"/>
  <c r="U158" i="94"/>
  <c r="U157" i="94"/>
  <c r="U233" i="94"/>
  <c r="U232" i="94"/>
  <c r="U231" i="94"/>
  <c r="U230" i="94"/>
  <c r="U234" i="94" s="1"/>
  <c r="U65" i="94"/>
  <c r="Y104" i="94" s="1"/>
  <c r="U64" i="94"/>
  <c r="Y103" i="94" s="1"/>
  <c r="U62" i="94"/>
  <c r="Y101" i="94" s="1"/>
  <c r="U61" i="94"/>
  <c r="Y100" i="94" s="1"/>
  <c r="U58" i="94"/>
  <c r="Y97" i="94" s="1"/>
  <c r="U57" i="94"/>
  <c r="Y96" i="94" s="1"/>
  <c r="AU565" i="1"/>
  <c r="U68" i="94"/>
  <c r="Y107" i="94" s="1"/>
  <c r="U59" i="94"/>
  <c r="Y98" i="94" s="1"/>
  <c r="AU566" i="1"/>
  <c r="U104" i="94"/>
  <c r="U103" i="94"/>
  <c r="U96" i="94"/>
  <c r="U98" i="94"/>
  <c r="Y110" i="94"/>
  <c r="AU563" i="1"/>
  <c r="U90" i="94"/>
  <c r="AU170" i="1"/>
  <c r="AT583" i="1"/>
  <c r="AT577" i="1"/>
  <c r="AT570" i="1"/>
  <c r="AP321" i="1"/>
  <c r="AP18" i="1" s="1"/>
  <c r="AP310" i="1"/>
  <c r="AP315" i="1" s="1"/>
  <c r="AP284" i="1"/>
  <c r="AT321" i="1"/>
  <c r="AT18" i="1" s="1"/>
  <c r="AT310" i="1"/>
  <c r="AT17" i="1" s="1"/>
  <c r="AT284" i="1"/>
  <c r="AT286" i="1" s="1"/>
  <c r="AT121" i="1"/>
  <c r="AT120" i="1"/>
  <c r="AT207" i="1"/>
  <c r="AT206" i="1"/>
  <c r="AT220" i="1"/>
  <c r="AT153" i="1"/>
  <c r="AT106" i="1"/>
  <c r="J352" i="1"/>
  <c r="T50" i="94"/>
  <c r="T356" i="94"/>
  <c r="T355" i="94"/>
  <c r="S356" i="94"/>
  <c r="T233" i="94"/>
  <c r="T232" i="94"/>
  <c r="T231" i="94"/>
  <c r="T230" i="94"/>
  <c r="T70" i="94"/>
  <c r="AT201" i="1"/>
  <c r="T64" i="94"/>
  <c r="T103" i="94" s="1"/>
  <c r="T62" i="94"/>
  <c r="X101" i="94" s="1"/>
  <c r="T61" i="94"/>
  <c r="X100" i="94" s="1"/>
  <c r="T58" i="94"/>
  <c r="X97" i="94" s="1"/>
  <c r="T57" i="94"/>
  <c r="X96" i="94" s="1"/>
  <c r="T65" i="94"/>
  <c r="T104" i="94" s="1"/>
  <c r="T33" i="94"/>
  <c r="T37" i="94"/>
  <c r="T59" i="94"/>
  <c r="X98" i="94" s="1"/>
  <c r="AT566" i="1"/>
  <c r="T68" i="94"/>
  <c r="T88" i="94" s="1"/>
  <c r="AT138" i="1"/>
  <c r="T46" i="94"/>
  <c r="T36" i="94"/>
  <c r="T43" i="94"/>
  <c r="T42" i="94"/>
  <c r="T44" i="94"/>
  <c r="T97" i="94"/>
  <c r="T162" i="94"/>
  <c r="T160" i="94"/>
  <c r="T159" i="94"/>
  <c r="T158" i="94"/>
  <c r="T157" i="94"/>
  <c r="P162" i="94"/>
  <c r="P160" i="94"/>
  <c r="P159" i="94"/>
  <c r="P158" i="94"/>
  <c r="P157" i="94"/>
  <c r="T113" i="94"/>
  <c r="AT137" i="1"/>
  <c r="T45" i="94"/>
  <c r="AT170" i="1"/>
  <c r="AX187" i="1" s="1"/>
  <c r="AR220" i="1"/>
  <c r="AQ220" i="1"/>
  <c r="AP220" i="1"/>
  <c r="AO220" i="1"/>
  <c r="H220" i="1" s="1"/>
  <c r="AN220" i="1"/>
  <c r="AM220" i="1"/>
  <c r="AL220" i="1"/>
  <c r="AK220" i="1"/>
  <c r="AS220" i="1"/>
  <c r="AR153" i="1"/>
  <c r="AQ153" i="1"/>
  <c r="AP153" i="1"/>
  <c r="AO153" i="1"/>
  <c r="AO159" i="1" s="1"/>
  <c r="AN153" i="1"/>
  <c r="AM153" i="1"/>
  <c r="AK153" i="1"/>
  <c r="AS153" i="1"/>
  <c r="AN166" i="1"/>
  <c r="AM166" i="1"/>
  <c r="AL166" i="1"/>
  <c r="AO166" i="1"/>
  <c r="AO237" i="1"/>
  <c r="AN237" i="1"/>
  <c r="AM237" i="1"/>
  <c r="AL237" i="1"/>
  <c r="M185" i="17"/>
  <c r="H296" i="1"/>
  <c r="O296" i="1"/>
  <c r="P296" i="1" s="1"/>
  <c r="Q296" i="1" s="1"/>
  <c r="R296" i="1" s="1"/>
  <c r="S325" i="94"/>
  <c r="S355" i="94"/>
  <c r="L124" i="1"/>
  <c r="D104" i="94"/>
  <c r="D103" i="94"/>
  <c r="D102" i="94"/>
  <c r="D101" i="94"/>
  <c r="D100" i="94"/>
  <c r="D37" i="94"/>
  <c r="D35" i="94"/>
  <c r="E51" i="94" s="1"/>
  <c r="S120" i="94"/>
  <c r="S119" i="94"/>
  <c r="D36" i="94"/>
  <c r="E52" i="94" s="1"/>
  <c r="E53" i="94"/>
  <c r="S113" i="94"/>
  <c r="AS583" i="1"/>
  <c r="AS577" i="1"/>
  <c r="AS570" i="1"/>
  <c r="AS121" i="1"/>
  <c r="AS120" i="1"/>
  <c r="AS207" i="1"/>
  <c r="AS206" i="1"/>
  <c r="AS106" i="1"/>
  <c r="AS563" i="1"/>
  <c r="AS564" i="1"/>
  <c r="AS565" i="1"/>
  <c r="AS566" i="1"/>
  <c r="S50" i="94"/>
  <c r="S96" i="94"/>
  <c r="S97" i="94"/>
  <c r="S98" i="94"/>
  <c r="S100" i="94"/>
  <c r="S101" i="94"/>
  <c r="S102" i="94"/>
  <c r="S103" i="94"/>
  <c r="S104" i="94"/>
  <c r="S55" i="94"/>
  <c r="W94" i="94"/>
  <c r="S68" i="94"/>
  <c r="S91" i="94" s="1"/>
  <c r="AS182" i="1" s="1"/>
  <c r="S70" i="94"/>
  <c r="S33" i="94"/>
  <c r="S37" i="94"/>
  <c r="S234" i="94"/>
  <c r="AS201" i="1"/>
  <c r="W109" i="94"/>
  <c r="S77" i="94"/>
  <c r="S42" i="94"/>
  <c r="S79" i="94"/>
  <c r="S84" i="94"/>
  <c r="S75" i="94"/>
  <c r="S69" i="94"/>
  <c r="S89" i="94" s="1"/>
  <c r="S90" i="94"/>
  <c r="S85" i="94"/>
  <c r="S81" i="94"/>
  <c r="S46" i="94"/>
  <c r="S36" i="94"/>
  <c r="S83" i="94"/>
  <c r="S78" i="94"/>
  <c r="S44" i="94"/>
  <c r="AS138" i="1"/>
  <c r="S86" i="94"/>
  <c r="S82" i="94"/>
  <c r="S43" i="94"/>
  <c r="S30" i="94"/>
  <c r="AS205" i="1" s="1"/>
  <c r="AS200" i="1"/>
  <c r="AS170" i="1"/>
  <c r="AS137" i="1"/>
  <c r="S45" i="94"/>
  <c r="W111" i="94"/>
  <c r="S92" i="94"/>
  <c r="R288" i="94"/>
  <c r="L36" i="15"/>
  <c r="I329" i="1"/>
  <c r="AM329" i="1"/>
  <c r="H329" i="1" s="1"/>
  <c r="H330" i="1" s="1"/>
  <c r="D250" i="1"/>
  <c r="X250" i="1" s="1"/>
  <c r="X232" i="1" s="1"/>
  <c r="G247" i="1"/>
  <c r="M250" i="1"/>
  <c r="N250" i="1" s="1"/>
  <c r="O250" i="1" s="1"/>
  <c r="P250" i="1" s="1"/>
  <c r="Q250" i="1" s="1"/>
  <c r="R250" i="1" s="1"/>
  <c r="L113" i="94"/>
  <c r="N113" i="94"/>
  <c r="R113" i="94"/>
  <c r="R356" i="94"/>
  <c r="Q356" i="94"/>
  <c r="P356" i="94"/>
  <c r="O356" i="94"/>
  <c r="O355" i="94"/>
  <c r="P355" i="94"/>
  <c r="Q355" i="94"/>
  <c r="R355" i="94"/>
  <c r="AR583" i="1"/>
  <c r="AR577" i="1"/>
  <c r="AR570" i="1"/>
  <c r="AR120" i="1"/>
  <c r="AR182" i="1"/>
  <c r="AR206" i="1"/>
  <c r="AR207" i="1"/>
  <c r="AR106" i="1"/>
  <c r="AR566" i="1"/>
  <c r="AR565" i="1"/>
  <c r="AR564" i="1"/>
  <c r="AR563" i="1"/>
  <c r="R234" i="94"/>
  <c r="R104" i="94"/>
  <c r="R103" i="94"/>
  <c r="R102" i="94"/>
  <c r="R101" i="94"/>
  <c r="R100" i="94"/>
  <c r="R98" i="94"/>
  <c r="R97" i="94"/>
  <c r="R96" i="94"/>
  <c r="R70" i="94"/>
  <c r="V109" i="94"/>
  <c r="R68" i="94"/>
  <c r="R55" i="94"/>
  <c r="R50" i="94"/>
  <c r="R37" i="94"/>
  <c r="AR138" i="1" s="1"/>
  <c r="R33" i="94"/>
  <c r="R83" i="94"/>
  <c r="R88" i="94"/>
  <c r="V107" i="94"/>
  <c r="R79" i="94"/>
  <c r="R71" i="94"/>
  <c r="AR170" i="1" s="1"/>
  <c r="R84" i="94"/>
  <c r="R75" i="94"/>
  <c r="R85" i="94"/>
  <c r="R77" i="94"/>
  <c r="R86" i="94"/>
  <c r="R36" i="94"/>
  <c r="R42" i="94"/>
  <c r="R78" i="94"/>
  <c r="R35" i="94"/>
  <c r="R43" i="94"/>
  <c r="R81" i="94"/>
  <c r="R82" i="94"/>
  <c r="R46" i="94"/>
  <c r="AR201" i="1"/>
  <c r="R69" i="94"/>
  <c r="R90" i="94"/>
  <c r="AR200" i="1"/>
  <c r="R45" i="94"/>
  <c r="AR137" i="1"/>
  <c r="AR121" i="1"/>
  <c r="R44" i="94"/>
  <c r="R30" i="94"/>
  <c r="AR205" i="1" s="1"/>
  <c r="R89" i="94"/>
  <c r="V111" i="94"/>
  <c r="R92" i="94"/>
  <c r="Q68" i="94"/>
  <c r="B351" i="94"/>
  <c r="C351" i="94"/>
  <c r="B355" i="94"/>
  <c r="C355" i="94"/>
  <c r="L119" i="17"/>
  <c r="M119" i="17"/>
  <c r="N119" i="17"/>
  <c r="AE174" i="1"/>
  <c r="AE183" i="1" s="1"/>
  <c r="AF174" i="1"/>
  <c r="AF183" i="1" s="1"/>
  <c r="AH174" i="1"/>
  <c r="AH183" i="1" s="1"/>
  <c r="AI174" i="1"/>
  <c r="AI183" i="1" s="1"/>
  <c r="AJ174" i="1"/>
  <c r="AJ183" i="1" s="1"/>
  <c r="AL174" i="1"/>
  <c r="AM174" i="1"/>
  <c r="AM183" i="1" s="1"/>
  <c r="AN174" i="1"/>
  <c r="AN183" i="1" s="1"/>
  <c r="AO174" i="1"/>
  <c r="AO183" i="1" s="1"/>
  <c r="AD174" i="1"/>
  <c r="J233" i="94"/>
  <c r="J232" i="94"/>
  <c r="J231" i="94"/>
  <c r="J230" i="94"/>
  <c r="N233" i="94"/>
  <c r="N232" i="94"/>
  <c r="N231" i="94"/>
  <c r="N230" i="94"/>
  <c r="J260" i="94"/>
  <c r="N260" i="94"/>
  <c r="J253" i="94"/>
  <c r="J242" i="94"/>
  <c r="N242" i="94"/>
  <c r="N253" i="94"/>
  <c r="J234" i="94"/>
  <c r="N234" i="94"/>
  <c r="AQ583" i="1"/>
  <c r="AQ577" i="1"/>
  <c r="AQ570" i="1"/>
  <c r="AQ120" i="1"/>
  <c r="AQ182" i="1"/>
  <c r="AQ206" i="1"/>
  <c r="AQ106" i="1"/>
  <c r="AQ563" i="1"/>
  <c r="AQ564" i="1"/>
  <c r="AQ565" i="1"/>
  <c r="AQ566" i="1"/>
  <c r="M234" i="94"/>
  <c r="Q234" i="94"/>
  <c r="M113" i="94"/>
  <c r="Q113" i="94"/>
  <c r="Q96" i="94"/>
  <c r="Q97" i="94"/>
  <c r="Q98" i="94"/>
  <c r="Q100" i="94"/>
  <c r="Q101" i="94"/>
  <c r="Q102" i="94"/>
  <c r="Q103" i="94"/>
  <c r="Q104" i="94"/>
  <c r="Q71" i="94"/>
  <c r="U110" i="94" s="1"/>
  <c r="Q70" i="94"/>
  <c r="U109" i="94"/>
  <c r="Q50" i="94"/>
  <c r="Q37" i="94"/>
  <c r="AQ138" i="1"/>
  <c r="Q33" i="94"/>
  <c r="Q36" i="94" s="1"/>
  <c r="Q55" i="94"/>
  <c r="Q82" i="94" s="1"/>
  <c r="Q5" i="94"/>
  <c r="Q35" i="94"/>
  <c r="Q69" i="94"/>
  <c r="AQ201" i="1"/>
  <c r="U111" i="94"/>
  <c r="AQ170" i="1"/>
  <c r="Q43" i="94"/>
  <c r="Q88" i="94"/>
  <c r="Q86" i="94"/>
  <c r="Q29" i="94"/>
  <c r="AQ207" i="1" s="1"/>
  <c r="Q46" i="94"/>
  <c r="Q90" i="94"/>
  <c r="Q85" i="94"/>
  <c r="Q75" i="94"/>
  <c r="Q84" i="94"/>
  <c r="Q79" i="94"/>
  <c r="Q77" i="94"/>
  <c r="Q78" i="94"/>
  <c r="Q42" i="94"/>
  <c r="Q81" i="94"/>
  <c r="Q92" i="94"/>
  <c r="AQ200" i="1"/>
  <c r="Q44" i="94"/>
  <c r="AQ121" i="1"/>
  <c r="Q89" i="94"/>
  <c r="I6" i="1"/>
  <c r="AQ6" i="1" s="1"/>
  <c r="O40" i="94"/>
  <c r="P38" i="94"/>
  <c r="AN108" i="1"/>
  <c r="AO108" i="1"/>
  <c r="AP583" i="1"/>
  <c r="AP577" i="1"/>
  <c r="AP570" i="1"/>
  <c r="AP120" i="1"/>
  <c r="AP182" i="1"/>
  <c r="AP206" i="1"/>
  <c r="AP106" i="1"/>
  <c r="AP157" i="1" s="1"/>
  <c r="AP566" i="1"/>
  <c r="AP565" i="1"/>
  <c r="AP564" i="1"/>
  <c r="AP563" i="1"/>
  <c r="P113" i="94"/>
  <c r="P70" i="94"/>
  <c r="H68" i="94"/>
  <c r="I68" i="94"/>
  <c r="J68" i="94"/>
  <c r="K68" i="94"/>
  <c r="L68" i="94"/>
  <c r="M68" i="94"/>
  <c r="Q107" i="94"/>
  <c r="H70" i="94"/>
  <c r="I70" i="94"/>
  <c r="J70" i="94"/>
  <c r="K70" i="94"/>
  <c r="L70" i="94"/>
  <c r="M70" i="94"/>
  <c r="H71" i="94"/>
  <c r="H91" i="94" s="1"/>
  <c r="L71" i="94"/>
  <c r="P68" i="94"/>
  <c r="H55" i="94"/>
  <c r="I55" i="94"/>
  <c r="J55" i="94"/>
  <c r="P55" i="94"/>
  <c r="L55" i="94"/>
  <c r="M55" i="94"/>
  <c r="Q94" i="94" s="1"/>
  <c r="N55" i="94"/>
  <c r="R94" i="94" s="1"/>
  <c r="P37" i="94"/>
  <c r="AP138" i="1" s="1"/>
  <c r="P33" i="94"/>
  <c r="T48" i="94"/>
  <c r="T53" i="94"/>
  <c r="P69" i="94"/>
  <c r="L69" i="94"/>
  <c r="AP201" i="1"/>
  <c r="T109" i="94"/>
  <c r="H69" i="94"/>
  <c r="I69" i="94"/>
  <c r="P71" i="94"/>
  <c r="T111" i="94"/>
  <c r="P35" i="94"/>
  <c r="K69" i="94"/>
  <c r="J69" i="94"/>
  <c r="P36" i="94"/>
  <c r="M69" i="94"/>
  <c r="Q108" i="94" s="1"/>
  <c r="Q109" i="94"/>
  <c r="L96" i="94"/>
  <c r="M96" i="94"/>
  <c r="N96" i="94"/>
  <c r="M109" i="94"/>
  <c r="J75" i="94"/>
  <c r="I77" i="94"/>
  <c r="H77" i="94"/>
  <c r="N94" i="94"/>
  <c r="M77" i="94"/>
  <c r="L77" i="94"/>
  <c r="H85" i="94"/>
  <c r="H84" i="94"/>
  <c r="H83" i="94"/>
  <c r="H82" i="94"/>
  <c r="H81" i="94"/>
  <c r="H79" i="94"/>
  <c r="H78" i="94"/>
  <c r="I85" i="94"/>
  <c r="I84" i="94"/>
  <c r="I83" i="94"/>
  <c r="I82" i="94"/>
  <c r="I81" i="94"/>
  <c r="I79" i="94"/>
  <c r="J85" i="94"/>
  <c r="J84" i="94"/>
  <c r="J83" i="94"/>
  <c r="J82" i="94"/>
  <c r="J81" i="94"/>
  <c r="J78" i="94"/>
  <c r="L85" i="94"/>
  <c r="L103" i="94"/>
  <c r="L102" i="94"/>
  <c r="L82" i="94"/>
  <c r="L81" i="94"/>
  <c r="L79" i="94"/>
  <c r="M85" i="94"/>
  <c r="M103" i="94"/>
  <c r="M83" i="94"/>
  <c r="M82" i="94"/>
  <c r="M81" i="94"/>
  <c r="M98" i="94"/>
  <c r="M78" i="94"/>
  <c r="N104" i="94"/>
  <c r="N84" i="94"/>
  <c r="N83" i="94"/>
  <c r="N82" i="94"/>
  <c r="N100" i="94"/>
  <c r="N79" i="94"/>
  <c r="N78" i="94"/>
  <c r="P46" i="94"/>
  <c r="P98" i="94"/>
  <c r="P96" i="94"/>
  <c r="P82" i="94"/>
  <c r="P79" i="94"/>
  <c r="P78" i="94"/>
  <c r="P50" i="94"/>
  <c r="P44" i="94"/>
  <c r="P42" i="94"/>
  <c r="P45" i="94"/>
  <c r="P43" i="94"/>
  <c r="AP170" i="1"/>
  <c r="T110" i="94"/>
  <c r="AP137" i="1"/>
  <c r="AP139" i="1" s="1"/>
  <c r="T52" i="94"/>
  <c r="AP121" i="1"/>
  <c r="T51" i="94"/>
  <c r="AP200" i="1"/>
  <c r="P85" i="94"/>
  <c r="P97" i="94"/>
  <c r="N85" i="94"/>
  <c r="M84" i="94"/>
  <c r="L83" i="94"/>
  <c r="N81" i="94"/>
  <c r="M79" i="94"/>
  <c r="N75" i="94"/>
  <c r="J77" i="94"/>
  <c r="I75" i="94"/>
  <c r="M104" i="94"/>
  <c r="N101" i="94"/>
  <c r="M100" i="94"/>
  <c r="L98" i="94"/>
  <c r="M94" i="94"/>
  <c r="P81" i="94"/>
  <c r="P17" i="94"/>
  <c r="P103" i="94"/>
  <c r="L84" i="94"/>
  <c r="N77" i="94"/>
  <c r="M75" i="94"/>
  <c r="H75" i="94"/>
  <c r="L104" i="94"/>
  <c r="N102" i="94"/>
  <c r="M101" i="94"/>
  <c r="L100" i="94"/>
  <c r="N97" i="94"/>
  <c r="L94" i="94"/>
  <c r="P83" i="94"/>
  <c r="I78" i="94"/>
  <c r="L75" i="94"/>
  <c r="J79" i="94"/>
  <c r="N103" i="94"/>
  <c r="M102" i="94"/>
  <c r="L101" i="94"/>
  <c r="N98" i="94"/>
  <c r="P84" i="94"/>
  <c r="P102" i="94"/>
  <c r="P94" i="94"/>
  <c r="P75" i="94"/>
  <c r="P5" i="94"/>
  <c r="P90" i="94"/>
  <c r="P88" i="94"/>
  <c r="P29" i="94"/>
  <c r="P77" i="94"/>
  <c r="P86" i="94"/>
  <c r="P100" i="94"/>
  <c r="P101" i="94"/>
  <c r="P104" i="94"/>
  <c r="AP207" i="1"/>
  <c r="M97" i="94"/>
  <c r="L97" i="94"/>
  <c r="L78" i="94"/>
  <c r="P89" i="94"/>
  <c r="P30" i="94"/>
  <c r="AP205" i="1" s="1"/>
  <c r="N70" i="94"/>
  <c r="R109" i="94"/>
  <c r="N68" i="94"/>
  <c r="R107" i="94" s="1"/>
  <c r="H5" i="94"/>
  <c r="I5" i="94"/>
  <c r="J5" i="94"/>
  <c r="L5" i="94"/>
  <c r="M5" i="94"/>
  <c r="N5" i="94"/>
  <c r="O5" i="94"/>
  <c r="K5" i="94"/>
  <c r="L50" i="94"/>
  <c r="M50" i="94"/>
  <c r="N50" i="94"/>
  <c r="L33" i="94"/>
  <c r="L29" i="94"/>
  <c r="M33" i="94"/>
  <c r="M43" i="94"/>
  <c r="H33" i="94"/>
  <c r="I33" i="94"/>
  <c r="J33" i="94"/>
  <c r="C113" i="94"/>
  <c r="B113" i="94"/>
  <c r="C96" i="94"/>
  <c r="C97" i="94"/>
  <c r="C98" i="94"/>
  <c r="C100" i="94"/>
  <c r="C101" i="94"/>
  <c r="C102" i="94"/>
  <c r="C103" i="94"/>
  <c r="C104" i="94"/>
  <c r="B92" i="94"/>
  <c r="C92" i="94"/>
  <c r="C70" i="94"/>
  <c r="B70" i="94"/>
  <c r="C68" i="94"/>
  <c r="C71" i="94"/>
  <c r="B68" i="94"/>
  <c r="C55" i="94"/>
  <c r="B55" i="94"/>
  <c r="O68" i="94"/>
  <c r="O70" i="94"/>
  <c r="S109" i="94" s="1"/>
  <c r="C37" i="94"/>
  <c r="C46" i="94"/>
  <c r="B37" i="94"/>
  <c r="B46" i="94" s="1"/>
  <c r="O37" i="94"/>
  <c r="S53" i="94"/>
  <c r="N37" i="94"/>
  <c r="K37" i="94"/>
  <c r="K31" i="94"/>
  <c r="C50" i="94"/>
  <c r="C48" i="94"/>
  <c r="C43" i="94"/>
  <c r="B43" i="94"/>
  <c r="C42" i="94"/>
  <c r="B42" i="94"/>
  <c r="B35" i="94"/>
  <c r="B44" i="94"/>
  <c r="C35" i="94"/>
  <c r="C6" i="94"/>
  <c r="B6" i="94"/>
  <c r="O113" i="94"/>
  <c r="K113" i="94"/>
  <c r="O96" i="94"/>
  <c r="O97" i="94"/>
  <c r="O98" i="94"/>
  <c r="O100" i="94"/>
  <c r="O101" i="94"/>
  <c r="O102" i="94"/>
  <c r="O103" i="94"/>
  <c r="O104" i="94"/>
  <c r="O50" i="94"/>
  <c r="O55" i="94"/>
  <c r="S94" i="94"/>
  <c r="K55" i="94"/>
  <c r="N33" i="94"/>
  <c r="R48" i="94" s="1"/>
  <c r="O33" i="94"/>
  <c r="S48" i="94"/>
  <c r="K33" i="94"/>
  <c r="S107" i="94"/>
  <c r="R53" i="94"/>
  <c r="N35" i="94"/>
  <c r="B86" i="94"/>
  <c r="H37" i="94"/>
  <c r="I37" i="94"/>
  <c r="I36" i="94"/>
  <c r="C86" i="94"/>
  <c r="M35" i="94"/>
  <c r="AM121" i="1"/>
  <c r="Q48" i="94"/>
  <c r="N109" i="94"/>
  <c r="O35" i="94"/>
  <c r="K29" i="94"/>
  <c r="L43" i="94"/>
  <c r="M39" i="94"/>
  <c r="M38" i="94" s="1"/>
  <c r="L39" i="94"/>
  <c r="L38" i="94"/>
  <c r="N39" i="94"/>
  <c r="N38" i="94" s="1"/>
  <c r="O39" i="94"/>
  <c r="O38" i="94"/>
  <c r="P48" i="94"/>
  <c r="H90" i="94"/>
  <c r="K81" i="94"/>
  <c r="N107" i="94"/>
  <c r="O85" i="94"/>
  <c r="L88" i="94"/>
  <c r="L107" i="94"/>
  <c r="P107" i="94"/>
  <c r="J29" i="94"/>
  <c r="M29" i="94"/>
  <c r="M107" i="94"/>
  <c r="L90" i="94"/>
  <c r="L109" i="94"/>
  <c r="P109" i="94"/>
  <c r="O31" i="94"/>
  <c r="I90" i="94"/>
  <c r="N88" i="94"/>
  <c r="N71" i="94"/>
  <c r="R110" i="94"/>
  <c r="N90" i="94"/>
  <c r="H29" i="94"/>
  <c r="M90" i="94"/>
  <c r="O29" i="94"/>
  <c r="O71" i="94"/>
  <c r="S110" i="94" s="1"/>
  <c r="J88" i="94"/>
  <c r="M88" i="94"/>
  <c r="I35" i="94"/>
  <c r="AI121" i="1" s="1"/>
  <c r="N69" i="94"/>
  <c r="R108" i="94"/>
  <c r="N29" i="94"/>
  <c r="N31" i="94"/>
  <c r="H35" i="94"/>
  <c r="AH121" i="1"/>
  <c r="H42" i="94"/>
  <c r="J90" i="94"/>
  <c r="I29" i="94"/>
  <c r="I88" i="94"/>
  <c r="H88" i="94"/>
  <c r="N48" i="94"/>
  <c r="M37" i="94"/>
  <c r="M36" i="94"/>
  <c r="M42" i="94"/>
  <c r="M48" i="94"/>
  <c r="L35" i="94"/>
  <c r="AL121" i="1"/>
  <c r="L42" i="94"/>
  <c r="L37" i="94"/>
  <c r="L36" i="94" s="1"/>
  <c r="K35" i="94"/>
  <c r="AK121" i="1" s="1"/>
  <c r="K36" i="94"/>
  <c r="J37" i="94"/>
  <c r="J35" i="94"/>
  <c r="J43" i="94"/>
  <c r="J42" i="94"/>
  <c r="I42" i="94"/>
  <c r="I43" i="94"/>
  <c r="H43" i="94"/>
  <c r="L48" i="94"/>
  <c r="N46" i="94"/>
  <c r="B69" i="94"/>
  <c r="B89" i="94" s="1"/>
  <c r="O69" i="94"/>
  <c r="B36" i="94"/>
  <c r="B45" i="94"/>
  <c r="B31" i="94"/>
  <c r="C51" i="94"/>
  <c r="K46" i="94"/>
  <c r="C36" i="94"/>
  <c r="O109" i="94"/>
  <c r="C31" i="94"/>
  <c r="K43" i="94"/>
  <c r="K84" i="94"/>
  <c r="K79" i="94"/>
  <c r="O77" i="94"/>
  <c r="O82" i="94"/>
  <c r="O94" i="94"/>
  <c r="C44" i="94"/>
  <c r="O36" i="94"/>
  <c r="S52" i="94" s="1"/>
  <c r="K90" i="94"/>
  <c r="B75" i="94"/>
  <c r="B78" i="94"/>
  <c r="B81" i="94"/>
  <c r="B83" i="94"/>
  <c r="B85" i="94"/>
  <c r="B88" i="94"/>
  <c r="B90" i="94"/>
  <c r="B29" i="94"/>
  <c r="C107" i="94"/>
  <c r="C72" i="94"/>
  <c r="N42" i="94"/>
  <c r="K83" i="94"/>
  <c r="K78" i="94"/>
  <c r="O78" i="94"/>
  <c r="O83" i="94"/>
  <c r="O86" i="94"/>
  <c r="C53" i="94"/>
  <c r="K88" i="94"/>
  <c r="O90" i="94"/>
  <c r="C69" i="94"/>
  <c r="C75" i="94"/>
  <c r="C78" i="94"/>
  <c r="C81" i="94"/>
  <c r="C83" i="94"/>
  <c r="C85" i="94"/>
  <c r="C88" i="94"/>
  <c r="C90" i="94"/>
  <c r="C29" i="94"/>
  <c r="C109" i="94"/>
  <c r="O43" i="94"/>
  <c r="K75" i="94"/>
  <c r="K82" i="94"/>
  <c r="K77" i="94"/>
  <c r="O79" i="94"/>
  <c r="O84" i="94"/>
  <c r="O46" i="94"/>
  <c r="O107" i="94"/>
  <c r="B77" i="94"/>
  <c r="B79" i="94"/>
  <c r="B82" i="94"/>
  <c r="B84" i="94"/>
  <c r="C94" i="94"/>
  <c r="B71" i="94"/>
  <c r="C110" i="94"/>
  <c r="K85" i="94"/>
  <c r="O75" i="94"/>
  <c r="O81" i="94"/>
  <c r="N36" i="94"/>
  <c r="R52" i="94" s="1"/>
  <c r="O53" i="94"/>
  <c r="O88" i="94"/>
  <c r="C77" i="94"/>
  <c r="C79" i="94"/>
  <c r="C82" i="94"/>
  <c r="C84" i="94"/>
  <c r="K42" i="94"/>
  <c r="O42" i="94"/>
  <c r="N43" i="94"/>
  <c r="O48" i="94"/>
  <c r="S51" i="94"/>
  <c r="AO121" i="1"/>
  <c r="R51" i="94"/>
  <c r="AN121" i="1"/>
  <c r="AJ121" i="1"/>
  <c r="O89" i="94"/>
  <c r="S108" i="94"/>
  <c r="H36" i="94"/>
  <c r="H30" i="94" s="1"/>
  <c r="H31" i="94"/>
  <c r="H45" i="94"/>
  <c r="M44" i="94"/>
  <c r="Q51" i="94"/>
  <c r="K45" i="94"/>
  <c r="L44" i="94"/>
  <c r="P51" i="94"/>
  <c r="M31" i="94"/>
  <c r="Q53" i="94"/>
  <c r="K44" i="94"/>
  <c r="M45" i="94"/>
  <c r="H44" i="94"/>
  <c r="I31" i="94"/>
  <c r="O51" i="94"/>
  <c r="P53" i="94"/>
  <c r="I44" i="94"/>
  <c r="O44" i="94"/>
  <c r="N44" i="94"/>
  <c r="P108" i="94"/>
  <c r="H89" i="94"/>
  <c r="S111" i="94"/>
  <c r="L89" i="94"/>
  <c r="N108" i="94"/>
  <c r="M108" i="94"/>
  <c r="L108" i="94"/>
  <c r="M51" i="94"/>
  <c r="O30" i="94"/>
  <c r="I30" i="94"/>
  <c r="L53" i="94"/>
  <c r="L31" i="94"/>
  <c r="M53" i="94"/>
  <c r="I89" i="94"/>
  <c r="N89" i="94"/>
  <c r="N30" i="94"/>
  <c r="N53" i="94"/>
  <c r="J31" i="94"/>
  <c r="M89" i="94"/>
  <c r="M30" i="94"/>
  <c r="J89" i="94"/>
  <c r="K89" i="94"/>
  <c r="K30" i="94"/>
  <c r="L51" i="94"/>
  <c r="J36" i="94"/>
  <c r="J44" i="94"/>
  <c r="N51" i="94"/>
  <c r="I45" i="94"/>
  <c r="M52" i="94"/>
  <c r="N45" i="94"/>
  <c r="C52" i="94"/>
  <c r="O108" i="94"/>
  <c r="B72" i="94"/>
  <c r="C111" i="94" s="1"/>
  <c r="B30" i="94"/>
  <c r="C45" i="94"/>
  <c r="O52" i="94"/>
  <c r="O45" i="94"/>
  <c r="C108" i="94"/>
  <c r="C89" i="94"/>
  <c r="C30" i="94"/>
  <c r="R111" i="94"/>
  <c r="J45" i="94"/>
  <c r="N92" i="94"/>
  <c r="O92" i="94"/>
  <c r="J30" i="94"/>
  <c r="N52" i="94"/>
  <c r="AW579" i="1"/>
  <c r="AV141" i="1"/>
  <c r="AV143" i="1" s="1"/>
  <c r="AU141" i="1"/>
  <c r="AU143" i="1" s="1"/>
  <c r="AO200" i="1"/>
  <c r="AO202" i="1" s="1"/>
  <c r="H232" i="1"/>
  <c r="H233" i="1" s="1"/>
  <c r="H106" i="1"/>
  <c r="H228" i="17" s="1"/>
  <c r="H162" i="1"/>
  <c r="H565" i="1"/>
  <c r="H566" i="1"/>
  <c r="H18" i="1" s="1"/>
  <c r="AO224" i="1"/>
  <c r="AO254" i="1"/>
  <c r="AO235" i="1" s="1"/>
  <c r="AO289" i="1"/>
  <c r="K148" i="17"/>
  <c r="L148" i="17"/>
  <c r="M148" i="17"/>
  <c r="N148" i="17"/>
  <c r="O148" i="17"/>
  <c r="K71" i="17"/>
  <c r="K142" i="1" s="1"/>
  <c r="K106" i="17"/>
  <c r="L106" i="17"/>
  <c r="M106" i="17"/>
  <c r="N106" i="17"/>
  <c r="O106" i="17"/>
  <c r="AC120" i="1"/>
  <c r="Z141" i="1"/>
  <c r="L163" i="17"/>
  <c r="N163" i="17"/>
  <c r="O163" i="17"/>
  <c r="P163" i="17" s="1"/>
  <c r="AM200" i="1"/>
  <c r="AM202" i="1" s="1"/>
  <c r="AN200" i="1"/>
  <c r="AN202" i="1" s="1"/>
  <c r="AJ201" i="1"/>
  <c r="AJ202" i="1" s="1"/>
  <c r="AN289" i="1"/>
  <c r="AN292" i="1" s="1"/>
  <c r="AN254" i="1"/>
  <c r="AN235" i="1" s="1"/>
  <c r="AN224" i="1"/>
  <c r="AN206" i="1"/>
  <c r="AM289" i="1"/>
  <c r="AM292" i="1" s="1"/>
  <c r="AI170" i="1"/>
  <c r="AM170" i="1"/>
  <c r="AM108" i="1"/>
  <c r="AM564" i="1"/>
  <c r="AM254" i="1" s="1"/>
  <c r="AM563" i="1"/>
  <c r="AM224" i="1" s="1"/>
  <c r="AM336" i="1"/>
  <c r="M157" i="15"/>
  <c r="M158" i="15" s="1"/>
  <c r="M155" i="15"/>
  <c r="M154" i="15" s="1"/>
  <c r="M145" i="17"/>
  <c r="L9" i="17"/>
  <c r="M9" i="17"/>
  <c r="N9" i="17"/>
  <c r="O9" i="17"/>
  <c r="P9" i="17"/>
  <c r="Q9" i="17"/>
  <c r="R9" i="17"/>
  <c r="M15" i="17"/>
  <c r="N15" i="17"/>
  <c r="O15" i="17"/>
  <c r="Q15" i="17"/>
  <c r="R15" i="17"/>
  <c r="K15" i="17"/>
  <c r="J15" i="17"/>
  <c r="I15" i="17"/>
  <c r="H15" i="17"/>
  <c r="M14" i="17"/>
  <c r="N14" i="17"/>
  <c r="O14" i="17"/>
  <c r="P14" i="17"/>
  <c r="Q14" i="17"/>
  <c r="R14" i="17"/>
  <c r="O12" i="17"/>
  <c r="P12" i="17"/>
  <c r="Q12" i="17"/>
  <c r="R12" i="17"/>
  <c r="K12" i="17"/>
  <c r="L12" i="17"/>
  <c r="M12" i="17"/>
  <c r="N12" i="17"/>
  <c r="I10" i="17"/>
  <c r="J10" i="17"/>
  <c r="K10" i="17"/>
  <c r="H10" i="17"/>
  <c r="N145" i="17"/>
  <c r="I27" i="17"/>
  <c r="J27" i="17"/>
  <c r="K27" i="17"/>
  <c r="L27" i="17"/>
  <c r="H27" i="17"/>
  <c r="H30" i="17"/>
  <c r="M27" i="17"/>
  <c r="G82" i="15"/>
  <c r="G78" i="15" s="1"/>
  <c r="N27" i="17"/>
  <c r="J30" i="17"/>
  <c r="O27" i="17"/>
  <c r="P27" i="17"/>
  <c r="L30" i="17"/>
  <c r="R25" i="17"/>
  <c r="M30" i="17"/>
  <c r="R27" i="17"/>
  <c r="N30" i="17"/>
  <c r="O30" i="17"/>
  <c r="Q30" i="17"/>
  <c r="R30" i="17"/>
  <c r="I325" i="1"/>
  <c r="J325" i="1" s="1"/>
  <c r="K325" i="1" s="1"/>
  <c r="L325" i="1" s="1"/>
  <c r="M325" i="1" s="1"/>
  <c r="N325" i="1" s="1"/>
  <c r="O325" i="1" s="1"/>
  <c r="P325" i="1" s="1"/>
  <c r="Q325" i="1" s="1"/>
  <c r="R325" i="1" s="1"/>
  <c r="AL233" i="1"/>
  <c r="AL240" i="1" s="1"/>
  <c r="AL163" i="1"/>
  <c r="AL200" i="1"/>
  <c r="AK212" i="1"/>
  <c r="AK216" i="1"/>
  <c r="AL201" i="1"/>
  <c r="AL206" i="1" s="1"/>
  <c r="AJ141" i="1"/>
  <c r="AJ143" i="1" s="1"/>
  <c r="AL108" i="1"/>
  <c r="AL107" i="1"/>
  <c r="AH254" i="1"/>
  <c r="AH224" i="1"/>
  <c r="AL289" i="1"/>
  <c r="AL564" i="1"/>
  <c r="AL254" i="1" s="1"/>
  <c r="AL235" i="1" s="1"/>
  <c r="AL563" i="1"/>
  <c r="AL224" i="1" s="1"/>
  <c r="E260" i="1"/>
  <c r="G260" i="1"/>
  <c r="G263" i="1" s="1"/>
  <c r="F260" i="1"/>
  <c r="H20" i="17"/>
  <c r="I20" i="17"/>
  <c r="J20" i="17"/>
  <c r="E563" i="1"/>
  <c r="F563" i="1"/>
  <c r="F227" i="1" s="1"/>
  <c r="E564" i="1"/>
  <c r="E257" i="1" s="1"/>
  <c r="F564" i="1"/>
  <c r="E565" i="1"/>
  <c r="F565" i="1"/>
  <c r="AG162" i="1"/>
  <c r="AK162" i="1"/>
  <c r="F163" i="1"/>
  <c r="G163" i="1"/>
  <c r="AH163" i="1"/>
  <c r="AI163" i="1"/>
  <c r="AJ163" i="1"/>
  <c r="AE164" i="1"/>
  <c r="AF164" i="1"/>
  <c r="AI164" i="1"/>
  <c r="AJ164" i="1"/>
  <c r="E106" i="1"/>
  <c r="E157" i="1" s="1"/>
  <c r="AH107" i="1"/>
  <c r="AI107" i="1"/>
  <c r="AJ107" i="1"/>
  <c r="AK107" i="1"/>
  <c r="AE108" i="1"/>
  <c r="AF108" i="1"/>
  <c r="AG108" i="1"/>
  <c r="AH108" i="1"/>
  <c r="AI108" i="1"/>
  <c r="AJ108" i="1"/>
  <c r="AK108" i="1"/>
  <c r="G212" i="1"/>
  <c r="AH212" i="1"/>
  <c r="AI212" i="1"/>
  <c r="AJ212" i="1"/>
  <c r="AE216" i="1"/>
  <c r="AF216" i="1"/>
  <c r="AG216" i="1"/>
  <c r="AH216" i="1"/>
  <c r="AI216" i="1"/>
  <c r="AJ216" i="1"/>
  <c r="F209" i="1"/>
  <c r="G209" i="1"/>
  <c r="AD209" i="1"/>
  <c r="AE209" i="1"/>
  <c r="AF209" i="1"/>
  <c r="AH209" i="1"/>
  <c r="AI209" i="1"/>
  <c r="AJ209" i="1"/>
  <c r="F201" i="1"/>
  <c r="F202" i="1" s="1"/>
  <c r="G201" i="1"/>
  <c r="G202" i="1" s="1"/>
  <c r="AD201" i="1"/>
  <c r="AD202" i="1" s="1"/>
  <c r="AE201" i="1"/>
  <c r="AF201" i="1"/>
  <c r="AF202" i="1" s="1"/>
  <c r="AH201" i="1"/>
  <c r="AH202" i="1" s="1"/>
  <c r="AI201" i="1"/>
  <c r="AA141" i="1"/>
  <c r="AB141" i="1"/>
  <c r="AC141" i="1"/>
  <c r="AD141" i="1"/>
  <c r="AE141" i="1"/>
  <c r="AF141" i="1"/>
  <c r="AG141" i="1"/>
  <c r="AH141" i="1"/>
  <c r="AH143" i="1" s="1"/>
  <c r="AI141" i="1"/>
  <c r="AI143" i="1" s="1"/>
  <c r="AK141" i="1"/>
  <c r="AK143" i="1" s="1"/>
  <c r="V207" i="1"/>
  <c r="W207" i="1"/>
  <c r="X207" i="1"/>
  <c r="E182" i="1"/>
  <c r="F182" i="1"/>
  <c r="G182" i="1"/>
  <c r="C120" i="1"/>
  <c r="F120" i="1"/>
  <c r="E128" i="1"/>
  <c r="AD128" i="1"/>
  <c r="AE128" i="1"/>
  <c r="AF128" i="1"/>
  <c r="AA132" i="1"/>
  <c r="AB132" i="1"/>
  <c r="AE132" i="1"/>
  <c r="AF132" i="1"/>
  <c r="AG132" i="1"/>
  <c r="AH132" i="1"/>
  <c r="D125" i="1"/>
  <c r="D126" i="1" s="1"/>
  <c r="K125" i="1"/>
  <c r="AD224" i="1"/>
  <c r="AD225" i="1" s="1"/>
  <c r="AE224" i="1"/>
  <c r="AF224" i="1"/>
  <c r="AF225" i="1" s="1"/>
  <c r="AI224" i="1"/>
  <c r="AI226" i="1" s="1"/>
  <c r="AJ224" i="1"/>
  <c r="F225" i="1"/>
  <c r="G225" i="1"/>
  <c r="G227" i="1"/>
  <c r="C232" i="1"/>
  <c r="C254" i="1" s="1"/>
  <c r="D232" i="1"/>
  <c r="D12" i="1" s="1"/>
  <c r="F233" i="1"/>
  <c r="G233" i="1"/>
  <c r="G235" i="1"/>
  <c r="F247" i="1"/>
  <c r="Z247" i="1"/>
  <c r="AD247" i="1" s="1"/>
  <c r="AA247" i="1"/>
  <c r="AB247" i="1"/>
  <c r="AF247" i="1" s="1"/>
  <c r="AC248" i="1"/>
  <c r="W249" i="1"/>
  <c r="X249" i="1"/>
  <c r="AD250" i="1"/>
  <c r="AE250" i="1"/>
  <c r="AF250" i="1"/>
  <c r="AG250" i="1"/>
  <c r="AH250" i="1"/>
  <c r="AH247" i="1" s="1"/>
  <c r="AI250" i="1"/>
  <c r="AI247" i="1" s="1"/>
  <c r="AJ250" i="1"/>
  <c r="AJ247" i="1" s="1"/>
  <c r="AK250" i="1"/>
  <c r="AL250" i="1"/>
  <c r="AL247" i="1" s="1"/>
  <c r="AM250" i="1"/>
  <c r="AM247" i="1" s="1"/>
  <c r="AN250" i="1"/>
  <c r="AN247" i="1" s="1"/>
  <c r="AO250" i="1"/>
  <c r="AO247" i="1" s="1"/>
  <c r="AP250" i="1"/>
  <c r="AQ250" i="1"/>
  <c r="AR250" i="1"/>
  <c r="AS250" i="1"/>
  <c r="F255" i="1"/>
  <c r="G255" i="1"/>
  <c r="G257" i="1"/>
  <c r="H265" i="1"/>
  <c r="I265" i="1" s="1"/>
  <c r="J265" i="1" s="1"/>
  <c r="K265" i="1" s="1"/>
  <c r="L265" i="1" s="1"/>
  <c r="D266" i="1"/>
  <c r="E266" i="1"/>
  <c r="F266" i="1"/>
  <c r="G266" i="1"/>
  <c r="M266" i="1"/>
  <c r="N266" i="1" s="1"/>
  <c r="O266" i="1" s="1"/>
  <c r="P266" i="1" s="1"/>
  <c r="Q266" i="1" s="1"/>
  <c r="R266" i="1" s="1"/>
  <c r="C289" i="1"/>
  <c r="D289" i="1"/>
  <c r="D16" i="1" s="1"/>
  <c r="Z289" i="1"/>
  <c r="AA289" i="1"/>
  <c r="AB289" i="1"/>
  <c r="AC289" i="1"/>
  <c r="AD289" i="1"/>
  <c r="AD292" i="1" s="1"/>
  <c r="AE289" i="1"/>
  <c r="AF289" i="1"/>
  <c r="AG289" i="1"/>
  <c r="AH289" i="1"/>
  <c r="AI289" i="1"/>
  <c r="AJ289" i="1"/>
  <c r="AK289" i="1"/>
  <c r="AK290" i="1" s="1"/>
  <c r="F290" i="1"/>
  <c r="G290" i="1"/>
  <c r="C753" i="1"/>
  <c r="D753" i="1"/>
  <c r="E753" i="1"/>
  <c r="F753" i="1"/>
  <c r="C583" i="1"/>
  <c r="F330" i="1"/>
  <c r="G330" i="1"/>
  <c r="E57" i="17"/>
  <c r="F57" i="17"/>
  <c r="G57" i="17"/>
  <c r="G123" i="17" s="1"/>
  <c r="F84" i="17"/>
  <c r="G84" i="17"/>
  <c r="F126" i="17"/>
  <c r="G126" i="17"/>
  <c r="G128" i="17" s="1"/>
  <c r="F170" i="17"/>
  <c r="G170" i="17"/>
  <c r="F216" i="17"/>
  <c r="G216" i="17"/>
  <c r="M234" i="17"/>
  <c r="L249" i="17"/>
  <c r="M249" i="17"/>
  <c r="N249" i="17"/>
  <c r="O249" i="17"/>
  <c r="P249" i="17"/>
  <c r="Q249" i="17"/>
  <c r="R249" i="17"/>
  <c r="G20" i="15"/>
  <c r="G23" i="15"/>
  <c r="M146" i="15"/>
  <c r="M145" i="15" s="1"/>
  <c r="M148" i="15"/>
  <c r="M149" i="15" s="1"/>
  <c r="K140" i="17"/>
  <c r="AM107" i="1"/>
  <c r="M140" i="17"/>
  <c r="L140" i="17"/>
  <c r="AI234" i="1"/>
  <c r="AI254" i="1"/>
  <c r="K144" i="17"/>
  <c r="K188" i="17"/>
  <c r="L144" i="17"/>
  <c r="M144" i="17"/>
  <c r="J12" i="17"/>
  <c r="K20" i="17"/>
  <c r="I12" i="17"/>
  <c r="H18" i="17"/>
  <c r="H13" i="17"/>
  <c r="K184" i="17"/>
  <c r="L20" i="17"/>
  <c r="I18" i="17"/>
  <c r="I13" i="17"/>
  <c r="M20" i="17"/>
  <c r="L184" i="17"/>
  <c r="J18" i="17"/>
  <c r="J13" i="17"/>
  <c r="M184" i="17"/>
  <c r="N20" i="17"/>
  <c r="K18" i="17"/>
  <c r="K13" i="17"/>
  <c r="O20" i="17"/>
  <c r="L18" i="17"/>
  <c r="L13" i="17"/>
  <c r="P20" i="17"/>
  <c r="M18" i="17"/>
  <c r="M13" i="17"/>
  <c r="Q20" i="17"/>
  <c r="N18" i="17"/>
  <c r="N13" i="17"/>
  <c r="R20" i="17"/>
  <c r="O18" i="17"/>
  <c r="O13" i="17"/>
  <c r="P18" i="17"/>
  <c r="P13" i="17"/>
  <c r="Q18" i="17"/>
  <c r="Q13" i="17"/>
  <c r="R18" i="17"/>
  <c r="R13" i="17"/>
  <c r="K64" i="17"/>
  <c r="K107" i="1" s="1"/>
  <c r="AE138" i="1"/>
  <c r="AG138" i="1"/>
  <c r="AF138" i="1"/>
  <c r="AE207" i="1"/>
  <c r="AE110" i="1"/>
  <c r="AE124" i="1"/>
  <c r="AG124" i="1"/>
  <c r="AG110" i="1"/>
  <c r="AF207" i="1"/>
  <c r="AF110" i="1"/>
  <c r="AF124" i="1"/>
  <c r="P19" i="17"/>
  <c r="O145" i="17"/>
  <c r="J21" i="17"/>
  <c r="I21" i="17"/>
  <c r="R19" i="17"/>
  <c r="O21" i="17"/>
  <c r="M30" i="15"/>
  <c r="L188" i="17"/>
  <c r="M21" i="17"/>
  <c r="Q21" i="17"/>
  <c r="M19" i="17"/>
  <c r="N19" i="17"/>
  <c r="L21" i="17"/>
  <c r="P21" i="17"/>
  <c r="I19" i="17"/>
  <c r="K233" i="17"/>
  <c r="K67" i="17" s="1"/>
  <c r="K111" i="1" s="1"/>
  <c r="H12" i="17"/>
  <c r="O19" i="17"/>
  <c r="L233" i="17"/>
  <c r="H19" i="17"/>
  <c r="L19" i="17"/>
  <c r="L252" i="17"/>
  <c r="M252" i="17"/>
  <c r="N252" i="17"/>
  <c r="O252" i="17"/>
  <c r="P252" i="17"/>
  <c r="Q252" i="17"/>
  <c r="R252" i="17"/>
  <c r="K19" i="17"/>
  <c r="J19" i="17"/>
  <c r="K21" i="17"/>
  <c r="N144" i="17"/>
  <c r="R21" i="17"/>
  <c r="N21" i="17"/>
  <c r="AO107" i="1"/>
  <c r="K30" i="17"/>
  <c r="AN107" i="1"/>
  <c r="Q154" i="15"/>
  <c r="Q155" i="15"/>
  <c r="Q156" i="15"/>
  <c r="Q157" i="15"/>
  <c r="Q158" i="15"/>
  <c r="N157" i="15"/>
  <c r="R154" i="15"/>
  <c r="R157" i="15"/>
  <c r="O154" i="15"/>
  <c r="O155" i="15"/>
  <c r="O156" i="15"/>
  <c r="O157" i="15"/>
  <c r="O158" i="15"/>
  <c r="N155" i="15"/>
  <c r="N154" i="15"/>
  <c r="R156" i="15"/>
  <c r="N158" i="15"/>
  <c r="P154" i="15"/>
  <c r="P155" i="15"/>
  <c r="P156" i="15"/>
  <c r="P157" i="15"/>
  <c r="P158" i="15"/>
  <c r="N156" i="15"/>
  <c r="R155" i="15"/>
  <c r="R158" i="15"/>
  <c r="P30" i="17"/>
  <c r="I30" i="17"/>
  <c r="H25" i="17"/>
  <c r="H26" i="17"/>
  <c r="Q25" i="17"/>
  <c r="Q19" i="17"/>
  <c r="M188" i="17"/>
  <c r="N140" i="17"/>
  <c r="N184" i="17"/>
  <c r="H21" i="17"/>
  <c r="L67" i="17"/>
  <c r="L111" i="1" s="1"/>
  <c r="AE336" i="1"/>
  <c r="AJ336" i="1"/>
  <c r="AH336" i="1"/>
  <c r="AG336" i="1"/>
  <c r="AK336" i="1"/>
  <c r="AF336" i="1"/>
  <c r="AI336" i="1"/>
  <c r="AD336" i="1"/>
  <c r="P145" i="17"/>
  <c r="AL154" i="1"/>
  <c r="L31" i="15"/>
  <c r="L160" i="17"/>
  <c r="K237" i="17"/>
  <c r="K238" i="17"/>
  <c r="N188" i="17"/>
  <c r="AM234" i="1"/>
  <c r="AM233" i="1"/>
  <c r="AM240" i="1" s="1"/>
  <c r="AL336" i="1"/>
  <c r="Q145" i="17"/>
  <c r="M160" i="17"/>
  <c r="M230" i="17"/>
  <c r="K229" i="17"/>
  <c r="L237" i="17"/>
  <c r="L238" i="17"/>
  <c r="N125" i="1"/>
  <c r="AK232" i="1"/>
  <c r="AK237" i="1" s="1"/>
  <c r="AJ254" i="1"/>
  <c r="AJ235" i="1" s="1"/>
  <c r="AJ234" i="1"/>
  <c r="AK474" i="1"/>
  <c r="AK485" i="1" s="1"/>
  <c r="N160" i="17"/>
  <c r="L229" i="17"/>
  <c r="L64" i="17" s="1"/>
  <c r="L107" i="1" s="1"/>
  <c r="M237" i="17"/>
  <c r="M238" i="17"/>
  <c r="O125" i="1"/>
  <c r="AN233" i="1"/>
  <c r="AN240" i="1" s="1"/>
  <c r="AN234" i="1"/>
  <c r="AO234" i="1"/>
  <c r="O160" i="17"/>
  <c r="N237" i="17"/>
  <c r="N238" i="17" s="1"/>
  <c r="P125" i="1"/>
  <c r="AN217" i="1"/>
  <c r="AM210" i="1"/>
  <c r="AM164" i="1"/>
  <c r="AM163" i="1"/>
  <c r="AA162" i="1"/>
  <c r="AA226" i="1"/>
  <c r="AB162" i="1"/>
  <c r="AC224" i="1"/>
  <c r="AB226" i="1"/>
  <c r="P160" i="17"/>
  <c r="Z225" i="1"/>
  <c r="O237" i="17"/>
  <c r="O238" i="17" s="1"/>
  <c r="AN210" i="1"/>
  <c r="R125" i="1"/>
  <c r="Q125" i="1"/>
  <c r="AN164" i="1"/>
  <c r="AN163" i="1"/>
  <c r="Q160" i="17"/>
  <c r="X226" i="1"/>
  <c r="AA225" i="1"/>
  <c r="W226" i="1"/>
  <c r="AB225" i="1"/>
  <c r="R160" i="17"/>
  <c r="K206" i="17"/>
  <c r="K251" i="17"/>
  <c r="K162" i="17"/>
  <c r="AO150" i="1"/>
  <c r="L162" i="17"/>
  <c r="L251" i="17"/>
  <c r="L206" i="17"/>
  <c r="AO217" i="1"/>
  <c r="L206" i="1"/>
  <c r="AO210" i="1"/>
  <c r="AO164" i="1"/>
  <c r="N251" i="17"/>
  <c r="N206" i="17"/>
  <c r="N162" i="17"/>
  <c r="M206" i="17"/>
  <c r="M162" i="17"/>
  <c r="M75" i="17" s="1"/>
  <c r="M206" i="1" s="1"/>
  <c r="M251" i="17"/>
  <c r="N75" i="17"/>
  <c r="N206" i="1" s="1"/>
  <c r="D52" i="94"/>
  <c r="D53" i="94"/>
  <c r="D96" i="94"/>
  <c r="D38" i="94"/>
  <c r="D70" i="94"/>
  <c r="D109" i="94" s="1"/>
  <c r="D68" i="94"/>
  <c r="E107" i="94" s="1"/>
  <c r="D50" i="94"/>
  <c r="D51" i="94"/>
  <c r="AS163" i="1"/>
  <c r="D90" i="94"/>
  <c r="D69" i="94"/>
  <c r="E108" i="94" s="1"/>
  <c r="D29" i="94"/>
  <c r="D88" i="94"/>
  <c r="D43" i="94"/>
  <c r="D48" i="94"/>
  <c r="D42" i="94"/>
  <c r="D45" i="94"/>
  <c r="D46" i="94"/>
  <c r="D44" i="94"/>
  <c r="D108" i="94"/>
  <c r="D89" i="94"/>
  <c r="D98" i="94"/>
  <c r="D97" i="94"/>
  <c r="P92" i="94"/>
  <c r="D75" i="94"/>
  <c r="D77" i="94"/>
  <c r="D78" i="94"/>
  <c r="D79" i="94"/>
  <c r="D81" i="94"/>
  <c r="D82" i="94"/>
  <c r="D83" i="94"/>
  <c r="D84" i="94"/>
  <c r="D85" i="94"/>
  <c r="D94" i="94"/>
  <c r="D71" i="94"/>
  <c r="E110" i="94" s="1"/>
  <c r="D110" i="94"/>
  <c r="D72" i="94"/>
  <c r="D111" i="94" s="1"/>
  <c r="D92" i="94"/>
  <c r="P206" i="17"/>
  <c r="P251" i="17"/>
  <c r="AD124" i="1"/>
  <c r="AD207" i="1"/>
  <c r="AD110" i="1"/>
  <c r="H138" i="1"/>
  <c r="AM150" i="1"/>
  <c r="AN150" i="1"/>
  <c r="AM206" i="1"/>
  <c r="Z110" i="1"/>
  <c r="AA110" i="1"/>
  <c r="AE111" i="1" s="1"/>
  <c r="AB110" i="1"/>
  <c r="AC110" i="1"/>
  <c r="V114" i="1"/>
  <c r="W114" i="1"/>
  <c r="W162" i="1" s="1"/>
  <c r="X114" i="1"/>
  <c r="X120" i="1" s="1"/>
  <c r="AD115" i="1"/>
  <c r="AE115" i="1"/>
  <c r="AF115" i="1"/>
  <c r="AG115" i="1"/>
  <c r="AA116" i="1"/>
  <c r="AB116" i="1"/>
  <c r="AC116" i="1"/>
  <c r="AD116" i="1"/>
  <c r="Z117" i="1"/>
  <c r="AA117" i="1"/>
  <c r="AB117" i="1"/>
  <c r="AC117" i="1"/>
  <c r="Z124" i="1"/>
  <c r="AA124" i="1"/>
  <c r="AB124" i="1"/>
  <c r="Z138" i="1"/>
  <c r="AA138" i="1"/>
  <c r="AB138" i="1"/>
  <c r="AC138" i="1"/>
  <c r="K192" i="17"/>
  <c r="K118" i="17"/>
  <c r="K159" i="17"/>
  <c r="K45" i="17" s="1"/>
  <c r="K203" i="17"/>
  <c r="K248" i="17"/>
  <c r="K38" i="17"/>
  <c r="L71" i="17"/>
  <c r="L70" i="17" s="1"/>
  <c r="K74" i="17"/>
  <c r="K205" i="1" s="1"/>
  <c r="L192" i="17"/>
  <c r="L118" i="17"/>
  <c r="L159" i="17"/>
  <c r="L203" i="17"/>
  <c r="L52" i="17" s="1"/>
  <c r="L248" i="17"/>
  <c r="L38" i="17"/>
  <c r="M71" i="17"/>
  <c r="M142" i="1" s="1"/>
  <c r="L205" i="1"/>
  <c r="M192" i="17"/>
  <c r="N116" i="17"/>
  <c r="M118" i="17"/>
  <c r="M159" i="17"/>
  <c r="M248" i="17"/>
  <c r="M203" i="17"/>
  <c r="M52" i="17" s="1"/>
  <c r="M38" i="17"/>
  <c r="N142" i="1"/>
  <c r="N192" i="17"/>
  <c r="O116" i="17"/>
  <c r="P116" i="17" s="1"/>
  <c r="N118" i="17"/>
  <c r="N159" i="17"/>
  <c r="N248" i="17"/>
  <c r="N203" i="17"/>
  <c r="N52" i="17" s="1"/>
  <c r="N38" i="17"/>
  <c r="N70" i="17"/>
  <c r="O71" i="17"/>
  <c r="O142" i="1" s="1"/>
  <c r="N74" i="17"/>
  <c r="N205" i="1" s="1"/>
  <c r="O159" i="17"/>
  <c r="AT313" i="1"/>
  <c r="P690" i="1"/>
  <c r="I823" i="1"/>
  <c r="J504" i="1"/>
  <c r="I715" i="1"/>
  <c r="C394" i="1"/>
  <c r="C396" i="1"/>
  <c r="C395" i="1"/>
  <c r="C475" i="1"/>
  <c r="C497" i="1"/>
  <c r="C338" i="1"/>
  <c r="C403" i="1" s="1"/>
  <c r="C411" i="1" s="1"/>
  <c r="C10" i="1"/>
  <c r="C114" i="1"/>
  <c r="C224" i="1"/>
  <c r="C57" i="17"/>
  <c r="C123" i="17" s="1"/>
  <c r="D163" i="1"/>
  <c r="E163" i="1"/>
  <c r="D57" i="17"/>
  <c r="D224" i="1"/>
  <c r="Y224" i="1" s="1"/>
  <c r="D114" i="1"/>
  <c r="D121" i="1" s="1"/>
  <c r="D10" i="1"/>
  <c r="D263" i="1"/>
  <c r="C263" i="1"/>
  <c r="I29" i="17"/>
  <c r="I26" i="17"/>
  <c r="Q206" i="17"/>
  <c r="Q251" i="17"/>
  <c r="R206" i="17"/>
  <c r="R251" i="17"/>
  <c r="I25" i="17"/>
  <c r="P29" i="17"/>
  <c r="J25" i="17"/>
  <c r="P26" i="17"/>
  <c r="J26" i="17"/>
  <c r="AA395" i="1"/>
  <c r="AO165" i="1"/>
  <c r="H753" i="1"/>
  <c r="H563" i="1"/>
  <c r="H823" i="1"/>
  <c r="F823" i="1"/>
  <c r="AL209" i="1"/>
  <c r="AR500" i="1"/>
  <c r="AP13" i="1"/>
  <c r="AS16" i="1"/>
  <c r="AR15" i="1"/>
  <c r="AU302" i="1"/>
  <c r="AU501" i="1"/>
  <c r="AQ501" i="1"/>
  <c r="AQ500" i="1"/>
  <c r="AU474" i="1"/>
  <c r="AU484" i="1" s="1"/>
  <c r="AQ474" i="1"/>
  <c r="AQ484" i="1" s="1"/>
  <c r="I60" i="17"/>
  <c r="I94" i="17" s="1"/>
  <c r="I35" i="17" s="1"/>
  <c r="AS15" i="1"/>
  <c r="AO501" i="1"/>
  <c r="AW174" i="1"/>
  <c r="AT15" i="1"/>
  <c r="H60" i="17"/>
  <c r="H59" i="17" s="1"/>
  <c r="AX11" i="1"/>
  <c r="AS450" i="1"/>
  <c r="AO500" i="1"/>
  <c r="AW450" i="1"/>
  <c r="AM213" i="1"/>
  <c r="BA386" i="1"/>
  <c r="AO209" i="1"/>
  <c r="AF125" i="1"/>
  <c r="BA387" i="1"/>
  <c r="AK396" i="1"/>
  <c r="AE395" i="1"/>
  <c r="AE394" i="1"/>
  <c r="AA125" i="1"/>
  <c r="AD210" i="1"/>
  <c r="E250" i="1"/>
  <c r="AA250" i="1" s="1"/>
  <c r="BB289" i="1"/>
  <c r="AX291" i="1"/>
  <c r="G98" i="17"/>
  <c r="BB224" i="1"/>
  <c r="BB11" i="1" s="1"/>
  <c r="K388" i="1"/>
  <c r="AL234" i="1"/>
  <c r="E273" i="1"/>
  <c r="E276" i="1" s="1"/>
  <c r="K390" i="1"/>
  <c r="L387" i="1"/>
  <c r="L9" i="15" s="1"/>
  <c r="K389" i="1"/>
  <c r="O178" i="1"/>
  <c r="P178" i="1" s="1"/>
  <c r="Q178" i="1" s="1"/>
  <c r="R178" i="1" s="1"/>
  <c r="AL213" i="1"/>
  <c r="G130" i="17"/>
  <c r="AD132" i="1"/>
  <c r="C247" i="1"/>
  <c r="AC434" i="1"/>
  <c r="F484" i="1"/>
  <c r="AE484" i="1" s="1"/>
  <c r="AE478" i="1" s="1"/>
  <c r="W250" i="1"/>
  <c r="W232" i="1" s="1"/>
  <c r="Y250" i="1"/>
  <c r="V250" i="1"/>
  <c r="V232" i="1" s="1"/>
  <c r="AY18" i="1"/>
  <c r="AY75" i="1" s="1"/>
  <c r="AX442" i="1"/>
  <c r="BB508" i="1"/>
  <c r="BC508" i="1" s="1"/>
  <c r="L386" i="1"/>
  <c r="L388" i="1" s="1"/>
  <c r="AI193" i="1"/>
  <c r="AO396" i="1"/>
  <c r="AX16" i="1"/>
  <c r="BC289" i="1"/>
  <c r="AY11" i="1"/>
  <c r="BC224" i="1"/>
  <c r="AY16" i="1"/>
  <c r="AU192" i="1"/>
  <c r="AX234" i="1"/>
  <c r="BC485" i="1"/>
  <c r="AY15" i="1"/>
  <c r="BD484" i="1"/>
  <c r="BB484" i="1"/>
  <c r="L484" i="1"/>
  <c r="M484" i="1" s="1"/>
  <c r="N484" i="1" s="1"/>
  <c r="O484" i="1" s="1"/>
  <c r="BC484" i="1"/>
  <c r="BC486" i="1"/>
  <c r="L486" i="1"/>
  <c r="M486" i="1" s="1"/>
  <c r="N486" i="1" s="1"/>
  <c r="O486" i="1" s="1"/>
  <c r="P486" i="1" s="1"/>
  <c r="Q486" i="1" s="1"/>
  <c r="R486" i="1" s="1"/>
  <c r="BB486" i="1"/>
  <c r="BD486" i="1"/>
  <c r="BD485" i="1"/>
  <c r="BB485" i="1"/>
  <c r="L485" i="1"/>
  <c r="M485" i="1" s="1"/>
  <c r="N485" i="1" s="1"/>
  <c r="K483" i="1"/>
  <c r="K487" i="1" s="1"/>
  <c r="N285" i="1"/>
  <c r="O285" i="1" s="1"/>
  <c r="N154" i="1"/>
  <c r="O154" i="1" s="1"/>
  <c r="P154" i="1" s="1"/>
  <c r="Q154" i="1" s="1"/>
  <c r="R154" i="1" s="1"/>
  <c r="AX186" i="1"/>
  <c r="L655" i="1"/>
  <c r="M655" i="1" s="1"/>
  <c r="N655" i="1" s="1"/>
  <c r="O655" i="1" s="1"/>
  <c r="P655" i="1" s="1"/>
  <c r="Q655" i="1" s="1"/>
  <c r="R655" i="1" s="1"/>
  <c r="AX501" i="1"/>
  <c r="AX502" i="1"/>
  <c r="AC475" i="1" l="1"/>
  <c r="I71" i="94"/>
  <c r="I91" i="94" s="1"/>
  <c r="AC497" i="1"/>
  <c r="AO338" i="1"/>
  <c r="AO403" i="1" s="1"/>
  <c r="D480" i="1"/>
  <c r="G210" i="1"/>
  <c r="G63" i="17"/>
  <c r="H583" i="1"/>
  <c r="G139" i="17"/>
  <c r="AJ129" i="1"/>
  <c r="AC395" i="1"/>
  <c r="AC394" i="1"/>
  <c r="AC396" i="1"/>
  <c r="AO395" i="1"/>
  <c r="D477" i="1"/>
  <c r="AH213" i="1"/>
  <c r="G88" i="17"/>
  <c r="H247" i="1"/>
  <c r="AM212" i="1"/>
  <c r="AM216" i="1"/>
  <c r="I469" i="1"/>
  <c r="E469" i="1"/>
  <c r="AO497" i="1"/>
  <c r="AO520" i="1" s="1"/>
  <c r="H12" i="1"/>
  <c r="C12" i="1"/>
  <c r="AM209" i="1"/>
  <c r="AS212" i="1"/>
  <c r="L595" i="1"/>
  <c r="AW183" i="1"/>
  <c r="AW181" i="1"/>
  <c r="AW182" i="1"/>
  <c r="G158" i="1"/>
  <c r="AB249" i="1"/>
  <c r="F158" i="1"/>
  <c r="H163" i="1"/>
  <c r="H157" i="1"/>
  <c r="H158" i="1" s="1"/>
  <c r="AD179" i="1"/>
  <c r="AD183" i="1"/>
  <c r="AL182" i="1"/>
  <c r="AL183" i="1"/>
  <c r="E184" i="1"/>
  <c r="AI202" i="1"/>
  <c r="AT159" i="1"/>
  <c r="AR213" i="1"/>
  <c r="AP12" i="1"/>
  <c r="AT157" i="1"/>
  <c r="AT158" i="1" s="1"/>
  <c r="AP210" i="1"/>
  <c r="AR159" i="1"/>
  <c r="AS159" i="1"/>
  <c r="AS160" i="1" s="1"/>
  <c r="AQ159" i="1"/>
  <c r="AP159" i="1"/>
  <c r="AX193" i="1"/>
  <c r="AS213" i="1"/>
  <c r="AW159" i="1"/>
  <c r="AR157" i="1"/>
  <c r="J153" i="1"/>
  <c r="AZ157" i="1"/>
  <c r="AY157" i="1"/>
  <c r="AG137" i="1"/>
  <c r="AG143" i="1"/>
  <c r="AC137" i="1"/>
  <c r="AC143" i="1"/>
  <c r="Z137" i="1"/>
  <c r="Z143" i="1"/>
  <c r="K126" i="1"/>
  <c r="AF137" i="1"/>
  <c r="AF143" i="1"/>
  <c r="AB137" i="1"/>
  <c r="AB143" i="1"/>
  <c r="AK157" i="1"/>
  <c r="AL157" i="1"/>
  <c r="AM157" i="1"/>
  <c r="AN157" i="1"/>
  <c r="AR158" i="1" s="1"/>
  <c r="AP216" i="1"/>
  <c r="M386" i="1"/>
  <c r="N386" i="1" s="1"/>
  <c r="O386" i="1" s="1"/>
  <c r="AD112" i="1"/>
  <c r="AE137" i="1"/>
  <c r="AE205" i="1" s="1"/>
  <c r="AE143" i="1"/>
  <c r="AA137" i="1"/>
  <c r="AA143" i="1"/>
  <c r="AG209" i="1"/>
  <c r="AG157" i="1"/>
  <c r="AH157" i="1"/>
  <c r="AI157" i="1"/>
  <c r="AJ157" i="1"/>
  <c r="AS107" i="1"/>
  <c r="AS157" i="1"/>
  <c r="AS158" i="1" s="1"/>
  <c r="AU157" i="1"/>
  <c r="AU174" i="1"/>
  <c r="AX157" i="1"/>
  <c r="AD137" i="1"/>
  <c r="AD139" i="1" s="1"/>
  <c r="AD143" i="1"/>
  <c r="AP158" i="1"/>
  <c r="AQ107" i="1"/>
  <c r="AQ157" i="1"/>
  <c r="AQ92" i="1"/>
  <c r="AZ107" i="1"/>
  <c r="AV157" i="1"/>
  <c r="AV158" i="1" s="1"/>
  <c r="AW157" i="1"/>
  <c r="AT164" i="1"/>
  <c r="AT226" i="1"/>
  <c r="AS81" i="1"/>
  <c r="AR83" i="1"/>
  <c r="AW186" i="1"/>
  <c r="AP305" i="1"/>
  <c r="AO292" i="1"/>
  <c r="AC112" i="1"/>
  <c r="G732" i="1"/>
  <c r="Z292" i="1"/>
  <c r="AA232" i="1"/>
  <c r="AA236" i="1" s="1"/>
  <c r="AC432" i="1"/>
  <c r="C536" i="1"/>
  <c r="C532" i="1"/>
  <c r="C520" i="1"/>
  <c r="C529" i="1"/>
  <c r="C530" i="1"/>
  <c r="C535" i="1"/>
  <c r="C531" i="1"/>
  <c r="AD393" i="1"/>
  <c r="AD526" i="1"/>
  <c r="AD412" i="1"/>
  <c r="AD413" i="1"/>
  <c r="AD401" i="1"/>
  <c r="AD402" i="1"/>
  <c r="AD404" i="1"/>
  <c r="AD405" i="1"/>
  <c r="AD406" i="1"/>
  <c r="AD407" i="1"/>
  <c r="AD408" i="1"/>
  <c r="AD409" i="1"/>
  <c r="AD414" i="1"/>
  <c r="AD415" i="1"/>
  <c r="AD416" i="1"/>
  <c r="AD417" i="1"/>
  <c r="AD418" i="1"/>
  <c r="AD419" i="1"/>
  <c r="AD420" i="1"/>
  <c r="AD421" i="1"/>
  <c r="AD422" i="1"/>
  <c r="AD423" i="1"/>
  <c r="AD424" i="1"/>
  <c r="AF412" i="1"/>
  <c r="AF413" i="1"/>
  <c r="AF401" i="1"/>
  <c r="AF402" i="1"/>
  <c r="AF404" i="1"/>
  <c r="AF405" i="1"/>
  <c r="AF406" i="1"/>
  <c r="AF407" i="1"/>
  <c r="AF408" i="1"/>
  <c r="AF409" i="1"/>
  <c r="AF526" i="1"/>
  <c r="AF415" i="1"/>
  <c r="AF416" i="1"/>
  <c r="AF417" i="1"/>
  <c r="AF414" i="1"/>
  <c r="AF424" i="1"/>
  <c r="AF418" i="1"/>
  <c r="AF419" i="1"/>
  <c r="AF420" i="1"/>
  <c r="AF421" i="1"/>
  <c r="AF422" i="1"/>
  <c r="AF423" i="1"/>
  <c r="AG393" i="1"/>
  <c r="AG526" i="1"/>
  <c r="AG412" i="1"/>
  <c r="AG413" i="1"/>
  <c r="AG401" i="1"/>
  <c r="AG402" i="1"/>
  <c r="AG404" i="1"/>
  <c r="AG405" i="1"/>
  <c r="AG406" i="1"/>
  <c r="AG407" i="1"/>
  <c r="AG408" i="1"/>
  <c r="AG409" i="1"/>
  <c r="AG414" i="1"/>
  <c r="AG415" i="1"/>
  <c r="AG416" i="1"/>
  <c r="AG417" i="1"/>
  <c r="AG418" i="1"/>
  <c r="AG419" i="1"/>
  <c r="AG420" i="1"/>
  <c r="AG421" i="1"/>
  <c r="AG422" i="1"/>
  <c r="AG423" i="1"/>
  <c r="AG424" i="1"/>
  <c r="AJ393" i="1"/>
  <c r="AJ412" i="1"/>
  <c r="AJ413" i="1"/>
  <c r="AJ401" i="1"/>
  <c r="AJ402" i="1"/>
  <c r="AJ404" i="1"/>
  <c r="AJ405" i="1"/>
  <c r="AJ406" i="1"/>
  <c r="AJ407" i="1"/>
  <c r="AJ408" i="1"/>
  <c r="AJ409" i="1"/>
  <c r="AJ526" i="1"/>
  <c r="AJ414" i="1"/>
  <c r="AJ418" i="1"/>
  <c r="AJ419" i="1"/>
  <c r="AJ420" i="1"/>
  <c r="AJ421" i="1"/>
  <c r="AJ422" i="1"/>
  <c r="AJ423" i="1"/>
  <c r="AJ416" i="1"/>
  <c r="AJ417" i="1"/>
  <c r="AJ424" i="1"/>
  <c r="AI428" i="1"/>
  <c r="AM393" i="1"/>
  <c r="AM401" i="1"/>
  <c r="AM402" i="1"/>
  <c r="AM404" i="1"/>
  <c r="AM405" i="1"/>
  <c r="AM406" i="1"/>
  <c r="AM407" i="1"/>
  <c r="AM408" i="1"/>
  <c r="AM409" i="1"/>
  <c r="AM526" i="1"/>
  <c r="AM412" i="1"/>
  <c r="AM414" i="1"/>
  <c r="AM416" i="1"/>
  <c r="AM417" i="1"/>
  <c r="AM418" i="1"/>
  <c r="AM419" i="1"/>
  <c r="AM420" i="1"/>
  <c r="AM421" i="1"/>
  <c r="AM422" i="1"/>
  <c r="AM423" i="1"/>
  <c r="AM424" i="1"/>
  <c r="AM413" i="1"/>
  <c r="AN393" i="1"/>
  <c r="AN412" i="1"/>
  <c r="AN413" i="1"/>
  <c r="AN401" i="1"/>
  <c r="AN402" i="1"/>
  <c r="AN404" i="1"/>
  <c r="AN405" i="1"/>
  <c r="AN406" i="1"/>
  <c r="AN407" i="1"/>
  <c r="AN408" i="1"/>
  <c r="AN409" i="1"/>
  <c r="AN526" i="1"/>
  <c r="AN414" i="1"/>
  <c r="AN416" i="1"/>
  <c r="AN422" i="1"/>
  <c r="AN424" i="1"/>
  <c r="AN418" i="1"/>
  <c r="AN421" i="1"/>
  <c r="AN417" i="1"/>
  <c r="AN423" i="1"/>
  <c r="AN419" i="1"/>
  <c r="AN420" i="1"/>
  <c r="AA393" i="1"/>
  <c r="AA401" i="1"/>
  <c r="AA402" i="1"/>
  <c r="AA404" i="1"/>
  <c r="AA405" i="1"/>
  <c r="AA406" i="1"/>
  <c r="AA407" i="1"/>
  <c r="AA408" i="1"/>
  <c r="AA409" i="1"/>
  <c r="AA526" i="1"/>
  <c r="AA412" i="1"/>
  <c r="AA413" i="1"/>
  <c r="AA414" i="1"/>
  <c r="AA415" i="1"/>
  <c r="AA416" i="1"/>
  <c r="AA417" i="1"/>
  <c r="AA418" i="1"/>
  <c r="AA419" i="1"/>
  <c r="AA420" i="1"/>
  <c r="AA421" i="1"/>
  <c r="AA422" i="1"/>
  <c r="AA423" i="1"/>
  <c r="AA424" i="1"/>
  <c r="AA425" i="1"/>
  <c r="Z526" i="1"/>
  <c r="Z412" i="1"/>
  <c r="Z413" i="1"/>
  <c r="Z401" i="1"/>
  <c r="Z402" i="1"/>
  <c r="Z404" i="1"/>
  <c r="Z405" i="1"/>
  <c r="Z406" i="1"/>
  <c r="Z407" i="1"/>
  <c r="Z408" i="1"/>
  <c r="Z409" i="1"/>
  <c r="Z414" i="1"/>
  <c r="Z415" i="1"/>
  <c r="Z416" i="1"/>
  <c r="Z417" i="1"/>
  <c r="Z418" i="1"/>
  <c r="Z419" i="1"/>
  <c r="Z420" i="1"/>
  <c r="Z421" i="1"/>
  <c r="Z422" i="1"/>
  <c r="Z423" i="1"/>
  <c r="Z424" i="1"/>
  <c r="Z425" i="1"/>
  <c r="AH428" i="1"/>
  <c r="AO531" i="1"/>
  <c r="AO535" i="1"/>
  <c r="AI393" i="1"/>
  <c r="AI401" i="1"/>
  <c r="AI402" i="1"/>
  <c r="AI404" i="1"/>
  <c r="AI405" i="1"/>
  <c r="AI406" i="1"/>
  <c r="AI407" i="1"/>
  <c r="AI408" i="1"/>
  <c r="AI409" i="1"/>
  <c r="AI526" i="1"/>
  <c r="AI412" i="1"/>
  <c r="AI413" i="1"/>
  <c r="AI414" i="1"/>
  <c r="AI416" i="1"/>
  <c r="AI417" i="1"/>
  <c r="AI418" i="1"/>
  <c r="AI419" i="1"/>
  <c r="AI420" i="1"/>
  <c r="AI421" i="1"/>
  <c r="AI422" i="1"/>
  <c r="AI423" i="1"/>
  <c r="AI424" i="1"/>
  <c r="AK393" i="1"/>
  <c r="AK526" i="1"/>
  <c r="AK412" i="1"/>
  <c r="AK413" i="1"/>
  <c r="AK401" i="1"/>
  <c r="AK402" i="1"/>
  <c r="AK404" i="1"/>
  <c r="AK405" i="1"/>
  <c r="AK406" i="1"/>
  <c r="AK407" i="1"/>
  <c r="AK408" i="1"/>
  <c r="AK409" i="1"/>
  <c r="AK414" i="1"/>
  <c r="AK416" i="1"/>
  <c r="AK417" i="1"/>
  <c r="AK418" i="1"/>
  <c r="AK419" i="1"/>
  <c r="AK420" i="1"/>
  <c r="AK421" i="1"/>
  <c r="AK422" i="1"/>
  <c r="AK423" i="1"/>
  <c r="AK424" i="1"/>
  <c r="AH393" i="1"/>
  <c r="AH526" i="1"/>
  <c r="AH412" i="1"/>
  <c r="AH413" i="1"/>
  <c r="AH401" i="1"/>
  <c r="AH402" i="1"/>
  <c r="AH404" i="1"/>
  <c r="AH405" i="1"/>
  <c r="AH406" i="1"/>
  <c r="AH407" i="1"/>
  <c r="AH408" i="1"/>
  <c r="AH409" i="1"/>
  <c r="AH414" i="1"/>
  <c r="AH416" i="1"/>
  <c r="AH417" i="1"/>
  <c r="AH418" i="1"/>
  <c r="AH419" i="1"/>
  <c r="AH420" i="1"/>
  <c r="AH421" i="1"/>
  <c r="AH422" i="1"/>
  <c r="AH423" i="1"/>
  <c r="AH424" i="1"/>
  <c r="AE401" i="1"/>
  <c r="AE402" i="1"/>
  <c r="AE404" i="1"/>
  <c r="AE405" i="1"/>
  <c r="AE406" i="1"/>
  <c r="AE407" i="1"/>
  <c r="AE408" i="1"/>
  <c r="AE409" i="1"/>
  <c r="AE526" i="1"/>
  <c r="AE412" i="1"/>
  <c r="AE413" i="1"/>
  <c r="AE414" i="1"/>
  <c r="AE415" i="1"/>
  <c r="AE416" i="1"/>
  <c r="AE417" i="1"/>
  <c r="AE418" i="1"/>
  <c r="AE419" i="1"/>
  <c r="AE420" i="1"/>
  <c r="AE421" i="1"/>
  <c r="AE422" i="1"/>
  <c r="AE423" i="1"/>
  <c r="AE424" i="1"/>
  <c r="AK428" i="1"/>
  <c r="AC543" i="1"/>
  <c r="AC520" i="1"/>
  <c r="AC529" i="1"/>
  <c r="AC530" i="1"/>
  <c r="AC531" i="1"/>
  <c r="AC532" i="1"/>
  <c r="AL393" i="1"/>
  <c r="AL526" i="1"/>
  <c r="AL412" i="1"/>
  <c r="AL413" i="1"/>
  <c r="AL401" i="1"/>
  <c r="AL402" i="1"/>
  <c r="AL404" i="1"/>
  <c r="AL405" i="1"/>
  <c r="AL406" i="1"/>
  <c r="AL407" i="1"/>
  <c r="AL408" i="1"/>
  <c r="AL409" i="1"/>
  <c r="AL414" i="1"/>
  <c r="AL416" i="1"/>
  <c r="AL417" i="1"/>
  <c r="AL418" i="1"/>
  <c r="AL419" i="1"/>
  <c r="AL420" i="1"/>
  <c r="AL421" i="1"/>
  <c r="AL422" i="1"/>
  <c r="AL423" i="1"/>
  <c r="AL424" i="1"/>
  <c r="AO526" i="1"/>
  <c r="AO412" i="1"/>
  <c r="AO413" i="1"/>
  <c r="AO401" i="1"/>
  <c r="AO402" i="1"/>
  <c r="AO404" i="1"/>
  <c r="AO405" i="1"/>
  <c r="AO406" i="1"/>
  <c r="AO407" i="1"/>
  <c r="AO408" i="1"/>
  <c r="AO409" i="1"/>
  <c r="AO414" i="1"/>
  <c r="AO416" i="1"/>
  <c r="AO417" i="1"/>
  <c r="AO418" i="1"/>
  <c r="AO419" i="1"/>
  <c r="AO420" i="1"/>
  <c r="AO421" i="1"/>
  <c r="AO422" i="1"/>
  <c r="AO423" i="1"/>
  <c r="AO424" i="1"/>
  <c r="AC393" i="1"/>
  <c r="AC526" i="1"/>
  <c r="AC412" i="1"/>
  <c r="AC413" i="1"/>
  <c r="AC401" i="1"/>
  <c r="AC402" i="1"/>
  <c r="AC404" i="1"/>
  <c r="AC405" i="1"/>
  <c r="AC406" i="1"/>
  <c r="AC407" i="1"/>
  <c r="AC408" i="1"/>
  <c r="AC409" i="1"/>
  <c r="AC414" i="1"/>
  <c r="AC415" i="1"/>
  <c r="AC416" i="1"/>
  <c r="AC417" i="1"/>
  <c r="AC418" i="1"/>
  <c r="AC419" i="1"/>
  <c r="AC420" i="1"/>
  <c r="AC421" i="1"/>
  <c r="AC422" i="1"/>
  <c r="AC423" i="1"/>
  <c r="AC424" i="1"/>
  <c r="AC425" i="1"/>
  <c r="AB393" i="1"/>
  <c r="AB412" i="1"/>
  <c r="AB413" i="1"/>
  <c r="AB401" i="1"/>
  <c r="AB402" i="1"/>
  <c r="AB404" i="1"/>
  <c r="AB405" i="1"/>
  <c r="AB406" i="1"/>
  <c r="AB407" i="1"/>
  <c r="AB408" i="1"/>
  <c r="AB409" i="1"/>
  <c r="AB526" i="1"/>
  <c r="AB419" i="1"/>
  <c r="AB420" i="1"/>
  <c r="AB424" i="1"/>
  <c r="AB414" i="1"/>
  <c r="AB416" i="1"/>
  <c r="AB417" i="1"/>
  <c r="AB421" i="1"/>
  <c r="AB422" i="1"/>
  <c r="AB423" i="1"/>
  <c r="AB415" i="1"/>
  <c r="AB418" i="1"/>
  <c r="AB425" i="1"/>
  <c r="AJ428" i="1"/>
  <c r="AO529" i="1"/>
  <c r="AO298" i="1"/>
  <c r="AD291" i="1"/>
  <c r="AL293" i="1"/>
  <c r="AH290" i="1"/>
  <c r="AH292" i="1"/>
  <c r="AD290" i="1"/>
  <c r="AT101" i="1"/>
  <c r="AQ213" i="1"/>
  <c r="AT163" i="1"/>
  <c r="AX164" i="1"/>
  <c r="AO524" i="1"/>
  <c r="AO523" i="1"/>
  <c r="AO521" i="1"/>
  <c r="BA362" i="1"/>
  <c r="AX500" i="1"/>
  <c r="AX68" i="1"/>
  <c r="AW68" i="1"/>
  <c r="AS68" i="1"/>
  <c r="AR450" i="1"/>
  <c r="AT442" i="1"/>
  <c r="AY442" i="1"/>
  <c r="K364" i="1"/>
  <c r="AC292" i="1"/>
  <c r="AU285" i="1"/>
  <c r="AU101" i="1"/>
  <c r="I106" i="1"/>
  <c r="AT84" i="1"/>
  <c r="AS149" i="1"/>
  <c r="AC250" i="1"/>
  <c r="Z250" i="1"/>
  <c r="AO256" i="1"/>
  <c r="AU108" i="1"/>
  <c r="AG164" i="1"/>
  <c r="AA497" i="1"/>
  <c r="H52" i="1"/>
  <c r="AD129" i="1"/>
  <c r="AH164" i="1"/>
  <c r="G737" i="1"/>
  <c r="H737" i="1" s="1"/>
  <c r="I737" i="1" s="1"/>
  <c r="J737" i="1" s="1"/>
  <c r="AD170" i="1"/>
  <c r="AA438" i="1"/>
  <c r="F60" i="17"/>
  <c r="F136" i="17" s="1"/>
  <c r="F207" i="1"/>
  <c r="AF393" i="1"/>
  <c r="G578" i="1"/>
  <c r="G579" i="1" s="1"/>
  <c r="C432" i="1"/>
  <c r="Z396" i="1"/>
  <c r="Z393" i="1"/>
  <c r="AX498" i="1"/>
  <c r="F225" i="17"/>
  <c r="AM291" i="1"/>
  <c r="G132" i="17"/>
  <c r="AF232" i="1"/>
  <c r="AF236" i="1" s="1"/>
  <c r="Z338" i="1"/>
  <c r="Z350" i="1" s="1"/>
  <c r="G485" i="1"/>
  <c r="AU450" i="1"/>
  <c r="AV108" i="1"/>
  <c r="I513" i="1"/>
  <c r="AS129" i="1"/>
  <c r="H81" i="15"/>
  <c r="AE446" i="1"/>
  <c r="AE393" i="1"/>
  <c r="AQ221" i="1"/>
  <c r="AQ83" i="1"/>
  <c r="AT233" i="1"/>
  <c r="AP256" i="1"/>
  <c r="H57" i="17"/>
  <c r="H81" i="17" s="1"/>
  <c r="AK486" i="1"/>
  <c r="G273" i="1"/>
  <c r="C124" i="1"/>
  <c r="AK239" i="1"/>
  <c r="AN255" i="1"/>
  <c r="I88" i="15"/>
  <c r="I89" i="15" s="1"/>
  <c r="I85" i="15" s="1"/>
  <c r="AM154" i="1"/>
  <c r="AS108" i="1"/>
  <c r="AO394" i="1"/>
  <c r="AO393" i="1"/>
  <c r="AU99" i="1"/>
  <c r="AT82" i="1"/>
  <c r="AW202" i="1"/>
  <c r="M388" i="1"/>
  <c r="AP225" i="1"/>
  <c r="AT11" i="1"/>
  <c r="AX51" i="1" s="1"/>
  <c r="AW90" i="1"/>
  <c r="AP16" i="1"/>
  <c r="AT12" i="1"/>
  <c r="AT52" i="1" s="1"/>
  <c r="J106" i="1"/>
  <c r="AT85" i="1"/>
  <c r="AT290" i="1"/>
  <c r="AP234" i="1"/>
  <c r="AT225" i="1"/>
  <c r="AP163" i="1"/>
  <c r="AR108" i="1"/>
  <c r="AW82" i="1"/>
  <c r="AQ114" i="1"/>
  <c r="AP217" i="1"/>
  <c r="AP247" i="1"/>
  <c r="AW98" i="1"/>
  <c r="AW285" i="1"/>
  <c r="AW108" i="1"/>
  <c r="AT10" i="1"/>
  <c r="AW107" i="1"/>
  <c r="AX290" i="1"/>
  <c r="AT239" i="1"/>
  <c r="AX239" i="1" s="1"/>
  <c r="AX242" i="1" s="1"/>
  <c r="BB242" i="1" s="1"/>
  <c r="AP164" i="1"/>
  <c r="AT174" i="1"/>
  <c r="AP10" i="1"/>
  <c r="AQ37" i="1" s="1"/>
  <c r="AS17" i="1"/>
  <c r="AS74" i="1" s="1"/>
  <c r="I566" i="1"/>
  <c r="AS154" i="1"/>
  <c r="AT108" i="1"/>
  <c r="AV101" i="1"/>
  <c r="AR286" i="1"/>
  <c r="AW81" i="1"/>
  <c r="H207" i="1"/>
  <c r="AT234" i="1"/>
  <c r="AP502" i="1"/>
  <c r="H659" i="1"/>
  <c r="AX91" i="1"/>
  <c r="AI213" i="1"/>
  <c r="AX398" i="1"/>
  <c r="AX89" i="1"/>
  <c r="AX98" i="1"/>
  <c r="AX13" i="1"/>
  <c r="AX107" i="1"/>
  <c r="I698" i="1"/>
  <c r="AW10" i="1"/>
  <c r="AS286" i="1"/>
  <c r="AW85" i="1"/>
  <c r="AT291" i="1"/>
  <c r="AM133" i="1"/>
  <c r="AE6" i="1"/>
  <c r="AW154" i="1"/>
  <c r="J284" i="1"/>
  <c r="K284" i="1" s="1"/>
  <c r="L284" i="1" s="1"/>
  <c r="M284" i="1" s="1"/>
  <c r="M15" i="1" s="1"/>
  <c r="AW89" i="1"/>
  <c r="AO474" i="1"/>
  <c r="AO502" i="1"/>
  <c r="AO525" i="1" s="1"/>
  <c r="AS290" i="1"/>
  <c r="AW209" i="1"/>
  <c r="AV97" i="1"/>
  <c r="AX481" i="1"/>
  <c r="AS498" i="1"/>
  <c r="AT450" i="1"/>
  <c r="I879" i="1"/>
  <c r="J363" i="1"/>
  <c r="AS128" i="1"/>
  <c r="AT154" i="1"/>
  <c r="AR442" i="1"/>
  <c r="H751" i="1"/>
  <c r="AX10" i="1"/>
  <c r="AX90" i="1"/>
  <c r="AX15" i="1"/>
  <c r="AX42" i="1" s="1"/>
  <c r="AX18" i="1"/>
  <c r="J684" i="1"/>
  <c r="AW237" i="1"/>
  <c r="I120" i="1"/>
  <c r="I124" i="1" s="1"/>
  <c r="AX285" i="1"/>
  <c r="AT186" i="1"/>
  <c r="AU186" i="1"/>
  <c r="AQ192" i="1"/>
  <c r="AQ91" i="1"/>
  <c r="AU84" i="1"/>
  <c r="AS89" i="1"/>
  <c r="AL501" i="1"/>
  <c r="AP128" i="1"/>
  <c r="AP155" i="1"/>
  <c r="AX163" i="1"/>
  <c r="AX286" i="1"/>
  <c r="AX450" i="1"/>
  <c r="AR85" i="1"/>
  <c r="AV94" i="1"/>
  <c r="AD484" i="1"/>
  <c r="AD478" i="1" s="1"/>
  <c r="AK484" i="1"/>
  <c r="G269" i="1"/>
  <c r="H269" i="1" s="1"/>
  <c r="I269" i="1" s="1"/>
  <c r="J269" i="1" s="1"/>
  <c r="AE210" i="1"/>
  <c r="AK292" i="1"/>
  <c r="AH485" i="1"/>
  <c r="G213" i="17"/>
  <c r="G218" i="17" s="1"/>
  <c r="H450" i="1"/>
  <c r="H771" i="1"/>
  <c r="F609" i="1"/>
  <c r="AG174" i="1"/>
  <c r="AG183" i="1" s="1"/>
  <c r="J24" i="15"/>
  <c r="D115" i="1"/>
  <c r="I136" i="17"/>
  <c r="I42" i="17" s="1"/>
  <c r="AX313" i="1"/>
  <c r="AM293" i="1"/>
  <c r="AO290" i="1"/>
  <c r="AH486" i="1"/>
  <c r="AC150" i="1"/>
  <c r="AH483" i="1"/>
  <c r="G663" i="1"/>
  <c r="E668" i="1"/>
  <c r="Z125" i="1"/>
  <c r="H289" i="1"/>
  <c r="H16" i="1" s="1"/>
  <c r="AE217" i="1"/>
  <c r="E235" i="1"/>
  <c r="AG201" i="1"/>
  <c r="AH217" i="1" s="1"/>
  <c r="BJ106" i="1"/>
  <c r="G666" i="1"/>
  <c r="Z232" i="1"/>
  <c r="D60" i="17"/>
  <c r="D225" i="17" s="1"/>
  <c r="AO293" i="1"/>
  <c r="AP290" i="1"/>
  <c r="G167" i="17"/>
  <c r="G172" i="17" s="1"/>
  <c r="AF226" i="1"/>
  <c r="AG207" i="1"/>
  <c r="X162" i="1"/>
  <c r="AB163" i="1" s="1"/>
  <c r="AE206" i="1"/>
  <c r="G469" i="1"/>
  <c r="E883" i="1"/>
  <c r="F878" i="1" s="1"/>
  <c r="AU173" i="1"/>
  <c r="AX173" i="1"/>
  <c r="AX183" i="1"/>
  <c r="BE369" i="1"/>
  <c r="BE442" i="1" s="1"/>
  <c r="R365" i="1"/>
  <c r="R369" i="1" s="1"/>
  <c r="Q369" i="1"/>
  <c r="P25" i="17"/>
  <c r="M29" i="17"/>
  <c r="R26" i="17"/>
  <c r="Q27" i="17"/>
  <c r="Q29" i="17"/>
  <c r="Q26" i="17"/>
  <c r="BA367" i="1"/>
  <c r="I492" i="1"/>
  <c r="K52" i="17"/>
  <c r="P203" i="17"/>
  <c r="P52" i="17" s="1"/>
  <c r="P38" i="17"/>
  <c r="P159" i="17"/>
  <c r="O248" i="17"/>
  <c r="O74" i="17"/>
  <c r="O203" i="17"/>
  <c r="L45" i="17"/>
  <c r="AZ155" i="1"/>
  <c r="AZ311" i="1"/>
  <c r="E9" i="1"/>
  <c r="E19" i="1" s="1"/>
  <c r="G50" i="1"/>
  <c r="F9" i="1"/>
  <c r="P285" i="1"/>
  <c r="Q285" i="1" s="1"/>
  <c r="R285" i="1" s="1"/>
  <c r="G9" i="1"/>
  <c r="AT217" i="1"/>
  <c r="BD284" i="1"/>
  <c r="AZ285" i="1"/>
  <c r="AU166" i="1"/>
  <c r="AZ163" i="1"/>
  <c r="AV225" i="1"/>
  <c r="AZ225" i="1"/>
  <c r="AV13" i="1"/>
  <c r="AZ255" i="1"/>
  <c r="AZ450" i="1"/>
  <c r="BD15" i="1"/>
  <c r="L313" i="1"/>
  <c r="M313" i="1" s="1"/>
  <c r="N313" i="1" s="1"/>
  <c r="H88" i="15"/>
  <c r="H89" i="15" s="1"/>
  <c r="H85" i="15" s="1"/>
  <c r="AW442" i="1"/>
  <c r="J367" i="1"/>
  <c r="AW100" i="1"/>
  <c r="AT99" i="1"/>
  <c r="AQ89" i="1"/>
  <c r="J368" i="1"/>
  <c r="G153" i="1"/>
  <c r="AW213" i="1"/>
  <c r="AS210" i="1"/>
  <c r="H115" i="1"/>
  <c r="AS132" i="1"/>
  <c r="AQ178" i="1"/>
  <c r="AU82" i="1"/>
  <c r="AR129" i="1"/>
  <c r="AR247" i="1"/>
  <c r="AR248" i="1" s="1"/>
  <c r="AP498" i="1"/>
  <c r="AX99" i="1"/>
  <c r="I24" i="15"/>
  <c r="AT315" i="1"/>
  <c r="AT316" i="1" s="1"/>
  <c r="AM500" i="1"/>
  <c r="J67" i="1"/>
  <c r="J64" i="1"/>
  <c r="AT83" i="1"/>
  <c r="I64" i="1"/>
  <c r="AK154" i="1"/>
  <c r="AP132" i="1"/>
  <c r="AR133" i="1"/>
  <c r="AT213" i="1"/>
  <c r="AQ146" i="1"/>
  <c r="AS133" i="1"/>
  <c r="G110" i="1"/>
  <c r="G66" i="17" s="1"/>
  <c r="I563" i="1"/>
  <c r="AT517" i="1"/>
  <c r="AZ15" i="1"/>
  <c r="J675" i="1"/>
  <c r="AX155" i="1"/>
  <c r="AU94" i="1"/>
  <c r="AV90" i="1"/>
  <c r="AT91" i="1"/>
  <c r="AV11" i="1"/>
  <c r="AQ93" i="1"/>
  <c r="AT210" i="1"/>
  <c r="AP114" i="1"/>
  <c r="AP125" i="1" s="1"/>
  <c r="AX225" i="1"/>
  <c r="AK132" i="1"/>
  <c r="AS114" i="1"/>
  <c r="AU83" i="1"/>
  <c r="I675" i="1"/>
  <c r="AR9" i="1"/>
  <c r="AH510" i="1"/>
  <c r="AT139" i="1"/>
  <c r="Y226" i="1"/>
  <c r="Z226" i="1"/>
  <c r="Z162" i="1"/>
  <c r="AF146" i="1"/>
  <c r="C81" i="17"/>
  <c r="AP213" i="1"/>
  <c r="AM217" i="1"/>
  <c r="AL202" i="1"/>
  <c r="BB51" i="1"/>
  <c r="H201" i="1"/>
  <c r="H88" i="17" s="1"/>
  <c r="BB313" i="1"/>
  <c r="AS42" i="1"/>
  <c r="AL210" i="1"/>
  <c r="G248" i="1"/>
  <c r="AP202" i="1"/>
  <c r="AQ202" i="1"/>
  <c r="AS202" i="1"/>
  <c r="J65" i="1"/>
  <c r="AR202" i="1"/>
  <c r="F174" i="1"/>
  <c r="F179" i="1" s="1"/>
  <c r="E174" i="1"/>
  <c r="E179" i="1" s="1"/>
  <c r="AE202" i="1"/>
  <c r="AE218" i="1" s="1"/>
  <c r="G174" i="1"/>
  <c r="G179" i="1" s="1"/>
  <c r="AM249" i="1"/>
  <c r="D182" i="1"/>
  <c r="AF205" i="1"/>
  <c r="AF139" i="1"/>
  <c r="AF210" i="1"/>
  <c r="AN218" i="1"/>
  <c r="Z139" i="1"/>
  <c r="AL169" i="1"/>
  <c r="AP188" i="1" s="1"/>
  <c r="AL190" i="1"/>
  <c r="AF179" i="1"/>
  <c r="AF197" i="1"/>
  <c r="AD122" i="1"/>
  <c r="AE134" i="1" s="1"/>
  <c r="AB128" i="1"/>
  <c r="AA139" i="1"/>
  <c r="AO170" i="1"/>
  <c r="AO197" i="1"/>
  <c r="AJ170" i="1"/>
  <c r="AK170" i="1" s="1"/>
  <c r="AJ190" i="1"/>
  <c r="AJ197" i="1"/>
  <c r="AE179" i="1"/>
  <c r="AE197" i="1"/>
  <c r="AT100" i="1"/>
  <c r="AB134" i="1"/>
  <c r="J879" i="1"/>
  <c r="AG179" i="1"/>
  <c r="AG197" i="1"/>
  <c r="AN213" i="1"/>
  <c r="AN170" i="1"/>
  <c r="AN190" i="1"/>
  <c r="AN197" i="1"/>
  <c r="AI197" i="1"/>
  <c r="AI190" i="1"/>
  <c r="AF122" i="1"/>
  <c r="AG134" i="1" s="1"/>
  <c r="AA134" i="1"/>
  <c r="D122" i="1"/>
  <c r="AG139" i="1"/>
  <c r="AC139" i="1"/>
  <c r="AH210" i="1"/>
  <c r="AI218" i="1"/>
  <c r="AN214" i="1"/>
  <c r="AM197" i="1"/>
  <c r="AM190" i="1"/>
  <c r="AH169" i="1"/>
  <c r="AH190" i="1"/>
  <c r="AH197" i="1"/>
  <c r="AE130" i="1"/>
  <c r="AW256" i="1"/>
  <c r="AR255" i="1"/>
  <c r="AW291" i="1"/>
  <c r="AS291" i="1"/>
  <c r="H631" i="1"/>
  <c r="AS139" i="1"/>
  <c r="AR155" i="1"/>
  <c r="AX92" i="1"/>
  <c r="AT298" i="1"/>
  <c r="AU498" i="1"/>
  <c r="I660" i="1"/>
  <c r="J365" i="1"/>
  <c r="AV92" i="1"/>
  <c r="AS83" i="1"/>
  <c r="N789" i="1"/>
  <c r="O604" i="1"/>
  <c r="P604" i="1" s="1"/>
  <c r="Q604" i="1" s="1"/>
  <c r="R604" i="1" s="1"/>
  <c r="R789" i="1" s="1"/>
  <c r="AX192" i="1"/>
  <c r="AY92" i="1"/>
  <c r="AX233" i="1"/>
  <c r="AT192" i="1"/>
  <c r="AQ486" i="1"/>
  <c r="AS192" i="1"/>
  <c r="AT502" i="1"/>
  <c r="AV285" i="1"/>
  <c r="AT94" i="1"/>
  <c r="AQ85" i="1"/>
  <c r="AU93" i="1"/>
  <c r="AW164" i="1"/>
  <c r="AT97" i="1"/>
  <c r="AT81" i="1"/>
  <c r="AV166" i="1"/>
  <c r="J345" i="1"/>
  <c r="K824" i="1"/>
  <c r="AW102" i="1"/>
  <c r="I373" i="1"/>
  <c r="AS90" i="1"/>
  <c r="AR84" i="1"/>
  <c r="AW286" i="1"/>
  <c r="AX302" i="1"/>
  <c r="AV84" i="1"/>
  <c r="I162" i="1"/>
  <c r="AW84" i="1"/>
  <c r="AU89" i="1"/>
  <c r="AJ128" i="1"/>
  <c r="AX108" i="1"/>
  <c r="AV255" i="1"/>
  <c r="AV174" i="1"/>
  <c r="AQ129" i="1"/>
  <c r="AQ81" i="1"/>
  <c r="AV502" i="1"/>
  <c r="AL114" i="1"/>
  <c r="AL124" i="1" s="1"/>
  <c r="AN133" i="1"/>
  <c r="AR226" i="1"/>
  <c r="AU305" i="1"/>
  <c r="AU102" i="1"/>
  <c r="AP187" i="1"/>
  <c r="U107" i="94"/>
  <c r="U92" i="94"/>
  <c r="AX97" i="1"/>
  <c r="AX100" i="1"/>
  <c r="AX12" i="1"/>
  <c r="AV15" i="1"/>
  <c r="AV98" i="1"/>
  <c r="AV442" i="1"/>
  <c r="AW226" i="1"/>
  <c r="AU286" i="1"/>
  <c r="I62" i="1"/>
  <c r="AV102" i="1"/>
  <c r="K603" i="1"/>
  <c r="L603" i="1" s="1"/>
  <c r="M603" i="1" s="1"/>
  <c r="N603" i="1" s="1"/>
  <c r="O603" i="1" s="1"/>
  <c r="P603" i="1" s="1"/>
  <c r="Q603" i="1" s="1"/>
  <c r="R603" i="1" s="1"/>
  <c r="AR81" i="1"/>
  <c r="AR82" i="1"/>
  <c r="AT347" i="1"/>
  <c r="AQ305" i="1"/>
  <c r="AS82" i="1"/>
  <c r="I201" i="1"/>
  <c r="G207" i="1"/>
  <c r="AT89" i="1"/>
  <c r="AO114" i="1"/>
  <c r="AO179" i="1" s="1"/>
  <c r="AR237" i="1"/>
  <c r="AW97" i="1"/>
  <c r="AW92" i="1"/>
  <c r="G177" i="1"/>
  <c r="G60" i="17"/>
  <c r="G180" i="17" s="1"/>
  <c r="AV100" i="1"/>
  <c r="AV298" i="1"/>
  <c r="AZ298" i="1" s="1"/>
  <c r="AU92" i="1"/>
  <c r="AR234" i="1"/>
  <c r="AT302" i="1"/>
  <c r="T107" i="94"/>
  <c r="AW212" i="1"/>
  <c r="U88" i="94"/>
  <c r="U69" i="94"/>
  <c r="AQ212" i="1"/>
  <c r="AX235" i="1"/>
  <c r="L824" i="1"/>
  <c r="G115" i="1"/>
  <c r="AN502" i="1"/>
  <c r="AV286" i="1"/>
  <c r="AU68" i="1"/>
  <c r="BD224" i="1"/>
  <c r="BD11" i="1" s="1"/>
  <c r="AR94" i="1"/>
  <c r="AR217" i="1"/>
  <c r="AO133" i="1"/>
  <c r="AS217" i="1"/>
  <c r="AP298" i="1"/>
  <c r="AR128" i="1"/>
  <c r="AT149" i="1"/>
  <c r="AT193" i="1"/>
  <c r="AR174" i="1"/>
  <c r="AS234" i="1"/>
  <c r="AH178" i="1"/>
  <c r="AL129" i="1"/>
  <c r="AU155" i="1"/>
  <c r="V63" i="94"/>
  <c r="AD6" i="1"/>
  <c r="AG6" i="1"/>
  <c r="C383" i="1"/>
  <c r="L142" i="1"/>
  <c r="W6" i="1"/>
  <c r="AA6" i="1"/>
  <c r="AV6" i="1"/>
  <c r="J383" i="1"/>
  <c r="L6" i="1"/>
  <c r="R170" i="15"/>
  <c r="T170" i="15" s="1"/>
  <c r="D384" i="1"/>
  <c r="E384" i="1"/>
  <c r="AU6" i="1"/>
  <c r="E383" i="1"/>
  <c r="AB6" i="1"/>
  <c r="V6" i="1"/>
  <c r="Y6" i="1"/>
  <c r="X6" i="1"/>
  <c r="AW6" i="1"/>
  <c r="AC6" i="1"/>
  <c r="R173" i="15"/>
  <c r="T173" i="15" s="1"/>
  <c r="O50" i="15"/>
  <c r="R171" i="15"/>
  <c r="T171" i="15" s="1"/>
  <c r="AR139" i="1"/>
  <c r="AJ132" i="1"/>
  <c r="J362" i="1"/>
  <c r="I365" i="1"/>
  <c r="I363" i="1"/>
  <c r="I368" i="1"/>
  <c r="J493" i="1"/>
  <c r="I493" i="1"/>
  <c r="J492" i="1"/>
  <c r="J491" i="1"/>
  <c r="J490" i="1"/>
  <c r="I564" i="1"/>
  <c r="I358" i="1"/>
  <c r="AW347" i="1"/>
  <c r="I490" i="1"/>
  <c r="I489" i="1"/>
  <c r="AH508" i="1"/>
  <c r="AQ108" i="1"/>
  <c r="AP154" i="1"/>
  <c r="AP212" i="1"/>
  <c r="AR216" i="1"/>
  <c r="AR209" i="1"/>
  <c r="AW155" i="1"/>
  <c r="AS221" i="1"/>
  <c r="I153" i="1"/>
  <c r="AS155" i="1"/>
  <c r="H153" i="1"/>
  <c r="AO155" i="1"/>
  <c r="AO221" i="1"/>
  <c r="I220" i="1"/>
  <c r="AT133" i="1"/>
  <c r="AT178" i="1"/>
  <c r="AP15" i="1"/>
  <c r="I284" i="1"/>
  <c r="I15" i="1" s="1"/>
  <c r="AT285" i="1"/>
  <c r="I321" i="1"/>
  <c r="I18" i="1" s="1"/>
  <c r="AU322" i="1"/>
  <c r="AQ18" i="1"/>
  <c r="AU81" i="1"/>
  <c r="J62" i="1"/>
  <c r="AU91" i="1"/>
  <c r="AV91" i="1"/>
  <c r="AU90" i="1"/>
  <c r="J63" i="1"/>
  <c r="AT98" i="1"/>
  <c r="AP83" i="1"/>
  <c r="AT102" i="1"/>
  <c r="AP82" i="1"/>
  <c r="I67" i="1"/>
  <c r="AP81" i="1"/>
  <c r="AQ94" i="1"/>
  <c r="AP84" i="1"/>
  <c r="AQ82" i="1"/>
  <c r="AR90" i="1"/>
  <c r="I63" i="1"/>
  <c r="AU98" i="1"/>
  <c r="AQ90" i="1"/>
  <c r="AQ84" i="1"/>
  <c r="AR92" i="1"/>
  <c r="AV89" i="1"/>
  <c r="AV81" i="1"/>
  <c r="AW93" i="1"/>
  <c r="AV85" i="1"/>
  <c r="J66" i="1"/>
  <c r="AV99" i="1"/>
  <c r="AS91" i="1"/>
  <c r="AR91" i="1"/>
  <c r="AW217" i="1"/>
  <c r="AW210" i="1"/>
  <c r="AW91" i="1"/>
  <c r="AW99" i="1"/>
  <c r="AW83" i="1"/>
  <c r="AS84" i="1"/>
  <c r="AS92" i="1"/>
  <c r="AT92" i="1"/>
  <c r="J121" i="1"/>
  <c r="AU163" i="1"/>
  <c r="AW166" i="1"/>
  <c r="AU164" i="1"/>
  <c r="J162" i="1"/>
  <c r="AT166" i="1"/>
  <c r="AU10" i="1"/>
  <c r="AU50" i="1" s="1"/>
  <c r="AQ210" i="1"/>
  <c r="AP166" i="1"/>
  <c r="AQ163" i="1"/>
  <c r="AQ164" i="1"/>
  <c r="AV226" i="1"/>
  <c r="AW229" i="1"/>
  <c r="J224" i="1"/>
  <c r="J11" i="1" s="1"/>
  <c r="AV229" i="1"/>
  <c r="AT229" i="1"/>
  <c r="AU226" i="1"/>
  <c r="AQ11" i="1"/>
  <c r="AQ226" i="1"/>
  <c r="AQ229" i="1"/>
  <c r="AY233" i="1"/>
  <c r="AU233" i="1"/>
  <c r="AV234" i="1"/>
  <c r="AU234" i="1"/>
  <c r="AV237" i="1"/>
  <c r="AT237" i="1"/>
  <c r="AS237" i="1"/>
  <c r="AQ237" i="1"/>
  <c r="AQ13" i="1"/>
  <c r="I254" i="1"/>
  <c r="AQ256" i="1"/>
  <c r="AY290" i="1"/>
  <c r="AU291" i="1"/>
  <c r="AU290" i="1"/>
  <c r="AV291" i="1"/>
  <c r="J289" i="1"/>
  <c r="AV293" i="1"/>
  <c r="AU298" i="1"/>
  <c r="AY298" i="1" s="1"/>
  <c r="BC298" i="1" s="1"/>
  <c r="BC297" i="1" s="1"/>
  <c r="AP293" i="1"/>
  <c r="AQ16" i="1"/>
  <c r="AQ298" i="1"/>
  <c r="AR291" i="1"/>
  <c r="AQ291" i="1"/>
  <c r="AQ293" i="1"/>
  <c r="J297" i="1"/>
  <c r="AW302" i="1"/>
  <c r="AW298" i="1"/>
  <c r="AS298" i="1"/>
  <c r="I297" i="1"/>
  <c r="I296" i="1" s="1"/>
  <c r="J480" i="1"/>
  <c r="I480" i="1"/>
  <c r="AW501" i="1"/>
  <c r="I479" i="1"/>
  <c r="J478" i="1"/>
  <c r="I478" i="1"/>
  <c r="AW498" i="1"/>
  <c r="AW474" i="1"/>
  <c r="AW485" i="1" s="1"/>
  <c r="AS474" i="1"/>
  <c r="J373" i="1"/>
  <c r="I369" i="1"/>
  <c r="I357" i="1"/>
  <c r="I356" i="1"/>
  <c r="AU502" i="1"/>
  <c r="J346" i="1"/>
  <c r="I346" i="1"/>
  <c r="AQ502" i="1"/>
  <c r="AR501" i="1"/>
  <c r="AR347" i="1"/>
  <c r="I345" i="1"/>
  <c r="AS500" i="1"/>
  <c r="I344" i="1"/>
  <c r="AS347" i="1"/>
  <c r="J337" i="1"/>
  <c r="AT498" i="1"/>
  <c r="I337" i="1"/>
  <c r="J660" i="1"/>
  <c r="K571" i="1"/>
  <c r="J600" i="1"/>
  <c r="I600" i="1"/>
  <c r="I659" i="1"/>
  <c r="H384" i="1"/>
  <c r="H82" i="15" s="1"/>
  <c r="H83" i="15" s="1"/>
  <c r="AL6" i="1"/>
  <c r="AL383" i="1" s="1"/>
  <c r="AO6" i="1"/>
  <c r="AM502" i="1"/>
  <c r="H480" i="1"/>
  <c r="H502" i="1" s="1"/>
  <c r="H479" i="1"/>
  <c r="AM501" i="1"/>
  <c r="AM474" i="1"/>
  <c r="AM475" i="1" s="1"/>
  <c r="H477" i="1"/>
  <c r="AS442" i="1"/>
  <c r="AV450" i="1"/>
  <c r="AU442" i="1"/>
  <c r="I81" i="15"/>
  <c r="G81" i="15"/>
  <c r="J517" i="1"/>
  <c r="AT73" i="1"/>
  <c r="J364" i="1"/>
  <c r="AM498" i="1"/>
  <c r="AU229" i="1"/>
  <c r="AU237" i="1"/>
  <c r="AN119" i="1"/>
  <c r="AW500" i="1"/>
  <c r="AO154" i="1"/>
  <c r="J369" i="1"/>
  <c r="AS501" i="1"/>
  <c r="J344" i="1"/>
  <c r="AQ234" i="1"/>
  <c r="I224" i="1"/>
  <c r="AS302" i="1"/>
  <c r="AQ174" i="1"/>
  <c r="AQ247" i="1"/>
  <c r="AQ248" i="1" s="1"/>
  <c r="AQ290" i="1"/>
  <c r="AQ225" i="1"/>
  <c r="AF370" i="1"/>
  <c r="AQ255" i="1"/>
  <c r="AW163" i="1"/>
  <c r="AP190" i="1"/>
  <c r="AP197" i="1"/>
  <c r="AT147" i="1"/>
  <c r="BN683" i="1"/>
  <c r="AV17" i="1"/>
  <c r="AX347" i="1"/>
  <c r="AT122" i="1"/>
  <c r="AU100" i="1"/>
  <c r="G754" i="1"/>
  <c r="BM683" i="1"/>
  <c r="AR122" i="1"/>
  <c r="AL122" i="1"/>
  <c r="AH122" i="1"/>
  <c r="AP122" i="1"/>
  <c r="AO122" i="1"/>
  <c r="AK122" i="1"/>
  <c r="AN122" i="1"/>
  <c r="AJ122" i="1"/>
  <c r="AQ122" i="1"/>
  <c r="AS122" i="1"/>
  <c r="AM122" i="1"/>
  <c r="AI122" i="1"/>
  <c r="J489" i="1"/>
  <c r="AD504" i="1"/>
  <c r="AW12" i="1"/>
  <c r="AR93" i="1"/>
  <c r="H657" i="1"/>
  <c r="AQ154" i="1"/>
  <c r="J479" i="1"/>
  <c r="G751" i="1"/>
  <c r="I367" i="1"/>
  <c r="H478" i="1"/>
  <c r="H500" i="1" s="1"/>
  <c r="I491" i="1"/>
  <c r="H626" i="1"/>
  <c r="I618" i="1"/>
  <c r="AL212" i="1"/>
  <c r="AL216" i="1"/>
  <c r="AT155" i="1"/>
  <c r="AT221" i="1"/>
  <c r="AU193" i="1"/>
  <c r="AV93" i="1"/>
  <c r="AU85" i="1"/>
  <c r="AU97" i="1"/>
  <c r="AR89" i="1"/>
  <c r="AV83" i="1"/>
  <c r="I65" i="1"/>
  <c r="AZ18" i="1"/>
  <c r="AZ75" i="1" s="1"/>
  <c r="AV322" i="1"/>
  <c r="AV18" i="1"/>
  <c r="AV58" i="1" s="1"/>
  <c r="AW322" i="1"/>
  <c r="AS18" i="1"/>
  <c r="AS75" i="1" s="1"/>
  <c r="AM128" i="1"/>
  <c r="AN132" i="1"/>
  <c r="AM114" i="1"/>
  <c r="AI128" i="1"/>
  <c r="J142" i="1"/>
  <c r="J124" i="1"/>
  <c r="J60" i="17"/>
  <c r="J61" i="17" s="1"/>
  <c r="AV163" i="1"/>
  <c r="AV10" i="1"/>
  <c r="AV164" i="1"/>
  <c r="AR163" i="1"/>
  <c r="AQ166" i="1"/>
  <c r="AR210" i="1"/>
  <c r="AR164" i="1"/>
  <c r="AR166" i="1"/>
  <c r="AS229" i="1"/>
  <c r="AR229" i="1"/>
  <c r="AV247" i="1"/>
  <c r="AV233" i="1"/>
  <c r="J232" i="1"/>
  <c r="AR233" i="1"/>
  <c r="AR240" i="1" s="1"/>
  <c r="AR235" i="1"/>
  <c r="I232" i="1"/>
  <c r="I247" i="1" s="1"/>
  <c r="I248" i="1" s="1"/>
  <c r="AR239" i="1"/>
  <c r="BD254" i="1"/>
  <c r="BD13" i="1" s="1"/>
  <c r="J254" i="1"/>
  <c r="AV256" i="1"/>
  <c r="AR256" i="1"/>
  <c r="AS256" i="1"/>
  <c r="AV16" i="1"/>
  <c r="AV43" i="1" s="1"/>
  <c r="AU293" i="1"/>
  <c r="AV290" i="1"/>
  <c r="AR298" i="1"/>
  <c r="AS293" i="1"/>
  <c r="AW293" i="1"/>
  <c r="AR16" i="1"/>
  <c r="AR73" i="1" s="1"/>
  <c r="AR293" i="1"/>
  <c r="AS178" i="1"/>
  <c r="AP442" i="1"/>
  <c r="AP450" i="1"/>
  <c r="J360" i="1"/>
  <c r="I360" i="1"/>
  <c r="J358" i="1"/>
  <c r="J357" i="1"/>
  <c r="J356" i="1"/>
  <c r="AT68" i="1"/>
  <c r="J351" i="1"/>
  <c r="AP68" i="1"/>
  <c r="I351" i="1"/>
  <c r="AU347" i="1"/>
  <c r="AQ347" i="1"/>
  <c r="H564" i="1"/>
  <c r="H562" i="1" s="1"/>
  <c r="AW305" i="1"/>
  <c r="AV305" i="1"/>
  <c r="AR305" i="1"/>
  <c r="AS305" i="1"/>
  <c r="AR502" i="1"/>
  <c r="AV500" i="1"/>
  <c r="J477" i="1"/>
  <c r="AV474" i="1"/>
  <c r="AV485" i="1" s="1"/>
  <c r="AV498" i="1"/>
  <c r="AR498" i="1"/>
  <c r="I477" i="1"/>
  <c r="E823" i="1"/>
  <c r="F661" i="1"/>
  <c r="F662" i="1" s="1"/>
  <c r="F670" i="1" s="1"/>
  <c r="BK641" i="1"/>
  <c r="H641" i="1"/>
  <c r="H129" i="15" s="1"/>
  <c r="H130" i="15" s="1"/>
  <c r="J641" i="1"/>
  <c r="J129" i="15" s="1"/>
  <c r="J130" i="15" s="1"/>
  <c r="K596" i="1"/>
  <c r="K787" i="1" s="1"/>
  <c r="J659" i="1"/>
  <c r="J824" i="1"/>
  <c r="I824" i="1"/>
  <c r="H600" i="1"/>
  <c r="AT129" i="1"/>
  <c r="AQ133" i="1"/>
  <c r="AP221" i="1"/>
  <c r="AQ217" i="1"/>
  <c r="I383" i="1"/>
  <c r="AQ128" i="1"/>
  <c r="G823" i="1"/>
  <c r="F63" i="17"/>
  <c r="G64" i="17" s="1"/>
  <c r="BK106" i="1"/>
  <c r="AX256" i="1"/>
  <c r="AW188" i="1"/>
  <c r="AG224" i="1"/>
  <c r="AG226" i="1" s="1"/>
  <c r="AA149" i="1"/>
  <c r="G51" i="1"/>
  <c r="AD150" i="1"/>
  <c r="E661" i="1"/>
  <c r="BJ641" i="1"/>
  <c r="AN501" i="1"/>
  <c r="AU194" i="1"/>
  <c r="AU188" i="1"/>
  <c r="AY188" i="1"/>
  <c r="AT145" i="1"/>
  <c r="BB254" i="1"/>
  <c r="BB13" i="1" s="1"/>
  <c r="BL106" i="1"/>
  <c r="K623" i="1"/>
  <c r="L623" i="1" s="1"/>
  <c r="L819" i="1" s="1"/>
  <c r="G504" i="1"/>
  <c r="G21" i="15"/>
  <c r="AX194" i="1"/>
  <c r="AX188" i="1"/>
  <c r="AY194" i="1"/>
  <c r="AT194" i="1"/>
  <c r="AT188" i="1"/>
  <c r="R29" i="17"/>
  <c r="L25" i="17"/>
  <c r="M31" i="15"/>
  <c r="N30" i="15"/>
  <c r="AK6" i="1"/>
  <c r="AJ6" i="1"/>
  <c r="AJ383" i="1" s="1"/>
  <c r="M4" i="15"/>
  <c r="M6" i="1" s="1"/>
  <c r="R174" i="15"/>
  <c r="T174" i="15" s="1"/>
  <c r="R175" i="15"/>
  <c r="T175" i="15" s="1"/>
  <c r="AI6" i="1"/>
  <c r="AI517" i="1" s="1"/>
  <c r="L51" i="15"/>
  <c r="N51" i="15" s="1"/>
  <c r="O51" i="15" s="1"/>
  <c r="AQ517" i="1"/>
  <c r="G517" i="1"/>
  <c r="AH6" i="1"/>
  <c r="K6" i="1"/>
  <c r="N52" i="15"/>
  <c r="H517" i="1"/>
  <c r="AS6" i="1"/>
  <c r="I384" i="1"/>
  <c r="AN6" i="1"/>
  <c r="AP6" i="1"/>
  <c r="AP517" i="1" s="1"/>
  <c r="I517" i="1"/>
  <c r="AR6" i="1"/>
  <c r="AM6" i="1"/>
  <c r="N141" i="1"/>
  <c r="N143" i="1" s="1"/>
  <c r="M233" i="17"/>
  <c r="M67" i="17" s="1"/>
  <c r="M111" i="1" s="1"/>
  <c r="N234" i="17"/>
  <c r="N230" i="17"/>
  <c r="M229" i="17"/>
  <c r="M64" i="17" s="1"/>
  <c r="M107" i="1" s="1"/>
  <c r="AY55" i="1"/>
  <c r="AQ216" i="1"/>
  <c r="I751" i="1"/>
  <c r="AY450" i="1"/>
  <c r="BN169" i="1"/>
  <c r="AR114" i="1"/>
  <c r="BC284" i="1"/>
  <c r="AY285" i="1"/>
  <c r="AU11" i="1"/>
  <c r="AV38" i="1" s="1"/>
  <c r="AY225" i="1"/>
  <c r="AU13" i="1"/>
  <c r="AY255" i="1"/>
  <c r="BL683" i="1"/>
  <c r="J698" i="1"/>
  <c r="BB284" i="1"/>
  <c r="AS177" i="1"/>
  <c r="AQ17" i="1"/>
  <c r="AQ74" i="1" s="1"/>
  <c r="BK683" i="1"/>
  <c r="BC321" i="1"/>
  <c r="BC18" i="1" s="1"/>
  <c r="BC45" i="1" s="1"/>
  <c r="AY322" i="1"/>
  <c r="AX298" i="1"/>
  <c r="AY291" i="1"/>
  <c r="E731" i="1"/>
  <c r="E627" i="1"/>
  <c r="H347" i="1"/>
  <c r="BC226" i="1"/>
  <c r="AH182" i="1"/>
  <c r="AY38" i="1"/>
  <c r="AE225" i="1"/>
  <c r="H248" i="1"/>
  <c r="F767" i="1"/>
  <c r="F485" i="1"/>
  <c r="AE485" i="1" s="1"/>
  <c r="AE479" i="1" s="1"/>
  <c r="H210" i="1"/>
  <c r="AC226" i="1"/>
  <c r="AC225" i="1"/>
  <c r="F210" i="1"/>
  <c r="F220" i="17"/>
  <c r="AK201" i="1"/>
  <c r="AK202" i="1" s="1"/>
  <c r="AK209" i="1"/>
  <c r="H72" i="94"/>
  <c r="H92" i="94" s="1"/>
  <c r="AH181" i="1"/>
  <c r="M124" i="1"/>
  <c r="L125" i="1"/>
  <c r="J753" i="1"/>
  <c r="J754" i="1" s="1"/>
  <c r="AR37" i="1"/>
  <c r="AF182" i="1"/>
  <c r="AG484" i="1"/>
  <c r="AG478" i="1" s="1"/>
  <c r="F486" i="1"/>
  <c r="N624" i="1"/>
  <c r="N763" i="1" s="1"/>
  <c r="AF484" i="1"/>
  <c r="AF478" i="1" s="1"/>
  <c r="K763" i="1"/>
  <c r="AQ485" i="1"/>
  <c r="AQ483" i="1"/>
  <c r="AS73" i="1"/>
  <c r="AI485" i="1"/>
  <c r="AI483" i="1"/>
  <c r="E665" i="1"/>
  <c r="E663" i="1"/>
  <c r="AE500" i="1"/>
  <c r="G731" i="1"/>
  <c r="AF169" i="1"/>
  <c r="AI486" i="1"/>
  <c r="F483" i="1"/>
  <c r="AD370" i="1"/>
  <c r="AO483" i="1"/>
  <c r="I180" i="17"/>
  <c r="I48" i="17" s="1"/>
  <c r="I59" i="17"/>
  <c r="AT43" i="1"/>
  <c r="AT42" i="1"/>
  <c r="F754" i="1"/>
  <c r="F751" i="1"/>
  <c r="E666" i="1"/>
  <c r="H56" i="1"/>
  <c r="F273" i="1"/>
  <c r="F274" i="1" s="1"/>
  <c r="F269" i="1"/>
  <c r="AM169" i="1"/>
  <c r="AM187" i="1"/>
  <c r="AN209" i="1"/>
  <c r="AN216" i="1"/>
  <c r="AR212" i="1"/>
  <c r="G56" i="1"/>
  <c r="AG133" i="1"/>
  <c r="AB125" i="1"/>
  <c r="AF129" i="1"/>
  <c r="E60" i="17"/>
  <c r="E73" i="17" s="1"/>
  <c r="E115" i="17" s="1"/>
  <c r="F115" i="1"/>
  <c r="E115" i="1"/>
  <c r="AV315" i="1"/>
  <c r="AZ316" i="1" s="1"/>
  <c r="BD313" i="1"/>
  <c r="AW313" i="1"/>
  <c r="AJ483" i="1"/>
  <c r="AJ485" i="1"/>
  <c r="AJ484" i="1"/>
  <c r="F627" i="1"/>
  <c r="G668" i="1"/>
  <c r="H24" i="15"/>
  <c r="I684" i="1"/>
  <c r="H698" i="1"/>
  <c r="AD146" i="1"/>
  <c r="AJ486" i="1"/>
  <c r="I313" i="1"/>
  <c r="J314" i="1" s="1"/>
  <c r="F668" i="1"/>
  <c r="M450" i="1"/>
  <c r="E207" i="1"/>
  <c r="AT53" i="1"/>
  <c r="L771" i="1"/>
  <c r="C121" i="1"/>
  <c r="AD396" i="1"/>
  <c r="AD435" i="1"/>
  <c r="AG446" i="1"/>
  <c r="AG497" i="1"/>
  <c r="AJ338" i="1"/>
  <c r="AJ403" i="1" s="1"/>
  <c r="AJ395" i="1"/>
  <c r="AG112" i="1"/>
  <c r="AF111" i="1"/>
  <c r="AJ256" i="1"/>
  <c r="E81" i="17"/>
  <c r="E167" i="17"/>
  <c r="E123" i="17"/>
  <c r="AI292" i="1"/>
  <c r="AE291" i="1"/>
  <c r="AE290" i="1"/>
  <c r="AA292" i="1"/>
  <c r="H570" i="1"/>
  <c r="H571" i="1" s="1"/>
  <c r="H573" i="1" s="1"/>
  <c r="C479" i="1"/>
  <c r="C501" i="1" s="1"/>
  <c r="C524" i="1" s="1"/>
  <c r="C477" i="1"/>
  <c r="D479" i="1"/>
  <c r="C478" i="1"/>
  <c r="E486" i="1"/>
  <c r="D478" i="1"/>
  <c r="E767" i="1"/>
  <c r="E484" i="1"/>
  <c r="Z484" i="1" s="1"/>
  <c r="Z478" i="1" s="1"/>
  <c r="H652" i="1"/>
  <c r="H648" i="1"/>
  <c r="AE567" i="1"/>
  <c r="AE165" i="1"/>
  <c r="L10" i="15"/>
  <c r="O49" i="15"/>
  <c r="AW486" i="1"/>
  <c r="E138" i="1"/>
  <c r="E124" i="1"/>
  <c r="H675" i="1"/>
  <c r="AC350" i="1"/>
  <c r="AK166" i="1"/>
  <c r="AI291" i="1"/>
  <c r="AA291" i="1"/>
  <c r="AJ475" i="1"/>
  <c r="C60" i="17"/>
  <c r="C180" i="17" s="1"/>
  <c r="E121" i="1"/>
  <c r="C16" i="1"/>
  <c r="G665" i="1"/>
  <c r="M771" i="1"/>
  <c r="E177" i="1"/>
  <c r="AB250" i="1"/>
  <c r="AB232" i="1" s="1"/>
  <c r="AB233" i="1" s="1"/>
  <c r="E247" i="1"/>
  <c r="E213" i="17"/>
  <c r="AB133" i="1"/>
  <c r="AG394" i="1"/>
  <c r="AH133" i="1"/>
  <c r="L483" i="1"/>
  <c r="L487" i="1" s="1"/>
  <c r="AG485" i="1"/>
  <c r="AG479" i="1" s="1"/>
  <c r="D483" i="1"/>
  <c r="AA485" i="1"/>
  <c r="AA479" i="1" s="1"/>
  <c r="BC291" i="1"/>
  <c r="BB386" i="1"/>
  <c r="BC386" i="1" s="1"/>
  <c r="BD386" i="1" s="1"/>
  <c r="BE386" i="1" s="1"/>
  <c r="AG125" i="1"/>
  <c r="D290" i="1"/>
  <c r="AD169" i="1"/>
  <c r="C480" i="1"/>
  <c r="E483" i="1"/>
  <c r="H653" i="1"/>
  <c r="H290" i="1"/>
  <c r="H298" i="1"/>
  <c r="AN165" i="1"/>
  <c r="G609" i="1"/>
  <c r="H754" i="1"/>
  <c r="D227" i="1"/>
  <c r="D11" i="1"/>
  <c r="C350" i="1"/>
  <c r="AK511" i="1"/>
  <c r="AI497" i="1"/>
  <c r="AI475" i="1"/>
  <c r="AK435" i="1"/>
  <c r="AK394" i="1"/>
  <c r="AG111" i="1"/>
  <c r="AG290" i="1"/>
  <c r="AG292" i="1"/>
  <c r="E290" i="1"/>
  <c r="AE247" i="1"/>
  <c r="AE232" i="1" s="1"/>
  <c r="AA249" i="1"/>
  <c r="AI210" i="1"/>
  <c r="AI217" i="1"/>
  <c r="AD206" i="1"/>
  <c r="E110" i="1"/>
  <c r="AC132" i="1"/>
  <c r="AZ17" i="1"/>
  <c r="AZ74" i="1" s="1"/>
  <c r="BD310" i="1"/>
  <c r="BD17" i="1" s="1"/>
  <c r="O52" i="15"/>
  <c r="M789" i="1"/>
  <c r="L789" i="1"/>
  <c r="AD232" i="1"/>
  <c r="AD236" i="1" s="1"/>
  <c r="AK483" i="1"/>
  <c r="X116" i="1"/>
  <c r="E225" i="1"/>
  <c r="K789" i="1"/>
  <c r="AP75" i="1"/>
  <c r="AL292" i="1"/>
  <c r="AH291" i="1"/>
  <c r="AL290" i="1"/>
  <c r="AG128" i="1"/>
  <c r="H664" i="1"/>
  <c r="G81" i="17"/>
  <c r="G90" i="17" s="1"/>
  <c r="AD165" i="1"/>
  <c r="M595" i="1"/>
  <c r="L788" i="1"/>
  <c r="AJ291" i="1"/>
  <c r="AG291" i="1"/>
  <c r="AB291" i="1"/>
  <c r="AN249" i="1"/>
  <c r="G174" i="17"/>
  <c r="AM226" i="1"/>
  <c r="AK224" i="1"/>
  <c r="AO225" i="1" s="1"/>
  <c r="AH225" i="1"/>
  <c r="H10" i="1"/>
  <c r="H50" i="1" s="1"/>
  <c r="H182" i="1"/>
  <c r="H169" i="1"/>
  <c r="I330" i="1"/>
  <c r="AA396" i="1"/>
  <c r="AA338" i="1"/>
  <c r="AA350" i="1" s="1"/>
  <c r="AA429" i="1" s="1"/>
  <c r="AA475" i="1"/>
  <c r="G661" i="1"/>
  <c r="G662" i="1" s="1"/>
  <c r="G670" i="1" s="1"/>
  <c r="E675" i="1"/>
  <c r="C260" i="1"/>
  <c r="C269" i="1" s="1"/>
  <c r="AJ225" i="1"/>
  <c r="L91" i="94"/>
  <c r="L110" i="94"/>
  <c r="P110" i="94"/>
  <c r="G183" i="17"/>
  <c r="G228" i="17"/>
  <c r="H229" i="17" s="1"/>
  <c r="H730" i="1"/>
  <c r="F578" i="1"/>
  <c r="F579" i="1" s="1"/>
  <c r="AW55" i="1"/>
  <c r="AD111" i="1"/>
  <c r="AD226" i="1"/>
  <c r="G171" i="17"/>
  <c r="G85" i="17"/>
  <c r="E754" i="1"/>
  <c r="AL248" i="1"/>
  <c r="F663" i="1"/>
  <c r="H254" i="1"/>
  <c r="BI254" i="1" s="1"/>
  <c r="AL225" i="1"/>
  <c r="AM225" i="1"/>
  <c r="AS255" i="1"/>
  <c r="AK293" i="1"/>
  <c r="AJ226" i="1"/>
  <c r="AF163" i="1"/>
  <c r="AP255" i="1"/>
  <c r="AB164" i="1"/>
  <c r="F675" i="1"/>
  <c r="E698" i="1"/>
  <c r="F684" i="1"/>
  <c r="BB65" i="1"/>
  <c r="BB100" i="1" s="1"/>
  <c r="AU56" i="1"/>
  <c r="AU73" i="1"/>
  <c r="AS124" i="1"/>
  <c r="C13" i="1"/>
  <c r="C257" i="1"/>
  <c r="AV51" i="1"/>
  <c r="F174" i="17"/>
  <c r="G214" i="1"/>
  <c r="F88" i="17"/>
  <c r="G213" i="1"/>
  <c r="F130" i="17"/>
  <c r="G131" i="17" s="1"/>
  <c r="AO163" i="1"/>
  <c r="AL164" i="1"/>
  <c r="AH166" i="1"/>
  <c r="AK174" i="1"/>
  <c r="AK164" i="1"/>
  <c r="AK163" i="1"/>
  <c r="AK165" i="1"/>
  <c r="AJ166" i="1"/>
  <c r="AI166" i="1"/>
  <c r="F257" i="1"/>
  <c r="F235" i="1"/>
  <c r="F562" i="1"/>
  <c r="F258" i="1" s="1"/>
  <c r="F263" i="1"/>
  <c r="G261" i="1"/>
  <c r="AH235" i="1"/>
  <c r="AL255" i="1"/>
  <c r="AM235" i="1"/>
  <c r="AN256" i="1"/>
  <c r="AM256" i="1"/>
  <c r="AN212" i="1"/>
  <c r="AO216" i="1"/>
  <c r="H200" i="1"/>
  <c r="H202" i="1" s="1"/>
  <c r="AP226" i="1"/>
  <c r="AS225" i="1"/>
  <c r="H139" i="17"/>
  <c r="H110" i="1"/>
  <c r="H183" i="17"/>
  <c r="H50" i="17" s="1"/>
  <c r="H107" i="1"/>
  <c r="H98" i="17"/>
  <c r="H37" i="17" s="1"/>
  <c r="H63" i="17"/>
  <c r="AI182" i="1"/>
  <c r="AI169" i="1"/>
  <c r="G53" i="1"/>
  <c r="AR75" i="1"/>
  <c r="K329" i="1"/>
  <c r="L329" i="1" s="1"/>
  <c r="M329" i="1" s="1"/>
  <c r="N329" i="1" s="1"/>
  <c r="O329" i="1" s="1"/>
  <c r="P329" i="1" s="1"/>
  <c r="Q329" i="1" s="1"/>
  <c r="R329" i="1" s="1"/>
  <c r="J330" i="1"/>
  <c r="AW75" i="1"/>
  <c r="F98" i="17"/>
  <c r="F101" i="17" s="1"/>
  <c r="F139" i="17"/>
  <c r="G140" i="17" s="1"/>
  <c r="F183" i="17"/>
  <c r="F110" i="1"/>
  <c r="F107" i="1"/>
  <c r="F228" i="17"/>
  <c r="G107" i="1"/>
  <c r="AF133" i="1"/>
  <c r="AE129" i="1"/>
  <c r="AE133" i="1"/>
  <c r="AE170" i="1"/>
  <c r="AE125" i="1"/>
  <c r="F181" i="1"/>
  <c r="F177" i="1"/>
  <c r="F186" i="1"/>
  <c r="AT58" i="1"/>
  <c r="AP181" i="1"/>
  <c r="D81" i="17"/>
  <c r="D213" i="17"/>
  <c r="D123" i="17"/>
  <c r="D124" i="17" s="1"/>
  <c r="E58" i="17"/>
  <c r="D167" i="17"/>
  <c r="D58" i="17"/>
  <c r="C227" i="1"/>
  <c r="D225" i="1"/>
  <c r="C11" i="1"/>
  <c r="AE146" i="1"/>
  <c r="AB150" i="1"/>
  <c r="V120" i="1"/>
  <c r="V162" i="1"/>
  <c r="W164" i="1" s="1"/>
  <c r="Y114" i="1"/>
  <c r="Z116" i="1" s="1"/>
  <c r="H142" i="1"/>
  <c r="AE150" i="1"/>
  <c r="AF150" i="1"/>
  <c r="AH248" i="1"/>
  <c r="AI249" i="1"/>
  <c r="E233" i="1"/>
  <c r="D247" i="1"/>
  <c r="D254" i="1"/>
  <c r="D233" i="1"/>
  <c r="AE226" i="1"/>
  <c r="AI225" i="1"/>
  <c r="F121" i="1"/>
  <c r="F122" i="1" s="1"/>
  <c r="G52" i="1"/>
  <c r="F261" i="1"/>
  <c r="AA112" i="1"/>
  <c r="AU247" i="1"/>
  <c r="Z236" i="1"/>
  <c r="G276" i="1"/>
  <c r="AA150" i="1"/>
  <c r="AO233" i="1"/>
  <c r="AO240" i="1" s="1"/>
  <c r="AJ237" i="1"/>
  <c r="AD394" i="1"/>
  <c r="AD446" i="1"/>
  <c r="AP291" i="1"/>
  <c r="AR290" i="1"/>
  <c r="G220" i="17"/>
  <c r="AM290" i="1"/>
  <c r="AC121" i="1"/>
  <c r="AC122" i="1" s="1"/>
  <c r="M72" i="94"/>
  <c r="L763" i="1"/>
  <c r="X121" i="1"/>
  <c r="X122" i="1" s="1"/>
  <c r="W120" i="1"/>
  <c r="AK234" i="1"/>
  <c r="AK236" i="1"/>
  <c r="AD475" i="1"/>
  <c r="AO291" i="1"/>
  <c r="AN291" i="1"/>
  <c r="AC124" i="1"/>
  <c r="AQ186" i="1"/>
  <c r="AH237" i="1"/>
  <c r="AI237" i="1"/>
  <c r="AB207" i="1"/>
  <c r="AD497" i="1"/>
  <c r="AO212" i="1"/>
  <c r="AB112" i="1"/>
  <c r="AD145" i="1"/>
  <c r="AG370" i="1"/>
  <c r="H469" i="1"/>
  <c r="F469" i="1"/>
  <c r="Z567" i="1"/>
  <c r="AL338" i="1"/>
  <c r="AB475" i="1"/>
  <c r="AB434" i="1"/>
  <c r="AB396" i="1"/>
  <c r="AB338" i="1"/>
  <c r="AM567" i="1"/>
  <c r="AM165" i="1"/>
  <c r="AI567" i="1"/>
  <c r="AB438" i="1"/>
  <c r="AO499" i="1"/>
  <c r="AO522" i="1" s="1"/>
  <c r="AK338" i="1"/>
  <c r="AK395" i="1"/>
  <c r="AK438" i="1"/>
  <c r="AE497" i="1"/>
  <c r="AE435" i="1"/>
  <c r="AE396" i="1"/>
  <c r="AE338" i="1"/>
  <c r="AO438" i="1"/>
  <c r="AN497" i="1"/>
  <c r="AL567" i="1"/>
  <c r="AL165" i="1"/>
  <c r="AE438" i="1"/>
  <c r="AB165" i="1"/>
  <c r="AD338" i="1"/>
  <c r="AD403" i="1" s="1"/>
  <c r="AD438" i="1"/>
  <c r="Z434" i="1"/>
  <c r="Z497" i="1"/>
  <c r="Z395" i="1"/>
  <c r="Z475" i="1"/>
  <c r="AK475" i="1"/>
  <c r="AD395" i="1"/>
  <c r="Z394" i="1"/>
  <c r="AE475" i="1"/>
  <c r="AK497" i="1"/>
  <c r="AK529" i="1" s="1"/>
  <c r="AO446" i="1"/>
  <c r="AG165" i="1"/>
  <c r="AH165" i="1"/>
  <c r="AA394" i="1"/>
  <c r="AA434" i="1"/>
  <c r="AN395" i="1"/>
  <c r="AF567" i="1"/>
  <c r="AF165" i="1"/>
  <c r="AC485" i="1"/>
  <c r="AC479" i="1" s="1"/>
  <c r="Z485" i="1"/>
  <c r="Z479" i="1" s="1"/>
  <c r="W563" i="1"/>
  <c r="W562" i="1" s="1"/>
  <c r="AA165" i="1"/>
  <c r="AE163" i="1"/>
  <c r="AA207" i="1"/>
  <c r="AA163" i="1"/>
  <c r="AL395" i="1"/>
  <c r="AL396" i="1"/>
  <c r="AL497" i="1"/>
  <c r="AL520" i="1" s="1"/>
  <c r="AL394" i="1"/>
  <c r="AL438" i="1"/>
  <c r="AI338" i="1"/>
  <c r="AI403" i="1" s="1"/>
  <c r="AI446" i="1"/>
  <c r="AI394" i="1"/>
  <c r="AI396" i="1"/>
  <c r="AI395" i="1"/>
  <c r="AF112" i="1"/>
  <c r="AE112" i="1"/>
  <c r="AG150" i="1"/>
  <c r="AG146" i="1"/>
  <c r="F138" i="1"/>
  <c r="AI235" i="1"/>
  <c r="AM255" i="1"/>
  <c r="AI256" i="1"/>
  <c r="AK254" i="1"/>
  <c r="F167" i="17"/>
  <c r="F58" i="17"/>
  <c r="F213" i="17"/>
  <c r="F218" i="17" s="1"/>
  <c r="F81" i="17"/>
  <c r="G58" i="17"/>
  <c r="F123" i="17"/>
  <c r="G124" i="17" s="1"/>
  <c r="AJ292" i="1"/>
  <c r="AJ290" i="1"/>
  <c r="AJ293" i="1"/>
  <c r="AI293" i="1"/>
  <c r="AN290" i="1"/>
  <c r="AK291" i="1"/>
  <c r="AH293" i="1"/>
  <c r="AF291" i="1"/>
  <c r="AF292" i="1"/>
  <c r="AF290" i="1"/>
  <c r="AB292" i="1"/>
  <c r="AC291" i="1"/>
  <c r="AM182" i="1"/>
  <c r="M71" i="94"/>
  <c r="AQ187" i="1"/>
  <c r="AM178" i="1"/>
  <c r="AM193" i="1"/>
  <c r="AR225" i="1"/>
  <c r="AL229" i="1"/>
  <c r="AM229" i="1"/>
  <c r="H224" i="1"/>
  <c r="AN225" i="1"/>
  <c r="AN226" i="1"/>
  <c r="AN229" i="1"/>
  <c r="AO229" i="1"/>
  <c r="I702" i="1"/>
  <c r="J702" i="1" s="1"/>
  <c r="H703" i="1"/>
  <c r="I703" i="1" s="1"/>
  <c r="F666" i="1"/>
  <c r="F665" i="1"/>
  <c r="BB387" i="1"/>
  <c r="BC387" i="1" s="1"/>
  <c r="BD387" i="1" s="1"/>
  <c r="BE387" i="1" s="1"/>
  <c r="M387" i="1"/>
  <c r="BC565" i="1"/>
  <c r="BC16" i="1"/>
  <c r="BC63" i="1" s="1"/>
  <c r="BC98" i="1" s="1"/>
  <c r="W116" i="1"/>
  <c r="AM394" i="1"/>
  <c r="AM446" i="1"/>
  <c r="H239" i="1"/>
  <c r="BI232" i="1"/>
  <c r="G181" i="1"/>
  <c r="G186" i="1"/>
  <c r="AY313" i="1"/>
  <c r="H20" i="15"/>
  <c r="H651" i="1"/>
  <c r="G129" i="15"/>
  <c r="G130" i="15" s="1"/>
  <c r="G483" i="1"/>
  <c r="G767" i="1"/>
  <c r="G486" i="1"/>
  <c r="AE370" i="1"/>
  <c r="E609" i="1"/>
  <c r="F128" i="1"/>
  <c r="F124" i="1"/>
  <c r="E269" i="1"/>
  <c r="E263" i="1"/>
  <c r="AN293" i="1"/>
  <c r="AL291" i="1"/>
  <c r="AA133" i="1"/>
  <c r="G627" i="1"/>
  <c r="J751" i="1"/>
  <c r="K750" i="1"/>
  <c r="L750" i="1" s="1"/>
  <c r="AG338" i="1"/>
  <c r="AG403" i="1" s="1"/>
  <c r="AK446" i="1"/>
  <c r="AG475" i="1"/>
  <c r="AG395" i="1"/>
  <c r="AG396" i="1"/>
  <c r="AG435" i="1"/>
  <c r="AJ394" i="1"/>
  <c r="AN446" i="1"/>
  <c r="AJ438" i="1"/>
  <c r="AJ396" i="1"/>
  <c r="AJ497" i="1"/>
  <c r="AJ520" i="1" s="1"/>
  <c r="AF206" i="1"/>
  <c r="AF217" i="1"/>
  <c r="E227" i="1"/>
  <c r="E562" i="1"/>
  <c r="AJ213" i="1"/>
  <c r="AJ210" i="1"/>
  <c r="AJ217" i="1"/>
  <c r="AH129" i="1"/>
  <c r="F731" i="1"/>
  <c r="E579" i="1"/>
  <c r="P248" i="17"/>
  <c r="P74" i="17"/>
  <c r="P205" i="1" s="1"/>
  <c r="P118" i="17"/>
  <c r="Q116" i="17"/>
  <c r="P386" i="1"/>
  <c r="O388" i="1"/>
  <c r="N388" i="1"/>
  <c r="BC442" i="1"/>
  <c r="BD442" i="1"/>
  <c r="BD450" i="1"/>
  <c r="K15" i="1"/>
  <c r="O162" i="17"/>
  <c r="O206" i="17"/>
  <c r="O119" i="17"/>
  <c r="O251" i="17"/>
  <c r="O118" i="17"/>
  <c r="O38" i="17"/>
  <c r="O52" i="17"/>
  <c r="N45" i="17"/>
  <c r="O184" i="17"/>
  <c r="O140" i="17"/>
  <c r="P99" i="17"/>
  <c r="AY187" i="1"/>
  <c r="AY73" i="1"/>
  <c r="AY56" i="1"/>
  <c r="BC11" i="1"/>
  <c r="AT107" i="1"/>
  <c r="AP209" i="1"/>
  <c r="AQ209" i="1"/>
  <c r="AN114" i="1"/>
  <c r="AW290" i="1"/>
  <c r="AW255" i="1"/>
  <c r="AR132" i="1"/>
  <c r="AP17" i="1"/>
  <c r="AU43" i="1"/>
  <c r="AW187" i="1"/>
  <c r="AW16" i="1"/>
  <c r="AX43" i="1" s="1"/>
  <c r="AS193" i="1"/>
  <c r="AR178" i="1"/>
  <c r="AS93" i="1"/>
  <c r="AS85" i="1"/>
  <c r="AT93" i="1"/>
  <c r="AW101" i="1"/>
  <c r="I66" i="1"/>
  <c r="E111" i="94"/>
  <c r="E92" i="94"/>
  <c r="AX67" i="1"/>
  <c r="AX102" i="1" s="1"/>
  <c r="AX93" i="1"/>
  <c r="AX101" i="1"/>
  <c r="Q30" i="94"/>
  <c r="AQ205" i="1" s="1"/>
  <c r="AQ137" i="1"/>
  <c r="AQ139" i="1" s="1"/>
  <c r="AQ151" i="1" s="1"/>
  <c r="Q45" i="94"/>
  <c r="Q52" i="94"/>
  <c r="AR146" i="1"/>
  <c r="AS150" i="1"/>
  <c r="L45" i="94"/>
  <c r="P52" i="94"/>
  <c r="L52" i="94"/>
  <c r="L30" i="94"/>
  <c r="AI114" i="1"/>
  <c r="AI125" i="1" s="1"/>
  <c r="AI133" i="1"/>
  <c r="AM129" i="1"/>
  <c r="AI178" i="1"/>
  <c r="AI129" i="1"/>
  <c r="C38" i="94"/>
  <c r="AQ150" i="1"/>
  <c r="AT146" i="1"/>
  <c r="AP150" i="1"/>
  <c r="AP146" i="1"/>
  <c r="AT74" i="1"/>
  <c r="AX201" i="1"/>
  <c r="X90" i="94"/>
  <c r="X109" i="94"/>
  <c r="D107" i="94"/>
  <c r="W107" i="94"/>
  <c r="AT565" i="1"/>
  <c r="T234" i="94"/>
  <c r="AT311" i="1"/>
  <c r="I626" i="1"/>
  <c r="X12" i="94"/>
  <c r="X84" i="94"/>
  <c r="X79" i="94"/>
  <c r="X104" i="94"/>
  <c r="AX564" i="1"/>
  <c r="Q83" i="94"/>
  <c r="X107" i="94"/>
  <c r="X68" i="94"/>
  <c r="X103" i="94"/>
  <c r="D31" i="94"/>
  <c r="E109" i="94"/>
  <c r="W108" i="94"/>
  <c r="AQ155" i="1"/>
  <c r="T69" i="94"/>
  <c r="AT563" i="1"/>
  <c r="T101" i="94"/>
  <c r="T96" i="94"/>
  <c r="AX566" i="1"/>
  <c r="D30" i="94"/>
  <c r="S88" i="94"/>
  <c r="T92" i="94"/>
  <c r="T90" i="94"/>
  <c r="T98" i="94"/>
  <c r="AU201" i="1"/>
  <c r="AV159" i="1" s="1"/>
  <c r="AV160" i="1" s="1"/>
  <c r="V110" i="94"/>
  <c r="AV170" i="1"/>
  <c r="BD321" i="1"/>
  <c r="T100" i="94"/>
  <c r="U63" i="94"/>
  <c r="V90" i="94"/>
  <c r="V59" i="94"/>
  <c r="V97" i="94"/>
  <c r="AU500" i="1"/>
  <c r="AR68" i="1"/>
  <c r="AT501" i="1"/>
  <c r="I641" i="1"/>
  <c r="T63" i="94"/>
  <c r="AU235" i="1"/>
  <c r="U97" i="94"/>
  <c r="U101" i="94"/>
  <c r="V92" i="94"/>
  <c r="V88" i="94"/>
  <c r="I352" i="1"/>
  <c r="G220" i="1"/>
  <c r="AU200" i="1"/>
  <c r="U89" i="94"/>
  <c r="U100" i="94"/>
  <c r="AP85" i="1"/>
  <c r="AT90" i="1"/>
  <c r="V69" i="94"/>
  <c r="I362" i="1"/>
  <c r="I364" i="1"/>
  <c r="H324" i="1"/>
  <c r="I326" i="1"/>
  <c r="J326" i="1" s="1"/>
  <c r="J566" i="1"/>
  <c r="I565" i="1"/>
  <c r="I289" i="1"/>
  <c r="AT293" i="1"/>
  <c r="H660" i="1"/>
  <c r="O485" i="1"/>
  <c r="P485" i="1" s="1"/>
  <c r="Q485" i="1" s="1"/>
  <c r="R485" i="1" s="1"/>
  <c r="N483" i="1"/>
  <c r="N487" i="1" s="1"/>
  <c r="G19" i="1"/>
  <c r="G23" i="1" s="1"/>
  <c r="AF475" i="1"/>
  <c r="AF396" i="1"/>
  <c r="AF394" i="1"/>
  <c r="AF438" i="1"/>
  <c r="AJ446" i="1"/>
  <c r="AF435" i="1"/>
  <c r="AF497" i="1"/>
  <c r="AF338" i="1"/>
  <c r="AF403" i="1" s="1"/>
  <c r="AF395" i="1"/>
  <c r="AG438" i="1"/>
  <c r="AF446" i="1"/>
  <c r="AH394" i="1"/>
  <c r="AL446" i="1"/>
  <c r="AH338" i="1"/>
  <c r="AH403" i="1" s="1"/>
  <c r="AH438" i="1"/>
  <c r="AI438" i="1"/>
  <c r="AH497" i="1"/>
  <c r="AH520" i="1" s="1"/>
  <c r="AH396" i="1"/>
  <c r="AH475" i="1"/>
  <c r="AH446" i="1"/>
  <c r="AH395" i="1"/>
  <c r="AM497" i="1"/>
  <c r="AM520" i="1" s="1"/>
  <c r="AM438" i="1"/>
  <c r="AM396" i="1"/>
  <c r="AM395" i="1"/>
  <c r="AM338" i="1"/>
  <c r="AM403" i="1" s="1"/>
  <c r="AN438" i="1"/>
  <c r="AB395" i="1"/>
  <c r="AJ567" i="1"/>
  <c r="AN396" i="1"/>
  <c r="AN394" i="1"/>
  <c r="AB394" i="1"/>
  <c r="AC438" i="1"/>
  <c r="AB497" i="1"/>
  <c r="AN338" i="1"/>
  <c r="AN403" i="1" s="1"/>
  <c r="Y232" i="1"/>
  <c r="V254" i="1"/>
  <c r="AG205" i="1"/>
  <c r="F137" i="1"/>
  <c r="AG145" i="1"/>
  <c r="AG149" i="1"/>
  <c r="AY98" i="1"/>
  <c r="AY90" i="1"/>
  <c r="AJ249" i="1"/>
  <c r="AK247" i="1"/>
  <c r="AJ248" i="1"/>
  <c r="W234" i="1"/>
  <c r="AA233" i="1"/>
  <c r="W254" i="1"/>
  <c r="X254" i="1"/>
  <c r="X235" i="1" s="1"/>
  <c r="X234" i="1"/>
  <c r="AS187" i="1"/>
  <c r="AO178" i="1"/>
  <c r="AO169" i="1"/>
  <c r="AP193" i="1"/>
  <c r="AF254" i="1"/>
  <c r="AO249" i="1"/>
  <c r="AR187" i="1"/>
  <c r="AN248" i="1"/>
  <c r="M265" i="1"/>
  <c r="N265" i="1" s="1"/>
  <c r="O265" i="1" s="1"/>
  <c r="P265" i="1" s="1"/>
  <c r="Q265" i="1" s="1"/>
  <c r="R265" i="1" s="1"/>
  <c r="L172" i="1"/>
  <c r="AO226" i="1"/>
  <c r="M483" i="1"/>
  <c r="M487" i="1" s="1"/>
  <c r="K106" i="1"/>
  <c r="AY100" i="1"/>
  <c r="AY43" i="1"/>
  <c r="AI290" i="1"/>
  <c r="AE292" i="1"/>
  <c r="AM248" i="1"/>
  <c r="G217" i="17"/>
  <c r="AT247" i="1"/>
  <c r="AX247" i="1"/>
  <c r="N178" i="17"/>
  <c r="N92" i="17"/>
  <c r="N134" i="17"/>
  <c r="O279" i="1"/>
  <c r="O14" i="1" s="1"/>
  <c r="O54" i="1" s="1"/>
  <c r="L76" i="17"/>
  <c r="M70" i="17"/>
  <c r="K70" i="17"/>
  <c r="Q163" i="17"/>
  <c r="P162" i="17"/>
  <c r="M45" i="17"/>
  <c r="H225" i="17"/>
  <c r="C167" i="17"/>
  <c r="K29" i="17"/>
  <c r="N29" i="17"/>
  <c r="I61" i="17"/>
  <c r="H180" i="17"/>
  <c r="C213" i="17"/>
  <c r="K25" i="17"/>
  <c r="L26" i="17"/>
  <c r="H94" i="17"/>
  <c r="H34" i="17" s="1"/>
  <c r="H136" i="17"/>
  <c r="K26" i="17"/>
  <c r="J29" i="17"/>
  <c r="N25" i="17"/>
  <c r="L29" i="17"/>
  <c r="M25" i="17"/>
  <c r="O26" i="17"/>
  <c r="N26" i="17"/>
  <c r="O25" i="17"/>
  <c r="M26" i="17"/>
  <c r="O29" i="17"/>
  <c r="H29" i="17"/>
  <c r="I34" i="17"/>
  <c r="K76" i="17"/>
  <c r="M76" i="17"/>
  <c r="M141" i="1"/>
  <c r="M143" i="1" s="1"/>
  <c r="K141" i="1"/>
  <c r="K143" i="1" s="1"/>
  <c r="N76" i="17"/>
  <c r="O205" i="1"/>
  <c r="M205" i="1"/>
  <c r="O70" i="17"/>
  <c r="O188" i="17"/>
  <c r="O144" i="17"/>
  <c r="O141" i="1"/>
  <c r="O143" i="1" s="1"/>
  <c r="BD508" i="1"/>
  <c r="BE508" i="1" s="1"/>
  <c r="P484" i="1"/>
  <c r="AG501" i="1"/>
  <c r="AB501" i="1"/>
  <c r="BB565" i="1"/>
  <c r="BB16" i="1"/>
  <c r="AX56" i="1"/>
  <c r="AX73" i="1"/>
  <c r="AX17" i="1"/>
  <c r="BB310" i="1"/>
  <c r="BA365" i="1"/>
  <c r="AW192" i="1"/>
  <c r="AV186" i="1"/>
  <c r="AV192" i="1"/>
  <c r="AR192" i="1"/>
  <c r="AU42" i="1"/>
  <c r="AT75" i="1"/>
  <c r="G127" i="17"/>
  <c r="AK129" i="1"/>
  <c r="AK114" i="1"/>
  <c r="AK133" i="1"/>
  <c r="AL133" i="1"/>
  <c r="AO129" i="1"/>
  <c r="AS146" i="1"/>
  <c r="AT150" i="1"/>
  <c r="I138" i="1"/>
  <c r="AR221" i="1"/>
  <c r="AV155" i="1"/>
  <c r="AR154" i="1"/>
  <c r="AT132" i="1"/>
  <c r="AT128" i="1"/>
  <c r="AT114" i="1"/>
  <c r="AT322" i="1"/>
  <c r="AX322" i="1"/>
  <c r="J321" i="1"/>
  <c r="AU17" i="1"/>
  <c r="AU311" i="1"/>
  <c r="AU315" i="1"/>
  <c r="AQ286" i="1"/>
  <c r="AQ15" i="1"/>
  <c r="AU154" i="1"/>
  <c r="AU107" i="1"/>
  <c r="AV347" i="1"/>
  <c r="AV501" i="1"/>
  <c r="AU485" i="1"/>
  <c r="AU483" i="1"/>
  <c r="AU486" i="1"/>
  <c r="G698" i="1"/>
  <c r="G24" i="15"/>
  <c r="G675" i="1"/>
  <c r="G684" i="1"/>
  <c r="H684" i="1"/>
  <c r="AP129" i="1"/>
  <c r="AP133" i="1"/>
  <c r="AP178" i="1"/>
  <c r="AQ193" i="1"/>
  <c r="AT187" i="1"/>
  <c r="AP108" i="1"/>
  <c r="AP107" i="1"/>
  <c r="AQ132" i="1"/>
  <c r="AR193" i="1"/>
  <c r="AV107" i="1"/>
  <c r="AR107" i="1"/>
  <c r="AP347" i="1"/>
  <c r="AP500" i="1"/>
  <c r="AQ498" i="1"/>
  <c r="AL474" i="1"/>
  <c r="J384" i="1"/>
  <c r="J81" i="15"/>
  <c r="H383" i="1"/>
  <c r="AJ133" i="1"/>
  <c r="AN129" i="1"/>
  <c r="AJ114" i="1"/>
  <c r="AS209" i="1"/>
  <c r="I200" i="1"/>
  <c r="AS216" i="1"/>
  <c r="AS164" i="1"/>
  <c r="AS166" i="1"/>
  <c r="AS174" i="1"/>
  <c r="AS183" i="1" s="1"/>
  <c r="AS11" i="1"/>
  <c r="AP229" i="1"/>
  <c r="AW247" i="1"/>
  <c r="AW233" i="1"/>
  <c r="AW234" i="1"/>
  <c r="AS12" i="1"/>
  <c r="AS235" i="1"/>
  <c r="AS239" i="1"/>
  <c r="AS233" i="1"/>
  <c r="AS240" i="1" s="1"/>
  <c r="AS247" i="1"/>
  <c r="AP237" i="1"/>
  <c r="AX255" i="1"/>
  <c r="AT255" i="1"/>
  <c r="AT256" i="1"/>
  <c r="AU256" i="1"/>
  <c r="AN500" i="1"/>
  <c r="AN498" i="1"/>
  <c r="AN521" i="1" s="1"/>
  <c r="AN474" i="1"/>
  <c r="AV213" i="1"/>
  <c r="AV210" i="1"/>
  <c r="AW311" i="1"/>
  <c r="AW17" i="1"/>
  <c r="AL128" i="1"/>
  <c r="H120" i="1"/>
  <c r="AM132" i="1"/>
  <c r="AH114" i="1"/>
  <c r="G120" i="1"/>
  <c r="AH128" i="1"/>
  <c r="AI132" i="1"/>
  <c r="I115" i="1"/>
  <c r="J115" i="1"/>
  <c r="AT474" i="1"/>
  <c r="AP474" i="1"/>
  <c r="AQ450" i="1"/>
  <c r="AQ442" i="1"/>
  <c r="AQ68" i="1"/>
  <c r="J626" i="1"/>
  <c r="J618" i="1"/>
  <c r="H650" i="1"/>
  <c r="H618" i="1"/>
  <c r="F383" i="1"/>
  <c r="F384" i="1"/>
  <c r="AX311" i="1"/>
  <c r="AT500" i="1"/>
  <c r="AR150" i="1"/>
  <c r="K770" i="1"/>
  <c r="L715" i="1"/>
  <c r="BB239" i="1"/>
  <c r="AU18" i="1"/>
  <c r="AW53" i="1"/>
  <c r="I631" i="1"/>
  <c r="AT40" i="1"/>
  <c r="AQ315" i="1"/>
  <c r="AS40" i="1"/>
  <c r="AL178" i="1"/>
  <c r="AV154" i="1"/>
  <c r="H674" i="1"/>
  <c r="AQ12" i="1"/>
  <c r="AQ239" i="1"/>
  <c r="AQ235" i="1"/>
  <c r="AQ233" i="1"/>
  <c r="AQ240" i="1" s="1"/>
  <c r="AV68" i="1"/>
  <c r="AL502" i="1"/>
  <c r="BA368" i="1"/>
  <c r="G88" i="15"/>
  <c r="G89" i="15" s="1"/>
  <c r="AN154" i="1"/>
  <c r="AR315" i="1"/>
  <c r="AV311" i="1"/>
  <c r="AR17" i="1"/>
  <c r="J220" i="1"/>
  <c r="AP239" i="1"/>
  <c r="AP235" i="1"/>
  <c r="AX154" i="1"/>
  <c r="AX474" i="1"/>
  <c r="AS10" i="1"/>
  <c r="AW11" i="1"/>
  <c r="AW225" i="1"/>
  <c r="AR474" i="1"/>
  <c r="H824" i="1"/>
  <c r="J631" i="1"/>
  <c r="J88" i="15"/>
  <c r="AT305" i="1"/>
  <c r="H879" i="1"/>
  <c r="G101" i="17"/>
  <c r="M623" i="1"/>
  <c r="AY107" i="1"/>
  <c r="AO132" i="1"/>
  <c r="AS226" i="1"/>
  <c r="AU12" i="1"/>
  <c r="AP501" i="1"/>
  <c r="AV12" i="1"/>
  <c r="AS502" i="1"/>
  <c r="Z504" i="1"/>
  <c r="AO213" i="1" l="1"/>
  <c r="AQ306" i="1"/>
  <c r="AN221" i="1"/>
  <c r="AO350" i="1"/>
  <c r="AO354" i="1" s="1"/>
  <c r="AO432" i="1"/>
  <c r="AF149" i="1"/>
  <c r="D502" i="1"/>
  <c r="AD205" i="1"/>
  <c r="AE139" i="1"/>
  <c r="AD182" i="1"/>
  <c r="AX158" i="1"/>
  <c r="AB149" i="1"/>
  <c r="AE145" i="1"/>
  <c r="AJ178" i="1"/>
  <c r="AD149" i="1"/>
  <c r="AE149" i="1"/>
  <c r="I260" i="1"/>
  <c r="D498" i="1"/>
  <c r="AA432" i="1"/>
  <c r="D486" i="1"/>
  <c r="BN153" i="1"/>
  <c r="AD147" i="1"/>
  <c r="AW160" i="1"/>
  <c r="AL159" i="1"/>
  <c r="AP160" i="1" s="1"/>
  <c r="AM159" i="1"/>
  <c r="AQ160" i="1" s="1"/>
  <c r="AK159" i="1"/>
  <c r="AO160" i="1" s="1"/>
  <c r="AW184" i="1"/>
  <c r="AH184" i="1"/>
  <c r="G184" i="1"/>
  <c r="AG206" i="1"/>
  <c r="AG217" i="1"/>
  <c r="AC149" i="1"/>
  <c r="AP184" i="1"/>
  <c r="BK609" i="1"/>
  <c r="AQ197" i="1"/>
  <c r="AQ183" i="1"/>
  <c r="AB139" i="1"/>
  <c r="F184" i="1"/>
  <c r="AJ233" i="1"/>
  <c r="AJ240" i="1" s="1"/>
  <c r="E137" i="1"/>
  <c r="E141" i="1" s="1"/>
  <c r="AG210" i="1"/>
  <c r="AF145" i="1"/>
  <c r="AA254" i="1"/>
  <c r="AA235" i="1" s="1"/>
  <c r="H260" i="1"/>
  <c r="H261" i="1" s="1"/>
  <c r="AA234" i="1"/>
  <c r="AN159" i="1"/>
  <c r="AR160" i="1" s="1"/>
  <c r="AR190" i="1"/>
  <c r="AR183" i="1"/>
  <c r="AT183" i="1"/>
  <c r="AT181" i="1"/>
  <c r="AO190" i="1"/>
  <c r="AK183" i="1"/>
  <c r="G270" i="1"/>
  <c r="AW197" i="1"/>
  <c r="AV183" i="1"/>
  <c r="AV181" i="1"/>
  <c r="AV182" i="1"/>
  <c r="AU183" i="1"/>
  <c r="AU181" i="1"/>
  <c r="AU182" i="1"/>
  <c r="J157" i="1"/>
  <c r="I159" i="1"/>
  <c r="AU159" i="1"/>
  <c r="AU160" i="1" s="1"/>
  <c r="H155" i="1"/>
  <c r="H159" i="1"/>
  <c r="AU210" i="1"/>
  <c r="AX159" i="1"/>
  <c r="AX160" i="1" s="1"/>
  <c r="I157" i="1"/>
  <c r="I158" i="1" s="1"/>
  <c r="BK153" i="1"/>
  <c r="G159" i="1"/>
  <c r="AZ159" i="1"/>
  <c r="AZ160" i="1" s="1"/>
  <c r="AY159" i="1"/>
  <c r="AM158" i="1"/>
  <c r="AW158" i="1"/>
  <c r="AY158" i="1"/>
  <c r="AL158" i="1"/>
  <c r="AT160" i="1"/>
  <c r="AQ158" i="1"/>
  <c r="F125" i="1"/>
  <c r="F126" i="1" s="1"/>
  <c r="E125" i="1"/>
  <c r="E126" i="1" s="1"/>
  <c r="X164" i="1"/>
  <c r="L126" i="1"/>
  <c r="AZ158" i="1"/>
  <c r="AD163" i="1"/>
  <c r="AA439" i="1"/>
  <c r="AU158" i="1"/>
  <c r="AK158" i="1"/>
  <c r="AO158" i="1"/>
  <c r="C125" i="1"/>
  <c r="C126" i="1" s="1"/>
  <c r="AN158" i="1"/>
  <c r="J125" i="1"/>
  <c r="AR86" i="1"/>
  <c r="I125" i="1"/>
  <c r="I126" i="1" s="1"/>
  <c r="AS142" i="1"/>
  <c r="H90" i="17"/>
  <c r="AS303" i="1"/>
  <c r="AS125" i="1"/>
  <c r="AS110" i="1"/>
  <c r="AT86" i="1"/>
  <c r="D136" i="17"/>
  <c r="I110" i="1"/>
  <c r="I111" i="1" s="1"/>
  <c r="AW484" i="1"/>
  <c r="J663" i="1"/>
  <c r="AP306" i="1"/>
  <c r="AQ38" i="1"/>
  <c r="AS86" i="1"/>
  <c r="AV197" i="1"/>
  <c r="AP86" i="1"/>
  <c r="AU86" i="1"/>
  <c r="AQ86" i="1"/>
  <c r="AV86" i="1"/>
  <c r="AW86" i="1"/>
  <c r="AT197" i="1"/>
  <c r="AQ115" i="1"/>
  <c r="AQ142" i="1"/>
  <c r="AQ141" i="1" s="1"/>
  <c r="AQ143" i="1" s="1"/>
  <c r="AR249" i="1"/>
  <c r="AT242" i="1"/>
  <c r="AX243" i="1" s="1"/>
  <c r="AO110" i="1"/>
  <c r="AS111" i="1" s="1"/>
  <c r="AQ110" i="1"/>
  <c r="Z535" i="1"/>
  <c r="Z432" i="1"/>
  <c r="AB524" i="1"/>
  <c r="AN523" i="1"/>
  <c r="AG524" i="1"/>
  <c r="AB254" i="1"/>
  <c r="AB235" i="1" s="1"/>
  <c r="H89" i="17"/>
  <c r="AV56" i="1"/>
  <c r="H130" i="17"/>
  <c r="H131" i="17" s="1"/>
  <c r="H73" i="17"/>
  <c r="H201" i="17" s="1"/>
  <c r="H167" i="17"/>
  <c r="H168" i="17" s="1"/>
  <c r="H58" i="17"/>
  <c r="E129" i="1"/>
  <c r="AJ193" i="1"/>
  <c r="Z254" i="1"/>
  <c r="Z235" i="1" s="1"/>
  <c r="H213" i="17"/>
  <c r="H213" i="1"/>
  <c r="H220" i="17"/>
  <c r="H221" i="17" s="1"/>
  <c r="AP214" i="1"/>
  <c r="AL226" i="1"/>
  <c r="Z233" i="1"/>
  <c r="H206" i="1"/>
  <c r="H117" i="17" s="1"/>
  <c r="I302" i="1"/>
  <c r="H123" i="17"/>
  <c r="H124" i="17" s="1"/>
  <c r="H174" i="17"/>
  <c r="H176" i="17" s="1"/>
  <c r="AB529" i="1"/>
  <c r="AB530" i="1"/>
  <c r="AB531" i="1"/>
  <c r="AB532" i="1"/>
  <c r="AB520" i="1"/>
  <c r="AF529" i="1"/>
  <c r="AF530" i="1"/>
  <c r="AF531" i="1"/>
  <c r="AF532" i="1"/>
  <c r="AF520" i="1"/>
  <c r="AO546" i="1"/>
  <c r="AN520" i="1"/>
  <c r="AE447" i="1"/>
  <c r="AE403" i="1"/>
  <c r="AE529" i="1"/>
  <c r="AE530" i="1"/>
  <c r="AE531" i="1"/>
  <c r="AE532" i="1"/>
  <c r="AE520" i="1"/>
  <c r="AK439" i="1"/>
  <c r="AK403" i="1"/>
  <c r="Z433" i="1"/>
  <c r="Z429" i="1"/>
  <c r="AB439" i="1"/>
  <c r="AB403" i="1"/>
  <c r="AO429" i="1"/>
  <c r="AA403" i="1"/>
  <c r="AI520" i="1"/>
  <c r="AN524" i="1"/>
  <c r="AM535" i="1"/>
  <c r="AJ525" i="1"/>
  <c r="AB410" i="1"/>
  <c r="AJ531" i="1"/>
  <c r="AN531" i="1"/>
  <c r="AK524" i="1"/>
  <c r="AK410" i="1"/>
  <c r="AK535" i="1"/>
  <c r="AH523" i="1"/>
  <c r="Z410" i="1"/>
  <c r="AN529" i="1"/>
  <c r="AI523" i="1"/>
  <c r="AK532" i="1"/>
  <c r="C349" i="1"/>
  <c r="C427" i="1" s="1"/>
  <c r="C429" i="1"/>
  <c r="AM524" i="1"/>
  <c r="AN525" i="1"/>
  <c r="AH531" i="1"/>
  <c r="AL521" i="1"/>
  <c r="AM531" i="1"/>
  <c r="AJ524" i="1"/>
  <c r="AO410" i="1"/>
  <c r="AO411" i="1" s="1"/>
  <c r="AL529" i="1"/>
  <c r="AK521" i="1"/>
  <c r="AI410" i="1"/>
  <c r="AI411" i="1" s="1"/>
  <c r="AJ529" i="1"/>
  <c r="AH525" i="1"/>
  <c r="AL535" i="1"/>
  <c r="AI525" i="1"/>
  <c r="AG410" i="1"/>
  <c r="AG411" i="1" s="1"/>
  <c r="AF410" i="1"/>
  <c r="AF411" i="1" s="1"/>
  <c r="AL403" i="1"/>
  <c r="AD546" i="1"/>
  <c r="AD520" i="1"/>
  <c r="AD529" i="1"/>
  <c r="AD530" i="1"/>
  <c r="AD531" i="1"/>
  <c r="AD532" i="1"/>
  <c r="AC433" i="1"/>
  <c r="AC429" i="1"/>
  <c r="AI531" i="1"/>
  <c r="AJ521" i="1"/>
  <c r="AL410" i="1"/>
  <c r="AJ535" i="1"/>
  <c r="AK523" i="1"/>
  <c r="AH410" i="1"/>
  <c r="AH411" i="1" s="1"/>
  <c r="AK531" i="1"/>
  <c r="AH524" i="1"/>
  <c r="AA410" i="1"/>
  <c r="AN410" i="1"/>
  <c r="AN411" i="1" s="1"/>
  <c r="AM410" i="1"/>
  <c r="AM411" i="1" s="1"/>
  <c r="AL531" i="1"/>
  <c r="AI524" i="1"/>
  <c r="AD410" i="1"/>
  <c r="AD411" i="1" s="1"/>
  <c r="AO554" i="1"/>
  <c r="AK520" i="1"/>
  <c r="Z520" i="1"/>
  <c r="Z529" i="1"/>
  <c r="Z530" i="1"/>
  <c r="Z531" i="1"/>
  <c r="Z532" i="1"/>
  <c r="AG543" i="1"/>
  <c r="AG520" i="1"/>
  <c r="AG529" i="1"/>
  <c r="AG530" i="1"/>
  <c r="AG531" i="1"/>
  <c r="AG532" i="1"/>
  <c r="AD535" i="1"/>
  <c r="AM525" i="1"/>
  <c r="AH529" i="1"/>
  <c r="AH187" i="1"/>
  <c r="Z403" i="1"/>
  <c r="AA543" i="1"/>
  <c r="AA529" i="1"/>
  <c r="AA530" i="1"/>
  <c r="AA531" i="1"/>
  <c r="AA532" i="1"/>
  <c r="AA520" i="1"/>
  <c r="AO527" i="1"/>
  <c r="AL523" i="1"/>
  <c r="AJ523" i="1"/>
  <c r="AC410" i="1"/>
  <c r="AC411" i="1" s="1"/>
  <c r="AI529" i="1"/>
  <c r="AN535" i="1"/>
  <c r="AK525" i="1"/>
  <c r="AE410" i="1"/>
  <c r="AM529" i="1"/>
  <c r="AH521" i="1"/>
  <c r="AI535" i="1"/>
  <c r="AI521" i="1"/>
  <c r="AJ410" i="1"/>
  <c r="AJ411" i="1" s="1"/>
  <c r="AC162" i="1"/>
  <c r="AT151" i="1"/>
  <c r="I107" i="1"/>
  <c r="AT56" i="1"/>
  <c r="BM106" i="1"/>
  <c r="I183" i="17"/>
  <c r="I51" i="17" s="1"/>
  <c r="I63" i="17"/>
  <c r="I64" i="17" s="1"/>
  <c r="I139" i="17"/>
  <c r="I98" i="17"/>
  <c r="I99" i="17" s="1"/>
  <c r="I229" i="17" s="1"/>
  <c r="I228" i="17" s="1"/>
  <c r="AQ43" i="1"/>
  <c r="AP73" i="1"/>
  <c r="AO124" i="1"/>
  <c r="AE523" i="1"/>
  <c r="AM521" i="1"/>
  <c r="AL428" i="1"/>
  <c r="AL525" i="1"/>
  <c r="AM523" i="1"/>
  <c r="AL524" i="1"/>
  <c r="AO528" i="1"/>
  <c r="BM500" i="1"/>
  <c r="AN428" i="1"/>
  <c r="AO428" i="1"/>
  <c r="AM428" i="1"/>
  <c r="AD375" i="1"/>
  <c r="AD425" i="1"/>
  <c r="K369" i="1"/>
  <c r="K450" i="1" s="1"/>
  <c r="AE375" i="1"/>
  <c r="AE425" i="1"/>
  <c r="AG375" i="1"/>
  <c r="AG425" i="1"/>
  <c r="AF375" i="1"/>
  <c r="AF425" i="1"/>
  <c r="J577" i="1"/>
  <c r="J20" i="15"/>
  <c r="J570" i="1"/>
  <c r="J571" i="1" s="1"/>
  <c r="J573" i="1" s="1"/>
  <c r="AE501" i="1"/>
  <c r="AE524" i="1" s="1"/>
  <c r="I501" i="1"/>
  <c r="AF233" i="1"/>
  <c r="AB234" i="1"/>
  <c r="AB236" i="1"/>
  <c r="E654" i="1"/>
  <c r="AC232" i="1"/>
  <c r="J500" i="1"/>
  <c r="J154" i="1"/>
  <c r="AO484" i="1"/>
  <c r="J15" i="1"/>
  <c r="T15" i="1" s="1"/>
  <c r="N284" i="1"/>
  <c r="O284" i="1" s="1"/>
  <c r="BA284" i="1"/>
  <c r="BA15" i="1" s="1"/>
  <c r="T284" i="1"/>
  <c r="AX50" i="1"/>
  <c r="L15" i="1"/>
  <c r="AO485" i="1"/>
  <c r="J98" i="17"/>
  <c r="J101" i="17" s="1"/>
  <c r="AO486" i="1"/>
  <c r="BN106" i="1"/>
  <c r="AO475" i="1"/>
  <c r="BL500" i="1"/>
  <c r="AT51" i="1"/>
  <c r="D180" i="17"/>
  <c r="D181" i="17" s="1"/>
  <c r="AN187" i="1"/>
  <c r="AT44" i="1"/>
  <c r="F73" i="17"/>
  <c r="F201" i="17" s="1"/>
  <c r="AO503" i="1"/>
  <c r="AO534" i="1" s="1"/>
  <c r="I648" i="1"/>
  <c r="AQ177" i="1"/>
  <c r="AS43" i="1"/>
  <c r="AR117" i="1"/>
  <c r="E669" i="1"/>
  <c r="H258" i="1"/>
  <c r="F59" i="17"/>
  <c r="AY42" i="1"/>
  <c r="D94" i="17"/>
  <c r="AF500" i="1"/>
  <c r="D170" i="1"/>
  <c r="E487" i="1"/>
  <c r="AQ125" i="1"/>
  <c r="D73" i="17"/>
  <c r="F94" i="17"/>
  <c r="F180" i="17"/>
  <c r="G181" i="17" s="1"/>
  <c r="Z349" i="1"/>
  <c r="Z427" i="1" s="1"/>
  <c r="AX55" i="1"/>
  <c r="C485" i="1"/>
  <c r="I138" i="17"/>
  <c r="AV40" i="1"/>
  <c r="AU114" i="1"/>
  <c r="AU120" i="1" s="1"/>
  <c r="AQ124" i="1"/>
  <c r="AX52" i="1"/>
  <c r="I82" i="1"/>
  <c r="H235" i="1"/>
  <c r="X563" i="1"/>
  <c r="X562" i="1" s="1"/>
  <c r="Z207" i="1"/>
  <c r="J82" i="1"/>
  <c r="E662" i="1"/>
  <c r="E670" i="1" s="1"/>
  <c r="J110" i="1"/>
  <c r="J143" i="17" s="1"/>
  <c r="K143" i="17" s="1"/>
  <c r="L143" i="17" s="1"/>
  <c r="M143" i="17" s="1"/>
  <c r="N143" i="17" s="1"/>
  <c r="AU197" i="1"/>
  <c r="G221" i="1"/>
  <c r="AN193" i="1"/>
  <c r="AN178" i="1"/>
  <c r="AH226" i="1"/>
  <c r="Z165" i="1"/>
  <c r="C182" i="1"/>
  <c r="C181" i="1" s="1"/>
  <c r="G175" i="17"/>
  <c r="AX315" i="1"/>
  <c r="AX316" i="1" s="1"/>
  <c r="G143" i="17"/>
  <c r="AX75" i="1"/>
  <c r="J63" i="17"/>
  <c r="K63" i="17" s="1"/>
  <c r="L63" i="17" s="1"/>
  <c r="M63" i="17" s="1"/>
  <c r="AY45" i="1"/>
  <c r="G154" i="1"/>
  <c r="AN169" i="1"/>
  <c r="AR186" i="1" s="1"/>
  <c r="AO193" i="1"/>
  <c r="AI554" i="1"/>
  <c r="G487" i="1"/>
  <c r="AG225" i="1"/>
  <c r="AB483" i="1"/>
  <c r="AB477" i="1" s="1"/>
  <c r="D181" i="1"/>
  <c r="C9" i="1"/>
  <c r="J107" i="1"/>
  <c r="AA164" i="1"/>
  <c r="AX45" i="1"/>
  <c r="G102" i="17"/>
  <c r="F487" i="1"/>
  <c r="AT190" i="1"/>
  <c r="AX190" i="1"/>
  <c r="AP9" i="1"/>
  <c r="AT50" i="1"/>
  <c r="AQ249" i="1"/>
  <c r="AP142" i="1"/>
  <c r="L596" i="1"/>
  <c r="L787" i="1" s="1"/>
  <c r="AP248" i="1"/>
  <c r="AP249" i="1"/>
  <c r="G221" i="17"/>
  <c r="J128" i="1"/>
  <c r="AL125" i="1"/>
  <c r="AT9" i="1"/>
  <c r="J139" i="17"/>
  <c r="J140" i="17" s="1"/>
  <c r="J183" i="17"/>
  <c r="AL179" i="1"/>
  <c r="AT303" i="1"/>
  <c r="Q789" i="1"/>
  <c r="AX37" i="1"/>
  <c r="I121" i="1"/>
  <c r="J129" i="1" s="1"/>
  <c r="AW9" i="1"/>
  <c r="AR181" i="1"/>
  <c r="L141" i="1"/>
  <c r="L143" i="1" s="1"/>
  <c r="J99" i="1"/>
  <c r="AX53" i="1"/>
  <c r="J494" i="1"/>
  <c r="I227" i="1"/>
  <c r="AT306" i="1"/>
  <c r="I562" i="1"/>
  <c r="I258" i="1" s="1"/>
  <c r="AX40" i="1"/>
  <c r="BB53" i="1"/>
  <c r="I481" i="1"/>
  <c r="AX9" i="1"/>
  <c r="I494" i="1"/>
  <c r="J481" i="1"/>
  <c r="C481" i="1"/>
  <c r="H498" i="1"/>
  <c r="H481" i="1"/>
  <c r="D481" i="1"/>
  <c r="AK543" i="1"/>
  <c r="AW40" i="1"/>
  <c r="J285" i="1"/>
  <c r="AU248" i="1"/>
  <c r="BB58" i="1"/>
  <c r="G176" i="17"/>
  <c r="G232" i="17"/>
  <c r="J83" i="1"/>
  <c r="AW306" i="1"/>
  <c r="AX58" i="1"/>
  <c r="H61" i="17"/>
  <c r="G214" i="17"/>
  <c r="D82" i="17"/>
  <c r="G187" i="17"/>
  <c r="AV248" i="1"/>
  <c r="J498" i="1"/>
  <c r="AD500" i="1"/>
  <c r="AJ439" i="1"/>
  <c r="J98" i="1"/>
  <c r="I41" i="17"/>
  <c r="AP186" i="1"/>
  <c r="AL177" i="1"/>
  <c r="I704" i="1"/>
  <c r="J704" i="1" s="1"/>
  <c r="K704" i="1" s="1"/>
  <c r="L704" i="1" s="1"/>
  <c r="AK225" i="1"/>
  <c r="AV306" i="1"/>
  <c r="J563" i="1"/>
  <c r="J227" i="1" s="1"/>
  <c r="K224" i="1"/>
  <c r="L224" i="1" s="1"/>
  <c r="BM114" i="1"/>
  <c r="AA151" i="1"/>
  <c r="H157" i="17"/>
  <c r="AL186" i="1"/>
  <c r="AL181" i="1"/>
  <c r="AO142" i="1"/>
  <c r="AO141" i="1" s="1"/>
  <c r="AO143" i="1" s="1"/>
  <c r="Y162" i="1"/>
  <c r="AB157" i="1" s="1"/>
  <c r="AJ229" i="1"/>
  <c r="AR38" i="1"/>
  <c r="AK226" i="1"/>
  <c r="AO207" i="1"/>
  <c r="AO125" i="1"/>
  <c r="AQ73" i="1"/>
  <c r="J225" i="1"/>
  <c r="J255" i="1"/>
  <c r="AG202" i="1"/>
  <c r="AG218" i="1" s="1"/>
  <c r="D214" i="17"/>
  <c r="AM192" i="1"/>
  <c r="L72" i="94"/>
  <c r="L111" i="94" s="1"/>
  <c r="AZ42" i="1"/>
  <c r="C498" i="1"/>
  <c r="AP179" i="1"/>
  <c r="AS115" i="1"/>
  <c r="AW483" i="1"/>
  <c r="AO137" i="1"/>
  <c r="AS145" i="1" s="1"/>
  <c r="AV53" i="1"/>
  <c r="AV173" i="1"/>
  <c r="E884" i="1"/>
  <c r="AT55" i="1"/>
  <c r="AP218" i="1"/>
  <c r="AP116" i="1"/>
  <c r="T313" i="1"/>
  <c r="AQ149" i="1"/>
  <c r="AB498" i="1"/>
  <c r="G99" i="17"/>
  <c r="J703" i="1"/>
  <c r="K703" i="1" s="1"/>
  <c r="AR110" i="1"/>
  <c r="AS112" i="1" s="1"/>
  <c r="AK210" i="1"/>
  <c r="AP110" i="1"/>
  <c r="AQ112" i="1" s="1"/>
  <c r="I663" i="1"/>
  <c r="AI214" i="1"/>
  <c r="AS9" i="1"/>
  <c r="Z501" i="1"/>
  <c r="AP117" i="1"/>
  <c r="E643" i="1"/>
  <c r="E645" i="1" s="1"/>
  <c r="AK217" i="1"/>
  <c r="AL217" i="1"/>
  <c r="G136" i="17"/>
  <c r="I40" i="17" s="1"/>
  <c r="AP124" i="1"/>
  <c r="AM221" i="1"/>
  <c r="AQ116" i="1"/>
  <c r="G61" i="17"/>
  <c r="AR115" i="1"/>
  <c r="AR116" i="1"/>
  <c r="F669" i="1"/>
  <c r="AG247" i="1"/>
  <c r="AK248" i="1" s="1"/>
  <c r="AK221" i="1"/>
  <c r="J97" i="1"/>
  <c r="AS151" i="1"/>
  <c r="BC15" i="1"/>
  <c r="BD42" i="1" s="1"/>
  <c r="BD55" i="1"/>
  <c r="AP177" i="1"/>
  <c r="AX85" i="1"/>
  <c r="AX82" i="1"/>
  <c r="J302" i="1"/>
  <c r="AX94" i="1"/>
  <c r="AV50" i="1"/>
  <c r="AV9" i="1"/>
  <c r="AV190" i="1"/>
  <c r="J100" i="1"/>
  <c r="AQ9" i="1"/>
  <c r="AU9" i="1"/>
  <c r="AZ55" i="1"/>
  <c r="I202" i="1"/>
  <c r="I214" i="1" s="1"/>
  <c r="AR177" i="1"/>
  <c r="G222" i="17"/>
  <c r="AU202" i="1"/>
  <c r="BN16" i="1"/>
  <c r="AR125" i="1"/>
  <c r="AS117" i="1"/>
  <c r="AP115" i="1"/>
  <c r="P789" i="1"/>
  <c r="AM116" i="1"/>
  <c r="I130" i="17"/>
  <c r="AZ11" i="1"/>
  <c r="AZ38" i="1" s="1"/>
  <c r="J13" i="1"/>
  <c r="AV42" i="1"/>
  <c r="J84" i="1"/>
  <c r="AS116" i="1"/>
  <c r="AQ117" i="1"/>
  <c r="AV114" i="1"/>
  <c r="AZ114" i="1" s="1"/>
  <c r="AR179" i="1"/>
  <c r="E168" i="17"/>
  <c r="I213" i="1"/>
  <c r="AL137" i="1"/>
  <c r="AL139" i="1" s="1"/>
  <c r="AP147" i="1" s="1"/>
  <c r="AL207" i="1"/>
  <c r="AL110" i="1"/>
  <c r="AM179" i="1"/>
  <c r="AU306" i="1"/>
  <c r="AR142" i="1"/>
  <c r="K254" i="1"/>
  <c r="L254" i="1" s="1"/>
  <c r="AR124" i="1"/>
  <c r="J654" i="1"/>
  <c r="K654" i="1" s="1"/>
  <c r="L654" i="1" s="1"/>
  <c r="M654" i="1" s="1"/>
  <c r="N654" i="1" s="1"/>
  <c r="O654" i="1" s="1"/>
  <c r="P654" i="1" s="1"/>
  <c r="Q654" i="1" s="1"/>
  <c r="R654" i="1" s="1"/>
  <c r="AM177" i="1"/>
  <c r="AV249" i="1"/>
  <c r="O789" i="1"/>
  <c r="I90" i="15"/>
  <c r="AL142" i="1"/>
  <c r="AV55" i="1"/>
  <c r="I174" i="17"/>
  <c r="J122" i="1"/>
  <c r="I88" i="17"/>
  <c r="I89" i="17" s="1"/>
  <c r="AD177" i="1"/>
  <c r="AI499" i="1"/>
  <c r="AI522" i="1" s="1"/>
  <c r="AQ181" i="1"/>
  <c r="AD181" i="1"/>
  <c r="AH186" i="1"/>
  <c r="BN641" i="1"/>
  <c r="AU40" i="1"/>
  <c r="H609" i="1"/>
  <c r="BL609" i="1" s="1"/>
  <c r="AY212" i="1"/>
  <c r="H101" i="17"/>
  <c r="AI229" i="1"/>
  <c r="AK213" i="1"/>
  <c r="AQ134" i="1"/>
  <c r="H174" i="1"/>
  <c r="H179" i="1" s="1"/>
  <c r="BK114" i="1"/>
  <c r="J298" i="1"/>
  <c r="K298" i="1" s="1"/>
  <c r="L298" i="1" s="1"/>
  <c r="M298" i="1" s="1"/>
  <c r="T298" i="1" s="1"/>
  <c r="AF218" i="1"/>
  <c r="AL214" i="1"/>
  <c r="AC151" i="1"/>
  <c r="AB130" i="1"/>
  <c r="AC134" i="1"/>
  <c r="AG130" i="1"/>
  <c r="BM169" i="1"/>
  <c r="AK178" i="1"/>
  <c r="AJ169" i="1"/>
  <c r="AJ177" i="1" s="1"/>
  <c r="J71" i="94"/>
  <c r="AJ187" i="1"/>
  <c r="AE151" i="1"/>
  <c r="AE147" i="1"/>
  <c r="AL197" i="1"/>
  <c r="C122" i="1"/>
  <c r="D130" i="1" s="1"/>
  <c r="AL188" i="1"/>
  <c r="AM214" i="1"/>
  <c r="AM218" i="1"/>
  <c r="AB151" i="1"/>
  <c r="X132" i="1"/>
  <c r="Z128" i="1"/>
  <c r="E178" i="1"/>
  <c r="E122" i="1"/>
  <c r="E130" i="1" s="1"/>
  <c r="AG147" i="1"/>
  <c r="AG151" i="1"/>
  <c r="AJ218" i="1"/>
  <c r="AJ214" i="1"/>
  <c r="AD151" i="1"/>
  <c r="AO218" i="1"/>
  <c r="AF147" i="1"/>
  <c r="AF151" i="1"/>
  <c r="AK197" i="1"/>
  <c r="AK190" i="1"/>
  <c r="AH218" i="1"/>
  <c r="AH214" i="1"/>
  <c r="AF130" i="1"/>
  <c r="AF134" i="1"/>
  <c r="AD134" i="1"/>
  <c r="AD130" i="1"/>
  <c r="BE284" i="1"/>
  <c r="I668" i="1"/>
  <c r="I75" i="1"/>
  <c r="BO18" i="1"/>
  <c r="V102" i="94"/>
  <c r="AV564" i="1"/>
  <c r="I163" i="1"/>
  <c r="I207" i="1"/>
  <c r="I10" i="1"/>
  <c r="I182" i="1"/>
  <c r="BD226" i="1"/>
  <c r="G225" i="17"/>
  <c r="G226" i="17" s="1"/>
  <c r="G94" i="17"/>
  <c r="H96" i="17" s="1"/>
  <c r="I83" i="1"/>
  <c r="I12" i="1"/>
  <c r="I52" i="1" s="1"/>
  <c r="J347" i="1"/>
  <c r="AR40" i="1"/>
  <c r="I81" i="1"/>
  <c r="BL153" i="1"/>
  <c r="AS218" i="1"/>
  <c r="AS214" i="1"/>
  <c r="I84" i="1"/>
  <c r="AU53" i="1"/>
  <c r="AZ16" i="1"/>
  <c r="J85" i="1"/>
  <c r="J141" i="1"/>
  <c r="G73" i="17"/>
  <c r="G246" i="17" s="1"/>
  <c r="H154" i="1"/>
  <c r="AZ99" i="1"/>
  <c r="J102" i="1"/>
  <c r="AQ40" i="1"/>
  <c r="AQ179" i="1"/>
  <c r="I210" i="1"/>
  <c r="BD298" i="1"/>
  <c r="I57" i="17"/>
  <c r="I81" i="17" s="1"/>
  <c r="I169" i="1"/>
  <c r="I174" i="1" s="1"/>
  <c r="AQ214" i="1"/>
  <c r="AQ218" i="1"/>
  <c r="Y108" i="94"/>
  <c r="U108" i="94"/>
  <c r="AR218" i="1"/>
  <c r="AR214" i="1"/>
  <c r="AW214" i="1"/>
  <c r="AW42" i="1"/>
  <c r="BD38" i="1"/>
  <c r="BD289" i="1"/>
  <c r="BD291" i="1" s="1"/>
  <c r="I155" i="1"/>
  <c r="G59" i="17"/>
  <c r="H221" i="1"/>
  <c r="AX182" i="1"/>
  <c r="AU37" i="1"/>
  <c r="I474" i="1"/>
  <c r="I483" i="1" s="1"/>
  <c r="BE6" i="1"/>
  <c r="AU517" i="1"/>
  <c r="BB6" i="1"/>
  <c r="W7" i="15"/>
  <c r="W9" i="15"/>
  <c r="W8" i="15"/>
  <c r="BD6" i="1"/>
  <c r="BC6" i="1"/>
  <c r="AL517" i="1"/>
  <c r="AL384" i="1"/>
  <c r="O48" i="15"/>
  <c r="AV517" i="1"/>
  <c r="AO383" i="1"/>
  <c r="AW517" i="1"/>
  <c r="T176" i="15"/>
  <c r="AN517" i="1"/>
  <c r="AT130" i="1"/>
  <c r="AQ190" i="1"/>
  <c r="AR197" i="1"/>
  <c r="AU190" i="1"/>
  <c r="AX197" i="1"/>
  <c r="J564" i="1"/>
  <c r="J235" i="1" s="1"/>
  <c r="AX181" i="1"/>
  <c r="H128" i="15"/>
  <c r="I583" i="1"/>
  <c r="BC286" i="1"/>
  <c r="H99" i="17"/>
  <c r="F176" i="17"/>
  <c r="K297" i="1"/>
  <c r="AU38" i="1"/>
  <c r="J155" i="1"/>
  <c r="AR45" i="1"/>
  <c r="I221" i="1"/>
  <c r="AW45" i="1"/>
  <c r="AQ45" i="1"/>
  <c r="I20" i="15"/>
  <c r="J81" i="1"/>
  <c r="AU303" i="1"/>
  <c r="I398" i="1"/>
  <c r="J474" i="1"/>
  <c r="AQ75" i="1"/>
  <c r="BL641" i="1"/>
  <c r="BJ224" i="1"/>
  <c r="I11" i="1"/>
  <c r="J51" i="1" s="1"/>
  <c r="AM485" i="1"/>
  <c r="AM483" i="1"/>
  <c r="AM484" i="1"/>
  <c r="AM486" i="1"/>
  <c r="H501" i="1"/>
  <c r="I570" i="1"/>
  <c r="I571" i="1" s="1"/>
  <c r="I573" i="1" s="1"/>
  <c r="BJ254" i="1"/>
  <c r="I257" i="1"/>
  <c r="I13" i="1"/>
  <c r="I347" i="1"/>
  <c r="I502" i="1"/>
  <c r="BN18" i="1"/>
  <c r="AR306" i="1"/>
  <c r="J295" i="1"/>
  <c r="J301" i="1" s="1"/>
  <c r="J501" i="1"/>
  <c r="AZ13" i="1"/>
  <c r="J398" i="1"/>
  <c r="I154" i="1"/>
  <c r="AW303" i="1"/>
  <c r="F61" i="17"/>
  <c r="I500" i="1"/>
  <c r="H78" i="15"/>
  <c r="I657" i="1"/>
  <c r="AS306" i="1"/>
  <c r="J450" i="1"/>
  <c r="J771" i="1"/>
  <c r="AO517" i="1"/>
  <c r="AO384" i="1"/>
  <c r="I609" i="1"/>
  <c r="J502" i="1"/>
  <c r="AX571" i="1"/>
  <c r="AY571" i="1" s="1"/>
  <c r="AZ571" i="1" s="1"/>
  <c r="K570" i="1"/>
  <c r="K356" i="1" s="1"/>
  <c r="AS484" i="1"/>
  <c r="AS483" i="1"/>
  <c r="AS486" i="1"/>
  <c r="AS485" i="1"/>
  <c r="J207" i="1"/>
  <c r="J163" i="1"/>
  <c r="J10" i="1"/>
  <c r="H100" i="17"/>
  <c r="BN500" i="1"/>
  <c r="I47" i="17"/>
  <c r="H661" i="1"/>
  <c r="H662" i="1" s="1"/>
  <c r="H670" i="1" s="1"/>
  <c r="J57" i="17"/>
  <c r="J167" i="17" s="1"/>
  <c r="BM153" i="1"/>
  <c r="AX39" i="1"/>
  <c r="AR43" i="1"/>
  <c r="J609" i="1"/>
  <c r="I650" i="1"/>
  <c r="I653" i="1"/>
  <c r="I652" i="1"/>
  <c r="J652" i="1"/>
  <c r="K652" i="1" s="1"/>
  <c r="L652" i="1" s="1"/>
  <c r="M652" i="1" s="1"/>
  <c r="N652" i="1" s="1"/>
  <c r="O652" i="1" s="1"/>
  <c r="P652" i="1" s="1"/>
  <c r="Q652" i="1" s="1"/>
  <c r="R652" i="1" s="1"/>
  <c r="J648" i="1"/>
  <c r="J650" i="1"/>
  <c r="J653" i="1"/>
  <c r="I577" i="1"/>
  <c r="I578" i="1" s="1"/>
  <c r="I580" i="1" s="1"/>
  <c r="J580" i="1" s="1"/>
  <c r="J578" i="1" s="1"/>
  <c r="I664" i="1"/>
  <c r="I666" i="1" s="1"/>
  <c r="I771" i="1"/>
  <c r="I450" i="1"/>
  <c r="J565" i="1"/>
  <c r="J16" i="1"/>
  <c r="AS190" i="1"/>
  <c r="AS197" i="1"/>
  <c r="AW190" i="1"/>
  <c r="AR151" i="1"/>
  <c r="BN17" i="1"/>
  <c r="BB15" i="1"/>
  <c r="BB55" i="1" s="1"/>
  <c r="F168" i="17"/>
  <c r="O624" i="1"/>
  <c r="O763" i="1" s="1"/>
  <c r="H474" i="1"/>
  <c r="H767" i="1" s="1"/>
  <c r="H222" i="17"/>
  <c r="J730" i="1"/>
  <c r="J732" i="1" s="1"/>
  <c r="K732" i="1" s="1"/>
  <c r="AJ384" i="1"/>
  <c r="G128" i="15"/>
  <c r="J68" i="1"/>
  <c r="AV74" i="1"/>
  <c r="AS130" i="1"/>
  <c r="AS134" i="1"/>
  <c r="AN130" i="1"/>
  <c r="AN134" i="1"/>
  <c r="AO130" i="1"/>
  <c r="AO134" i="1"/>
  <c r="AL130" i="1"/>
  <c r="AL134" i="1"/>
  <c r="AI130" i="1"/>
  <c r="AI134" i="1"/>
  <c r="AK130" i="1"/>
  <c r="AK134" i="1"/>
  <c r="AP130" i="1"/>
  <c r="AP134" i="1"/>
  <c r="AM134" i="1"/>
  <c r="AJ130" i="1"/>
  <c r="AJ134" i="1"/>
  <c r="AH130" i="1"/>
  <c r="AH134" i="1"/>
  <c r="AR134" i="1"/>
  <c r="AT134" i="1"/>
  <c r="AQ130" i="1"/>
  <c r="AM130" i="1"/>
  <c r="AR130" i="1"/>
  <c r="AH504" i="1"/>
  <c r="AH535" i="1" s="1"/>
  <c r="AE504" i="1"/>
  <c r="AE535" i="1" s="1"/>
  <c r="AZ297" i="1"/>
  <c r="BL114" i="1"/>
  <c r="AW37" i="1"/>
  <c r="G229" i="17"/>
  <c r="AW58" i="1"/>
  <c r="AV483" i="1"/>
  <c r="AY51" i="1"/>
  <c r="BJ232" i="1"/>
  <c r="AV484" i="1"/>
  <c r="K608" i="1"/>
  <c r="AY297" i="1"/>
  <c r="AY302" i="1" s="1"/>
  <c r="AS45" i="1"/>
  <c r="AV486" i="1"/>
  <c r="I498" i="1"/>
  <c r="I239" i="1"/>
  <c r="I240" i="1" s="1"/>
  <c r="AV303" i="1"/>
  <c r="AV188" i="1"/>
  <c r="I651" i="1"/>
  <c r="AV73" i="1"/>
  <c r="AM137" i="1"/>
  <c r="AQ145" i="1" s="1"/>
  <c r="AM125" i="1"/>
  <c r="AM124" i="1"/>
  <c r="AM207" i="1"/>
  <c r="AM142" i="1"/>
  <c r="AM110" i="1"/>
  <c r="AX38" i="1"/>
  <c r="AT38" i="1"/>
  <c r="J661" i="1"/>
  <c r="J662" i="1" s="1"/>
  <c r="J583" i="1"/>
  <c r="K583" i="1" s="1"/>
  <c r="BN170" i="1"/>
  <c r="BN168" i="1" s="1"/>
  <c r="J180" i="17"/>
  <c r="J181" i="17" s="1"/>
  <c r="J59" i="17"/>
  <c r="J136" i="17"/>
  <c r="AV75" i="1"/>
  <c r="AC115" i="1"/>
  <c r="BI114" i="1"/>
  <c r="AM188" i="1"/>
  <c r="K819" i="1"/>
  <c r="AV194" i="1"/>
  <c r="I730" i="1"/>
  <c r="J664" i="1"/>
  <c r="J657" i="1"/>
  <c r="J651" i="1"/>
  <c r="J233" i="1"/>
  <c r="J12" i="1"/>
  <c r="J247" i="1"/>
  <c r="J248" i="1" s="1"/>
  <c r="AT37" i="1"/>
  <c r="BJ609" i="1"/>
  <c r="F111" i="1"/>
  <c r="AQ188" i="1"/>
  <c r="AS188" i="1"/>
  <c r="AW194" i="1"/>
  <c r="I235" i="1"/>
  <c r="I233" i="1"/>
  <c r="AV37" i="1"/>
  <c r="AT45" i="1"/>
  <c r="AM383" i="1"/>
  <c r="AM517" i="1"/>
  <c r="AX6" i="1"/>
  <c r="AX517" i="1" s="1"/>
  <c r="AZ6" i="1"/>
  <c r="AZ517" i="1" s="1"/>
  <c r="AY6" i="1"/>
  <c r="AY517" i="1" s="1"/>
  <c r="BA6" i="1"/>
  <c r="AI384" i="1"/>
  <c r="AI383" i="1"/>
  <c r="AH384" i="1"/>
  <c r="AH383" i="1"/>
  <c r="AK517" i="1"/>
  <c r="AM384" i="1"/>
  <c r="AJ517" i="1"/>
  <c r="AK383" i="1"/>
  <c r="AK384" i="1"/>
  <c r="N4" i="15"/>
  <c r="O30" i="15"/>
  <c r="N31" i="15"/>
  <c r="AS517" i="1"/>
  <c r="AN383" i="1"/>
  <c r="AN384" i="1"/>
  <c r="I82" i="15"/>
  <c r="AR517" i="1"/>
  <c r="N771" i="1"/>
  <c r="O234" i="17"/>
  <c r="N233" i="17"/>
  <c r="N67" i="17" s="1"/>
  <c r="N111" i="1" s="1"/>
  <c r="O230" i="17"/>
  <c r="N229" i="17"/>
  <c r="N64" i="17" s="1"/>
  <c r="N107" i="1" s="1"/>
  <c r="E61" i="17"/>
  <c r="I50" i="17"/>
  <c r="F172" i="17"/>
  <c r="J128" i="15"/>
  <c r="BO106" i="1"/>
  <c r="BD286" i="1"/>
  <c r="AU55" i="1"/>
  <c r="BC65" i="1"/>
  <c r="BC100" i="1" s="1"/>
  <c r="BC58" i="1"/>
  <c r="AU51" i="1"/>
  <c r="BM641" i="1"/>
  <c r="K153" i="1"/>
  <c r="AK514" i="1"/>
  <c r="AK516" i="1" s="1"/>
  <c r="F222" i="17"/>
  <c r="E124" i="17"/>
  <c r="AX303" i="1"/>
  <c r="BB298" i="1"/>
  <c r="BB297" i="1" s="1"/>
  <c r="BB302" i="1" s="1"/>
  <c r="F90" i="17"/>
  <c r="F276" i="1"/>
  <c r="E157" i="17"/>
  <c r="G274" i="1"/>
  <c r="AQ44" i="1"/>
  <c r="D168" i="17"/>
  <c r="G89" i="17"/>
  <c r="C273" i="1"/>
  <c r="W121" i="1"/>
  <c r="X133" i="1" s="1"/>
  <c r="I175" i="17"/>
  <c r="AE554" i="1"/>
  <c r="AE543" i="1"/>
  <c r="AE546" i="1"/>
  <c r="AG554" i="1"/>
  <c r="AL432" i="1"/>
  <c r="F19" i="1"/>
  <c r="AR72" i="1"/>
  <c r="AG500" i="1"/>
  <c r="F132" i="17"/>
  <c r="I100" i="17"/>
  <c r="I49" i="17"/>
  <c r="AG486" i="1"/>
  <c r="AG480" i="1" s="1"/>
  <c r="AF486" i="1"/>
  <c r="AF480" i="1" s="1"/>
  <c r="AD486" i="1"/>
  <c r="AD480" i="1" s="1"/>
  <c r="AE486" i="1"/>
  <c r="AE480" i="1" s="1"/>
  <c r="M125" i="1"/>
  <c r="AD485" i="1"/>
  <c r="AD479" i="1" s="1"/>
  <c r="AF485" i="1"/>
  <c r="AF479" i="1" s="1"/>
  <c r="G184" i="17"/>
  <c r="AE249" i="1"/>
  <c r="G669" i="1"/>
  <c r="AI248" i="1"/>
  <c r="AE483" i="1"/>
  <c r="AE477" i="1" s="1"/>
  <c r="AG483" i="1"/>
  <c r="AG477" i="1" s="1"/>
  <c r="AD483" i="1"/>
  <c r="AD477" i="1" s="1"/>
  <c r="AF483" i="1"/>
  <c r="AF477" i="1" s="1"/>
  <c r="AF181" i="1"/>
  <c r="AF177" i="1"/>
  <c r="AE236" i="1"/>
  <c r="AI233" i="1"/>
  <c r="AI240" i="1" s="1"/>
  <c r="AE234" i="1"/>
  <c r="AE233" i="1"/>
  <c r="AE254" i="1"/>
  <c r="AE255" i="1" s="1"/>
  <c r="AF234" i="1"/>
  <c r="BD64" i="1"/>
  <c r="BD57" i="1"/>
  <c r="AC206" i="1"/>
  <c r="AC290" i="1"/>
  <c r="Y289" i="1" s="1"/>
  <c r="AA290" i="1"/>
  <c r="W289" i="1" s="1"/>
  <c r="Z290" i="1"/>
  <c r="V289" i="1" s="1"/>
  <c r="AB290" i="1"/>
  <c r="X289" i="1" s="1"/>
  <c r="C354" i="1"/>
  <c r="C433" i="1"/>
  <c r="Z483" i="1"/>
  <c r="Z477" i="1" s="1"/>
  <c r="AC483" i="1"/>
  <c r="AC477" i="1" s="1"/>
  <c r="C225" i="17"/>
  <c r="D226" i="17" s="1"/>
  <c r="C136" i="17"/>
  <c r="D137" i="17" s="1"/>
  <c r="C94" i="17"/>
  <c r="D61" i="17"/>
  <c r="C73" i="17"/>
  <c r="Z486" i="1"/>
  <c r="Z480" i="1" s="1"/>
  <c r="AA486" i="1"/>
  <c r="AA480" i="1" s="1"/>
  <c r="AC486" i="1"/>
  <c r="AC480" i="1" s="1"/>
  <c r="AB486" i="1"/>
  <c r="AB480" i="1" s="1"/>
  <c r="AW315" i="1"/>
  <c r="AW316" i="1" s="1"/>
  <c r="AW314" i="1"/>
  <c r="AO539" i="1"/>
  <c r="H64" i="17"/>
  <c r="H51" i="17"/>
  <c r="AT57" i="1"/>
  <c r="Y120" i="1"/>
  <c r="H257" i="1"/>
  <c r="M824" i="1"/>
  <c r="N595" i="1"/>
  <c r="M788" i="1"/>
  <c r="AH233" i="1"/>
  <c r="AH240" i="1" s="1"/>
  <c r="AD233" i="1"/>
  <c r="C502" i="1"/>
  <c r="C486" i="1"/>
  <c r="AC484" i="1"/>
  <c r="AC478" i="1" s="1"/>
  <c r="AB484" i="1"/>
  <c r="AB478" i="1" s="1"/>
  <c r="C500" i="1"/>
  <c r="C523" i="1" s="1"/>
  <c r="C484" i="1"/>
  <c r="AJ350" i="1"/>
  <c r="AJ432" i="1"/>
  <c r="K794" i="1"/>
  <c r="O483" i="1"/>
  <c r="O487" i="1" s="1"/>
  <c r="H36" i="17"/>
  <c r="H214" i="17"/>
  <c r="G168" i="17"/>
  <c r="AG232" i="1"/>
  <c r="AG236" i="1" s="1"/>
  <c r="AJ447" i="1"/>
  <c r="G49" i="1"/>
  <c r="AA501" i="1"/>
  <c r="BC56" i="1"/>
  <c r="AK554" i="1"/>
  <c r="AA128" i="1"/>
  <c r="AL439" i="1"/>
  <c r="F643" i="1"/>
  <c r="F645" i="1" s="1"/>
  <c r="AA484" i="1"/>
  <c r="AA478" i="1" s="1"/>
  <c r="E214" i="17"/>
  <c r="H735" i="1"/>
  <c r="H738" i="1" s="1"/>
  <c r="I738" i="1" s="1"/>
  <c r="J738" i="1" s="1"/>
  <c r="K738" i="1" s="1"/>
  <c r="H731" i="1"/>
  <c r="H732" i="1"/>
  <c r="H177" i="1"/>
  <c r="H186" i="1"/>
  <c r="H181" i="1"/>
  <c r="G86" i="17"/>
  <c r="H82" i="17"/>
  <c r="AC247" i="1"/>
  <c r="F248" i="1"/>
  <c r="E201" i="17"/>
  <c r="E246" i="17"/>
  <c r="E142" i="1"/>
  <c r="D485" i="1"/>
  <c r="D501" i="1"/>
  <c r="D129" i="1"/>
  <c r="P624" i="1"/>
  <c r="E94" i="17"/>
  <c r="E136" i="17"/>
  <c r="F137" i="17" s="1"/>
  <c r="E225" i="17"/>
  <c r="F226" i="17" s="1"/>
  <c r="E180" i="17"/>
  <c r="G100" i="17"/>
  <c r="BA369" i="1"/>
  <c r="F128" i="17"/>
  <c r="AZ57" i="1"/>
  <c r="G82" i="17"/>
  <c r="F124" i="17"/>
  <c r="AO187" i="1"/>
  <c r="H184" i="17"/>
  <c r="C483" i="1"/>
  <c r="W132" i="1"/>
  <c r="AL350" i="1"/>
  <c r="AL429" i="1" s="1"/>
  <c r="F214" i="17"/>
  <c r="AH229" i="1"/>
  <c r="AF249" i="1"/>
  <c r="AA483" i="1"/>
  <c r="AA477" i="1" s="1"/>
  <c r="AK229" i="1"/>
  <c r="AD254" i="1"/>
  <c r="AH255" i="1" s="1"/>
  <c r="E82" i="17"/>
  <c r="D484" i="1"/>
  <c r="D500" i="1"/>
  <c r="BD315" i="1"/>
  <c r="BD316" i="1" s="1"/>
  <c r="AM181" i="1"/>
  <c r="H255" i="1"/>
  <c r="H13" i="1"/>
  <c r="I255" i="1"/>
  <c r="H263" i="1"/>
  <c r="H273" i="1"/>
  <c r="AD164" i="1"/>
  <c r="AC165" i="1"/>
  <c r="Y247" i="1"/>
  <c r="D248" i="1"/>
  <c r="H162" i="17"/>
  <c r="Y116" i="1"/>
  <c r="E248" i="1"/>
  <c r="F187" i="17"/>
  <c r="F143" i="17"/>
  <c r="F66" i="17"/>
  <c r="G67" i="17" s="1"/>
  <c r="G111" i="1"/>
  <c r="F102" i="17"/>
  <c r="F232" i="17"/>
  <c r="AI192" i="1"/>
  <c r="AM186" i="1"/>
  <c r="I72" i="94"/>
  <c r="I92" i="94" s="1"/>
  <c r="AI181" i="1"/>
  <c r="H143" i="17"/>
  <c r="H111" i="1"/>
  <c r="H187" i="17"/>
  <c r="H102" i="17"/>
  <c r="H103" i="17" s="1"/>
  <c r="H66" i="17"/>
  <c r="H67" i="17" s="1"/>
  <c r="H232" i="17"/>
  <c r="H170" i="17"/>
  <c r="H216" i="17"/>
  <c r="H209" i="1"/>
  <c r="H126" i="17"/>
  <c r="H214" i="1"/>
  <c r="H84" i="17"/>
  <c r="H212" i="1"/>
  <c r="I187" i="17"/>
  <c r="I143" i="17"/>
  <c r="J260" i="1"/>
  <c r="K269" i="1"/>
  <c r="X256" i="1"/>
  <c r="AC205" i="1"/>
  <c r="H141" i="1"/>
  <c r="H143" i="1" s="1"/>
  <c r="V121" i="1"/>
  <c r="V125" i="1" s="1"/>
  <c r="H43" i="17"/>
  <c r="H140" i="17"/>
  <c r="H44" i="17"/>
  <c r="I184" i="17"/>
  <c r="F654" i="1"/>
  <c r="F129" i="1"/>
  <c r="F178" i="1"/>
  <c r="V563" i="1"/>
  <c r="V562" i="1" s="1"/>
  <c r="Z163" i="1"/>
  <c r="AC234" i="1"/>
  <c r="AC236" i="1"/>
  <c r="AD234" i="1"/>
  <c r="E255" i="1"/>
  <c r="D255" i="1"/>
  <c r="D13" i="1"/>
  <c r="D9" i="1" s="1"/>
  <c r="D257" i="1"/>
  <c r="D260" i="1"/>
  <c r="D273" i="1" s="1"/>
  <c r="AE182" i="1"/>
  <c r="AE193" i="1"/>
  <c r="AG170" i="1"/>
  <c r="AI187" i="1"/>
  <c r="AE169" i="1"/>
  <c r="AF193" i="1"/>
  <c r="I44" i="17"/>
  <c r="I140" i="17"/>
  <c r="I43" i="17"/>
  <c r="I101" i="17"/>
  <c r="I263" i="1"/>
  <c r="I261" i="1"/>
  <c r="I273" i="1"/>
  <c r="AC133" i="1"/>
  <c r="AD133" i="1"/>
  <c r="AG129" i="1"/>
  <c r="AC125" i="1"/>
  <c r="AD543" i="1"/>
  <c r="F270" i="1"/>
  <c r="M92" i="94"/>
  <c r="Q111" i="94"/>
  <c r="AH249" i="1"/>
  <c r="X125" i="1"/>
  <c r="AB129" i="1"/>
  <c r="E165" i="1"/>
  <c r="E336" i="1"/>
  <c r="E292" i="1"/>
  <c r="E228" i="1"/>
  <c r="E236" i="1"/>
  <c r="AK432" i="1"/>
  <c r="AK350" i="1"/>
  <c r="AK429" i="1" s="1"/>
  <c r="Z543" i="1"/>
  <c r="AA546" i="1"/>
  <c r="AB432" i="1"/>
  <c r="AB350" i="1"/>
  <c r="AC439" i="1"/>
  <c r="AD554" i="1"/>
  <c r="AK499" i="1"/>
  <c r="AK522" i="1" s="1"/>
  <c r="AD350" i="1"/>
  <c r="AD432" i="1"/>
  <c r="AD439" i="1"/>
  <c r="AD447" i="1"/>
  <c r="AE439" i="1"/>
  <c r="AE350" i="1"/>
  <c r="AE432" i="1"/>
  <c r="AO447" i="1"/>
  <c r="AM115" i="1"/>
  <c r="AG350" i="1"/>
  <c r="AG429" i="1" s="1"/>
  <c r="AK447" i="1"/>
  <c r="AG447" i="1"/>
  <c r="AG432" i="1"/>
  <c r="G643" i="1"/>
  <c r="G645" i="1" s="1"/>
  <c r="BC313" i="1"/>
  <c r="BE313" i="1" s="1"/>
  <c r="BA313" i="1"/>
  <c r="BA314" i="1" s="1"/>
  <c r="AL546" i="1"/>
  <c r="AL499" i="1"/>
  <c r="G22" i="15"/>
  <c r="AA129" i="1"/>
  <c r="N387" i="1"/>
  <c r="AL193" i="1"/>
  <c r="AK193" i="1"/>
  <c r="K71" i="94"/>
  <c r="AK182" i="1"/>
  <c r="AK169" i="1"/>
  <c r="F86" i="17"/>
  <c r="F82" i="17"/>
  <c r="AK256" i="1"/>
  <c r="AO255" i="1"/>
  <c r="AK235" i="1"/>
  <c r="AL256" i="1"/>
  <c r="F206" i="1"/>
  <c r="F142" i="1"/>
  <c r="F146" i="1"/>
  <c r="AI350" i="1"/>
  <c r="AI447" i="1"/>
  <c r="AI432" i="1"/>
  <c r="Z164" i="1"/>
  <c r="AC501" i="1"/>
  <c r="AC524" i="1" s="1"/>
  <c r="Y254" i="1"/>
  <c r="Y235" i="1" s="1"/>
  <c r="I324" i="1"/>
  <c r="AJ546" i="1"/>
  <c r="AK546" i="1"/>
  <c r="AJ499" i="1"/>
  <c r="AJ522" i="1" s="1"/>
  <c r="AN554" i="1"/>
  <c r="H227" i="1"/>
  <c r="H11" i="1"/>
  <c r="I225" i="1"/>
  <c r="BI224" i="1"/>
  <c r="H225" i="1"/>
  <c r="Q110" i="94"/>
  <c r="M110" i="94"/>
  <c r="M91" i="94"/>
  <c r="Z500" i="1"/>
  <c r="Z523" i="1" s="1"/>
  <c r="E258" i="1"/>
  <c r="E567" i="1"/>
  <c r="R116" i="17"/>
  <c r="Q248" i="17"/>
  <c r="Q38" i="17"/>
  <c r="Q159" i="17"/>
  <c r="Q203" i="17"/>
  <c r="Q52" i="17" s="1"/>
  <c r="Q74" i="17"/>
  <c r="Q205" i="1" s="1"/>
  <c r="Q118" i="17"/>
  <c r="Q386" i="1"/>
  <c r="P388" i="1"/>
  <c r="O771" i="1"/>
  <c r="O75" i="17"/>
  <c r="O45" i="17"/>
  <c r="P140" i="17"/>
  <c r="P184" i="17"/>
  <c r="Q99" i="17"/>
  <c r="BC51" i="1"/>
  <c r="BC38" i="1"/>
  <c r="AX84" i="1"/>
  <c r="AP74" i="1"/>
  <c r="AX248" i="1"/>
  <c r="AN110" i="1"/>
  <c r="AN207" i="1"/>
  <c r="AN125" i="1"/>
  <c r="AO117" i="1"/>
  <c r="AN124" i="1"/>
  <c r="AN179" i="1"/>
  <c r="AO116" i="1"/>
  <c r="AM117" i="1"/>
  <c r="AN137" i="1"/>
  <c r="AN139" i="1" s="1"/>
  <c r="AN142" i="1"/>
  <c r="AN116" i="1"/>
  <c r="AN117" i="1"/>
  <c r="AL117" i="1"/>
  <c r="AW43" i="1"/>
  <c r="AW73" i="1"/>
  <c r="AW56" i="1"/>
  <c r="AV120" i="1"/>
  <c r="AU217" i="1"/>
  <c r="AV217" i="1"/>
  <c r="AU221" i="1"/>
  <c r="J201" i="1"/>
  <c r="J159" i="1" s="1"/>
  <c r="J160" i="1" s="1"/>
  <c r="AU213" i="1"/>
  <c r="AV221" i="1"/>
  <c r="AX221" i="1"/>
  <c r="AW221" i="1"/>
  <c r="X92" i="94"/>
  <c r="X88" i="94"/>
  <c r="X69" i="94"/>
  <c r="AI124" i="1"/>
  <c r="AI138" i="1"/>
  <c r="AI110" i="1"/>
  <c r="AI179" i="1"/>
  <c r="AI115" i="1"/>
  <c r="AI137" i="1"/>
  <c r="AI207" i="1"/>
  <c r="AI177" i="1"/>
  <c r="I627" i="1"/>
  <c r="I643" i="1" s="1"/>
  <c r="AX217" i="1"/>
  <c r="AX213" i="1"/>
  <c r="AX210" i="1"/>
  <c r="AR149" i="1"/>
  <c r="AX81" i="1"/>
  <c r="AX83" i="1"/>
  <c r="AT200" i="1"/>
  <c r="AT202" i="1" s="1"/>
  <c r="T89" i="94"/>
  <c r="T30" i="94"/>
  <c r="AT205" i="1" s="1"/>
  <c r="T108" i="94"/>
  <c r="I85" i="1"/>
  <c r="J101" i="1"/>
  <c r="I129" i="15"/>
  <c r="I130" i="15" s="1"/>
  <c r="I128" i="15" s="1"/>
  <c r="I661" i="1"/>
  <c r="AU242" i="1"/>
  <c r="BD18" i="1"/>
  <c r="BD566" i="1"/>
  <c r="V89" i="94"/>
  <c r="AV200" i="1"/>
  <c r="AV202" i="1" s="1"/>
  <c r="V108" i="94"/>
  <c r="I68" i="1"/>
  <c r="I753" i="1"/>
  <c r="I754" i="1" s="1"/>
  <c r="AT564" i="1"/>
  <c r="T102" i="94"/>
  <c r="T55" i="94"/>
  <c r="X102" i="94"/>
  <c r="T83" i="94"/>
  <c r="Y102" i="94"/>
  <c r="AU564" i="1"/>
  <c r="U55" i="94"/>
  <c r="U83" i="94" s="1"/>
  <c r="U102" i="94"/>
  <c r="AZ58" i="1"/>
  <c r="AZ45" i="1"/>
  <c r="AU209" i="1"/>
  <c r="AU212" i="1"/>
  <c r="BC254" i="1"/>
  <c r="AY13" i="1"/>
  <c r="AV193" i="1"/>
  <c r="AW193" i="1"/>
  <c r="AV187" i="1"/>
  <c r="J170" i="1"/>
  <c r="V98" i="94"/>
  <c r="AV563" i="1"/>
  <c r="V55" i="94"/>
  <c r="V79" i="94" s="1"/>
  <c r="J324" i="1"/>
  <c r="K326" i="1"/>
  <c r="H578" i="1"/>
  <c r="H579" i="1" s="1"/>
  <c r="H663" i="1"/>
  <c r="H665" i="1"/>
  <c r="H666" i="1"/>
  <c r="I298" i="1"/>
  <c r="I16" i="1"/>
  <c r="I290" i="1"/>
  <c r="J290" i="1"/>
  <c r="L106" i="1"/>
  <c r="AO439" i="1"/>
  <c r="AN432" i="1"/>
  <c r="AN350" i="1"/>
  <c r="AN447" i="1"/>
  <c r="AN439" i="1"/>
  <c r="AL554" i="1"/>
  <c r="AH499" i="1"/>
  <c r="AI546" i="1"/>
  <c r="AH554" i="1"/>
  <c r="AH546" i="1"/>
  <c r="AF350" i="1"/>
  <c r="AF429" i="1" s="1"/>
  <c r="AF432" i="1"/>
  <c r="AF447" i="1"/>
  <c r="AF439" i="1"/>
  <c r="AG439" i="1"/>
  <c r="AA440" i="1"/>
  <c r="AA433" i="1"/>
  <c r="AM546" i="1"/>
  <c r="AM554" i="1"/>
  <c r="AM499" i="1"/>
  <c r="AM522" i="1" s="1"/>
  <c r="AN546" i="1"/>
  <c r="AH432" i="1"/>
  <c r="AL447" i="1"/>
  <c r="AH447" i="1"/>
  <c r="AI439" i="1"/>
  <c r="AH350" i="1"/>
  <c r="AH429" i="1" s="1"/>
  <c r="AH439" i="1"/>
  <c r="AF543" i="1"/>
  <c r="AG546" i="1"/>
  <c r="AF554" i="1"/>
  <c r="AF546" i="1"/>
  <c r="AJ554" i="1"/>
  <c r="G567" i="1"/>
  <c r="G30" i="1"/>
  <c r="G228" i="1"/>
  <c r="G336" i="1"/>
  <c r="G25" i="1"/>
  <c r="G292" i="1"/>
  <c r="G27" i="1"/>
  <c r="G32" i="1"/>
  <c r="G31" i="1"/>
  <c r="G109" i="15"/>
  <c r="G110" i="15" s="1"/>
  <c r="G26" i="1"/>
  <c r="G18" i="15"/>
  <c r="G236" i="1"/>
  <c r="G165" i="1"/>
  <c r="G24" i="1"/>
  <c r="G29" i="1"/>
  <c r="AB543" i="1"/>
  <c r="AB546" i="1"/>
  <c r="AM350" i="1"/>
  <c r="AM432" i="1"/>
  <c r="AM439" i="1"/>
  <c r="AM447" i="1"/>
  <c r="AC546" i="1"/>
  <c r="BA106" i="1"/>
  <c r="V235" i="1"/>
  <c r="AC233" i="1"/>
  <c r="Z234" i="1"/>
  <c r="Y234" i="1"/>
  <c r="AG234" i="1"/>
  <c r="AP192" i="1"/>
  <c r="AO177" i="1"/>
  <c r="AS186" i="1"/>
  <c r="AO181" i="1"/>
  <c r="W235" i="1"/>
  <c r="AA255" i="1"/>
  <c r="W256" i="1"/>
  <c r="AO248" i="1"/>
  <c r="AL249" i="1"/>
  <c r="AK249" i="1"/>
  <c r="F205" i="1"/>
  <c r="F141" i="1"/>
  <c r="F145" i="1"/>
  <c r="AJ255" i="1"/>
  <c r="AF235" i="1"/>
  <c r="I315" i="1"/>
  <c r="I310" i="1" s="1"/>
  <c r="AB256" i="1"/>
  <c r="O92" i="17"/>
  <c r="O134" i="17"/>
  <c r="O178" i="17"/>
  <c r="P279" i="1"/>
  <c r="P14" i="1" s="1"/>
  <c r="P54" i="1" s="1"/>
  <c r="AT248" i="1"/>
  <c r="AU249" i="1"/>
  <c r="O313" i="1"/>
  <c r="N15" i="1"/>
  <c r="P75" i="17"/>
  <c r="P45" i="17"/>
  <c r="R163" i="17"/>
  <c r="R162" i="17" s="1"/>
  <c r="Q162" i="17"/>
  <c r="H35" i="17"/>
  <c r="I96" i="17"/>
  <c r="I95" i="17"/>
  <c r="H42" i="17"/>
  <c r="I137" i="17"/>
  <c r="H41" i="17"/>
  <c r="H48" i="17"/>
  <c r="H49" i="17"/>
  <c r="H181" i="17"/>
  <c r="I181" i="17"/>
  <c r="H47" i="17"/>
  <c r="O143" i="17"/>
  <c r="P188" i="17"/>
  <c r="P144" i="17"/>
  <c r="AY213" i="1"/>
  <c r="AY217" i="1"/>
  <c r="AY197" i="1"/>
  <c r="AY10" i="1"/>
  <c r="AY209" i="1"/>
  <c r="AY210" i="1"/>
  <c r="AY164" i="1"/>
  <c r="AY163" i="1"/>
  <c r="P149" i="17"/>
  <c r="P148" i="17" s="1"/>
  <c r="P71" i="17"/>
  <c r="Q107" i="17"/>
  <c r="P106" i="17"/>
  <c r="P237" i="17" s="1"/>
  <c r="P238" i="17" s="1"/>
  <c r="P193" i="17"/>
  <c r="P192" i="17" s="1"/>
  <c r="Q484" i="1"/>
  <c r="P483" i="1"/>
  <c r="P487" i="1" s="1"/>
  <c r="AN483" i="1"/>
  <c r="AN486" i="1"/>
  <c r="AN475" i="1"/>
  <c r="AN485" i="1"/>
  <c r="AN484" i="1"/>
  <c r="AL475" i="1"/>
  <c r="AL486" i="1"/>
  <c r="AL483" i="1"/>
  <c r="AL485" i="1"/>
  <c r="AL484" i="1"/>
  <c r="K321" i="1"/>
  <c r="J322" i="1"/>
  <c r="J18" i="1"/>
  <c r="BB63" i="1"/>
  <c r="BB56" i="1"/>
  <c r="BC43" i="1"/>
  <c r="H627" i="1"/>
  <c r="H668" i="1"/>
  <c r="AP485" i="1"/>
  <c r="AP483" i="1"/>
  <c r="AP486" i="1"/>
  <c r="AP484" i="1"/>
  <c r="AH207" i="1"/>
  <c r="AH115" i="1"/>
  <c r="AH124" i="1"/>
  <c r="AL115" i="1"/>
  <c r="AH179" i="1"/>
  <c r="AH138" i="1"/>
  <c r="AH177" i="1"/>
  <c r="AH137" i="1"/>
  <c r="AH116" i="1"/>
  <c r="AI116" i="1"/>
  <c r="AI117" i="1"/>
  <c r="AH117" i="1"/>
  <c r="AH110" i="1"/>
  <c r="AH125" i="1"/>
  <c r="AS248" i="1"/>
  <c r="AS249" i="1"/>
  <c r="AT249" i="1"/>
  <c r="AW52" i="1"/>
  <c r="AS39" i="1"/>
  <c r="AT39" i="1"/>
  <c r="I84" i="17"/>
  <c r="I170" i="17"/>
  <c r="I126" i="17"/>
  <c r="I209" i="1"/>
  <c r="I212" i="1"/>
  <c r="J82" i="15"/>
  <c r="M750" i="1"/>
  <c r="L794" i="1"/>
  <c r="L608" i="1"/>
  <c r="AU74" i="1"/>
  <c r="AV44" i="1"/>
  <c r="AU44" i="1"/>
  <c r="AU57" i="1"/>
  <c r="J146" i="1"/>
  <c r="I206" i="1"/>
  <c r="I146" i="1"/>
  <c r="I142" i="1"/>
  <c r="AK124" i="1"/>
  <c r="AK207" i="1"/>
  <c r="AL116" i="1"/>
  <c r="AK137" i="1"/>
  <c r="AK117" i="1"/>
  <c r="AK125" i="1"/>
  <c r="AK115" i="1"/>
  <c r="AK179" i="1"/>
  <c r="AO115" i="1"/>
  <c r="AK116" i="1"/>
  <c r="AK138" i="1"/>
  <c r="AK110" i="1"/>
  <c r="L799" i="1"/>
  <c r="J668" i="1"/>
  <c r="J627" i="1"/>
  <c r="J643" i="1" s="1"/>
  <c r="AT484" i="1"/>
  <c r="AT486" i="1"/>
  <c r="AT485" i="1"/>
  <c r="AT483" i="1"/>
  <c r="AS181" i="1"/>
  <c r="AS179" i="1"/>
  <c r="AJ137" i="1"/>
  <c r="AJ125" i="1"/>
  <c r="AJ116" i="1"/>
  <c r="AJ179" i="1"/>
  <c r="AN115" i="1"/>
  <c r="AJ115" i="1"/>
  <c r="AJ124" i="1"/>
  <c r="AJ117" i="1"/>
  <c r="AJ138" i="1"/>
  <c r="AJ110" i="1"/>
  <c r="AJ207" i="1"/>
  <c r="BB17" i="1"/>
  <c r="BB315" i="1"/>
  <c r="BB566" i="1"/>
  <c r="AS38" i="1"/>
  <c r="AT125" i="1"/>
  <c r="AT110" i="1"/>
  <c r="AT115" i="1"/>
  <c r="AT142" i="1"/>
  <c r="AT124" i="1"/>
  <c r="AT116" i="1"/>
  <c r="AT177" i="1"/>
  <c r="AX114" i="1"/>
  <c r="AT179" i="1"/>
  <c r="AU316" i="1"/>
  <c r="G128" i="1"/>
  <c r="G121" i="1"/>
  <c r="G122" i="1" s="1"/>
  <c r="G130" i="1" s="1"/>
  <c r="G124" i="1"/>
  <c r="H121" i="1"/>
  <c r="H122" i="1" s="1"/>
  <c r="I128" i="1"/>
  <c r="H128" i="1"/>
  <c r="H124" i="1"/>
  <c r="AW44" i="1"/>
  <c r="AW74" i="1"/>
  <c r="AW57" i="1"/>
  <c r="AN499" i="1"/>
  <c r="AN522" i="1" s="1"/>
  <c r="AW248" i="1"/>
  <c r="AX249" i="1"/>
  <c r="AW249" i="1"/>
  <c r="AR42" i="1"/>
  <c r="AQ42" i="1"/>
  <c r="BC310" i="1"/>
  <c r="AY17" i="1"/>
  <c r="AY315" i="1"/>
  <c r="AY316" i="1" s="1"/>
  <c r="AS141" i="1"/>
  <c r="AS143" i="1" s="1"/>
  <c r="AX57" i="1"/>
  <c r="AX74" i="1"/>
  <c r="AX44" i="1"/>
  <c r="AV45" i="1"/>
  <c r="AU45" i="1"/>
  <c r="AU75" i="1"/>
  <c r="AU58" i="1"/>
  <c r="AY58" i="1"/>
  <c r="AY193" i="1"/>
  <c r="AV316" i="1"/>
  <c r="M715" i="1"/>
  <c r="L770" i="1"/>
  <c r="J89" i="15"/>
  <c r="AW51" i="1"/>
  <c r="AW38" i="1"/>
  <c r="H90" i="15"/>
  <c r="G85" i="15"/>
  <c r="K631" i="1"/>
  <c r="AR483" i="1"/>
  <c r="AR486" i="1"/>
  <c r="AR485" i="1"/>
  <c r="AR484" i="1"/>
  <c r="AX483" i="1"/>
  <c r="AX484" i="1"/>
  <c r="AX485" i="1"/>
  <c r="AR74" i="1"/>
  <c r="AV57" i="1"/>
  <c r="AR44" i="1"/>
  <c r="AR19" i="1"/>
  <c r="AS44" i="1"/>
  <c r="AS37" i="1"/>
  <c r="AW50" i="1"/>
  <c r="AX486" i="1"/>
  <c r="AQ39" i="1"/>
  <c r="AR39" i="1"/>
  <c r="AY155" i="1"/>
  <c r="AY221" i="1"/>
  <c r="AV52" i="1"/>
  <c r="AV39" i="1"/>
  <c r="AW39" i="1"/>
  <c r="AA504" i="1"/>
  <c r="AU39" i="1"/>
  <c r="AU52" i="1"/>
  <c r="N623" i="1"/>
  <c r="M819" i="1"/>
  <c r="AO505" i="1"/>
  <c r="AO536" i="1" s="1"/>
  <c r="AZ68" i="1"/>
  <c r="AE411" i="1" l="1"/>
  <c r="AO433" i="1"/>
  <c r="AO349" i="1"/>
  <c r="AO427" i="1" s="1"/>
  <c r="AB255" i="1"/>
  <c r="AF255" i="1"/>
  <c r="M55" i="1"/>
  <c r="Y563" i="1"/>
  <c r="Y562" i="1" s="1"/>
  <c r="I160" i="1"/>
  <c r="AC254" i="1"/>
  <c r="AC255" i="1" s="1"/>
  <c r="Y207" i="1"/>
  <c r="AY160" i="1"/>
  <c r="Y164" i="1"/>
  <c r="AG249" i="1"/>
  <c r="G103" i="17"/>
  <c r="AU207" i="1"/>
  <c r="AO540" i="1"/>
  <c r="AO507" i="1"/>
  <c r="J579" i="1"/>
  <c r="K799" i="1"/>
  <c r="AI184" i="1"/>
  <c r="AQ184" i="1"/>
  <c r="AO184" i="1"/>
  <c r="AM184" i="1"/>
  <c r="AF184" i="1"/>
  <c r="AX184" i="1"/>
  <c r="AD184" i="1"/>
  <c r="AS184" i="1"/>
  <c r="H184" i="1"/>
  <c r="AR184" i="1"/>
  <c r="AV184" i="1"/>
  <c r="AT184" i="1"/>
  <c r="AL184" i="1"/>
  <c r="D184" i="1"/>
  <c r="C184" i="1"/>
  <c r="AU184" i="1"/>
  <c r="J158" i="1"/>
  <c r="J126" i="1"/>
  <c r="H160" i="1"/>
  <c r="AN177" i="1"/>
  <c r="AD235" i="1"/>
  <c r="H251" i="17"/>
  <c r="F143" i="1"/>
  <c r="AO192" i="1"/>
  <c r="AN192" i="1"/>
  <c r="Z255" i="1"/>
  <c r="AA256" i="1"/>
  <c r="H75" i="17"/>
  <c r="AN181" i="1"/>
  <c r="H206" i="17"/>
  <c r="BA107" i="1"/>
  <c r="Z157" i="1"/>
  <c r="M126" i="1"/>
  <c r="AA157" i="1"/>
  <c r="E143" i="1"/>
  <c r="AC164" i="1"/>
  <c r="AF157" i="1"/>
  <c r="AD157" i="1"/>
  <c r="AE157" i="1"/>
  <c r="G33" i="1"/>
  <c r="AC157" i="1"/>
  <c r="AG158" i="1" s="1"/>
  <c r="J70" i="17"/>
  <c r="J71" i="17" s="1"/>
  <c r="J143" i="1"/>
  <c r="H125" i="1"/>
  <c r="H126" i="1" s="1"/>
  <c r="G125" i="1"/>
  <c r="G126" i="1" s="1"/>
  <c r="AP112" i="1"/>
  <c r="I36" i="17"/>
  <c r="I102" i="17"/>
  <c r="H175" i="17"/>
  <c r="J184" i="17"/>
  <c r="I37" i="17"/>
  <c r="I66" i="17"/>
  <c r="J86" i="1"/>
  <c r="AX86" i="1"/>
  <c r="I86" i="1"/>
  <c r="H137" i="17"/>
  <c r="J37" i="17"/>
  <c r="I131" i="17"/>
  <c r="AW71" i="1"/>
  <c r="BA285" i="1"/>
  <c r="BA286" i="1"/>
  <c r="AM527" i="1"/>
  <c r="AN528" i="1"/>
  <c r="AI539" i="1"/>
  <c r="AM528" i="1"/>
  <c r="AI503" i="1"/>
  <c r="AI534" i="1" s="1"/>
  <c r="AJ527" i="1"/>
  <c r="J148" i="17"/>
  <c r="J149" i="17" s="1"/>
  <c r="J154" i="17" s="1"/>
  <c r="H132" i="17"/>
  <c r="J192" i="17"/>
  <c r="J193" i="17" s="1"/>
  <c r="J198" i="17" s="1"/>
  <c r="H115" i="17"/>
  <c r="L55" i="1"/>
  <c r="H246" i="17"/>
  <c r="AN527" i="1"/>
  <c r="AJ528" i="1"/>
  <c r="AK528" i="1"/>
  <c r="AL411" i="1"/>
  <c r="AI527" i="1"/>
  <c r="AI528" i="1"/>
  <c r="AM349" i="1"/>
  <c r="AM427" i="1" s="1"/>
  <c r="AM429" i="1"/>
  <c r="AI547" i="1"/>
  <c r="AH522" i="1"/>
  <c r="AH528" i="1" s="1"/>
  <c r="AE448" i="1"/>
  <c r="AE429" i="1"/>
  <c r="AA411" i="1"/>
  <c r="AK527" i="1"/>
  <c r="Z411" i="1"/>
  <c r="AD349" i="1"/>
  <c r="AD427" i="1" s="1"/>
  <c r="AD429" i="1"/>
  <c r="AH527" i="1"/>
  <c r="AN349" i="1"/>
  <c r="AN427" i="1" s="1"/>
  <c r="AN429" i="1"/>
  <c r="AI349" i="1"/>
  <c r="AI427" i="1" s="1"/>
  <c r="AI429" i="1"/>
  <c r="AB440" i="1"/>
  <c r="AB429" i="1"/>
  <c r="AJ349" i="1"/>
  <c r="AJ427" i="1" s="1"/>
  <c r="AJ429" i="1"/>
  <c r="AL527" i="1"/>
  <c r="C499" i="1"/>
  <c r="C503" i="1" s="1"/>
  <c r="C521" i="1"/>
  <c r="AK411" i="1"/>
  <c r="AB411" i="1"/>
  <c r="AA349" i="1"/>
  <c r="AA427" i="1" s="1"/>
  <c r="AA535" i="1"/>
  <c r="AC207" i="1"/>
  <c r="G428" i="1"/>
  <c r="G414" i="1"/>
  <c r="G526" i="1"/>
  <c r="G416" i="1"/>
  <c r="G424" i="1"/>
  <c r="G412" i="1"/>
  <c r="G413" i="1"/>
  <c r="E526" i="1"/>
  <c r="E424" i="1"/>
  <c r="E428" i="1"/>
  <c r="E413" i="1"/>
  <c r="E414" i="1"/>
  <c r="E416" i="1"/>
  <c r="E412" i="1"/>
  <c r="AC163" i="1"/>
  <c r="AG163" i="1"/>
  <c r="J64" i="17"/>
  <c r="AU116" i="1"/>
  <c r="AR112" i="1"/>
  <c r="K55" i="1"/>
  <c r="AU137" i="1"/>
  <c r="AU205" i="1" s="1"/>
  <c r="AY114" i="1"/>
  <c r="AY138" i="1" s="1"/>
  <c r="AU177" i="1"/>
  <c r="D95" i="17"/>
  <c r="BB316" i="1"/>
  <c r="AU110" i="1"/>
  <c r="AU112" i="1" s="1"/>
  <c r="AU138" i="1"/>
  <c r="AU206" i="1" s="1"/>
  <c r="H485" i="1"/>
  <c r="AU179" i="1"/>
  <c r="AT19" i="1"/>
  <c r="AT77" i="1" s="1"/>
  <c r="Z524" i="1"/>
  <c r="AB499" i="1"/>
  <c r="AB521" i="1"/>
  <c r="AF523" i="1"/>
  <c r="AA524" i="1"/>
  <c r="AD523" i="1"/>
  <c r="C428" i="1"/>
  <c r="C525" i="1"/>
  <c r="C527" i="1" s="1"/>
  <c r="AL503" i="1"/>
  <c r="AL505" i="1" s="1"/>
  <c r="AL536" i="1" s="1"/>
  <c r="AL522" i="1"/>
  <c r="AL528" i="1" s="1"/>
  <c r="BK500" i="1"/>
  <c r="AG523" i="1"/>
  <c r="BA442" i="1"/>
  <c r="L450" i="1"/>
  <c r="K771" i="1"/>
  <c r="W125" i="1"/>
  <c r="J99" i="17"/>
  <c r="J229" i="17" s="1"/>
  <c r="J228" i="17" s="1"/>
  <c r="K228" i="17" s="1"/>
  <c r="L228" i="17" s="1"/>
  <c r="C170" i="1"/>
  <c r="BE285" i="1"/>
  <c r="AN188" i="1"/>
  <c r="D487" i="1"/>
  <c r="J36" i="17"/>
  <c r="AR188" i="1"/>
  <c r="BB286" i="1"/>
  <c r="E393" i="1"/>
  <c r="E408" i="1"/>
  <c r="E405" i="1"/>
  <c r="E406" i="1"/>
  <c r="E407" i="1"/>
  <c r="E404" i="1"/>
  <c r="E401" i="1"/>
  <c r="E402" i="1"/>
  <c r="E409" i="1"/>
  <c r="G393" i="1"/>
  <c r="G405" i="1"/>
  <c r="G406" i="1"/>
  <c r="G402" i="1"/>
  <c r="G408" i="1"/>
  <c r="G409" i="1"/>
  <c r="G407" i="1"/>
  <c r="G404" i="1"/>
  <c r="G401" i="1"/>
  <c r="J100" i="17"/>
  <c r="K11" i="1"/>
  <c r="K51" i="1" s="1"/>
  <c r="K98" i="17"/>
  <c r="K36" i="17" s="1"/>
  <c r="J111" i="1"/>
  <c r="J102" i="17"/>
  <c r="J94" i="17" s="1"/>
  <c r="K110" i="1"/>
  <c r="L110" i="1" s="1"/>
  <c r="M110" i="1" s="1"/>
  <c r="N110" i="1" s="1"/>
  <c r="I665" i="1"/>
  <c r="H233" i="17"/>
  <c r="F95" i="17"/>
  <c r="J123" i="17"/>
  <c r="J187" i="17"/>
  <c r="K187" i="17" s="1"/>
  <c r="L187" i="17" s="1"/>
  <c r="G95" i="17"/>
  <c r="K13" i="1"/>
  <c r="K53" i="1" s="1"/>
  <c r="J66" i="17"/>
  <c r="K66" i="17" s="1"/>
  <c r="L66" i="17" s="1"/>
  <c r="M66" i="17" s="1"/>
  <c r="N66" i="17" s="1"/>
  <c r="AL440" i="1"/>
  <c r="D178" i="1"/>
  <c r="E187" i="1"/>
  <c r="AK233" i="1"/>
  <c r="AK240" i="1" s="1"/>
  <c r="F157" i="17"/>
  <c r="AT72" i="1"/>
  <c r="AX72" i="1"/>
  <c r="AP72" i="1"/>
  <c r="C19" i="1"/>
  <c r="J645" i="1"/>
  <c r="AH234" i="1"/>
  <c r="AP141" i="1"/>
  <c r="AP143" i="1" s="1"/>
  <c r="AT49" i="1"/>
  <c r="G188" i="17"/>
  <c r="J705" i="1"/>
  <c r="K705" i="1" s="1"/>
  <c r="L705" i="1" s="1"/>
  <c r="M705" i="1" s="1"/>
  <c r="F181" i="17"/>
  <c r="AX49" i="1"/>
  <c r="AP19" i="1"/>
  <c r="D169" i="1"/>
  <c r="F246" i="17"/>
  <c r="F115" i="17"/>
  <c r="AX19" i="1"/>
  <c r="AX31" i="1" s="1"/>
  <c r="AG233" i="1"/>
  <c r="M596" i="1"/>
  <c r="M787" i="1" s="1"/>
  <c r="H95" i="17"/>
  <c r="L92" i="94"/>
  <c r="H9" i="1"/>
  <c r="AO205" i="1"/>
  <c r="P111" i="94"/>
  <c r="AN186" i="1"/>
  <c r="H144" i="17"/>
  <c r="G233" i="17"/>
  <c r="G144" i="17"/>
  <c r="I33" i="17"/>
  <c r="J106" i="17"/>
  <c r="J107" i="17" s="1"/>
  <c r="J767" i="1"/>
  <c r="J22" i="15" s="1"/>
  <c r="AJ186" i="1"/>
  <c r="J137" i="1"/>
  <c r="J139" i="1" s="1"/>
  <c r="AO139" i="1"/>
  <c r="AS147" i="1" s="1"/>
  <c r="I73" i="17"/>
  <c r="I201" i="17" s="1"/>
  <c r="I654" i="1"/>
  <c r="H33" i="17"/>
  <c r="J484" i="1"/>
  <c r="AP149" i="1"/>
  <c r="H22" i="15"/>
  <c r="BA254" i="1"/>
  <c r="BA13" i="1" s="1"/>
  <c r="AV110" i="1"/>
  <c r="AV112" i="1" s="1"/>
  <c r="AV179" i="1"/>
  <c r="BA42" i="1"/>
  <c r="G115" i="17"/>
  <c r="AW114" i="1"/>
  <c r="AW115" i="1" s="1"/>
  <c r="BA224" i="1"/>
  <c r="AZ229" i="1" s="1"/>
  <c r="BA55" i="1"/>
  <c r="K183" i="17"/>
  <c r="J50" i="17"/>
  <c r="J51" i="17"/>
  <c r="H483" i="1"/>
  <c r="AV116" i="1"/>
  <c r="AV137" i="1"/>
  <c r="AP29" i="1"/>
  <c r="AM112" i="1"/>
  <c r="BN114" i="1"/>
  <c r="J43" i="17"/>
  <c r="J44" i="17"/>
  <c r="K139" i="17"/>
  <c r="H484" i="1"/>
  <c r="H486" i="1"/>
  <c r="AV138" i="1"/>
  <c r="AV206" i="1" s="1"/>
  <c r="AV177" i="1"/>
  <c r="AV207" i="1"/>
  <c r="J257" i="1"/>
  <c r="C487" i="1"/>
  <c r="I178" i="1"/>
  <c r="AR141" i="1"/>
  <c r="AR143" i="1" s="1"/>
  <c r="BO16" i="1"/>
  <c r="J53" i="1"/>
  <c r="AR111" i="1"/>
  <c r="BC55" i="1"/>
  <c r="I122" i="1"/>
  <c r="J130" i="1" s="1"/>
  <c r="AX487" i="1"/>
  <c r="AU216" i="1"/>
  <c r="H226" i="17"/>
  <c r="G157" i="17"/>
  <c r="H188" i="17"/>
  <c r="J52" i="1"/>
  <c r="AZ51" i="1"/>
  <c r="G201" i="17"/>
  <c r="J73" i="17"/>
  <c r="J157" i="17" s="1"/>
  <c r="I484" i="1"/>
  <c r="J562" i="1"/>
  <c r="J258" i="1" s="1"/>
  <c r="C236" i="1"/>
  <c r="H40" i="17"/>
  <c r="BC42" i="1"/>
  <c r="AP111" i="1"/>
  <c r="BB42" i="1"/>
  <c r="AM149" i="1"/>
  <c r="G137" i="17"/>
  <c r="I186" i="1"/>
  <c r="AL205" i="1"/>
  <c r="K289" i="1"/>
  <c r="N298" i="1"/>
  <c r="O298" i="1" s="1"/>
  <c r="P298" i="1" s="1"/>
  <c r="Q298" i="1" s="1"/>
  <c r="R298" i="1" s="1"/>
  <c r="J303" i="1"/>
  <c r="I645" i="1"/>
  <c r="F165" i="1"/>
  <c r="AP145" i="1"/>
  <c r="I181" i="1"/>
  <c r="AW173" i="1"/>
  <c r="J40" i="17"/>
  <c r="BA153" i="1"/>
  <c r="AZ177" i="1"/>
  <c r="AZ110" i="1"/>
  <c r="BE15" i="1"/>
  <c r="AZ56" i="1"/>
  <c r="AZ73" i="1"/>
  <c r="BD51" i="1"/>
  <c r="BM609" i="1"/>
  <c r="AR31" i="1"/>
  <c r="AR28" i="1"/>
  <c r="E137" i="17"/>
  <c r="J485" i="1"/>
  <c r="K295" i="1"/>
  <c r="K301" i="1" s="1"/>
  <c r="I767" i="1"/>
  <c r="I485" i="1"/>
  <c r="BE286" i="1"/>
  <c r="J483" i="1"/>
  <c r="J486" i="1"/>
  <c r="J58" i="17"/>
  <c r="I486" i="1"/>
  <c r="J50" i="1"/>
  <c r="J9" i="1"/>
  <c r="I50" i="1"/>
  <c r="I9" i="1"/>
  <c r="AL141" i="1"/>
  <c r="AL143" i="1" s="1"/>
  <c r="AK214" i="1"/>
  <c r="AK218" i="1"/>
  <c r="AL218" i="1"/>
  <c r="V122" i="1"/>
  <c r="W122" i="1"/>
  <c r="AO214" i="1"/>
  <c r="AL433" i="1"/>
  <c r="AL349" i="1"/>
  <c r="AL427" i="1" s="1"/>
  <c r="N110" i="94"/>
  <c r="J91" i="94"/>
  <c r="F130" i="1"/>
  <c r="AO448" i="1"/>
  <c r="AK349" i="1"/>
  <c r="AK427" i="1" s="1"/>
  <c r="AI186" i="1"/>
  <c r="AC128" i="1"/>
  <c r="AH349" i="1"/>
  <c r="AH427" i="1" s="1"/>
  <c r="J72" i="94"/>
  <c r="AJ192" i="1"/>
  <c r="AJ181" i="1"/>
  <c r="H130" i="1"/>
  <c r="AU214" i="1"/>
  <c r="AU218" i="1"/>
  <c r="AY214" i="1"/>
  <c r="AT214" i="1"/>
  <c r="AT218" i="1"/>
  <c r="BD53" i="1"/>
  <c r="AZ302" i="1"/>
  <c r="I177" i="1"/>
  <c r="I123" i="17"/>
  <c r="I167" i="17"/>
  <c r="J168" i="17" s="1"/>
  <c r="I58" i="17"/>
  <c r="BD99" i="1"/>
  <c r="BD297" i="1"/>
  <c r="BD302" i="1" s="1"/>
  <c r="AZ43" i="1"/>
  <c r="AV214" i="1"/>
  <c r="AV218" i="1"/>
  <c r="AW218" i="1"/>
  <c r="BD16" i="1"/>
  <c r="BD565" i="1"/>
  <c r="W6" i="15"/>
  <c r="P771" i="1"/>
  <c r="K173" i="1"/>
  <c r="L297" i="1"/>
  <c r="L289" i="1" s="1"/>
  <c r="J735" i="1"/>
  <c r="BA297" i="1"/>
  <c r="BA302" i="1" s="1"/>
  <c r="E95" i="17"/>
  <c r="AZ53" i="1"/>
  <c r="BC92" i="1"/>
  <c r="AT25" i="1"/>
  <c r="AT29" i="1"/>
  <c r="I82" i="17"/>
  <c r="I90" i="17"/>
  <c r="BN609" i="1"/>
  <c r="K155" i="1"/>
  <c r="M111" i="94"/>
  <c r="J731" i="1"/>
  <c r="J669" i="1"/>
  <c r="J73" i="1"/>
  <c r="AY190" i="1"/>
  <c r="AP151" i="1"/>
  <c r="AH139" i="1"/>
  <c r="AL147" i="1" s="1"/>
  <c r="AJ139" i="1"/>
  <c r="AK139" i="1"/>
  <c r="AI139" i="1"/>
  <c r="AR147" i="1"/>
  <c r="AM205" i="1"/>
  <c r="AM139" i="1"/>
  <c r="AM151" i="1" s="1"/>
  <c r="AU121" i="1"/>
  <c r="AU122" i="1" s="1"/>
  <c r="AF504" i="1"/>
  <c r="AE349" i="1"/>
  <c r="AE427" i="1" s="1"/>
  <c r="AT27" i="1"/>
  <c r="BC302" i="1"/>
  <c r="J42" i="17"/>
  <c r="J41" i="17"/>
  <c r="J137" i="17"/>
  <c r="K358" i="1"/>
  <c r="L583" i="1"/>
  <c r="BA583" i="1"/>
  <c r="BA358" i="1" s="1"/>
  <c r="O165" i="15"/>
  <c r="O169" i="15" s="1"/>
  <c r="O176" i="15" s="1"/>
  <c r="J670" i="1"/>
  <c r="I732" i="1"/>
  <c r="I731" i="1"/>
  <c r="I735" i="1"/>
  <c r="I739" i="1" s="1"/>
  <c r="J739" i="1" s="1"/>
  <c r="BJ169" i="1"/>
  <c r="AK177" i="1"/>
  <c r="BL169" i="1"/>
  <c r="AO188" i="1"/>
  <c r="J665" i="1"/>
  <c r="J666" i="1"/>
  <c r="AQ111" i="1"/>
  <c r="J49" i="17"/>
  <c r="J48" i="17"/>
  <c r="J47" i="17"/>
  <c r="I22" i="15"/>
  <c r="AM141" i="1"/>
  <c r="AM143" i="1" s="1"/>
  <c r="N6" i="1"/>
  <c r="O4" i="15"/>
  <c r="P30" i="15"/>
  <c r="O31" i="15"/>
  <c r="I83" i="15"/>
  <c r="I78" i="15"/>
  <c r="BA450" i="1"/>
  <c r="N63" i="17"/>
  <c r="P234" i="17"/>
  <c r="O233" i="17"/>
  <c r="O67" i="17" s="1"/>
  <c r="P230" i="17"/>
  <c r="O229" i="17"/>
  <c r="O64" i="17" s="1"/>
  <c r="O107" i="1" s="1"/>
  <c r="E181" i="17"/>
  <c r="J200" i="1"/>
  <c r="M106" i="1"/>
  <c r="T106" i="1" s="1"/>
  <c r="BP106" i="1"/>
  <c r="BO153" i="1"/>
  <c r="E226" i="17"/>
  <c r="AF256" i="1"/>
  <c r="F32" i="1"/>
  <c r="F29" i="1"/>
  <c r="AI255" i="1"/>
  <c r="AE235" i="1"/>
  <c r="F567" i="1"/>
  <c r="F336" i="1"/>
  <c r="F30" i="1"/>
  <c r="F24" i="1"/>
  <c r="G59" i="1"/>
  <c r="F27" i="1"/>
  <c r="F25" i="1"/>
  <c r="F228" i="1"/>
  <c r="F292" i="1"/>
  <c r="F236" i="1"/>
  <c r="F26" i="1"/>
  <c r="F23" i="1"/>
  <c r="F31" i="1"/>
  <c r="AG498" i="1"/>
  <c r="AD501" i="1"/>
  <c r="AD524" i="1" s="1"/>
  <c r="AD502" i="1"/>
  <c r="X291" i="1"/>
  <c r="AE498" i="1"/>
  <c r="AF502" i="1"/>
  <c r="Y121" i="1"/>
  <c r="Y125" i="1" s="1"/>
  <c r="L11" i="1"/>
  <c r="M224" i="1"/>
  <c r="BE224" i="1"/>
  <c r="AF498" i="1"/>
  <c r="AG502" i="1"/>
  <c r="K102" i="17"/>
  <c r="L102" i="17" s="1"/>
  <c r="M102" i="17" s="1"/>
  <c r="N102" i="17" s="1"/>
  <c r="O102" i="17" s="1"/>
  <c r="P102" i="17" s="1"/>
  <c r="Q102" i="17" s="1"/>
  <c r="R102" i="17" s="1"/>
  <c r="Z256" i="1"/>
  <c r="AD498" i="1"/>
  <c r="AF501" i="1"/>
  <c r="AF524" i="1" s="1"/>
  <c r="AE502" i="1"/>
  <c r="K741" i="1"/>
  <c r="L741" i="1" s="1"/>
  <c r="M741" i="1" s="1"/>
  <c r="N741" i="1" s="1"/>
  <c r="L732" i="1"/>
  <c r="Q624" i="1"/>
  <c r="P763" i="1"/>
  <c r="AC249" i="1"/>
  <c r="AD249" i="1"/>
  <c r="AU111" i="1"/>
  <c r="AA500" i="1"/>
  <c r="AA523" i="1" s="1"/>
  <c r="AJ354" i="1"/>
  <c r="AJ433" i="1"/>
  <c r="N788" i="1"/>
  <c r="N824" i="1"/>
  <c r="O595" i="1"/>
  <c r="O824" i="1" s="1"/>
  <c r="AC502" i="1"/>
  <c r="C359" i="1"/>
  <c r="C415" i="1" s="1"/>
  <c r="C434" i="1"/>
  <c r="Z291" i="1"/>
  <c r="Y291" i="1"/>
  <c r="Y256" i="1"/>
  <c r="AL354" i="1"/>
  <c r="AL434" i="1" s="1"/>
  <c r="Y124" i="1"/>
  <c r="AO186" i="1"/>
  <c r="AD255" i="1"/>
  <c r="AG248" i="1"/>
  <c r="AA502" i="1"/>
  <c r="AC498" i="1"/>
  <c r="Z132" i="1"/>
  <c r="Y132" i="1"/>
  <c r="AE256" i="1"/>
  <c r="AU128" i="1"/>
  <c r="AU132" i="1"/>
  <c r="AB500" i="1"/>
  <c r="AB523" i="1" s="1"/>
  <c r="Z502" i="1"/>
  <c r="Z498" i="1"/>
  <c r="AB206" i="1"/>
  <c r="AC201" i="1"/>
  <c r="BE450" i="1"/>
  <c r="L153" i="1"/>
  <c r="BE153" i="1" s="1"/>
  <c r="AG254" i="1"/>
  <c r="AG235" i="1" s="1"/>
  <c r="BB442" i="1"/>
  <c r="AA498" i="1"/>
  <c r="J315" i="1"/>
  <c r="J316" i="1" s="1"/>
  <c r="AC500" i="1"/>
  <c r="AB502" i="1"/>
  <c r="W291" i="1"/>
  <c r="H274" i="1"/>
  <c r="H276" i="1"/>
  <c r="H53" i="1"/>
  <c r="I53" i="1"/>
  <c r="H70" i="17"/>
  <c r="H71" i="17" s="1"/>
  <c r="H148" i="17"/>
  <c r="H192" i="17"/>
  <c r="H237" i="17"/>
  <c r="H106" i="17"/>
  <c r="I103" i="17"/>
  <c r="I233" i="17" s="1"/>
  <c r="I232" i="17" s="1"/>
  <c r="D261" i="1"/>
  <c r="E261" i="1"/>
  <c r="D269" i="1"/>
  <c r="AB205" i="1"/>
  <c r="I144" i="17"/>
  <c r="J144" i="17"/>
  <c r="H127" i="17"/>
  <c r="H128" i="17"/>
  <c r="H172" i="17"/>
  <c r="H171" i="17"/>
  <c r="AG182" i="1"/>
  <c r="AH193" i="1"/>
  <c r="AG169" i="1"/>
  <c r="AK186" i="1" s="1"/>
  <c r="AG193" i="1"/>
  <c r="AG178" i="1"/>
  <c r="BE106" i="1"/>
  <c r="BE107" i="1" s="1"/>
  <c r="AE192" i="1"/>
  <c r="AF192" i="1"/>
  <c r="AE181" i="1"/>
  <c r="AE177" i="1"/>
  <c r="I188" i="17"/>
  <c r="H85" i="17"/>
  <c r="H86" i="17"/>
  <c r="E274" i="1"/>
  <c r="D274" i="1"/>
  <c r="J273" i="1"/>
  <c r="J263" i="1"/>
  <c r="J261" i="1"/>
  <c r="L114" i="1"/>
  <c r="AK187" i="1"/>
  <c r="I276" i="1"/>
  <c r="I274" i="1"/>
  <c r="D19" i="1"/>
  <c r="L269" i="1"/>
  <c r="K260" i="1"/>
  <c r="I67" i="17"/>
  <c r="H218" i="17"/>
  <c r="H217" i="17"/>
  <c r="Y249" i="1"/>
  <c r="Z249" i="1"/>
  <c r="BE314" i="1"/>
  <c r="AE440" i="1"/>
  <c r="AE354" i="1"/>
  <c r="AE433" i="1"/>
  <c r="E395" i="1"/>
  <c r="E688" i="1"/>
  <c r="E475" i="1"/>
  <c r="E690" i="1"/>
  <c r="E649" i="1"/>
  <c r="E394" i="1"/>
  <c r="E656" i="1"/>
  <c r="E685" i="1"/>
  <c r="E396" i="1"/>
  <c r="E338" i="1"/>
  <c r="E403" i="1" s="1"/>
  <c r="E655" i="1"/>
  <c r="E497" i="1"/>
  <c r="AD433" i="1"/>
  <c r="AD440" i="1"/>
  <c r="AD354" i="1"/>
  <c r="AD448" i="1"/>
  <c r="AK433" i="1"/>
  <c r="AK354" i="1"/>
  <c r="AK440" i="1"/>
  <c r="AC440" i="1"/>
  <c r="AB433" i="1"/>
  <c r="AO359" i="1"/>
  <c r="AO415" i="1" s="1"/>
  <c r="AO434" i="1"/>
  <c r="AK539" i="1"/>
  <c r="AK503" i="1"/>
  <c r="AK534" i="1" s="1"/>
  <c r="AO555" i="1"/>
  <c r="H51" i="1"/>
  <c r="I51" i="1"/>
  <c r="O387" i="1"/>
  <c r="F475" i="1"/>
  <c r="AL539" i="1"/>
  <c r="AL547" i="1"/>
  <c r="AI433" i="1"/>
  <c r="AI354" i="1"/>
  <c r="AI448" i="1"/>
  <c r="AJ440" i="1"/>
  <c r="F75" i="17"/>
  <c r="F117" i="17"/>
  <c r="F206" i="17"/>
  <c r="F251" i="17"/>
  <c r="F162" i="17"/>
  <c r="AK192" i="1"/>
  <c r="AK181" i="1"/>
  <c r="K72" i="94"/>
  <c r="AL192" i="1"/>
  <c r="K91" i="94"/>
  <c r="O110" i="94"/>
  <c r="AK547" i="1"/>
  <c r="AJ503" i="1"/>
  <c r="AJ539" i="1"/>
  <c r="AJ547" i="1"/>
  <c r="AK448" i="1"/>
  <c r="AG448" i="1"/>
  <c r="AG354" i="1"/>
  <c r="AG433" i="1"/>
  <c r="BA108" i="1"/>
  <c r="R203" i="17"/>
  <c r="R52" i="17" s="1"/>
  <c r="R74" i="17"/>
  <c r="R205" i="1" s="1"/>
  <c r="R38" i="17"/>
  <c r="R118" i="17"/>
  <c r="R159" i="17"/>
  <c r="R248" i="17"/>
  <c r="R386" i="1"/>
  <c r="Q388" i="1"/>
  <c r="AZ98" i="1"/>
  <c r="AZ90" i="1"/>
  <c r="O206" i="1"/>
  <c r="O76" i="17"/>
  <c r="Q184" i="17"/>
  <c r="Q140" i="17"/>
  <c r="R99" i="17"/>
  <c r="BB106" i="1"/>
  <c r="BB153" i="1" s="1"/>
  <c r="BB155" i="1" s="1"/>
  <c r="BO17" i="1"/>
  <c r="AY74" i="1"/>
  <c r="AV121" i="1"/>
  <c r="AV122" i="1" s="1"/>
  <c r="AV132" i="1"/>
  <c r="AW120" i="1"/>
  <c r="AV128" i="1"/>
  <c r="AZ120" i="1"/>
  <c r="BD114" i="1"/>
  <c r="AZ138" i="1"/>
  <c r="AZ137" i="1"/>
  <c r="AN141" i="1"/>
  <c r="AN143" i="1" s="1"/>
  <c r="AO112" i="1"/>
  <c r="AN112" i="1"/>
  <c r="AN205" i="1"/>
  <c r="AN149" i="1"/>
  <c r="AR145" i="1"/>
  <c r="AO149" i="1"/>
  <c r="H137" i="1"/>
  <c r="H205" i="1" s="1"/>
  <c r="H116" i="17" s="1"/>
  <c r="AV146" i="1"/>
  <c r="AI205" i="1"/>
  <c r="AM145" i="1"/>
  <c r="AI145" i="1"/>
  <c r="AI111" i="1"/>
  <c r="AM111" i="1"/>
  <c r="AI146" i="1"/>
  <c r="AI206" i="1"/>
  <c r="AM146" i="1"/>
  <c r="AX200" i="1"/>
  <c r="AX202" i="1" s="1"/>
  <c r="X89" i="94"/>
  <c r="AT209" i="1"/>
  <c r="AT212" i="1"/>
  <c r="AT216" i="1"/>
  <c r="X108" i="94"/>
  <c r="J206" i="1"/>
  <c r="J130" i="17"/>
  <c r="J174" i="17"/>
  <c r="J213" i="1"/>
  <c r="J210" i="1"/>
  <c r="J221" i="1"/>
  <c r="I662" i="1"/>
  <c r="I670" i="1" s="1"/>
  <c r="I669" i="1"/>
  <c r="AY53" i="1"/>
  <c r="AZ40" i="1"/>
  <c r="AY40" i="1"/>
  <c r="AZ100" i="1"/>
  <c r="AZ92" i="1"/>
  <c r="Y94" i="94"/>
  <c r="U85" i="94"/>
  <c r="U94" i="94"/>
  <c r="U86" i="94"/>
  <c r="U77" i="94"/>
  <c r="U75" i="94"/>
  <c r="U79" i="94"/>
  <c r="U78" i="94"/>
  <c r="U82" i="94"/>
  <c r="U84" i="94"/>
  <c r="U81" i="94"/>
  <c r="X94" i="94"/>
  <c r="T82" i="94"/>
  <c r="T78" i="94"/>
  <c r="T75" i="94"/>
  <c r="T85" i="94"/>
  <c r="T86" i="94"/>
  <c r="T77" i="94"/>
  <c r="T79" i="94"/>
  <c r="T84" i="94"/>
  <c r="T94" i="94"/>
  <c r="T81" i="94"/>
  <c r="AV212" i="1"/>
  <c r="AV209" i="1"/>
  <c r="AV216" i="1"/>
  <c r="AW216" i="1"/>
  <c r="V83" i="94"/>
  <c r="V75" i="94"/>
  <c r="V82" i="94"/>
  <c r="V84" i="94"/>
  <c r="V86" i="94"/>
  <c r="V81" i="94"/>
  <c r="V85" i="94"/>
  <c r="V77" i="94"/>
  <c r="V94" i="94"/>
  <c r="V78" i="94"/>
  <c r="J187" i="1"/>
  <c r="J169" i="1"/>
  <c r="J182" i="1"/>
  <c r="J178" i="1"/>
  <c r="BD45" i="1"/>
  <c r="BD65" i="1"/>
  <c r="BD58" i="1"/>
  <c r="BN9" i="1"/>
  <c r="BC13" i="1"/>
  <c r="BD256" i="1"/>
  <c r="BC256" i="1"/>
  <c r="AV242" i="1"/>
  <c r="AU239" i="1"/>
  <c r="K324" i="1"/>
  <c r="L326" i="1"/>
  <c r="L324" i="1" s="1"/>
  <c r="H669" i="1"/>
  <c r="I56" i="1"/>
  <c r="J56" i="1"/>
  <c r="I73" i="1"/>
  <c r="G338" i="1"/>
  <c r="G403" i="1" s="1"/>
  <c r="G656" i="1"/>
  <c r="G693" i="1"/>
  <c r="G692" i="1" s="1"/>
  <c r="G125" i="15"/>
  <c r="G126" i="15" s="1"/>
  <c r="G124" i="15" s="1"/>
  <c r="G690" i="1"/>
  <c r="G649" i="1"/>
  <c r="G396" i="1"/>
  <c r="G685" i="1"/>
  <c r="G655" i="1"/>
  <c r="G374" i="1"/>
  <c r="G497" i="1"/>
  <c r="G395" i="1"/>
  <c r="G394" i="1"/>
  <c r="G688" i="1"/>
  <c r="G475" i="1"/>
  <c r="AN354" i="1"/>
  <c r="AN433" i="1"/>
  <c r="AN448" i="1"/>
  <c r="AO440" i="1"/>
  <c r="AN440" i="1"/>
  <c r="AM539" i="1"/>
  <c r="AM555" i="1"/>
  <c r="AM503" i="1"/>
  <c r="AM547" i="1"/>
  <c r="AM433" i="1"/>
  <c r="AM448" i="1"/>
  <c r="AM354" i="1"/>
  <c r="AM440" i="1"/>
  <c r="AL448" i="1"/>
  <c r="AH433" i="1"/>
  <c r="AI440" i="1"/>
  <c r="AH448" i="1"/>
  <c r="AH354" i="1"/>
  <c r="AH440" i="1"/>
  <c r="AF354" i="1"/>
  <c r="AF433" i="1"/>
  <c r="AF440" i="1"/>
  <c r="AF448" i="1"/>
  <c r="AG440" i="1"/>
  <c r="AJ448" i="1"/>
  <c r="AI507" i="1"/>
  <c r="AH503" i="1"/>
  <c r="AH539" i="1"/>
  <c r="AL555" i="1"/>
  <c r="F70" i="17"/>
  <c r="F71" i="17" s="1"/>
  <c r="F192" i="17"/>
  <c r="F148" i="17"/>
  <c r="F237" i="17"/>
  <c r="F106" i="17"/>
  <c r="F248" i="17"/>
  <c r="F74" i="17"/>
  <c r="F203" i="17"/>
  <c r="F116" i="17"/>
  <c r="F159" i="17"/>
  <c r="P284" i="1"/>
  <c r="O15" i="1"/>
  <c r="N55" i="1"/>
  <c r="P313" i="1"/>
  <c r="Q279" i="1"/>
  <c r="Q14" i="1" s="1"/>
  <c r="Q54" i="1" s="1"/>
  <c r="P178" i="17"/>
  <c r="P134" i="17"/>
  <c r="P92" i="17"/>
  <c r="AC235" i="1"/>
  <c r="Q75" i="17"/>
  <c r="Q45" i="17"/>
  <c r="R45" i="17"/>
  <c r="R75" i="17"/>
  <c r="P206" i="1"/>
  <c r="P76" i="17"/>
  <c r="P143" i="17"/>
  <c r="Q188" i="17"/>
  <c r="Q144" i="17"/>
  <c r="T110" i="1"/>
  <c r="AY37" i="1"/>
  <c r="AY50" i="1"/>
  <c r="Q193" i="17"/>
  <c r="Q192" i="17" s="1"/>
  <c r="Q149" i="17"/>
  <c r="Q148" i="17" s="1"/>
  <c r="Q71" i="17"/>
  <c r="R107" i="17"/>
  <c r="Q106" i="17"/>
  <c r="Q237" i="17" s="1"/>
  <c r="Q238" i="17" s="1"/>
  <c r="P142" i="1"/>
  <c r="P70" i="17"/>
  <c r="R484" i="1"/>
  <c r="R483" i="1" s="1"/>
  <c r="R487" i="1" s="1"/>
  <c r="Q483" i="1"/>
  <c r="Q487" i="1" s="1"/>
  <c r="G178" i="1"/>
  <c r="G129" i="1"/>
  <c r="G654" i="1"/>
  <c r="AT141" i="1"/>
  <c r="AT143" i="1" s="1"/>
  <c r="AT112" i="1"/>
  <c r="AT111" i="1"/>
  <c r="I127" i="17"/>
  <c r="I85" i="17"/>
  <c r="I86" i="17"/>
  <c r="AH145" i="1"/>
  <c r="AH205" i="1"/>
  <c r="AH149" i="1"/>
  <c r="G137" i="1"/>
  <c r="AI149" i="1"/>
  <c r="AL145" i="1"/>
  <c r="BA321" i="1"/>
  <c r="K18" i="1"/>
  <c r="L321" i="1"/>
  <c r="BA171" i="1"/>
  <c r="BC566" i="1"/>
  <c r="BC315" i="1"/>
  <c r="BC316" i="1" s="1"/>
  <c r="BC17" i="1"/>
  <c r="AX120" i="1"/>
  <c r="AX121" i="1" s="1"/>
  <c r="AX110" i="1"/>
  <c r="BB114" i="1"/>
  <c r="AX137" i="1"/>
  <c r="AX138" i="1"/>
  <c r="AX207" i="1"/>
  <c r="AX177" i="1"/>
  <c r="AX179" i="1"/>
  <c r="BB64" i="1"/>
  <c r="BB57" i="1"/>
  <c r="AN145" i="1"/>
  <c r="AJ149" i="1"/>
  <c r="AJ145" i="1"/>
  <c r="AJ205" i="1"/>
  <c r="M799" i="1"/>
  <c r="I141" i="1"/>
  <c r="I143" i="1" s="1"/>
  <c r="N750" i="1"/>
  <c r="M608" i="1"/>
  <c r="M794" i="1"/>
  <c r="I171" i="17"/>
  <c r="H643" i="1"/>
  <c r="H645" i="1" s="1"/>
  <c r="L13" i="1"/>
  <c r="M254" i="1"/>
  <c r="BE254" i="1"/>
  <c r="AN503" i="1"/>
  <c r="AN534" i="1" s="1"/>
  <c r="AN555" i="1"/>
  <c r="AN547" i="1"/>
  <c r="AN539" i="1"/>
  <c r="AO547" i="1"/>
  <c r="H654" i="1"/>
  <c r="H129" i="1"/>
  <c r="H178" i="1"/>
  <c r="I129" i="1"/>
  <c r="AJ150" i="1"/>
  <c r="AJ146" i="1"/>
  <c r="AN146" i="1"/>
  <c r="AJ206" i="1"/>
  <c r="AL112" i="1"/>
  <c r="AK111" i="1"/>
  <c r="AO111" i="1"/>
  <c r="AK112" i="1"/>
  <c r="AK145" i="1"/>
  <c r="AK205" i="1"/>
  <c r="AL149" i="1"/>
  <c r="AO145" i="1"/>
  <c r="AK149" i="1"/>
  <c r="I162" i="17"/>
  <c r="I206" i="17"/>
  <c r="I75" i="17"/>
  <c r="I117" i="17"/>
  <c r="J78" i="15"/>
  <c r="J83" i="15"/>
  <c r="BB98" i="1"/>
  <c r="BC90" i="1"/>
  <c r="AZ44" i="1"/>
  <c r="AY57" i="1"/>
  <c r="AY44" i="1"/>
  <c r="AN111" i="1"/>
  <c r="AJ111" i="1"/>
  <c r="AJ112" i="1"/>
  <c r="AK206" i="1"/>
  <c r="AO146" i="1"/>
  <c r="AK150" i="1"/>
  <c r="AL150" i="1"/>
  <c r="AK146" i="1"/>
  <c r="AI112" i="1"/>
  <c r="AH112" i="1"/>
  <c r="AH111" i="1"/>
  <c r="AL111" i="1"/>
  <c r="AI150" i="1"/>
  <c r="AH206" i="1"/>
  <c r="AH150" i="1"/>
  <c r="AH146" i="1"/>
  <c r="G138" i="1"/>
  <c r="AL146" i="1"/>
  <c r="J75" i="1"/>
  <c r="BB232" i="1"/>
  <c r="N715" i="1"/>
  <c r="M770" i="1"/>
  <c r="AT36" i="1"/>
  <c r="AS72" i="1"/>
  <c r="AS36" i="1"/>
  <c r="AS19" i="1"/>
  <c r="AS28" i="1" s="1"/>
  <c r="BB171" i="1"/>
  <c r="AQ19" i="1"/>
  <c r="AQ28" i="1" s="1"/>
  <c r="AR36" i="1"/>
  <c r="AQ72" i="1"/>
  <c r="AQ36" i="1"/>
  <c r="AR23" i="1"/>
  <c r="AR29" i="1"/>
  <c r="AR32" i="1"/>
  <c r="AR27" i="1"/>
  <c r="AR77" i="1"/>
  <c r="AR30" i="1"/>
  <c r="AR76" i="1"/>
  <c r="AR26" i="1"/>
  <c r="AR46" i="1"/>
  <c r="AR292" i="1"/>
  <c r="AR25" i="1"/>
  <c r="AR336" i="1"/>
  <c r="AR59" i="1"/>
  <c r="AR24" i="1"/>
  <c r="AR562" i="1"/>
  <c r="AR236" i="1"/>
  <c r="L631" i="1"/>
  <c r="AW49" i="1"/>
  <c r="AW19" i="1"/>
  <c r="AW72" i="1"/>
  <c r="AX36" i="1"/>
  <c r="J85" i="15"/>
  <c r="J90" i="15"/>
  <c r="I17" i="1"/>
  <c r="AU72" i="1"/>
  <c r="AU49" i="1"/>
  <c r="AU36" i="1"/>
  <c r="AU19" i="1"/>
  <c r="AU28" i="1" s="1"/>
  <c r="AB504" i="1"/>
  <c r="AV19" i="1"/>
  <c r="AV49" i="1"/>
  <c r="AW36" i="1"/>
  <c r="AV72" i="1"/>
  <c r="AV36" i="1"/>
  <c r="O623" i="1"/>
  <c r="N819" i="1"/>
  <c r="AO542" i="1"/>
  <c r="AO541" i="1" l="1"/>
  <c r="AC256" i="1"/>
  <c r="K37" i="17"/>
  <c r="AU149" i="1"/>
  <c r="N596" i="1"/>
  <c r="O596" i="1" s="1"/>
  <c r="AD256" i="1"/>
  <c r="AG255" i="1"/>
  <c r="BB256" i="1"/>
  <c r="BA289" i="1"/>
  <c r="BA565" i="1" s="1"/>
  <c r="AE184" i="1"/>
  <c r="AK184" i="1"/>
  <c r="AJ184" i="1"/>
  <c r="I184" i="1"/>
  <c r="AN184" i="1"/>
  <c r="K114" i="1"/>
  <c r="BA155" i="1"/>
  <c r="F33" i="1"/>
  <c r="AF158" i="1"/>
  <c r="AJ158" i="1"/>
  <c r="AE158" i="1"/>
  <c r="AI158" i="1"/>
  <c r="AD158" i="1"/>
  <c r="AH158" i="1"/>
  <c r="I172" i="17"/>
  <c r="BA256" i="1"/>
  <c r="J151" i="17"/>
  <c r="BA255" i="1"/>
  <c r="AU145" i="1"/>
  <c r="AV149" i="1"/>
  <c r="J188" i="17"/>
  <c r="BA11" i="1"/>
  <c r="AP77" i="1"/>
  <c r="AP30" i="1"/>
  <c r="AV145" i="1"/>
  <c r="K565" i="1"/>
  <c r="J195" i="17"/>
  <c r="K290" i="1"/>
  <c r="K16" i="1"/>
  <c r="AI540" i="1"/>
  <c r="AI505" i="1"/>
  <c r="AI536" i="1" s="1"/>
  <c r="BB229" i="1"/>
  <c r="AP76" i="1"/>
  <c r="AP28" i="1"/>
  <c r="AU150" i="1"/>
  <c r="J201" i="17"/>
  <c r="BA225" i="1"/>
  <c r="I157" i="17"/>
  <c r="AP292" i="1"/>
  <c r="AR33" i="1"/>
  <c r="K180" i="17"/>
  <c r="K48" i="17" s="1"/>
  <c r="AT76" i="1"/>
  <c r="AT26" i="1"/>
  <c r="AT562" i="1"/>
  <c r="AT165" i="1" s="1"/>
  <c r="AY207" i="1"/>
  <c r="AY137" i="1"/>
  <c r="AZ149" i="1" s="1"/>
  <c r="AY120" i="1"/>
  <c r="BO120" i="1" s="1"/>
  <c r="AY179" i="1"/>
  <c r="AT59" i="1"/>
  <c r="AT24" i="1"/>
  <c r="AT336" i="1"/>
  <c r="AT408" i="1" s="1"/>
  <c r="AT32" i="1"/>
  <c r="AY177" i="1"/>
  <c r="AY110" i="1"/>
  <c r="AZ112" i="1" s="1"/>
  <c r="AT23" i="1"/>
  <c r="AY116" i="1"/>
  <c r="AV111" i="1"/>
  <c r="AZ116" i="1"/>
  <c r="BC114" i="1"/>
  <c r="BC137" i="1" s="1"/>
  <c r="AT31" i="1"/>
  <c r="AT292" i="1"/>
  <c r="AT30" i="1"/>
  <c r="AT28" i="1"/>
  <c r="AT236" i="1"/>
  <c r="AJ548" i="1"/>
  <c r="AJ534" i="1"/>
  <c r="AI548" i="1"/>
  <c r="AH534" i="1"/>
  <c r="C522" i="1"/>
  <c r="AF349" i="1"/>
  <c r="AF427" i="1" s="1"/>
  <c r="AF535" i="1"/>
  <c r="C507" i="1"/>
  <c r="C528" i="1" s="1"/>
  <c r="C534" i="1"/>
  <c r="AL507" i="1"/>
  <c r="AL534" i="1"/>
  <c r="AB349" i="1"/>
  <c r="AB427" i="1" s="1"/>
  <c r="AB535" i="1"/>
  <c r="AM548" i="1"/>
  <c r="AM534" i="1"/>
  <c r="C567" i="1"/>
  <c r="C165" i="1"/>
  <c r="E535" i="1"/>
  <c r="E524" i="1"/>
  <c r="E525" i="1"/>
  <c r="E520" i="1"/>
  <c r="E523" i="1"/>
  <c r="E529" i="1"/>
  <c r="E530" i="1"/>
  <c r="E531" i="1"/>
  <c r="E532" i="1"/>
  <c r="E521" i="1"/>
  <c r="G521" i="1"/>
  <c r="G535" i="1"/>
  <c r="G524" i="1"/>
  <c r="G525" i="1"/>
  <c r="G520" i="1"/>
  <c r="G523" i="1"/>
  <c r="G529" i="1"/>
  <c r="G531" i="1"/>
  <c r="F526" i="1"/>
  <c r="F416" i="1"/>
  <c r="F424" i="1"/>
  <c r="F412" i="1"/>
  <c r="F428" i="1"/>
  <c r="F413" i="1"/>
  <c r="F414" i="1"/>
  <c r="AL540" i="1"/>
  <c r="AL548" i="1"/>
  <c r="K101" i="17"/>
  <c r="L98" i="17"/>
  <c r="L100" i="17" s="1"/>
  <c r="AW138" i="1"/>
  <c r="AW142" i="1" s="1"/>
  <c r="K100" i="17"/>
  <c r="AO147" i="1"/>
  <c r="AO151" i="1"/>
  <c r="AV150" i="1"/>
  <c r="AU146" i="1"/>
  <c r="AU139" i="1"/>
  <c r="AV117" i="1"/>
  <c r="AR428" i="1"/>
  <c r="AR526" i="1"/>
  <c r="AB428" i="1"/>
  <c r="AB525" i="1"/>
  <c r="AB527" i="1" s="1"/>
  <c r="BJ500" i="1"/>
  <c r="AC523" i="1"/>
  <c r="AF428" i="1"/>
  <c r="AF525" i="1"/>
  <c r="AF527" i="1" s="1"/>
  <c r="AG499" i="1"/>
  <c r="AG503" i="1" s="1"/>
  <c r="AG534" i="1" s="1"/>
  <c r="AG521" i="1"/>
  <c r="AA499" i="1"/>
  <c r="AA522" i="1" s="1"/>
  <c r="AA521" i="1"/>
  <c r="Z428" i="1"/>
  <c r="Z525" i="1"/>
  <c r="Z527" i="1" s="1"/>
  <c r="AC428" i="1"/>
  <c r="AC525" i="1"/>
  <c r="AB539" i="1"/>
  <c r="AB522" i="1"/>
  <c r="AE428" i="1"/>
  <c r="AE525" i="1"/>
  <c r="AE527" i="1" s="1"/>
  <c r="AF499" i="1"/>
  <c r="AF522" i="1" s="1"/>
  <c r="AF521" i="1"/>
  <c r="AE499" i="1"/>
  <c r="AE522" i="1" s="1"/>
  <c r="AE521" i="1"/>
  <c r="AD428" i="1"/>
  <c r="AD525" i="1"/>
  <c r="AD527" i="1" s="1"/>
  <c r="Z499" i="1"/>
  <c r="Z522" i="1" s="1"/>
  <c r="Z521" i="1"/>
  <c r="AC499" i="1"/>
  <c r="AC522" i="1" s="1"/>
  <c r="AC521" i="1"/>
  <c r="AA428" i="1"/>
  <c r="AA525" i="1"/>
  <c r="AA527" i="1" s="1"/>
  <c r="AD499" i="1"/>
  <c r="AD503" i="1" s="1"/>
  <c r="AD521" i="1"/>
  <c r="AG428" i="1"/>
  <c r="AG525" i="1"/>
  <c r="AG527" i="1" s="1"/>
  <c r="AP24" i="1"/>
  <c r="AP25" i="1"/>
  <c r="AP23" i="1"/>
  <c r="AP46" i="1"/>
  <c r="AR393" i="1"/>
  <c r="AR401" i="1"/>
  <c r="AR409" i="1"/>
  <c r="AR421" i="1"/>
  <c r="AR423" i="1"/>
  <c r="AR405" i="1"/>
  <c r="AR419" i="1"/>
  <c r="AR404" i="1"/>
  <c r="AR424" i="1"/>
  <c r="AR416" i="1"/>
  <c r="AR420" i="1"/>
  <c r="AR417" i="1"/>
  <c r="AR413" i="1"/>
  <c r="AR422" i="1"/>
  <c r="AR418" i="1"/>
  <c r="AR407" i="1"/>
  <c r="AR402" i="1"/>
  <c r="AR406" i="1"/>
  <c r="AR414" i="1"/>
  <c r="AR412" i="1"/>
  <c r="AR408" i="1"/>
  <c r="AX59" i="1"/>
  <c r="AP562" i="1"/>
  <c r="AP236" i="1"/>
  <c r="AX77" i="1"/>
  <c r="AX292" i="1"/>
  <c r="AK255" i="1"/>
  <c r="J67" i="17"/>
  <c r="AV139" i="1"/>
  <c r="AV147" i="1" s="1"/>
  <c r="E410" i="1"/>
  <c r="E411" i="1" s="1"/>
  <c r="C169" i="1"/>
  <c r="AX29" i="1"/>
  <c r="AX116" i="1"/>
  <c r="J103" i="17"/>
  <c r="J233" i="17" s="1"/>
  <c r="F409" i="1"/>
  <c r="F404" i="1"/>
  <c r="F401" i="1"/>
  <c r="F408" i="1"/>
  <c r="F407" i="1"/>
  <c r="F405" i="1"/>
  <c r="F406" i="1"/>
  <c r="F402" i="1"/>
  <c r="AP336" i="1"/>
  <c r="AP475" i="1" s="1"/>
  <c r="G410" i="1"/>
  <c r="G411" i="1" s="1"/>
  <c r="E186" i="1"/>
  <c r="D177" i="1"/>
  <c r="D174" i="1"/>
  <c r="D179" i="1" s="1"/>
  <c r="AX236" i="1"/>
  <c r="AX336" i="1"/>
  <c r="AX27" i="1"/>
  <c r="AX32" i="1"/>
  <c r="AX562" i="1"/>
  <c r="AX567" i="1" s="1"/>
  <c r="I115" i="17"/>
  <c r="AX23" i="1"/>
  <c r="AX24" i="1"/>
  <c r="AX25" i="1"/>
  <c r="AX28" i="1"/>
  <c r="C228" i="1"/>
  <c r="C292" i="1"/>
  <c r="AX26" i="1"/>
  <c r="AX30" i="1"/>
  <c r="AX76" i="1"/>
  <c r="I130" i="1"/>
  <c r="AP27" i="1"/>
  <c r="AP31" i="1"/>
  <c r="AP26" i="1"/>
  <c r="AP59" i="1"/>
  <c r="AP32" i="1"/>
  <c r="F396" i="1"/>
  <c r="F393" i="1"/>
  <c r="AW137" i="1"/>
  <c r="AW149" i="1" s="1"/>
  <c r="AW116" i="1"/>
  <c r="BO114" i="1"/>
  <c r="AU117" i="1"/>
  <c r="AV205" i="1"/>
  <c r="J237" i="17"/>
  <c r="J238" i="17" s="1"/>
  <c r="J109" i="17"/>
  <c r="AW117" i="1"/>
  <c r="AW110" i="1"/>
  <c r="AW111" i="1" s="1"/>
  <c r="AT117" i="1"/>
  <c r="AW207" i="1"/>
  <c r="AW179" i="1"/>
  <c r="H487" i="1"/>
  <c r="H203" i="17"/>
  <c r="H52" i="17" s="1"/>
  <c r="BC229" i="1"/>
  <c r="BB226" i="1"/>
  <c r="BA229" i="1"/>
  <c r="BA226" i="1"/>
  <c r="AX229" i="1"/>
  <c r="K50" i="17"/>
  <c r="K51" i="17"/>
  <c r="L183" i="17"/>
  <c r="L180" i="17" s="1"/>
  <c r="AW177" i="1"/>
  <c r="AY229" i="1"/>
  <c r="BD229" i="1"/>
  <c r="K44" i="17"/>
  <c r="K136" i="17"/>
  <c r="K43" i="17"/>
  <c r="L139" i="17"/>
  <c r="I487" i="1"/>
  <c r="J487" i="1"/>
  <c r="AU125" i="1"/>
  <c r="K171" i="1"/>
  <c r="BA154" i="1"/>
  <c r="AZ205" i="1"/>
  <c r="AZ111" i="1"/>
  <c r="AZ150" i="1"/>
  <c r="AZ206" i="1"/>
  <c r="BE55" i="1"/>
  <c r="BE42" i="1"/>
  <c r="AY293" i="1"/>
  <c r="AZ293" i="1"/>
  <c r="BB291" i="1"/>
  <c r="AX293" i="1"/>
  <c r="BC293" i="1"/>
  <c r="AV23" i="1"/>
  <c r="AV28" i="1"/>
  <c r="BA16" i="1"/>
  <c r="BP16" i="1" s="1"/>
  <c r="BA290" i="1"/>
  <c r="BB293" i="1"/>
  <c r="AW23" i="1"/>
  <c r="AW28" i="1"/>
  <c r="BA291" i="1"/>
  <c r="BA293" i="1"/>
  <c r="BD293" i="1"/>
  <c r="BA298" i="1"/>
  <c r="BA303" i="1" s="1"/>
  <c r="J72" i="1"/>
  <c r="J174" i="1"/>
  <c r="J212" i="1"/>
  <c r="J202" i="1"/>
  <c r="J214" i="1" s="1"/>
  <c r="J170" i="17"/>
  <c r="J172" i="17" s="1"/>
  <c r="N106" i="1"/>
  <c r="AC129" i="1"/>
  <c r="M114" i="1"/>
  <c r="J205" i="1"/>
  <c r="J74" i="17" s="1"/>
  <c r="F690" i="1"/>
  <c r="BK169" i="1"/>
  <c r="J92" i="94"/>
  <c r="N111" i="94"/>
  <c r="Y122" i="1"/>
  <c r="AA130" i="1"/>
  <c r="X134" i="1"/>
  <c r="I132" i="17"/>
  <c r="I124" i="17"/>
  <c r="BD56" i="1"/>
  <c r="BD63" i="1"/>
  <c r="BD43" i="1"/>
  <c r="J49" i="1"/>
  <c r="I72" i="1"/>
  <c r="J124" i="17"/>
  <c r="I128" i="17"/>
  <c r="AU178" i="1"/>
  <c r="I168" i="17"/>
  <c r="I176" i="17"/>
  <c r="I179" i="1"/>
  <c r="I190" i="1"/>
  <c r="BE289" i="1"/>
  <c r="BE290" i="1" s="1"/>
  <c r="L16" i="1"/>
  <c r="L290" i="1"/>
  <c r="L565" i="1"/>
  <c r="J209" i="1"/>
  <c r="M297" i="1"/>
  <c r="BE297" i="1"/>
  <c r="BE302" i="1" s="1"/>
  <c r="L295" i="1"/>
  <c r="L301" i="1" s="1"/>
  <c r="J126" i="17"/>
  <c r="J128" i="17" s="1"/>
  <c r="AT395" i="1"/>
  <c r="AU133" i="1"/>
  <c r="AU129" i="1"/>
  <c r="AX139" i="1"/>
  <c r="AX147" i="1" s="1"/>
  <c r="AN151" i="1"/>
  <c r="AK147" i="1"/>
  <c r="AK151" i="1"/>
  <c r="AL151" i="1"/>
  <c r="AJ147" i="1"/>
  <c r="AJ151" i="1"/>
  <c r="AN147" i="1"/>
  <c r="BB195" i="1"/>
  <c r="AI147" i="1"/>
  <c r="AI151" i="1"/>
  <c r="AH147" i="1"/>
  <c r="AH151" i="1"/>
  <c r="AM147" i="1"/>
  <c r="AQ147" i="1"/>
  <c r="AZ139" i="1"/>
  <c r="AU130" i="1"/>
  <c r="AU134" i="1"/>
  <c r="AV130" i="1"/>
  <c r="AV134" i="1"/>
  <c r="AG504" i="1"/>
  <c r="AX122" i="1"/>
  <c r="K94" i="17"/>
  <c r="K112" i="17" s="1"/>
  <c r="BI500" i="1"/>
  <c r="M583" i="1"/>
  <c r="L358" i="1"/>
  <c r="P31" i="15"/>
  <c r="Q30" i="15"/>
  <c r="O6" i="1"/>
  <c r="P4" i="15"/>
  <c r="L155" i="1"/>
  <c r="O111" i="1"/>
  <c r="O110" i="1" s="1"/>
  <c r="O66" i="17"/>
  <c r="O63" i="17"/>
  <c r="Q234" i="17"/>
  <c r="P233" i="17"/>
  <c r="P67" i="17" s="1"/>
  <c r="P111" i="1" s="1"/>
  <c r="Q230" i="17"/>
  <c r="P229" i="17"/>
  <c r="P64" i="17" s="1"/>
  <c r="P107" i="1" s="1"/>
  <c r="F118" i="17"/>
  <c r="M153" i="1"/>
  <c r="BQ153" i="1" s="1"/>
  <c r="BP153" i="1"/>
  <c r="BQ106" i="1"/>
  <c r="AU23" i="1"/>
  <c r="AQ23" i="1"/>
  <c r="BM19" i="1"/>
  <c r="Z133" i="1"/>
  <c r="F688" i="1"/>
  <c r="F394" i="1"/>
  <c r="F374" i="1"/>
  <c r="G446" i="1"/>
  <c r="Y133" i="1"/>
  <c r="F655" i="1"/>
  <c r="F497" i="1"/>
  <c r="F446" i="1"/>
  <c r="F649" i="1"/>
  <c r="F656" i="1"/>
  <c r="F395" i="1"/>
  <c r="F685" i="1"/>
  <c r="F338" i="1"/>
  <c r="F403" i="1" s="1"/>
  <c r="M187" i="17"/>
  <c r="N187" i="17" s="1"/>
  <c r="O187" i="17" s="1"/>
  <c r="P187" i="17" s="1"/>
  <c r="Q187" i="17" s="1"/>
  <c r="Q771" i="1"/>
  <c r="AL359" i="1"/>
  <c r="K195" i="17"/>
  <c r="M11" i="1"/>
  <c r="N224" i="1"/>
  <c r="T224" i="1"/>
  <c r="L51" i="1"/>
  <c r="AH256" i="1"/>
  <c r="J96" i="17"/>
  <c r="J95" i="17"/>
  <c r="J138" i="17"/>
  <c r="J35" i="17"/>
  <c r="J34" i="17"/>
  <c r="J33" i="17"/>
  <c r="BE229" i="1"/>
  <c r="BE226" i="1"/>
  <c r="BE11" i="1"/>
  <c r="BE225" i="1"/>
  <c r="J112" i="17"/>
  <c r="BC120" i="1"/>
  <c r="AY206" i="1"/>
  <c r="AY146" i="1"/>
  <c r="AB503" i="1"/>
  <c r="K739" i="1"/>
  <c r="J740" i="1"/>
  <c r="K740" i="1" s="1"/>
  <c r="L740" i="1" s="1"/>
  <c r="M740" i="1" s="1"/>
  <c r="H159" i="17"/>
  <c r="H45" i="17" s="1"/>
  <c r="BC106" i="1"/>
  <c r="BC107" i="1" s="1"/>
  <c r="K315" i="1"/>
  <c r="J310" i="1"/>
  <c r="AY145" i="1"/>
  <c r="AJ434" i="1"/>
  <c r="AJ359" i="1"/>
  <c r="AJ415" i="1" s="1"/>
  <c r="Q763" i="1"/>
  <c r="R624" i="1"/>
  <c r="R763" i="1" s="1"/>
  <c r="H74" i="17"/>
  <c r="AC200" i="1"/>
  <c r="AC202" i="1" s="1"/>
  <c r="M732" i="1"/>
  <c r="L742" i="1"/>
  <c r="M742" i="1" s="1"/>
  <c r="N742" i="1" s="1"/>
  <c r="O742" i="1" s="1"/>
  <c r="H248" i="17"/>
  <c r="AG256" i="1"/>
  <c r="AA206" i="1"/>
  <c r="AB201" i="1"/>
  <c r="C370" i="1"/>
  <c r="P595" i="1"/>
  <c r="P824" i="1" s="1"/>
  <c r="O788" i="1"/>
  <c r="AL556" i="1"/>
  <c r="D270" i="1"/>
  <c r="E270" i="1"/>
  <c r="L120" i="1"/>
  <c r="H238" i="17"/>
  <c r="H243" i="17" s="1"/>
  <c r="H240" i="17"/>
  <c r="AG181" i="1"/>
  <c r="AG177" i="1"/>
  <c r="AG192" i="1"/>
  <c r="AH192" i="1"/>
  <c r="H193" i="17"/>
  <c r="H198" i="17" s="1"/>
  <c r="H195" i="17"/>
  <c r="L137" i="1"/>
  <c r="L60" i="17"/>
  <c r="L260" i="1"/>
  <c r="M269" i="1"/>
  <c r="H149" i="17"/>
  <c r="H154" i="17" s="1"/>
  <c r="H151" i="17"/>
  <c r="K261" i="1"/>
  <c r="K263" i="1"/>
  <c r="K273" i="1"/>
  <c r="I225" i="17"/>
  <c r="I226" i="17" s="1"/>
  <c r="J232" i="17"/>
  <c r="L138" i="1"/>
  <c r="D336" i="1"/>
  <c r="D236" i="1"/>
  <c r="D165" i="1"/>
  <c r="D567" i="1"/>
  <c r="D292" i="1"/>
  <c r="D228" i="1"/>
  <c r="J274" i="1"/>
  <c r="J276" i="1"/>
  <c r="AA205" i="1"/>
  <c r="H107" i="17"/>
  <c r="H112" i="17" s="1"/>
  <c r="H109" i="17"/>
  <c r="AK434" i="1"/>
  <c r="AK359" i="1"/>
  <c r="AK415" i="1" s="1"/>
  <c r="AK441" i="1"/>
  <c r="AL441" i="1"/>
  <c r="AK540" i="1"/>
  <c r="AO556" i="1"/>
  <c r="AK507" i="1"/>
  <c r="AK505" i="1"/>
  <c r="AO397" i="1"/>
  <c r="AO370" i="1"/>
  <c r="AO425" i="1" s="1"/>
  <c r="E350" i="1"/>
  <c r="E432" i="1"/>
  <c r="AE449" i="1"/>
  <c r="AE441" i="1"/>
  <c r="AE434" i="1"/>
  <c r="AO449" i="1"/>
  <c r="AD434" i="1"/>
  <c r="AD441" i="1"/>
  <c r="AD449" i="1"/>
  <c r="E499" i="1"/>
  <c r="E522" i="1" s="1"/>
  <c r="BB107" i="1"/>
  <c r="AG434" i="1"/>
  <c r="AK449" i="1"/>
  <c r="AG449" i="1"/>
  <c r="K92" i="94"/>
  <c r="O111" i="94"/>
  <c r="AI359" i="1"/>
  <c r="AI415" i="1" s="1"/>
  <c r="AI434" i="1"/>
  <c r="AI449" i="1"/>
  <c r="AJ441" i="1"/>
  <c r="AJ507" i="1"/>
  <c r="AJ549" i="1" s="1"/>
  <c r="AK548" i="1"/>
  <c r="AJ505" i="1"/>
  <c r="AJ540" i="1"/>
  <c r="P387" i="1"/>
  <c r="H19" i="1"/>
  <c r="I49" i="1"/>
  <c r="H49" i="1"/>
  <c r="R388" i="1"/>
  <c r="R184" i="17"/>
  <c r="R140" i="17"/>
  <c r="AZ121" i="1"/>
  <c r="AZ128" i="1"/>
  <c r="AZ145" i="1"/>
  <c r="AZ146" i="1"/>
  <c r="BD137" i="1"/>
  <c r="BD120" i="1"/>
  <c r="BD138" i="1"/>
  <c r="AW132" i="1"/>
  <c r="AW128" i="1"/>
  <c r="AW124" i="1"/>
  <c r="AW121" i="1"/>
  <c r="AW122" i="1" s="1"/>
  <c r="AV129" i="1"/>
  <c r="AV125" i="1"/>
  <c r="AV133" i="1"/>
  <c r="AV178" i="1"/>
  <c r="J132" i="17"/>
  <c r="J131" i="17"/>
  <c r="J206" i="17"/>
  <c r="J162" i="17"/>
  <c r="J117" i="17"/>
  <c r="J119" i="17" s="1"/>
  <c r="J75" i="17"/>
  <c r="J176" i="17"/>
  <c r="J175" i="17"/>
  <c r="AX218" i="1"/>
  <c r="AX212" i="1"/>
  <c r="AX216" i="1"/>
  <c r="AY216" i="1"/>
  <c r="AX209" i="1"/>
  <c r="AW242" i="1"/>
  <c r="AV239" i="1"/>
  <c r="BD100" i="1"/>
  <c r="BD92" i="1"/>
  <c r="J177" i="1"/>
  <c r="J186" i="1"/>
  <c r="J181" i="1"/>
  <c r="J184" i="1" s="1"/>
  <c r="AS23" i="1"/>
  <c r="BN19" i="1"/>
  <c r="AY239" i="1"/>
  <c r="AY242" i="1" s="1"/>
  <c r="AY243" i="1" s="1"/>
  <c r="AU240" i="1"/>
  <c r="BC40" i="1"/>
  <c r="BD40" i="1"/>
  <c r="BC53" i="1"/>
  <c r="M326" i="1"/>
  <c r="M324" i="1" s="1"/>
  <c r="AG441" i="1"/>
  <c r="AF449" i="1"/>
  <c r="AF441" i="1"/>
  <c r="AF434" i="1"/>
  <c r="AJ449" i="1"/>
  <c r="AI541" i="1"/>
  <c r="G499" i="1"/>
  <c r="G522" i="1" s="1"/>
  <c r="AM505" i="1"/>
  <c r="AM540" i="1"/>
  <c r="AM556" i="1"/>
  <c r="AM507" i="1"/>
  <c r="AM359" i="1"/>
  <c r="AM415" i="1" s="1"/>
  <c r="AM441" i="1"/>
  <c r="AM434" i="1"/>
  <c r="AM449" i="1"/>
  <c r="AH505" i="1"/>
  <c r="AH536" i="1" s="1"/>
  <c r="AH507" i="1"/>
  <c r="AI549" i="1" s="1"/>
  <c r="AH540" i="1"/>
  <c r="AH441" i="1"/>
  <c r="AL449" i="1"/>
  <c r="AH359" i="1"/>
  <c r="AH415" i="1" s="1"/>
  <c r="AH449" i="1"/>
  <c r="AH434" i="1"/>
  <c r="AI441" i="1"/>
  <c r="AN434" i="1"/>
  <c r="AN359" i="1"/>
  <c r="AN415" i="1" s="1"/>
  <c r="AN449" i="1"/>
  <c r="AO441" i="1"/>
  <c r="AN441" i="1"/>
  <c r="G350" i="1"/>
  <c r="G432" i="1"/>
  <c r="F149" i="17"/>
  <c r="F154" i="17" s="1"/>
  <c r="F151" i="17"/>
  <c r="F193" i="17"/>
  <c r="F198" i="17" s="1"/>
  <c r="F195" i="17"/>
  <c r="F107" i="17"/>
  <c r="F112" i="17" s="1"/>
  <c r="F109" i="17"/>
  <c r="F238" i="17"/>
  <c r="F243" i="17" s="1"/>
  <c r="F240" i="17"/>
  <c r="O55" i="1"/>
  <c r="Q284" i="1"/>
  <c r="P15" i="1"/>
  <c r="R279" i="1"/>
  <c r="R14" i="1" s="1"/>
  <c r="R54" i="1" s="1"/>
  <c r="Q178" i="17"/>
  <c r="Q134" i="17"/>
  <c r="Q92" i="17"/>
  <c r="Q313" i="1"/>
  <c r="R206" i="1"/>
  <c r="R76" i="17"/>
  <c r="Q76" i="17"/>
  <c r="Q206" i="1"/>
  <c r="BE154" i="1"/>
  <c r="BE155" i="1"/>
  <c r="Q143" i="17"/>
  <c r="R144" i="17"/>
  <c r="R188" i="17"/>
  <c r="R106" i="17"/>
  <c r="R237" i="17" s="1"/>
  <c r="R238" i="17" s="1"/>
  <c r="R71" i="17"/>
  <c r="R193" i="17"/>
  <c r="R192" i="17" s="1"/>
  <c r="R149" i="17"/>
  <c r="R148" i="17" s="1"/>
  <c r="Q142" i="1"/>
  <c r="Q70" i="17"/>
  <c r="P141" i="1"/>
  <c r="P143" i="1" s="1"/>
  <c r="R771" i="1"/>
  <c r="BE256" i="1"/>
  <c r="BE255" i="1"/>
  <c r="BE13" i="1"/>
  <c r="N794" i="1"/>
  <c r="O750" i="1"/>
  <c r="N608" i="1"/>
  <c r="AX125" i="1"/>
  <c r="AX126" i="1" s="1"/>
  <c r="AX178" i="1"/>
  <c r="AX129" i="1"/>
  <c r="BB110" i="1"/>
  <c r="BB120" i="1"/>
  <c r="BB137" i="1"/>
  <c r="BB138" i="1"/>
  <c r="AX128" i="1"/>
  <c r="AX132" i="1"/>
  <c r="BA18" i="1"/>
  <c r="BP18" i="1" s="1"/>
  <c r="BA322" i="1"/>
  <c r="G146" i="1"/>
  <c r="G206" i="1"/>
  <c r="G142" i="1"/>
  <c r="H146" i="1"/>
  <c r="AX395" i="1"/>
  <c r="N254" i="1"/>
  <c r="M13" i="1"/>
  <c r="T254" i="1"/>
  <c r="N799" i="1"/>
  <c r="AX206" i="1"/>
  <c r="AX146" i="1"/>
  <c r="AY150" i="1"/>
  <c r="AX111" i="1"/>
  <c r="BA40" i="1"/>
  <c r="BA53" i="1"/>
  <c r="BB40" i="1"/>
  <c r="G205" i="1"/>
  <c r="G141" i="1"/>
  <c r="G145" i="1"/>
  <c r="H145" i="1"/>
  <c r="I119" i="17"/>
  <c r="I251" i="17"/>
  <c r="AN507" i="1"/>
  <c r="AN556" i="1"/>
  <c r="AN548" i="1"/>
  <c r="AN540" i="1"/>
  <c r="AN505" i="1"/>
  <c r="AN536" i="1" s="1"/>
  <c r="AO548" i="1"/>
  <c r="L53" i="1"/>
  <c r="I148" i="17"/>
  <c r="I192" i="17"/>
  <c r="I137" i="1"/>
  <c r="I139" i="1" s="1"/>
  <c r="I106" i="17"/>
  <c r="I70" i="17"/>
  <c r="I71" i="17" s="1"/>
  <c r="BB99" i="1"/>
  <c r="L18" i="1"/>
  <c r="BE321" i="1"/>
  <c r="M321" i="1"/>
  <c r="AY99" i="1"/>
  <c r="AY91" i="1"/>
  <c r="AZ91" i="1"/>
  <c r="AX205" i="1"/>
  <c r="AX145" i="1"/>
  <c r="BC44" i="1"/>
  <c r="BC64" i="1"/>
  <c r="BC57" i="1"/>
  <c r="BD44" i="1"/>
  <c r="K65" i="1"/>
  <c r="K58" i="1"/>
  <c r="BB235" i="1"/>
  <c r="BB12" i="1"/>
  <c r="BB564" i="1"/>
  <c r="BB233" i="1"/>
  <c r="BB247" i="1"/>
  <c r="O715" i="1"/>
  <c r="N770" i="1"/>
  <c r="N787" i="1"/>
  <c r="AC504" i="1"/>
  <c r="I19" i="1"/>
  <c r="I74" i="1"/>
  <c r="BC171" i="1"/>
  <c r="AS77" i="1"/>
  <c r="AS30" i="1"/>
  <c r="AS336" i="1"/>
  <c r="AS25" i="1"/>
  <c r="AS292" i="1"/>
  <c r="AS59" i="1"/>
  <c r="AS76" i="1"/>
  <c r="AS31" i="1"/>
  <c r="AS32" i="1"/>
  <c r="AS562" i="1"/>
  <c r="AS236" i="1"/>
  <c r="AT46" i="1"/>
  <c r="AS46" i="1"/>
  <c r="AS29" i="1"/>
  <c r="AS26" i="1"/>
  <c r="AS27" i="1"/>
  <c r="AS24" i="1"/>
  <c r="M631" i="1"/>
  <c r="AR567" i="1"/>
  <c r="AR165" i="1"/>
  <c r="AR395" i="1"/>
  <c r="AR338" i="1"/>
  <c r="AR403" i="1" s="1"/>
  <c r="AR446" i="1"/>
  <c r="AR497" i="1"/>
  <c r="AR396" i="1"/>
  <c r="AR394" i="1"/>
  <c r="AR475" i="1"/>
  <c r="AQ46" i="1"/>
  <c r="AQ562" i="1"/>
  <c r="AQ77" i="1"/>
  <c r="AQ76" i="1"/>
  <c r="AQ336" i="1"/>
  <c r="AQ236" i="1"/>
  <c r="AQ59" i="1"/>
  <c r="AQ29" i="1"/>
  <c r="AQ27" i="1"/>
  <c r="AQ292" i="1"/>
  <c r="AQ25" i="1"/>
  <c r="AQ32" i="1"/>
  <c r="AQ24" i="1"/>
  <c r="AQ31" i="1"/>
  <c r="AQ30" i="1"/>
  <c r="AQ26" i="1"/>
  <c r="AW236" i="1"/>
  <c r="AW31" i="1"/>
  <c r="AW336" i="1"/>
  <c r="AW32" i="1"/>
  <c r="AW59" i="1"/>
  <c r="AW562" i="1"/>
  <c r="AW77" i="1"/>
  <c r="AW76" i="1"/>
  <c r="AW292" i="1"/>
  <c r="AW24" i="1"/>
  <c r="AW29" i="1"/>
  <c r="AW27" i="1"/>
  <c r="AW26" i="1"/>
  <c r="AW30" i="1"/>
  <c r="AX46" i="1"/>
  <c r="AW25" i="1"/>
  <c r="AL542" i="1"/>
  <c r="H118" i="17"/>
  <c r="H38" i="17"/>
  <c r="O819" i="1"/>
  <c r="P623" i="1"/>
  <c r="AU236" i="1"/>
  <c r="AU31" i="1"/>
  <c r="AU29" i="1"/>
  <c r="AU25" i="1"/>
  <c r="AU77" i="1"/>
  <c r="AU76" i="1"/>
  <c r="AU46" i="1"/>
  <c r="AU336" i="1"/>
  <c r="AU32" i="1"/>
  <c r="AU27" i="1"/>
  <c r="AU59" i="1"/>
  <c r="AU24" i="1"/>
  <c r="AU292" i="1"/>
  <c r="AU562" i="1"/>
  <c r="AU30" i="1"/>
  <c r="AU26" i="1"/>
  <c r="M228" i="17"/>
  <c r="AV76" i="1"/>
  <c r="AV32" i="1"/>
  <c r="AV24" i="1"/>
  <c r="AV292" i="1"/>
  <c r="AV29" i="1"/>
  <c r="AV336" i="1"/>
  <c r="AV30" i="1"/>
  <c r="AV31" i="1"/>
  <c r="AV236" i="1"/>
  <c r="AV77" i="1"/>
  <c r="AV562" i="1"/>
  <c r="AV25" i="1"/>
  <c r="AV27" i="1"/>
  <c r="AW46" i="1"/>
  <c r="AV59" i="1"/>
  <c r="AV46" i="1"/>
  <c r="AV26" i="1"/>
  <c r="AG539" i="1" l="1"/>
  <c r="AY149" i="1"/>
  <c r="AY205" i="1"/>
  <c r="BC138" i="1"/>
  <c r="K60" i="17"/>
  <c r="K61" i="17" s="1"/>
  <c r="BE114" i="1"/>
  <c r="BE116" i="1" s="1"/>
  <c r="K138" i="1"/>
  <c r="BA138" i="1" s="1"/>
  <c r="BA146" i="1" s="1"/>
  <c r="BA114" i="1"/>
  <c r="BP114" i="1" s="1"/>
  <c r="K56" i="1"/>
  <c r="BC116" i="1"/>
  <c r="BD116" i="1"/>
  <c r="Z503" i="1"/>
  <c r="Z534" i="1" s="1"/>
  <c r="L115" i="1"/>
  <c r="K115" i="1"/>
  <c r="K120" i="1"/>
  <c r="K121" i="1" s="1"/>
  <c r="K137" i="1"/>
  <c r="K63" i="1"/>
  <c r="AK555" i="1"/>
  <c r="AG184" i="1"/>
  <c r="AT421" i="1"/>
  <c r="AX475" i="1"/>
  <c r="AI542" i="1"/>
  <c r="AE555" i="1"/>
  <c r="AI555" i="1"/>
  <c r="AT407" i="1"/>
  <c r="AZ132" i="1"/>
  <c r="AT405" i="1"/>
  <c r="AT393" i="1"/>
  <c r="AT526" i="1"/>
  <c r="G143" i="1"/>
  <c r="AW206" i="1"/>
  <c r="AT338" i="1"/>
  <c r="AT403" i="1" s="1"/>
  <c r="AT416" i="1"/>
  <c r="BA51" i="1"/>
  <c r="L37" i="17"/>
  <c r="L36" i="17"/>
  <c r="M98" i="17"/>
  <c r="K47" i="17"/>
  <c r="AT567" i="1"/>
  <c r="BA56" i="1"/>
  <c r="BA38" i="1"/>
  <c r="L94" i="17"/>
  <c r="L112" i="17" s="1"/>
  <c r="K181" i="17"/>
  <c r="K198" i="17"/>
  <c r="BB38" i="1"/>
  <c r="L101" i="17"/>
  <c r="K49" i="17"/>
  <c r="AY139" i="1"/>
  <c r="AY112" i="1"/>
  <c r="AX149" i="1"/>
  <c r="AY111" i="1"/>
  <c r="AT413" i="1"/>
  <c r="AW205" i="1"/>
  <c r="AG555" i="1"/>
  <c r="AH555" i="1"/>
  <c r="AW150" i="1"/>
  <c r="AY128" i="1"/>
  <c r="AT446" i="1"/>
  <c r="AT396" i="1"/>
  <c r="AT475" i="1"/>
  <c r="AT406" i="1"/>
  <c r="AT419" i="1"/>
  <c r="AT414" i="1"/>
  <c r="AT404" i="1"/>
  <c r="AT409" i="1"/>
  <c r="AT428" i="1"/>
  <c r="AX150" i="1"/>
  <c r="AW146" i="1"/>
  <c r="AY121" i="1"/>
  <c r="AY133" i="1" s="1"/>
  <c r="AT497" i="1"/>
  <c r="AT529" i="1" s="1"/>
  <c r="AT402" i="1"/>
  <c r="AT422" i="1"/>
  <c r="AT417" i="1"/>
  <c r="AT418" i="1"/>
  <c r="AT401" i="1"/>
  <c r="AY132" i="1"/>
  <c r="AT394" i="1"/>
  <c r="AT412" i="1"/>
  <c r="AT424" i="1"/>
  <c r="AT423" i="1"/>
  <c r="AT420" i="1"/>
  <c r="AS33" i="1"/>
  <c r="AT33" i="1"/>
  <c r="AV33" i="1"/>
  <c r="AU33" i="1"/>
  <c r="AW33" i="1"/>
  <c r="AP497" i="1"/>
  <c r="AP529" i="1" s="1"/>
  <c r="AX33" i="1"/>
  <c r="AQ33" i="1"/>
  <c r="AP33" i="1"/>
  <c r="AV151" i="1"/>
  <c r="G527" i="1"/>
  <c r="AC547" i="1"/>
  <c r="AC539" i="1"/>
  <c r="AG547" i="1"/>
  <c r="AF503" i="1"/>
  <c r="AJ556" i="1" s="1"/>
  <c r="AC503" i="1"/>
  <c r="AC534" i="1" s="1"/>
  <c r="AJ555" i="1"/>
  <c r="AF555" i="1"/>
  <c r="AD547" i="1"/>
  <c r="AF539" i="1"/>
  <c r="AX497" i="1"/>
  <c r="AX535" i="1" s="1"/>
  <c r="AX394" i="1"/>
  <c r="AP338" i="1"/>
  <c r="AP439" i="1" s="1"/>
  <c r="AP395" i="1"/>
  <c r="AX338" i="1"/>
  <c r="AX403" i="1" s="1"/>
  <c r="AX374" i="1"/>
  <c r="AX396" i="1"/>
  <c r="AP446" i="1"/>
  <c r="AP396" i="1"/>
  <c r="AP393" i="1"/>
  <c r="AX446" i="1"/>
  <c r="AP438" i="1"/>
  <c r="AL541" i="1"/>
  <c r="AM549" i="1"/>
  <c r="C375" i="1"/>
  <c r="C378" i="1" s="1"/>
  <c r="C425" i="1"/>
  <c r="E527" i="1"/>
  <c r="AC527" i="1"/>
  <c r="AL415" i="1"/>
  <c r="AM550" i="1"/>
  <c r="AM536" i="1"/>
  <c r="AG349" i="1"/>
  <c r="AG427" i="1" s="1"/>
  <c r="AG535" i="1"/>
  <c r="AC349" i="1"/>
  <c r="AC427" i="1" s="1"/>
  <c r="AC535" i="1"/>
  <c r="AB505" i="1"/>
  <c r="AB534" i="1"/>
  <c r="AD505" i="1"/>
  <c r="AD542" i="1" s="1"/>
  <c r="AD534" i="1"/>
  <c r="AR529" i="1"/>
  <c r="AR531" i="1"/>
  <c r="AR535" i="1"/>
  <c r="AJ550" i="1"/>
  <c r="AJ536" i="1"/>
  <c r="AL550" i="1"/>
  <c r="AK536" i="1"/>
  <c r="E349" i="1"/>
  <c r="E427" i="1" s="1"/>
  <c r="E429" i="1"/>
  <c r="F499" i="1"/>
  <c r="F522" i="1" s="1"/>
  <c r="F535" i="1"/>
  <c r="F524" i="1"/>
  <c r="F525" i="1"/>
  <c r="F520" i="1"/>
  <c r="F523" i="1"/>
  <c r="F529" i="1"/>
  <c r="F530" i="1"/>
  <c r="F531" i="1"/>
  <c r="F532" i="1"/>
  <c r="F521" i="1"/>
  <c r="G349" i="1"/>
  <c r="G427" i="1" s="1"/>
  <c r="G429" i="1"/>
  <c r="D424" i="1"/>
  <c r="D413" i="1"/>
  <c r="D414" i="1"/>
  <c r="D526" i="1"/>
  <c r="D416" i="1"/>
  <c r="D412" i="1"/>
  <c r="D428" i="1"/>
  <c r="AY147" i="1"/>
  <c r="AE528" i="1"/>
  <c r="AA528" i="1"/>
  <c r="AF528" i="1"/>
  <c r="AX165" i="1"/>
  <c r="AD555" i="1"/>
  <c r="AA503" i="1"/>
  <c r="AA534" i="1" s="1"/>
  <c r="Z539" i="1"/>
  <c r="AE503" i="1"/>
  <c r="AE534" i="1" s="1"/>
  <c r="AA547" i="1"/>
  <c r="AA539" i="1"/>
  <c r="AE539" i="1"/>
  <c r="AF547" i="1"/>
  <c r="AU151" i="1"/>
  <c r="M138" i="1"/>
  <c r="AB547" i="1"/>
  <c r="AE547" i="1"/>
  <c r="AU147" i="1"/>
  <c r="AV428" i="1"/>
  <c r="AV526" i="1"/>
  <c r="AS428" i="1"/>
  <c r="AS526" i="1"/>
  <c r="AD539" i="1"/>
  <c r="AD522" i="1"/>
  <c r="AD528" i="1" s="1"/>
  <c r="AC528" i="1"/>
  <c r="AP499" i="1"/>
  <c r="AP522" i="1" s="1"/>
  <c r="AX428" i="1"/>
  <c r="AX526" i="1"/>
  <c r="AP428" i="1"/>
  <c r="AP526" i="1"/>
  <c r="AW428" i="1"/>
  <c r="AW526" i="1"/>
  <c r="AR520" i="1"/>
  <c r="AR523" i="1"/>
  <c r="AR525" i="1"/>
  <c r="AR524" i="1"/>
  <c r="AR521" i="1"/>
  <c r="AU428" i="1"/>
  <c r="AU526" i="1"/>
  <c r="AQ428" i="1"/>
  <c r="AQ526" i="1"/>
  <c r="AB528" i="1"/>
  <c r="Z528" i="1"/>
  <c r="AH547" i="1"/>
  <c r="AG522" i="1"/>
  <c r="AG528" i="1" s="1"/>
  <c r="AV393" i="1"/>
  <c r="AV408" i="1"/>
  <c r="AV401" i="1"/>
  <c r="AV409" i="1"/>
  <c r="AV421" i="1"/>
  <c r="AV420" i="1"/>
  <c r="AV417" i="1"/>
  <c r="AV413" i="1"/>
  <c r="AV407" i="1"/>
  <c r="AV406" i="1"/>
  <c r="AV424" i="1"/>
  <c r="AV422" i="1"/>
  <c r="AV418" i="1"/>
  <c r="AV414" i="1"/>
  <c r="AV402" i="1"/>
  <c r="AV404" i="1"/>
  <c r="AV416" i="1"/>
  <c r="AV412" i="1"/>
  <c r="AV423" i="1"/>
  <c r="AV405" i="1"/>
  <c r="AV419" i="1"/>
  <c r="AU393" i="1"/>
  <c r="AU421" i="1"/>
  <c r="AU408" i="1"/>
  <c r="AU401" i="1"/>
  <c r="AU409" i="1"/>
  <c r="AU423" i="1"/>
  <c r="AU417" i="1"/>
  <c r="AU414" i="1"/>
  <c r="AU413" i="1"/>
  <c r="AU412" i="1"/>
  <c r="AU407" i="1"/>
  <c r="AU406" i="1"/>
  <c r="AU419" i="1"/>
  <c r="AU416" i="1"/>
  <c r="AU405" i="1"/>
  <c r="AU420" i="1"/>
  <c r="AU404" i="1"/>
  <c r="AU402" i="1"/>
  <c r="AU424" i="1"/>
  <c r="AU422" i="1"/>
  <c r="AU418" i="1"/>
  <c r="AQ393" i="1"/>
  <c r="AQ421" i="1"/>
  <c r="AQ408" i="1"/>
  <c r="AQ401" i="1"/>
  <c r="AQ409" i="1"/>
  <c r="AQ424" i="1"/>
  <c r="AQ402" i="1"/>
  <c r="AQ405" i="1"/>
  <c r="AQ422" i="1"/>
  <c r="AQ418" i="1"/>
  <c r="AQ404" i="1"/>
  <c r="AQ423" i="1"/>
  <c r="AQ417" i="1"/>
  <c r="AQ406" i="1"/>
  <c r="AQ419" i="1"/>
  <c r="AQ416" i="1"/>
  <c r="AQ414" i="1"/>
  <c r="AQ413" i="1"/>
  <c r="AQ412" i="1"/>
  <c r="AQ407" i="1"/>
  <c r="AQ420" i="1"/>
  <c r="AS393" i="1"/>
  <c r="AS401" i="1"/>
  <c r="AS409" i="1"/>
  <c r="AS408" i="1"/>
  <c r="AS421" i="1"/>
  <c r="AS420" i="1"/>
  <c r="AS422" i="1"/>
  <c r="AS418" i="1"/>
  <c r="AS406" i="1"/>
  <c r="AS424" i="1"/>
  <c r="AS404" i="1"/>
  <c r="AS416" i="1"/>
  <c r="AS414" i="1"/>
  <c r="AS413" i="1"/>
  <c r="AS412" i="1"/>
  <c r="AS407" i="1"/>
  <c r="AS402" i="1"/>
  <c r="AS423" i="1"/>
  <c r="AS405" i="1"/>
  <c r="AS419" i="1"/>
  <c r="AS417" i="1"/>
  <c r="AR410" i="1"/>
  <c r="AR411" i="1" s="1"/>
  <c r="AW393" i="1"/>
  <c r="AW401" i="1"/>
  <c r="AW409" i="1"/>
  <c r="AW408" i="1"/>
  <c r="AW421" i="1"/>
  <c r="AW422" i="1"/>
  <c r="AW418" i="1"/>
  <c r="AW416" i="1"/>
  <c r="AW414" i="1"/>
  <c r="AW413" i="1"/>
  <c r="AW412" i="1"/>
  <c r="AW407" i="1"/>
  <c r="AW423" i="1"/>
  <c r="AW406" i="1"/>
  <c r="AW424" i="1"/>
  <c r="AW405" i="1"/>
  <c r="AW404" i="1"/>
  <c r="AW402" i="1"/>
  <c r="AW419" i="1"/>
  <c r="AW417" i="1"/>
  <c r="AW420" i="1"/>
  <c r="AX393" i="1"/>
  <c r="AX408" i="1"/>
  <c r="AX401" i="1"/>
  <c r="AX409" i="1"/>
  <c r="AX421" i="1"/>
  <c r="AX417" i="1"/>
  <c r="AX404" i="1"/>
  <c r="AX420" i="1"/>
  <c r="AX407" i="1"/>
  <c r="AX424" i="1"/>
  <c r="AX414" i="1"/>
  <c r="AX405" i="1"/>
  <c r="AX423" i="1"/>
  <c r="AX422" i="1"/>
  <c r="AX412" i="1"/>
  <c r="AX416" i="1"/>
  <c r="AX402" i="1"/>
  <c r="AX419" i="1"/>
  <c r="AX406" i="1"/>
  <c r="AX418" i="1"/>
  <c r="AX413" i="1"/>
  <c r="AP408" i="1"/>
  <c r="AP401" i="1"/>
  <c r="AP409" i="1"/>
  <c r="AP421" i="1"/>
  <c r="AP416" i="1"/>
  <c r="AP414" i="1"/>
  <c r="AP412" i="1"/>
  <c r="AP407" i="1"/>
  <c r="AP402" i="1"/>
  <c r="AP406" i="1"/>
  <c r="AP405" i="1"/>
  <c r="AP417" i="1"/>
  <c r="AP424" i="1"/>
  <c r="AP420" i="1"/>
  <c r="AP418" i="1"/>
  <c r="AP404" i="1"/>
  <c r="AP413" i="1"/>
  <c r="AP423" i="1"/>
  <c r="AP422" i="1"/>
  <c r="AP419" i="1"/>
  <c r="AP447" i="1"/>
  <c r="D393" i="1"/>
  <c r="D407" i="1"/>
  <c r="D404" i="1"/>
  <c r="D401" i="1"/>
  <c r="D405" i="1"/>
  <c r="D406" i="1"/>
  <c r="D402" i="1"/>
  <c r="D409" i="1"/>
  <c r="D408" i="1"/>
  <c r="F410" i="1"/>
  <c r="C174" i="1"/>
  <c r="AP165" i="1"/>
  <c r="AP567" i="1"/>
  <c r="F411" i="1"/>
  <c r="AP394" i="1"/>
  <c r="M115" i="1"/>
  <c r="AW145" i="1"/>
  <c r="F554" i="1"/>
  <c r="AW139" i="1"/>
  <c r="AX151" i="1" s="1"/>
  <c r="M120" i="1"/>
  <c r="G554" i="1"/>
  <c r="AX112" i="1"/>
  <c r="J159" i="17"/>
  <c r="J45" i="17" s="1"/>
  <c r="AW112" i="1"/>
  <c r="K42" i="17"/>
  <c r="K151" i="17"/>
  <c r="K137" i="17"/>
  <c r="K154" i="17"/>
  <c r="K40" i="17"/>
  <c r="K41" i="17"/>
  <c r="L136" i="17"/>
  <c r="L43" i="17"/>
  <c r="M139" i="17"/>
  <c r="L44" i="17"/>
  <c r="K98" i="1"/>
  <c r="J127" i="17"/>
  <c r="L51" i="17"/>
  <c r="M183" i="17"/>
  <c r="M180" i="17" s="1"/>
  <c r="M195" i="17" s="1"/>
  <c r="L50" i="17"/>
  <c r="BA43" i="1"/>
  <c r="BB43" i="1"/>
  <c r="L63" i="1"/>
  <c r="BA116" i="1"/>
  <c r="BA63" i="1"/>
  <c r="J203" i="17"/>
  <c r="J52" i="17" s="1"/>
  <c r="J116" i="17"/>
  <c r="J118" i="17" s="1"/>
  <c r="J171" i="17"/>
  <c r="BE293" i="1"/>
  <c r="AD540" i="1"/>
  <c r="AH556" i="1"/>
  <c r="BE298" i="1"/>
  <c r="BE303" i="1" s="1"/>
  <c r="BE16" i="1"/>
  <c r="BE56" i="1" s="1"/>
  <c r="BE565" i="1"/>
  <c r="BQ114" i="1"/>
  <c r="BE291" i="1"/>
  <c r="T114" i="1"/>
  <c r="W11" i="15" s="1"/>
  <c r="M60" i="17"/>
  <c r="M61" i="17" s="1"/>
  <c r="M137" i="1"/>
  <c r="N114" i="1"/>
  <c r="BR114" i="1" s="1"/>
  <c r="N153" i="1"/>
  <c r="O106" i="1"/>
  <c r="BA117" i="1"/>
  <c r="J76" i="17"/>
  <c r="AZ122" i="1"/>
  <c r="AZ130" i="1" s="1"/>
  <c r="AZ178" i="1"/>
  <c r="AZ151" i="1"/>
  <c r="I28" i="1"/>
  <c r="K138" i="17"/>
  <c r="AL397" i="1"/>
  <c r="F447" i="1"/>
  <c r="AL370" i="1"/>
  <c r="F432" i="1"/>
  <c r="AY151" i="1"/>
  <c r="AZ202" i="1"/>
  <c r="AZ218" i="1" s="1"/>
  <c r="Y134" i="1"/>
  <c r="Z134" i="1"/>
  <c r="AC130" i="1"/>
  <c r="AD218" i="1"/>
  <c r="BD98" i="1"/>
  <c r="BD90" i="1"/>
  <c r="L56" i="1"/>
  <c r="BD106" i="1"/>
  <c r="BD110" i="1" s="1"/>
  <c r="BA110" i="1"/>
  <c r="BA111" i="1" s="1"/>
  <c r="BB117" i="1"/>
  <c r="AY117" i="1"/>
  <c r="AX214" i="1"/>
  <c r="AY218" i="1"/>
  <c r="M295" i="1"/>
  <c r="M301" i="1" s="1"/>
  <c r="T297" i="1"/>
  <c r="M289" i="1"/>
  <c r="N297" i="1"/>
  <c r="AX117" i="1"/>
  <c r="BC117" i="1"/>
  <c r="BA115" i="1"/>
  <c r="BB116" i="1"/>
  <c r="BD117" i="1"/>
  <c r="AT499" i="1"/>
  <c r="K109" i="17"/>
  <c r="K84" i="17" s="1"/>
  <c r="K33" i="17"/>
  <c r="AT432" i="1"/>
  <c r="AT350" i="1"/>
  <c r="AT429" i="1" s="1"/>
  <c r="J179" i="1"/>
  <c r="J190" i="1"/>
  <c r="BB139" i="1"/>
  <c r="BB147" i="1" s="1"/>
  <c r="AZ147" i="1"/>
  <c r="BC139" i="1"/>
  <c r="BD139" i="1"/>
  <c r="L139" i="1"/>
  <c r="J147" i="1"/>
  <c r="K35" i="17"/>
  <c r="K95" i="17"/>
  <c r="K34" i="17"/>
  <c r="K96" i="17"/>
  <c r="AW130" i="1"/>
  <c r="AW134" i="1"/>
  <c r="AX130" i="1"/>
  <c r="AX134" i="1"/>
  <c r="BD121" i="1"/>
  <c r="BD122" i="1" s="1"/>
  <c r="BC128" i="1"/>
  <c r="BB121" i="1"/>
  <c r="BB122" i="1" s="1"/>
  <c r="BB358" i="1"/>
  <c r="N583" i="1"/>
  <c r="M358" i="1"/>
  <c r="R30" i="15"/>
  <c r="R31" i="15" s="1"/>
  <c r="Q31" i="15"/>
  <c r="Q4" i="15"/>
  <c r="P6" i="1"/>
  <c r="AZ117" i="1"/>
  <c r="L61" i="17"/>
  <c r="K59" i="17"/>
  <c r="P63" i="17"/>
  <c r="P66" i="17"/>
  <c r="R234" i="17"/>
  <c r="R233" i="17" s="1"/>
  <c r="R67" i="17" s="1"/>
  <c r="R111" i="1" s="1"/>
  <c r="Q233" i="17"/>
  <c r="Q67" i="17" s="1"/>
  <c r="Q111" i="1" s="1"/>
  <c r="R230" i="17"/>
  <c r="R229" i="17" s="1"/>
  <c r="R64" i="17" s="1"/>
  <c r="R107" i="1" s="1"/>
  <c r="Q229" i="17"/>
  <c r="Q64" i="17" s="1"/>
  <c r="L121" i="1"/>
  <c r="M155" i="1"/>
  <c r="G447" i="1"/>
  <c r="F350" i="1"/>
  <c r="L201" i="1"/>
  <c r="L47" i="17"/>
  <c r="L195" i="17"/>
  <c r="L49" i="17"/>
  <c r="L181" i="17"/>
  <c r="L198" i="17"/>
  <c r="L48" i="17"/>
  <c r="T11" i="1"/>
  <c r="M51" i="1"/>
  <c r="K199" i="17"/>
  <c r="K174" i="17"/>
  <c r="K175" i="17" s="1"/>
  <c r="R187" i="17"/>
  <c r="BE38" i="1"/>
  <c r="BE51" i="1"/>
  <c r="K88" i="17"/>
  <c r="K113" i="17"/>
  <c r="M37" i="17"/>
  <c r="M36" i="17"/>
  <c r="M94" i="17"/>
  <c r="M101" i="17"/>
  <c r="M100" i="17"/>
  <c r="N98" i="17"/>
  <c r="BC110" i="1"/>
  <c r="BC111" i="1" s="1"/>
  <c r="AG548" i="1"/>
  <c r="AG540" i="1"/>
  <c r="AG505" i="1"/>
  <c r="AG536" i="1" s="1"/>
  <c r="AK556" i="1"/>
  <c r="O224" i="1"/>
  <c r="N11" i="1"/>
  <c r="K170" i="17"/>
  <c r="K196" i="17"/>
  <c r="AH548" i="1"/>
  <c r="Z206" i="1"/>
  <c r="AA201" i="1"/>
  <c r="AC540" i="1"/>
  <c r="AD216" i="1"/>
  <c r="AC209" i="1"/>
  <c r="BC145" i="1"/>
  <c r="BC200" i="1"/>
  <c r="J311" i="1"/>
  <c r="J17" i="1"/>
  <c r="L739" i="1"/>
  <c r="L735" i="1" s="1"/>
  <c r="L730" i="1" s="1"/>
  <c r="K735" i="1"/>
  <c r="K730" i="1" s="1"/>
  <c r="L59" i="17"/>
  <c r="BC153" i="1"/>
  <c r="BC155" i="1" s="1"/>
  <c r="P788" i="1"/>
  <c r="Q595" i="1"/>
  <c r="N732" i="1"/>
  <c r="M743" i="1"/>
  <c r="L315" i="1"/>
  <c r="K310" i="1"/>
  <c r="AB540" i="1"/>
  <c r="BC146" i="1"/>
  <c r="BC201" i="1"/>
  <c r="AB200" i="1"/>
  <c r="AB202" i="1" s="1"/>
  <c r="AJ370" i="1"/>
  <c r="AJ425" i="1" s="1"/>
  <c r="AJ397" i="1"/>
  <c r="BC121" i="1"/>
  <c r="Z205" i="1"/>
  <c r="L200" i="1"/>
  <c r="K232" i="17"/>
  <c r="J225" i="17"/>
  <c r="L145" i="1"/>
  <c r="D446" i="1"/>
  <c r="D338" i="1"/>
  <c r="D403" i="1" s="1"/>
  <c r="D395" i="1"/>
  <c r="E446" i="1"/>
  <c r="D475" i="1"/>
  <c r="D497" i="1"/>
  <c r="D396" i="1"/>
  <c r="D394" i="1"/>
  <c r="K276" i="1"/>
  <c r="K274" i="1"/>
  <c r="L261" i="1"/>
  <c r="L273" i="1"/>
  <c r="L263" i="1"/>
  <c r="N269" i="1"/>
  <c r="M260" i="1"/>
  <c r="AY244" i="1"/>
  <c r="AK541" i="1"/>
  <c r="AO557" i="1"/>
  <c r="AL558" i="1"/>
  <c r="AL549" i="1"/>
  <c r="AO509" i="1"/>
  <c r="AO375" i="1"/>
  <c r="AK370" i="1"/>
  <c r="AK425" i="1" s="1"/>
  <c r="AK397" i="1"/>
  <c r="E503" i="1"/>
  <c r="E534" i="1" s="1"/>
  <c r="E433" i="1"/>
  <c r="E354" i="1"/>
  <c r="AK542" i="1"/>
  <c r="AO558" i="1"/>
  <c r="Q387" i="1"/>
  <c r="AJ541" i="1"/>
  <c r="AK549" i="1"/>
  <c r="AI397" i="1"/>
  <c r="AI370" i="1"/>
  <c r="AI425" i="1" s="1"/>
  <c r="BC242" i="1"/>
  <c r="BC244" i="1" s="1"/>
  <c r="AJ542" i="1"/>
  <c r="AK550" i="1"/>
  <c r="H23" i="1"/>
  <c r="H292" i="1"/>
  <c r="H25" i="1"/>
  <c r="H29" i="1"/>
  <c r="H336" i="1"/>
  <c r="H567" i="1"/>
  <c r="H59" i="1"/>
  <c r="H30" i="1"/>
  <c r="H32" i="1"/>
  <c r="H26" i="1"/>
  <c r="H228" i="1"/>
  <c r="H236" i="1"/>
  <c r="H31" i="1"/>
  <c r="H27" i="1"/>
  <c r="H24" i="1"/>
  <c r="H109" i="15"/>
  <c r="H110" i="15" s="1"/>
  <c r="H18" i="15"/>
  <c r="H165" i="1"/>
  <c r="AZ213" i="1"/>
  <c r="AZ217" i="1"/>
  <c r="AZ221" i="1"/>
  <c r="AZ216" i="1"/>
  <c r="AZ212" i="1"/>
  <c r="AW129" i="1"/>
  <c r="AX133" i="1"/>
  <c r="AW125" i="1"/>
  <c r="AW178" i="1"/>
  <c r="AW133" i="1"/>
  <c r="BD201" i="1"/>
  <c r="BD146" i="1"/>
  <c r="BD150" i="1"/>
  <c r="BD128" i="1"/>
  <c r="BD132" i="1"/>
  <c r="AW141" i="1"/>
  <c r="AW143" i="1" s="1"/>
  <c r="BD200" i="1"/>
  <c r="BD145" i="1"/>
  <c r="BD149" i="1"/>
  <c r="AZ129" i="1"/>
  <c r="AZ125" i="1"/>
  <c r="AZ126" i="1" s="1"/>
  <c r="K119" i="17"/>
  <c r="J251" i="17"/>
  <c r="J88" i="17"/>
  <c r="BC239" i="1"/>
  <c r="AV240" i="1"/>
  <c r="AZ239" i="1"/>
  <c r="AZ242" i="1" s="1"/>
  <c r="AZ243" i="1" s="1"/>
  <c r="J242" i="1"/>
  <c r="AX244" i="1"/>
  <c r="AW239" i="1"/>
  <c r="AW240" i="1" s="1"/>
  <c r="N326" i="1"/>
  <c r="N324" i="1" s="1"/>
  <c r="AL557" i="1"/>
  <c r="AH370" i="1"/>
  <c r="AH425" i="1" s="1"/>
  <c r="AH397" i="1"/>
  <c r="AN370" i="1"/>
  <c r="AN425" i="1" s="1"/>
  <c r="AN397" i="1"/>
  <c r="H359" i="1"/>
  <c r="AM370" i="1"/>
  <c r="AM425" i="1" s="1"/>
  <c r="AM397" i="1"/>
  <c r="AM558" i="1"/>
  <c r="AM542" i="1"/>
  <c r="AM541" i="1"/>
  <c r="AM557" i="1"/>
  <c r="G433" i="1"/>
  <c r="G354" i="1"/>
  <c r="AH542" i="1"/>
  <c r="G503" i="1"/>
  <c r="G534" i="1" s="1"/>
  <c r="G539" i="1"/>
  <c r="AI550" i="1"/>
  <c r="AH541" i="1"/>
  <c r="R143" i="17"/>
  <c r="R142" i="17" s="1"/>
  <c r="P55" i="1"/>
  <c r="R313" i="1"/>
  <c r="R284" i="1"/>
  <c r="R15" i="1" s="1"/>
  <c r="Q15" i="1"/>
  <c r="R92" i="17"/>
  <c r="R178" i="17"/>
  <c r="R134" i="17"/>
  <c r="P110" i="1"/>
  <c r="T138" i="1"/>
  <c r="M201" i="1"/>
  <c r="M146" i="1"/>
  <c r="R70" i="17"/>
  <c r="R142" i="1"/>
  <c r="Q141" i="1"/>
  <c r="Q143" i="1" s="1"/>
  <c r="BC99" i="1"/>
  <c r="BC91" i="1"/>
  <c r="BD91" i="1"/>
  <c r="BE18" i="1"/>
  <c r="BE322" i="1"/>
  <c r="N321" i="1"/>
  <c r="M18" i="1"/>
  <c r="T321" i="1"/>
  <c r="I149" i="17"/>
  <c r="I154" i="17" s="1"/>
  <c r="I151" i="17"/>
  <c r="M53" i="1"/>
  <c r="T13" i="1"/>
  <c r="BB201" i="1"/>
  <c r="BB146" i="1"/>
  <c r="BC150" i="1"/>
  <c r="BE138" i="1"/>
  <c r="I237" i="17"/>
  <c r="I109" i="17"/>
  <c r="I107" i="17"/>
  <c r="I112" i="17" s="1"/>
  <c r="AN541" i="1"/>
  <c r="AN549" i="1"/>
  <c r="AN557" i="1"/>
  <c r="AO549" i="1"/>
  <c r="G162" i="17"/>
  <c r="G117" i="17"/>
  <c r="G206" i="17"/>
  <c r="G251" i="17"/>
  <c r="G75" i="17"/>
  <c r="L65" i="1"/>
  <c r="L58" i="1"/>
  <c r="J145" i="1"/>
  <c r="I145" i="1"/>
  <c r="I205" i="1"/>
  <c r="G148" i="17"/>
  <c r="G106" i="17"/>
  <c r="G192" i="17"/>
  <c r="G237" i="17"/>
  <c r="G70" i="17"/>
  <c r="G71" i="17" s="1"/>
  <c r="BB128" i="1"/>
  <c r="BE120" i="1"/>
  <c r="BC132" i="1"/>
  <c r="P750" i="1"/>
  <c r="O608" i="1"/>
  <c r="O794" i="1"/>
  <c r="AN542" i="1"/>
  <c r="AN558" i="1"/>
  <c r="AN550" i="1"/>
  <c r="AO550" i="1"/>
  <c r="O799" i="1"/>
  <c r="N13" i="1"/>
  <c r="O254" i="1"/>
  <c r="BA58" i="1"/>
  <c r="BA45" i="1"/>
  <c r="BB45" i="1"/>
  <c r="BB200" i="1"/>
  <c r="BB145" i="1"/>
  <c r="BC149" i="1"/>
  <c r="BE137" i="1"/>
  <c r="BE53" i="1"/>
  <c r="BE40" i="1"/>
  <c r="K100" i="1"/>
  <c r="BA65" i="1"/>
  <c r="I193" i="17"/>
  <c r="I198" i="17" s="1"/>
  <c r="I195" i="17"/>
  <c r="G159" i="17"/>
  <c r="G248" i="17"/>
  <c r="G203" i="17"/>
  <c r="G74" i="17"/>
  <c r="G116" i="17"/>
  <c r="BB111" i="1"/>
  <c r="BA98" i="1"/>
  <c r="P715" i="1"/>
  <c r="O770" i="1"/>
  <c r="BB248" i="1"/>
  <c r="BB52" i="1"/>
  <c r="O787" i="1"/>
  <c r="P596" i="1"/>
  <c r="AW567" i="1"/>
  <c r="AW165" i="1"/>
  <c r="N631" i="1"/>
  <c r="AQ438" i="1"/>
  <c r="AQ395" i="1"/>
  <c r="AQ394" i="1"/>
  <c r="AQ475" i="1"/>
  <c r="AQ396" i="1"/>
  <c r="AQ497" i="1"/>
  <c r="AQ338" i="1"/>
  <c r="AQ446" i="1"/>
  <c r="AQ567" i="1"/>
  <c r="AQ165" i="1"/>
  <c r="AR350" i="1"/>
  <c r="AR447" i="1"/>
  <c r="AR432" i="1"/>
  <c r="AS567" i="1"/>
  <c r="AS165" i="1"/>
  <c r="AS438" i="1"/>
  <c r="AS338" i="1"/>
  <c r="AS403" i="1" s="1"/>
  <c r="AS475" i="1"/>
  <c r="AS394" i="1"/>
  <c r="AS395" i="1"/>
  <c r="AS446" i="1"/>
  <c r="AS396" i="1"/>
  <c r="AS497" i="1"/>
  <c r="AT438" i="1"/>
  <c r="BD171" i="1"/>
  <c r="BE171" i="1"/>
  <c r="AW394" i="1"/>
  <c r="AW395" i="1"/>
  <c r="AW446" i="1"/>
  <c r="AW475" i="1"/>
  <c r="AW497" i="1"/>
  <c r="AW396" i="1"/>
  <c r="AW338" i="1"/>
  <c r="AW403" i="1" s="1"/>
  <c r="AX438" i="1"/>
  <c r="AR438" i="1"/>
  <c r="AR554" i="1"/>
  <c r="AR499" i="1"/>
  <c r="AR522" i="1" s="1"/>
  <c r="BC195" i="1"/>
  <c r="I23" i="1"/>
  <c r="I27" i="1"/>
  <c r="I292" i="1"/>
  <c r="I228" i="1"/>
  <c r="I30" i="1"/>
  <c r="I59" i="1"/>
  <c r="I236" i="1"/>
  <c r="I76" i="1"/>
  <c r="I109" i="15"/>
  <c r="I110" i="15" s="1"/>
  <c r="I77" i="1"/>
  <c r="I24" i="1"/>
  <c r="I18" i="15"/>
  <c r="I567" i="1"/>
  <c r="I25" i="1"/>
  <c r="I32" i="1"/>
  <c r="I29" i="1"/>
  <c r="I26" i="1"/>
  <c r="I165" i="1"/>
  <c r="I20" i="1"/>
  <c r="I336" i="1"/>
  <c r="I31" i="1"/>
  <c r="Q623" i="1"/>
  <c r="P819" i="1"/>
  <c r="AV394" i="1"/>
  <c r="AV396" i="1"/>
  <c r="AV446" i="1"/>
  <c r="AV395" i="1"/>
  <c r="AV497" i="1"/>
  <c r="AW438" i="1"/>
  <c r="AV475" i="1"/>
  <c r="AV438" i="1"/>
  <c r="AV338" i="1"/>
  <c r="AV403" i="1" s="1"/>
  <c r="AV567" i="1"/>
  <c r="AV165" i="1"/>
  <c r="N228" i="17"/>
  <c r="AU567" i="1"/>
  <c r="AU165" i="1"/>
  <c r="AU497" i="1"/>
  <c r="AU396" i="1"/>
  <c r="AU475" i="1"/>
  <c r="AU338" i="1"/>
  <c r="AU403" i="1" s="1"/>
  <c r="AU394" i="1"/>
  <c r="AU446" i="1"/>
  <c r="AU438" i="1"/>
  <c r="AU395" i="1"/>
  <c r="K145" i="1" l="1"/>
  <c r="K200" i="1"/>
  <c r="AT521" i="1"/>
  <c r="BA142" i="1"/>
  <c r="BA141" i="1" s="1"/>
  <c r="BA143" i="1" s="1"/>
  <c r="BE117" i="1"/>
  <c r="BA120" i="1"/>
  <c r="BA150" i="1"/>
  <c r="BE115" i="1"/>
  <c r="K128" i="1"/>
  <c r="K146" i="1"/>
  <c r="K201" i="1"/>
  <c r="K159" i="1" s="1"/>
  <c r="K160" i="1" s="1"/>
  <c r="L128" i="1"/>
  <c r="BB150" i="1"/>
  <c r="BE110" i="1"/>
  <c r="BE111" i="1" s="1"/>
  <c r="L146" i="1"/>
  <c r="K139" i="1"/>
  <c r="K147" i="1" s="1"/>
  <c r="AA548" i="1"/>
  <c r="AE548" i="1"/>
  <c r="Z540" i="1"/>
  <c r="AD556" i="1"/>
  <c r="Z505" i="1"/>
  <c r="Z536" i="1" s="1"/>
  <c r="AE540" i="1"/>
  <c r="F555" i="1"/>
  <c r="AI556" i="1"/>
  <c r="AE505" i="1"/>
  <c r="AE536" i="1" s="1"/>
  <c r="AP555" i="1"/>
  <c r="AP539" i="1"/>
  <c r="L159" i="1"/>
  <c r="M159" i="1"/>
  <c r="H33" i="1"/>
  <c r="AT410" i="1"/>
  <c r="AT411" i="1" s="1"/>
  <c r="L95" i="17"/>
  <c r="L109" i="17"/>
  <c r="L84" i="17" s="1"/>
  <c r="L35" i="17"/>
  <c r="L138" i="17"/>
  <c r="L33" i="17"/>
  <c r="L96" i="17"/>
  <c r="L34" i="17"/>
  <c r="AP546" i="1"/>
  <c r="AX447" i="1"/>
  <c r="T120" i="1"/>
  <c r="AP525" i="1"/>
  <c r="AX350" i="1"/>
  <c r="AX433" i="1" s="1"/>
  <c r="AP503" i="1"/>
  <c r="AP534" i="1" s="1"/>
  <c r="AP554" i="1"/>
  <c r="AX499" i="1"/>
  <c r="AX522" i="1" s="1"/>
  <c r="AX432" i="1"/>
  <c r="AP547" i="1"/>
  <c r="AP520" i="1"/>
  <c r="M145" i="1"/>
  <c r="AW151" i="1"/>
  <c r="AY178" i="1"/>
  <c r="AY125" i="1"/>
  <c r="AY126" i="1" s="1"/>
  <c r="BO121" i="1"/>
  <c r="BB125" i="1"/>
  <c r="BB126" i="1" s="1"/>
  <c r="AZ133" i="1"/>
  <c r="BD129" i="1"/>
  <c r="AY122" i="1"/>
  <c r="AY134" i="1" s="1"/>
  <c r="AW147" i="1"/>
  <c r="AY129" i="1"/>
  <c r="AC505" i="1"/>
  <c r="AD550" i="1" s="1"/>
  <c r="AE556" i="1"/>
  <c r="AD548" i="1"/>
  <c r="AB548" i="1"/>
  <c r="AA505" i="1"/>
  <c r="AA536" i="1" s="1"/>
  <c r="AC548" i="1"/>
  <c r="AA540" i="1"/>
  <c r="AG556" i="1"/>
  <c r="AT524" i="1"/>
  <c r="AP523" i="1"/>
  <c r="AT535" i="1"/>
  <c r="AX554" i="1"/>
  <c r="AT447" i="1"/>
  <c r="AT554" i="1"/>
  <c r="AP350" i="1"/>
  <c r="AP429" i="1" s="1"/>
  <c r="AP403" i="1"/>
  <c r="AT525" i="1"/>
  <c r="AT520" i="1"/>
  <c r="AT531" i="1"/>
  <c r="N138" i="1"/>
  <c r="N146" i="1" s="1"/>
  <c r="AT523" i="1"/>
  <c r="AP535" i="1"/>
  <c r="M139" i="1"/>
  <c r="M147" i="1" s="1"/>
  <c r="AP521" i="1"/>
  <c r="AX524" i="1"/>
  <c r="AP531" i="1"/>
  <c r="AX531" i="1"/>
  <c r="AP524" i="1"/>
  <c r="AP527" i="1" s="1"/>
  <c r="AX525" i="1"/>
  <c r="I33" i="1"/>
  <c r="AX523" i="1"/>
  <c r="AX529" i="1"/>
  <c r="AF505" i="1"/>
  <c r="AJ558" i="1" s="1"/>
  <c r="AX521" i="1"/>
  <c r="AX520" i="1"/>
  <c r="AF556" i="1"/>
  <c r="AF540" i="1"/>
  <c r="AF534" i="1"/>
  <c r="AF548" i="1"/>
  <c r="AP432" i="1"/>
  <c r="AR528" i="1"/>
  <c r="AR527" i="1"/>
  <c r="F527" i="1"/>
  <c r="AH558" i="1"/>
  <c r="AL425" i="1"/>
  <c r="AV535" i="1"/>
  <c r="AV529" i="1"/>
  <c r="AV531" i="1"/>
  <c r="AS535" i="1"/>
  <c r="AS529" i="1"/>
  <c r="AS531" i="1"/>
  <c r="AU535" i="1"/>
  <c r="AU529" i="1"/>
  <c r="AU531" i="1"/>
  <c r="AE550" i="1"/>
  <c r="AW529" i="1"/>
  <c r="AW531" i="1"/>
  <c r="AW535" i="1"/>
  <c r="AQ535" i="1"/>
  <c r="AQ529" i="1"/>
  <c r="AQ531" i="1"/>
  <c r="AO530" i="1"/>
  <c r="AD536" i="1"/>
  <c r="AB542" i="1"/>
  <c r="AB536" i="1"/>
  <c r="G555" i="1"/>
  <c r="H420" i="1"/>
  <c r="H424" i="1"/>
  <c r="H417" i="1"/>
  <c r="H421" i="1"/>
  <c r="H418" i="1"/>
  <c r="H422" i="1"/>
  <c r="H414" i="1"/>
  <c r="H526" i="1"/>
  <c r="H419" i="1"/>
  <c r="H423" i="1"/>
  <c r="H416" i="1"/>
  <c r="H412" i="1"/>
  <c r="H415" i="1"/>
  <c r="H413" i="1"/>
  <c r="H428" i="1"/>
  <c r="F349" i="1"/>
  <c r="F427" i="1" s="1"/>
  <c r="F429" i="1"/>
  <c r="F503" i="1"/>
  <c r="F534" i="1" s="1"/>
  <c r="D520" i="1"/>
  <c r="D529" i="1"/>
  <c r="D530" i="1"/>
  <c r="D531" i="1"/>
  <c r="D532" i="1"/>
  <c r="D521" i="1"/>
  <c r="D536" i="1"/>
  <c r="D535" i="1"/>
  <c r="D525" i="1"/>
  <c r="D523" i="1"/>
  <c r="D524" i="1"/>
  <c r="I428" i="1"/>
  <c r="I526" i="1"/>
  <c r="AU520" i="1"/>
  <c r="AU524" i="1"/>
  <c r="AU523" i="1"/>
  <c r="AU521" i="1"/>
  <c r="AU525" i="1"/>
  <c r="AV520" i="1"/>
  <c r="AV525" i="1"/>
  <c r="AV524" i="1"/>
  <c r="AV521" i="1"/>
  <c r="AV523" i="1"/>
  <c r="AS520" i="1"/>
  <c r="AS523" i="1"/>
  <c r="AS521" i="1"/>
  <c r="AS525" i="1"/>
  <c r="AS524" i="1"/>
  <c r="AW520" i="1"/>
  <c r="AW525" i="1"/>
  <c r="AW524" i="1"/>
  <c r="AW521" i="1"/>
  <c r="AW523" i="1"/>
  <c r="AR546" i="1"/>
  <c r="AQ520" i="1"/>
  <c r="AQ523" i="1"/>
  <c r="AQ524" i="1"/>
  <c r="AQ525" i="1"/>
  <c r="AQ521" i="1"/>
  <c r="AT555" i="1"/>
  <c r="AT522" i="1"/>
  <c r="AR349" i="1"/>
  <c r="AR427" i="1" s="1"/>
  <c r="AR429" i="1"/>
  <c r="AW410" i="1"/>
  <c r="AW411" i="1" s="1"/>
  <c r="AU410" i="1"/>
  <c r="AU411" i="1" s="1"/>
  <c r="BB202" i="1"/>
  <c r="AP410" i="1"/>
  <c r="AP411" i="1" s="1"/>
  <c r="I421" i="1"/>
  <c r="I423" i="1"/>
  <c r="I418" i="1"/>
  <c r="I420" i="1"/>
  <c r="I422" i="1"/>
  <c r="I417" i="1"/>
  <c r="I424" i="1"/>
  <c r="I419" i="1"/>
  <c r="AX410" i="1"/>
  <c r="AX411" i="1" s="1"/>
  <c r="AS410" i="1"/>
  <c r="AS411" i="1" s="1"/>
  <c r="AV410" i="1"/>
  <c r="AV411" i="1" s="1"/>
  <c r="AR439" i="1"/>
  <c r="AQ403" i="1"/>
  <c r="AQ410" i="1"/>
  <c r="I414" i="1"/>
  <c r="I413" i="1"/>
  <c r="I416" i="1"/>
  <c r="I412" i="1"/>
  <c r="I409" i="1"/>
  <c r="I404" i="1"/>
  <c r="I405" i="1"/>
  <c r="I406" i="1"/>
  <c r="I408" i="1"/>
  <c r="I402" i="1"/>
  <c r="I407" i="1"/>
  <c r="H393" i="1"/>
  <c r="H401" i="1"/>
  <c r="H409" i="1"/>
  <c r="H405" i="1"/>
  <c r="H404" i="1"/>
  <c r="H408" i="1"/>
  <c r="H406" i="1"/>
  <c r="H402" i="1"/>
  <c r="H407" i="1"/>
  <c r="D410" i="1"/>
  <c r="D411" i="1" s="1"/>
  <c r="I393" i="1"/>
  <c r="I401" i="1"/>
  <c r="N120" i="1"/>
  <c r="N121" i="1" s="1"/>
  <c r="N122" i="1" s="1"/>
  <c r="J84" i="17"/>
  <c r="K85" i="17" s="1"/>
  <c r="BB170" i="1"/>
  <c r="M121" i="1"/>
  <c r="M122" i="1" s="1"/>
  <c r="BD170" i="1"/>
  <c r="BD133" i="1"/>
  <c r="BQ120" i="1"/>
  <c r="BB129" i="1"/>
  <c r="M128" i="1"/>
  <c r="BD125" i="1"/>
  <c r="BD126" i="1" s="1"/>
  <c r="AL509" i="1"/>
  <c r="F354" i="1"/>
  <c r="F449" i="1" s="1"/>
  <c r="L98" i="1"/>
  <c r="M59" i="17"/>
  <c r="BE63" i="1"/>
  <c r="BE98" i="1" s="1"/>
  <c r="BB90" i="1"/>
  <c r="M200" i="1"/>
  <c r="O153" i="1"/>
  <c r="M50" i="17"/>
  <c r="N183" i="17"/>
  <c r="M51" i="17"/>
  <c r="L151" i="17"/>
  <c r="L40" i="17"/>
  <c r="L41" i="17"/>
  <c r="L154" i="17"/>
  <c r="L42" i="17"/>
  <c r="L137" i="17"/>
  <c r="BA73" i="1"/>
  <c r="O114" i="1"/>
  <c r="M44" i="17"/>
  <c r="M43" i="17"/>
  <c r="N139" i="17"/>
  <c r="M136" i="17"/>
  <c r="M138" i="17" s="1"/>
  <c r="K130" i="17"/>
  <c r="K131" i="17" s="1"/>
  <c r="K155" i="17"/>
  <c r="BA90" i="1"/>
  <c r="T137" i="1"/>
  <c r="K126" i="17"/>
  <c r="K152" i="17"/>
  <c r="P106" i="1"/>
  <c r="BD107" i="1"/>
  <c r="BE108" i="1"/>
  <c r="J248" i="17"/>
  <c r="BD153" i="1"/>
  <c r="BD155" i="1" s="1"/>
  <c r="J38" i="17"/>
  <c r="N115" i="1"/>
  <c r="N60" i="17"/>
  <c r="N59" i="17" s="1"/>
  <c r="N137" i="1"/>
  <c r="N200" i="1" s="1"/>
  <c r="F448" i="1"/>
  <c r="G448" i="1"/>
  <c r="F433" i="1"/>
  <c r="BE43" i="1"/>
  <c r="AL375" i="1"/>
  <c r="AL378" i="1" s="1"/>
  <c r="BB112" i="1"/>
  <c r="BA112" i="1"/>
  <c r="L221" i="1"/>
  <c r="AZ244" i="1"/>
  <c r="BD242" i="1"/>
  <c r="BD244" i="1" s="1"/>
  <c r="BD202" i="1"/>
  <c r="BC202" i="1"/>
  <c r="L202" i="1"/>
  <c r="AC218" i="1"/>
  <c r="M47" i="17"/>
  <c r="BO170" i="1"/>
  <c r="AC542" i="1"/>
  <c r="N289" i="1"/>
  <c r="N295" i="1"/>
  <c r="N301" i="1" s="1"/>
  <c r="O297" i="1"/>
  <c r="M290" i="1"/>
  <c r="T289" i="1"/>
  <c r="M16" i="1"/>
  <c r="M565" i="1"/>
  <c r="AZ174" i="1"/>
  <c r="AZ214" i="1"/>
  <c r="AT349" i="1"/>
  <c r="AT427" i="1" s="1"/>
  <c r="AT433" i="1"/>
  <c r="AT354" i="1"/>
  <c r="K110" i="17"/>
  <c r="AT539" i="1"/>
  <c r="AT503" i="1"/>
  <c r="AT534" i="1" s="1"/>
  <c r="M49" i="17"/>
  <c r="BC232" i="1"/>
  <c r="BC564" i="1" s="1"/>
  <c r="BE139" i="1"/>
  <c r="BE151" i="1" s="1"/>
  <c r="BD147" i="1"/>
  <c r="BD151" i="1"/>
  <c r="BC147" i="1"/>
  <c r="BC151" i="1"/>
  <c r="L147" i="1"/>
  <c r="BD130" i="1"/>
  <c r="BB130" i="1"/>
  <c r="M48" i="17"/>
  <c r="M198" i="17"/>
  <c r="M174" i="17" s="1"/>
  <c r="K122" i="1"/>
  <c r="K130" i="1" s="1"/>
  <c r="BC122" i="1"/>
  <c r="L122" i="1"/>
  <c r="BA121" i="1"/>
  <c r="BP120" i="1"/>
  <c r="L616" i="1"/>
  <c r="N358" i="1"/>
  <c r="O583" i="1"/>
  <c r="BD583" i="1"/>
  <c r="BD358" i="1" s="1"/>
  <c r="BC358" i="1"/>
  <c r="Q6" i="1"/>
  <c r="R4" i="15"/>
  <c r="BA132" i="1"/>
  <c r="BA128" i="1"/>
  <c r="BB132" i="1"/>
  <c r="BA124" i="1"/>
  <c r="Q66" i="17"/>
  <c r="R66" i="17" s="1"/>
  <c r="Q107" i="1"/>
  <c r="Q63" i="17"/>
  <c r="R63" i="17" s="1"/>
  <c r="L170" i="1"/>
  <c r="L129" i="1"/>
  <c r="K212" i="1"/>
  <c r="BA200" i="1"/>
  <c r="BA201" i="1"/>
  <c r="L212" i="1"/>
  <c r="BC112" i="1"/>
  <c r="BC133" i="1"/>
  <c r="K170" i="1"/>
  <c r="K129" i="1"/>
  <c r="K616" i="1"/>
  <c r="K167" i="17"/>
  <c r="K171" i="17"/>
  <c r="L199" i="17"/>
  <c r="L174" i="17"/>
  <c r="L175" i="17" s="1"/>
  <c r="N51" i="1"/>
  <c r="AG542" i="1"/>
  <c r="AK558" i="1"/>
  <c r="L110" i="17"/>
  <c r="P224" i="1"/>
  <c r="O11" i="1"/>
  <c r="M33" i="17"/>
  <c r="M112" i="17"/>
  <c r="M95" i="17"/>
  <c r="M96" i="17"/>
  <c r="M34" i="17"/>
  <c r="M35" i="17"/>
  <c r="M109" i="17"/>
  <c r="AH550" i="1"/>
  <c r="K81" i="17"/>
  <c r="K115" i="17" s="1"/>
  <c r="M181" i="17"/>
  <c r="O98" i="17"/>
  <c r="N100" i="17"/>
  <c r="N36" i="17"/>
  <c r="N94" i="17"/>
  <c r="N101" i="17"/>
  <c r="N37" i="17"/>
  <c r="L88" i="17"/>
  <c r="L113" i="17"/>
  <c r="L170" i="17"/>
  <c r="L196" i="17"/>
  <c r="AJ375" i="1"/>
  <c r="AJ509" i="1"/>
  <c r="AJ530" i="1" s="1"/>
  <c r="C387" i="1"/>
  <c r="C386" i="1"/>
  <c r="K566" i="1"/>
  <c r="K311" i="1"/>
  <c r="BA310" i="1"/>
  <c r="K17" i="1"/>
  <c r="N743" i="1"/>
  <c r="M735" i="1"/>
  <c r="M730" i="1" s="1"/>
  <c r="R595" i="1"/>
  <c r="R788" i="1" s="1"/>
  <c r="Q824" i="1"/>
  <c r="Q788" i="1"/>
  <c r="K351" i="1"/>
  <c r="K729" i="1"/>
  <c r="K731" i="1"/>
  <c r="BC212" i="1"/>
  <c r="M315" i="1"/>
  <c r="L310" i="1"/>
  <c r="N744" i="1"/>
  <c r="O744" i="1" s="1"/>
  <c r="P744" i="1" s="1"/>
  <c r="O732" i="1"/>
  <c r="L351" i="1"/>
  <c r="L731" i="1"/>
  <c r="AA200" i="1"/>
  <c r="AA202" i="1" s="1"/>
  <c r="BC125" i="1"/>
  <c r="BC126" i="1" s="1"/>
  <c r="BC170" i="1"/>
  <c r="BC129" i="1"/>
  <c r="AC216" i="1"/>
  <c r="AB209" i="1"/>
  <c r="BC213" i="1"/>
  <c r="AD558" i="1"/>
  <c r="J74" i="1"/>
  <c r="J19" i="1"/>
  <c r="Z201" i="1"/>
  <c r="O269" i="1"/>
  <c r="N260" i="1"/>
  <c r="L274" i="1"/>
  <c r="L276" i="1"/>
  <c r="J226" i="17"/>
  <c r="J240" i="17"/>
  <c r="J243" i="17"/>
  <c r="J220" i="17" s="1"/>
  <c r="L232" i="17"/>
  <c r="K225" i="17"/>
  <c r="K224" i="17" s="1"/>
  <c r="M261" i="1"/>
  <c r="M273" i="1"/>
  <c r="M263" i="1"/>
  <c r="D554" i="1"/>
  <c r="E554" i="1"/>
  <c r="D499" i="1"/>
  <c r="D522" i="1" s="1"/>
  <c r="D447" i="1"/>
  <c r="D432" i="1"/>
  <c r="E447" i="1"/>
  <c r="D350" i="1"/>
  <c r="M170" i="17"/>
  <c r="M196" i="17"/>
  <c r="E507" i="1"/>
  <c r="E528" i="1" s="1"/>
  <c r="E505" i="1"/>
  <c r="E536" i="1" s="1"/>
  <c r="E359" i="1"/>
  <c r="E415" i="1" s="1"/>
  <c r="E434" i="1"/>
  <c r="AO378" i="1"/>
  <c r="AK375" i="1"/>
  <c r="AK509" i="1"/>
  <c r="AK530" i="1" s="1"/>
  <c r="F434" i="1"/>
  <c r="F505" i="1"/>
  <c r="F536" i="1" s="1"/>
  <c r="AI375" i="1"/>
  <c r="AI509" i="1"/>
  <c r="AI530" i="1" s="1"/>
  <c r="H125" i="15"/>
  <c r="H126" i="15" s="1"/>
  <c r="H124" i="15" s="1"/>
  <c r="H446" i="1"/>
  <c r="H394" i="1"/>
  <c r="H688" i="1"/>
  <c r="H649" i="1"/>
  <c r="H395" i="1"/>
  <c r="H374" i="1"/>
  <c r="H396" i="1"/>
  <c r="H338" i="1"/>
  <c r="H403" i="1" s="1"/>
  <c r="H690" i="1"/>
  <c r="H693" i="1"/>
  <c r="H692" i="1" s="1"/>
  <c r="H475" i="1"/>
  <c r="H655" i="1"/>
  <c r="H656" i="1"/>
  <c r="H685" i="1"/>
  <c r="H497" i="1"/>
  <c r="R387" i="1"/>
  <c r="AZ187" i="1"/>
  <c r="AZ193" i="1"/>
  <c r="BD213" i="1"/>
  <c r="BD217" i="1"/>
  <c r="BD212" i="1"/>
  <c r="BD216" i="1"/>
  <c r="J89" i="17"/>
  <c r="K89" i="17"/>
  <c r="K242" i="1"/>
  <c r="J239" i="1"/>
  <c r="AY12" i="1"/>
  <c r="AY247" i="1"/>
  <c r="BD239" i="1"/>
  <c r="O326" i="1"/>
  <c r="G359" i="1"/>
  <c r="G415" i="1" s="1"/>
  <c r="G19" i="15"/>
  <c r="G434" i="1"/>
  <c r="G449" i="1"/>
  <c r="AH509" i="1"/>
  <c r="AH530" i="1" s="1"/>
  <c r="AH375" i="1"/>
  <c r="G540" i="1"/>
  <c r="G507" i="1"/>
  <c r="G528" i="1" s="1"/>
  <c r="G505" i="1"/>
  <c r="G536" i="1" s="1"/>
  <c r="H397" i="1"/>
  <c r="H370" i="1"/>
  <c r="H425" i="1" s="1"/>
  <c r="AN375" i="1"/>
  <c r="AN509" i="1"/>
  <c r="AM375" i="1"/>
  <c r="AM509" i="1"/>
  <c r="Q55" i="1"/>
  <c r="R55" i="1"/>
  <c r="BD112" i="1"/>
  <c r="BD111" i="1"/>
  <c r="N128" i="1"/>
  <c r="M170" i="1"/>
  <c r="M129" i="1"/>
  <c r="M616" i="1"/>
  <c r="T201" i="1"/>
  <c r="M213" i="1"/>
  <c r="M221" i="1"/>
  <c r="Q110" i="1"/>
  <c r="N61" i="17"/>
  <c r="R141" i="1"/>
  <c r="R143" i="1" s="1"/>
  <c r="I199" i="17"/>
  <c r="J199" i="17"/>
  <c r="BE132" i="1"/>
  <c r="BE124" i="1"/>
  <c r="BE128" i="1"/>
  <c r="G238" i="17"/>
  <c r="G243" i="17" s="1"/>
  <c r="G240" i="17"/>
  <c r="L100" i="1"/>
  <c r="BE65" i="1"/>
  <c r="BE146" i="1"/>
  <c r="BE142" i="1"/>
  <c r="BE141" i="1" s="1"/>
  <c r="BE143" i="1" s="1"/>
  <c r="BE150" i="1"/>
  <c r="T18" i="1"/>
  <c r="M58" i="1"/>
  <c r="M65" i="1"/>
  <c r="J196" i="17"/>
  <c r="I196" i="17"/>
  <c r="BE149" i="1"/>
  <c r="BB212" i="1"/>
  <c r="BC216" i="1"/>
  <c r="BE200" i="1"/>
  <c r="N53" i="1"/>
  <c r="G151" i="17"/>
  <c r="G149" i="17"/>
  <c r="G154" i="17" s="1"/>
  <c r="I110" i="17"/>
  <c r="J110" i="17"/>
  <c r="I155" i="17"/>
  <c r="J155" i="17"/>
  <c r="I238" i="17"/>
  <c r="I243" i="17" s="1"/>
  <c r="I240" i="17"/>
  <c r="BB213" i="1"/>
  <c r="BC217" i="1"/>
  <c r="BE201" i="1"/>
  <c r="BE221" i="1" s="1"/>
  <c r="BE58" i="1"/>
  <c r="BE45" i="1"/>
  <c r="G193" i="17"/>
  <c r="G198" i="17" s="1"/>
  <c r="G195" i="17"/>
  <c r="I74" i="17"/>
  <c r="I76" i="17" s="1"/>
  <c r="I203" i="17"/>
  <c r="I52" i="17" s="1"/>
  <c r="I116" i="17"/>
  <c r="I159" i="17"/>
  <c r="I45" i="17" s="1"/>
  <c r="G118" i="17"/>
  <c r="N18" i="1"/>
  <c r="O321" i="1"/>
  <c r="BE121" i="1"/>
  <c r="BE122" i="1" s="1"/>
  <c r="BE134" i="1" s="1"/>
  <c r="P799" i="1"/>
  <c r="BA92" i="1"/>
  <c r="BB92" i="1"/>
  <c r="BA100" i="1"/>
  <c r="BA75" i="1"/>
  <c r="P254" i="1"/>
  <c r="O13" i="1"/>
  <c r="Q750" i="1"/>
  <c r="P794" i="1"/>
  <c r="P608" i="1"/>
  <c r="G107" i="17"/>
  <c r="G112" i="17" s="1"/>
  <c r="G109" i="17"/>
  <c r="I113" i="17"/>
  <c r="J113" i="17"/>
  <c r="I152" i="17"/>
  <c r="J152" i="17"/>
  <c r="L171" i="1"/>
  <c r="Q715" i="1"/>
  <c r="P770" i="1"/>
  <c r="P787" i="1"/>
  <c r="Q596" i="1"/>
  <c r="AR555" i="1"/>
  <c r="AR503" i="1"/>
  <c r="AR534" i="1" s="1"/>
  <c r="AR539" i="1"/>
  <c r="L173" i="1"/>
  <c r="AQ447" i="1"/>
  <c r="AQ439" i="1"/>
  <c r="AQ432" i="1"/>
  <c r="AQ350" i="1"/>
  <c r="AQ429" i="1" s="1"/>
  <c r="O631" i="1"/>
  <c r="AW499" i="1"/>
  <c r="AW522" i="1" s="1"/>
  <c r="AW554" i="1"/>
  <c r="AX546" i="1"/>
  <c r="BE195" i="1"/>
  <c r="AS546" i="1"/>
  <c r="AS554" i="1"/>
  <c r="AT546" i="1"/>
  <c r="AS499" i="1"/>
  <c r="AS522" i="1" s="1"/>
  <c r="AS432" i="1"/>
  <c r="AS350" i="1"/>
  <c r="AT439" i="1"/>
  <c r="AS439" i="1"/>
  <c r="AS447" i="1"/>
  <c r="AQ554" i="1"/>
  <c r="AQ546" i="1"/>
  <c r="AQ499" i="1"/>
  <c r="AQ522" i="1" s="1"/>
  <c r="I394" i="1"/>
  <c r="I497" i="1"/>
  <c r="I535" i="1" s="1"/>
  <c r="I338" i="1"/>
  <c r="I403" i="1" s="1"/>
  <c r="I690" i="1"/>
  <c r="I446" i="1"/>
  <c r="I649" i="1"/>
  <c r="I395" i="1"/>
  <c r="I396" i="1"/>
  <c r="I655" i="1"/>
  <c r="I656" i="1"/>
  <c r="I693" i="1"/>
  <c r="I692" i="1" s="1"/>
  <c r="I688" i="1"/>
  <c r="I125" i="15"/>
  <c r="I126" i="15" s="1"/>
  <c r="I124" i="15" s="1"/>
  <c r="I475" i="1"/>
  <c r="I374" i="1"/>
  <c r="I685" i="1"/>
  <c r="AW350" i="1"/>
  <c r="AW447" i="1"/>
  <c r="AW432" i="1"/>
  <c r="AX439" i="1"/>
  <c r="BD195" i="1"/>
  <c r="AR354" i="1"/>
  <c r="AR448" i="1"/>
  <c r="AR433" i="1"/>
  <c r="AV554" i="1"/>
  <c r="AV499" i="1"/>
  <c r="AV522" i="1" s="1"/>
  <c r="AW546" i="1"/>
  <c r="AV546" i="1"/>
  <c r="O228" i="17"/>
  <c r="R623" i="1"/>
  <c r="Q819" i="1"/>
  <c r="AU350" i="1"/>
  <c r="AU447" i="1"/>
  <c r="AU432" i="1"/>
  <c r="AU439" i="1"/>
  <c r="AU499" i="1"/>
  <c r="AU522" i="1" s="1"/>
  <c r="AU554" i="1"/>
  <c r="AU546" i="1"/>
  <c r="AV432" i="1"/>
  <c r="AV447" i="1"/>
  <c r="AV350" i="1"/>
  <c r="AV439" i="1"/>
  <c r="AW439" i="1"/>
  <c r="AC550" i="1" l="1"/>
  <c r="G556" i="1"/>
  <c r="AX539" i="1"/>
  <c r="F507" i="1"/>
  <c r="F528" i="1" s="1"/>
  <c r="AA542" i="1"/>
  <c r="AF558" i="1"/>
  <c r="AG550" i="1"/>
  <c r="AY130" i="1"/>
  <c r="K213" i="1"/>
  <c r="L213" i="1"/>
  <c r="K221" i="1"/>
  <c r="K202" i="1"/>
  <c r="O60" i="17"/>
  <c r="O59" i="17" s="1"/>
  <c r="L160" i="1"/>
  <c r="BE112" i="1"/>
  <c r="O120" i="1"/>
  <c r="F556" i="1"/>
  <c r="Z542" i="1"/>
  <c r="AP507" i="1"/>
  <c r="AP541" i="1" s="1"/>
  <c r="AP548" i="1"/>
  <c r="F359" i="1"/>
  <c r="F415" i="1" s="1"/>
  <c r="AE558" i="1"/>
  <c r="AE542" i="1"/>
  <c r="AI558" i="1"/>
  <c r="AX448" i="1"/>
  <c r="AX354" i="1"/>
  <c r="AX359" i="1" s="1"/>
  <c r="AX415" i="1" s="1"/>
  <c r="BB187" i="1"/>
  <c r="BD187" i="1"/>
  <c r="M160" i="1"/>
  <c r="BA217" i="1"/>
  <c r="BD159" i="1"/>
  <c r="BD160" i="1" s="1"/>
  <c r="BC159" i="1"/>
  <c r="BC160" i="1" s="1"/>
  <c r="BB159" i="1"/>
  <c r="BB160" i="1" s="1"/>
  <c r="BA159" i="1"/>
  <c r="AX429" i="1"/>
  <c r="BE159" i="1"/>
  <c r="BE73" i="1"/>
  <c r="BR120" i="1"/>
  <c r="AX349" i="1"/>
  <c r="AX427" i="1" s="1"/>
  <c r="BE90" i="1"/>
  <c r="AX503" i="1"/>
  <c r="AX534" i="1" s="1"/>
  <c r="O137" i="1"/>
  <c r="O200" i="1" s="1"/>
  <c r="AA550" i="1"/>
  <c r="AF542" i="1"/>
  <c r="AG558" i="1"/>
  <c r="AZ134" i="1"/>
  <c r="AP556" i="1"/>
  <c r="AX555" i="1"/>
  <c r="O115" i="1"/>
  <c r="AP505" i="1"/>
  <c r="AP536" i="1" s="1"/>
  <c r="AB550" i="1"/>
  <c r="AF550" i="1"/>
  <c r="AP540" i="1"/>
  <c r="J85" i="17"/>
  <c r="N139" i="1"/>
  <c r="N147" i="1" s="1"/>
  <c r="N201" i="1"/>
  <c r="O138" i="1"/>
  <c r="AT527" i="1"/>
  <c r="AC536" i="1"/>
  <c r="AX528" i="1"/>
  <c r="AT528" i="1"/>
  <c r="M212" i="1"/>
  <c r="AT448" i="1"/>
  <c r="AP354" i="1"/>
  <c r="AP359" i="1" s="1"/>
  <c r="AP440" i="1"/>
  <c r="AP448" i="1"/>
  <c r="AP349" i="1"/>
  <c r="AP427" i="1" s="1"/>
  <c r="AP433" i="1"/>
  <c r="AX527" i="1"/>
  <c r="AP528" i="1"/>
  <c r="AF536" i="1"/>
  <c r="AU528" i="1"/>
  <c r="AV528" i="1"/>
  <c r="AS527" i="1"/>
  <c r="AQ527" i="1"/>
  <c r="AW527" i="1"/>
  <c r="AV527" i="1"/>
  <c r="D527" i="1"/>
  <c r="AU527" i="1"/>
  <c r="AM530" i="1"/>
  <c r="AN530" i="1"/>
  <c r="AL530" i="1"/>
  <c r="D349" i="1"/>
  <c r="D427" i="1" s="1"/>
  <c r="D429" i="1"/>
  <c r="H520" i="1"/>
  <c r="H535" i="1"/>
  <c r="H529" i="1"/>
  <c r="H531" i="1"/>
  <c r="H525" i="1"/>
  <c r="H523" i="1"/>
  <c r="H524" i="1"/>
  <c r="H521" i="1"/>
  <c r="I529" i="1"/>
  <c r="I531" i="1"/>
  <c r="Q106" i="1"/>
  <c r="J81" i="17"/>
  <c r="J90" i="17" s="1"/>
  <c r="AQ528" i="1"/>
  <c r="I520" i="1"/>
  <c r="I521" i="1"/>
  <c r="I524" i="1"/>
  <c r="I525" i="1"/>
  <c r="I523" i="1"/>
  <c r="AW528" i="1"/>
  <c r="AS528" i="1"/>
  <c r="AS349" i="1"/>
  <c r="AS427" i="1" s="1"/>
  <c r="AS429" i="1"/>
  <c r="AV349" i="1"/>
  <c r="AV427" i="1" s="1"/>
  <c r="AV429" i="1"/>
  <c r="AU349" i="1"/>
  <c r="AU427" i="1" s="1"/>
  <c r="AU429" i="1"/>
  <c r="AW349" i="1"/>
  <c r="AW427" i="1" s="1"/>
  <c r="AW429" i="1"/>
  <c r="AQ411" i="1"/>
  <c r="I410" i="1"/>
  <c r="I411" i="1" s="1"/>
  <c r="H410" i="1"/>
  <c r="H411" i="1" s="1"/>
  <c r="N130" i="1"/>
  <c r="P114" i="1"/>
  <c r="P60" i="17" s="1"/>
  <c r="T121" i="1"/>
  <c r="P153" i="1"/>
  <c r="BQ121" i="1"/>
  <c r="M202" i="1"/>
  <c r="M214" i="1" s="1"/>
  <c r="T200" i="1"/>
  <c r="N43" i="17"/>
  <c r="N44" i="17"/>
  <c r="N136" i="17"/>
  <c r="O139" i="17"/>
  <c r="L126" i="17"/>
  <c r="L152" i="17"/>
  <c r="L130" i="17"/>
  <c r="L155" i="17"/>
  <c r="K123" i="17"/>
  <c r="K128" i="17" s="1"/>
  <c r="K127" i="17"/>
  <c r="N180" i="17"/>
  <c r="N51" i="17"/>
  <c r="N50" i="17"/>
  <c r="O183" i="17"/>
  <c r="M40" i="17"/>
  <c r="M154" i="17"/>
  <c r="M41" i="17"/>
  <c r="M151" i="17"/>
  <c r="M42" i="17"/>
  <c r="M137" i="17"/>
  <c r="BD232" i="1"/>
  <c r="BD564" i="1" s="1"/>
  <c r="N145" i="1"/>
  <c r="BA137" i="1"/>
  <c r="BB149" i="1" s="1"/>
  <c r="J216" i="17"/>
  <c r="J213" i="17" s="1"/>
  <c r="J246" i="17" s="1"/>
  <c r="AZ179" i="1"/>
  <c r="AZ183" i="1"/>
  <c r="BC193" i="1"/>
  <c r="BC187" i="1"/>
  <c r="J31" i="1"/>
  <c r="J28" i="1"/>
  <c r="AY9" i="1"/>
  <c r="BE202" i="1"/>
  <c r="BE218" i="1" s="1"/>
  <c r="BB216" i="1"/>
  <c r="BA202" i="1"/>
  <c r="BA218" i="1" s="1"/>
  <c r="AZ10" i="1"/>
  <c r="L72" i="15"/>
  <c r="AZ209" i="1"/>
  <c r="AZ210" i="1"/>
  <c r="AZ207" i="1"/>
  <c r="AB218" i="1"/>
  <c r="M199" i="17"/>
  <c r="BC233" i="1"/>
  <c r="BD218" i="1"/>
  <c r="BQ16" i="1"/>
  <c r="T16" i="1"/>
  <c r="M56" i="1"/>
  <c r="M63" i="1"/>
  <c r="O295" i="1"/>
  <c r="O301" i="1" s="1"/>
  <c r="O289" i="1"/>
  <c r="P297" i="1"/>
  <c r="N290" i="1"/>
  <c r="N16" i="1"/>
  <c r="N565" i="1"/>
  <c r="BC218" i="1"/>
  <c r="BC234" i="1"/>
  <c r="K162" i="1"/>
  <c r="K214" i="1"/>
  <c r="L130" i="1"/>
  <c r="BB162" i="1"/>
  <c r="BB214" i="1"/>
  <c r="BC162" i="1"/>
  <c r="BC563" i="1" s="1"/>
  <c r="BC214" i="1"/>
  <c r="L162" i="1"/>
  <c r="L157" i="1" s="1"/>
  <c r="L214" i="1"/>
  <c r="BD162" i="1"/>
  <c r="BD563" i="1" s="1"/>
  <c r="BD214" i="1"/>
  <c r="BC12" i="1"/>
  <c r="BC52" i="1" s="1"/>
  <c r="BC235" i="1"/>
  <c r="BC247" i="1"/>
  <c r="BC249" i="1" s="1"/>
  <c r="AT434" i="1"/>
  <c r="AT359" i="1"/>
  <c r="AT415" i="1" s="1"/>
  <c r="AT540" i="1"/>
  <c r="AT507" i="1"/>
  <c r="AT505" i="1"/>
  <c r="AT556" i="1"/>
  <c r="N170" i="1"/>
  <c r="BA125" i="1"/>
  <c r="BA126" i="1" s="1"/>
  <c r="BA133" i="1"/>
  <c r="BR121" i="1"/>
  <c r="N616" i="1"/>
  <c r="N783" i="1" s="1"/>
  <c r="N129" i="1"/>
  <c r="BC130" i="1"/>
  <c r="BC134" i="1"/>
  <c r="BD134" i="1"/>
  <c r="BA122" i="1"/>
  <c r="M130" i="1"/>
  <c r="BD193" i="1"/>
  <c r="M783" i="1"/>
  <c r="AR440" i="1"/>
  <c r="AQ349" i="1"/>
  <c r="AQ427" i="1" s="1"/>
  <c r="M175" i="17"/>
  <c r="BE583" i="1"/>
  <c r="BE358" i="1" s="1"/>
  <c r="BA129" i="1"/>
  <c r="BP121" i="1"/>
  <c r="BB133" i="1"/>
  <c r="BB217" i="1"/>
  <c r="O358" i="1"/>
  <c r="P583" i="1"/>
  <c r="R6" i="1"/>
  <c r="BD221" i="1"/>
  <c r="BA213" i="1"/>
  <c r="BE170" i="1"/>
  <c r="BC221" i="1"/>
  <c r="BQ170" i="1"/>
  <c r="BA221" i="1"/>
  <c r="BB221" i="1"/>
  <c r="BA206" i="1"/>
  <c r="BA216" i="1"/>
  <c r="BA212" i="1"/>
  <c r="T170" i="1"/>
  <c r="K783" i="1"/>
  <c r="L783" i="1"/>
  <c r="L187" i="1"/>
  <c r="K187" i="1"/>
  <c r="BA170" i="1"/>
  <c r="L89" i="17"/>
  <c r="O100" i="17"/>
  <c r="O101" i="17"/>
  <c r="P98" i="17"/>
  <c r="O37" i="17"/>
  <c r="O36" i="17"/>
  <c r="O94" i="17"/>
  <c r="K86" i="17"/>
  <c r="K90" i="17"/>
  <c r="N96" i="17"/>
  <c r="N95" i="17"/>
  <c r="N109" i="17"/>
  <c r="N112" i="17"/>
  <c r="N33" i="17"/>
  <c r="N34" i="17"/>
  <c r="N35" i="17"/>
  <c r="M113" i="17"/>
  <c r="M88" i="17"/>
  <c r="L171" i="17"/>
  <c r="L167" i="17"/>
  <c r="M110" i="17"/>
  <c r="M84" i="17"/>
  <c r="O51" i="1"/>
  <c r="L81" i="17"/>
  <c r="L86" i="17" s="1"/>
  <c r="L85" i="17"/>
  <c r="Q224" i="1"/>
  <c r="P11" i="1"/>
  <c r="K172" i="17"/>
  <c r="K201" i="17"/>
  <c r="K168" i="17"/>
  <c r="K176" i="17"/>
  <c r="BB351" i="1"/>
  <c r="L766" i="1"/>
  <c r="T315" i="1"/>
  <c r="N315" i="1"/>
  <c r="M310" i="1"/>
  <c r="BA17" i="1"/>
  <c r="BA566" i="1"/>
  <c r="BA311" i="1"/>
  <c r="BA315" i="1"/>
  <c r="BA316" i="1" s="1"/>
  <c r="AJ378" i="1"/>
  <c r="Z200" i="1"/>
  <c r="E201" i="1"/>
  <c r="O745" i="1"/>
  <c r="P745" i="1" s="1"/>
  <c r="Q745" i="1" s="1"/>
  <c r="R745" i="1" s="1"/>
  <c r="P732" i="1"/>
  <c r="M731" i="1"/>
  <c r="M351" i="1"/>
  <c r="L729" i="1"/>
  <c r="K717" i="1"/>
  <c r="R824" i="1"/>
  <c r="O743" i="1"/>
  <c r="N735" i="1"/>
  <c r="N730" i="1" s="1"/>
  <c r="J20" i="1"/>
  <c r="J26" i="1"/>
  <c r="J76" i="1"/>
  <c r="J236" i="1"/>
  <c r="J29" i="1"/>
  <c r="J23" i="1"/>
  <c r="J109" i="15"/>
  <c r="J110" i="15" s="1"/>
  <c r="J228" i="1"/>
  <c r="J30" i="1"/>
  <c r="J24" i="1"/>
  <c r="J77" i="1"/>
  <c r="J59" i="1"/>
  <c r="J25" i="1"/>
  <c r="J567" i="1"/>
  <c r="J32" i="1"/>
  <c r="J27" i="1"/>
  <c r="J336" i="1"/>
  <c r="J165" i="1"/>
  <c r="J18" i="15"/>
  <c r="J292" i="1"/>
  <c r="AA209" i="1"/>
  <c r="AB216" i="1"/>
  <c r="L566" i="1"/>
  <c r="BE310" i="1"/>
  <c r="L17" i="1"/>
  <c r="L311" i="1"/>
  <c r="BA351" i="1"/>
  <c r="K766" i="1"/>
  <c r="K64" i="1"/>
  <c r="K57" i="1"/>
  <c r="D448" i="1"/>
  <c r="D354" i="1"/>
  <c r="D433" i="1"/>
  <c r="E448" i="1"/>
  <c r="M274" i="1"/>
  <c r="M276" i="1"/>
  <c r="N261" i="1"/>
  <c r="N263" i="1"/>
  <c r="N273" i="1"/>
  <c r="K243" i="17"/>
  <c r="K240" i="17"/>
  <c r="K226" i="17"/>
  <c r="P269" i="1"/>
  <c r="O260" i="1"/>
  <c r="D503" i="1"/>
  <c r="D534" i="1" s="1"/>
  <c r="D555" i="1"/>
  <c r="E555" i="1"/>
  <c r="M232" i="17"/>
  <c r="L225" i="17"/>
  <c r="L224" i="17" s="1"/>
  <c r="M167" i="17"/>
  <c r="M172" i="17" s="1"/>
  <c r="M171" i="17"/>
  <c r="E397" i="1"/>
  <c r="E370" i="1"/>
  <c r="E425" i="1" s="1"/>
  <c r="AO451" i="1"/>
  <c r="AO435" i="1"/>
  <c r="AO511" i="1"/>
  <c r="AO532" i="1" s="1"/>
  <c r="AI378" i="1"/>
  <c r="F557" i="1"/>
  <c r="H447" i="1"/>
  <c r="H350" i="1"/>
  <c r="H432" i="1"/>
  <c r="F370" i="1"/>
  <c r="F425" i="1" s="1"/>
  <c r="F397" i="1"/>
  <c r="H554" i="1"/>
  <c r="H499" i="1"/>
  <c r="H522" i="1" s="1"/>
  <c r="AL443" i="1"/>
  <c r="AL435" i="1"/>
  <c r="AL511" i="1"/>
  <c r="AL532" i="1" s="1"/>
  <c r="F558" i="1"/>
  <c r="AP557" i="1"/>
  <c r="AP69" i="1"/>
  <c r="AP78" i="1" s="1"/>
  <c r="M171" i="1"/>
  <c r="N171" i="1" s="1"/>
  <c r="L189" i="1"/>
  <c r="AZ247" i="1"/>
  <c r="AZ235" i="1"/>
  <c r="AZ12" i="1"/>
  <c r="AZ233" i="1"/>
  <c r="AZ234" i="1"/>
  <c r="AY249" i="1"/>
  <c r="AY248" i="1"/>
  <c r="AY39" i="1"/>
  <c r="AY52" i="1"/>
  <c r="J86" i="17"/>
  <c r="K82" i="17"/>
  <c r="J240" i="1"/>
  <c r="K239" i="1"/>
  <c r="BA242" i="1"/>
  <c r="L242" i="1"/>
  <c r="P326" i="1"/>
  <c r="P324" i="1" s="1"/>
  <c r="O324" i="1"/>
  <c r="AM378" i="1"/>
  <c r="H375" i="1"/>
  <c r="H758" i="1"/>
  <c r="H470" i="1"/>
  <c r="H472" i="1" s="1"/>
  <c r="H509" i="1"/>
  <c r="AH378" i="1"/>
  <c r="AN378" i="1"/>
  <c r="G117" i="15"/>
  <c r="G118" i="15" s="1"/>
  <c r="G542" i="1"/>
  <c r="G558" i="1"/>
  <c r="G113" i="15"/>
  <c r="G114" i="15" s="1"/>
  <c r="G25" i="15"/>
  <c r="G541" i="1"/>
  <c r="G557" i="1"/>
  <c r="G370" i="1"/>
  <c r="G425" i="1" s="1"/>
  <c r="G397" i="1"/>
  <c r="R110" i="1"/>
  <c r="M187" i="1"/>
  <c r="O61" i="17"/>
  <c r="N212" i="1"/>
  <c r="P137" i="1"/>
  <c r="AX449" i="1"/>
  <c r="G110" i="17"/>
  <c r="H110" i="17"/>
  <c r="O18" i="1"/>
  <c r="P321" i="1"/>
  <c r="H199" i="17"/>
  <c r="G199" i="17"/>
  <c r="I220" i="17"/>
  <c r="I244" i="17"/>
  <c r="J244" i="17"/>
  <c r="G155" i="17"/>
  <c r="H155" i="17"/>
  <c r="G241" i="17"/>
  <c r="H241" i="17"/>
  <c r="BE216" i="1"/>
  <c r="BE205" i="1"/>
  <c r="BE212" i="1"/>
  <c r="H113" i="17"/>
  <c r="G113" i="17"/>
  <c r="O53" i="1"/>
  <c r="N58" i="1"/>
  <c r="N65" i="1"/>
  <c r="N100" i="1" s="1"/>
  <c r="BE206" i="1"/>
  <c r="BE217" i="1"/>
  <c r="BE213" i="1"/>
  <c r="G152" i="17"/>
  <c r="H152" i="17"/>
  <c r="H244" i="17"/>
  <c r="G244" i="17"/>
  <c r="R799" i="1"/>
  <c r="Q799" i="1"/>
  <c r="I248" i="17"/>
  <c r="I216" i="17" s="1"/>
  <c r="I118" i="17"/>
  <c r="I38" i="17"/>
  <c r="H196" i="17"/>
  <c r="G196" i="17"/>
  <c r="I241" i="17"/>
  <c r="J241" i="17"/>
  <c r="T65" i="1"/>
  <c r="M100" i="1"/>
  <c r="R750" i="1"/>
  <c r="Q608" i="1"/>
  <c r="Q794" i="1"/>
  <c r="Q254" i="1"/>
  <c r="P13" i="1"/>
  <c r="BE129" i="1"/>
  <c r="BE125" i="1"/>
  <c r="BE126" i="1" s="1"/>
  <c r="BE133" i="1"/>
  <c r="BE75" i="1"/>
  <c r="BE100" i="1"/>
  <c r="BE92" i="1"/>
  <c r="Q770" i="1"/>
  <c r="R715" i="1"/>
  <c r="R770" i="1" s="1"/>
  <c r="Q744" i="1"/>
  <c r="R596" i="1"/>
  <c r="R787" i="1" s="1"/>
  <c r="Q787" i="1"/>
  <c r="AW539" i="1"/>
  <c r="AW555" i="1"/>
  <c r="AW503" i="1"/>
  <c r="AW534" i="1" s="1"/>
  <c r="AX547" i="1"/>
  <c r="AR434" i="1"/>
  <c r="AR359" i="1"/>
  <c r="AR415" i="1" s="1"/>
  <c r="AR449" i="1"/>
  <c r="AS433" i="1"/>
  <c r="AT440" i="1"/>
  <c r="AS440" i="1"/>
  <c r="AS354" i="1"/>
  <c r="AS448" i="1"/>
  <c r="AS555" i="1"/>
  <c r="AS547" i="1"/>
  <c r="AT547" i="1"/>
  <c r="AS539" i="1"/>
  <c r="AS503" i="1"/>
  <c r="AS534" i="1" s="1"/>
  <c r="AR505" i="1"/>
  <c r="AR536" i="1" s="1"/>
  <c r="AR507" i="1"/>
  <c r="AR556" i="1"/>
  <c r="AR540" i="1"/>
  <c r="AW448" i="1"/>
  <c r="AW433" i="1"/>
  <c r="AW354" i="1"/>
  <c r="AX440" i="1"/>
  <c r="I350" i="1"/>
  <c r="I447" i="1"/>
  <c r="I432" i="1"/>
  <c r="AQ555" i="1"/>
  <c r="AQ503" i="1"/>
  <c r="AQ534" i="1" s="1"/>
  <c r="AQ547" i="1"/>
  <c r="AQ539" i="1"/>
  <c r="P631" i="1"/>
  <c r="AQ440" i="1"/>
  <c r="AQ433" i="1"/>
  <c r="AQ354" i="1"/>
  <c r="AR441" i="1" s="1"/>
  <c r="AQ448" i="1"/>
  <c r="I499" i="1"/>
  <c r="I522" i="1" s="1"/>
  <c r="I554" i="1"/>
  <c r="AR547" i="1"/>
  <c r="AV354" i="1"/>
  <c r="AV448" i="1"/>
  <c r="AV440" i="1"/>
  <c r="AV433" i="1"/>
  <c r="AW440" i="1"/>
  <c r="AU354" i="1"/>
  <c r="AU433" i="1"/>
  <c r="AU448" i="1"/>
  <c r="AU440" i="1"/>
  <c r="AV547" i="1"/>
  <c r="AW547" i="1"/>
  <c r="AV555" i="1"/>
  <c r="AV539" i="1"/>
  <c r="AV503" i="1"/>
  <c r="AV534" i="1" s="1"/>
  <c r="AU503" i="1"/>
  <c r="AU534" i="1" s="1"/>
  <c r="AU555" i="1"/>
  <c r="AU539" i="1"/>
  <c r="AU547" i="1"/>
  <c r="R819" i="1"/>
  <c r="P228" i="17"/>
  <c r="O128" i="1" l="1"/>
  <c r="O121" i="1"/>
  <c r="O122" i="1" s="1"/>
  <c r="O130" i="1" s="1"/>
  <c r="AP549" i="1"/>
  <c r="O145" i="1"/>
  <c r="AP558" i="1"/>
  <c r="AP550" i="1"/>
  <c r="AX434" i="1"/>
  <c r="BE160" i="1"/>
  <c r="N202" i="1"/>
  <c r="N162" i="1" s="1"/>
  <c r="N159" i="1"/>
  <c r="K163" i="1"/>
  <c r="K157" i="1"/>
  <c r="K158" i="1" s="1"/>
  <c r="BB10" i="1"/>
  <c r="BB9" i="1" s="1"/>
  <c r="O139" i="1"/>
  <c r="O147" i="1" s="1"/>
  <c r="AX507" i="1"/>
  <c r="AX541" i="1" s="1"/>
  <c r="AX540" i="1"/>
  <c r="AX556" i="1"/>
  <c r="N213" i="1"/>
  <c r="AX505" i="1"/>
  <c r="AX536" i="1" s="1"/>
  <c r="P115" i="1"/>
  <c r="O146" i="1"/>
  <c r="BD12" i="1"/>
  <c r="BD39" i="1" s="1"/>
  <c r="J115" i="17"/>
  <c r="P138" i="1"/>
  <c r="P139" i="1" s="1"/>
  <c r="P147" i="1" s="1"/>
  <c r="J82" i="17"/>
  <c r="AP542" i="1"/>
  <c r="P120" i="1"/>
  <c r="P121" i="1" s="1"/>
  <c r="P122" i="1" s="1"/>
  <c r="BD234" i="1"/>
  <c r="R106" i="1"/>
  <c r="Q114" i="1"/>
  <c r="Q60" i="17" s="1"/>
  <c r="AT449" i="1"/>
  <c r="O201" i="1"/>
  <c r="AP415" i="1"/>
  <c r="AP370" i="1"/>
  <c r="AP425" i="1" s="1"/>
  <c r="AP397" i="1"/>
  <c r="AP449" i="1"/>
  <c r="AP441" i="1"/>
  <c r="Q153" i="1"/>
  <c r="AP434" i="1"/>
  <c r="J33" i="1"/>
  <c r="I527" i="1"/>
  <c r="H527" i="1"/>
  <c r="AT558" i="1"/>
  <c r="AT536" i="1"/>
  <c r="H349" i="1"/>
  <c r="H427" i="1" s="1"/>
  <c r="H429" i="1"/>
  <c r="H530" i="1"/>
  <c r="M162" i="1"/>
  <c r="M210" i="1" s="1"/>
  <c r="J428" i="1"/>
  <c r="J526" i="1"/>
  <c r="I349" i="1"/>
  <c r="I427" i="1" s="1"/>
  <c r="I429" i="1"/>
  <c r="J421" i="1"/>
  <c r="J422" i="1"/>
  <c r="J420" i="1"/>
  <c r="J423" i="1"/>
  <c r="J419" i="1"/>
  <c r="J424" i="1"/>
  <c r="J418" i="1"/>
  <c r="J417" i="1"/>
  <c r="J413" i="1"/>
  <c r="J414" i="1"/>
  <c r="J412" i="1"/>
  <c r="J416" i="1"/>
  <c r="J409" i="1"/>
  <c r="J408" i="1"/>
  <c r="J402" i="1"/>
  <c r="J405" i="1"/>
  <c r="J407" i="1"/>
  <c r="J404" i="1"/>
  <c r="J406" i="1"/>
  <c r="J393" i="1"/>
  <c r="J401" i="1"/>
  <c r="T202" i="1"/>
  <c r="BA149" i="1"/>
  <c r="BD247" i="1"/>
  <c r="BD248" i="1" s="1"/>
  <c r="BD235" i="1"/>
  <c r="BD233" i="1"/>
  <c r="BB163" i="1"/>
  <c r="BA145" i="1"/>
  <c r="O51" i="17"/>
  <c r="O50" i="17"/>
  <c r="P183" i="17"/>
  <c r="O180" i="17"/>
  <c r="O43" i="17"/>
  <c r="P139" i="17"/>
  <c r="O136" i="17"/>
  <c r="O138" i="17" s="1"/>
  <c r="O44" i="17"/>
  <c r="L131" i="17"/>
  <c r="N40" i="17"/>
  <c r="N151" i="17"/>
  <c r="N41" i="17"/>
  <c r="N137" i="17"/>
  <c r="N154" i="17"/>
  <c r="N42" i="17"/>
  <c r="M155" i="17"/>
  <c r="M130" i="17"/>
  <c r="M131" i="17" s="1"/>
  <c r="K132" i="17"/>
  <c r="K124" i="17"/>
  <c r="K157" i="17"/>
  <c r="M152" i="17"/>
  <c r="M126" i="17"/>
  <c r="N48" i="17"/>
  <c r="N198" i="17"/>
  <c r="N47" i="17"/>
  <c r="N195" i="17"/>
  <c r="N181" i="17"/>
  <c r="N49" i="17"/>
  <c r="N138" i="17"/>
  <c r="L123" i="17"/>
  <c r="L127" i="17"/>
  <c r="BR170" i="1"/>
  <c r="BC39" i="1"/>
  <c r="BA139" i="1"/>
  <c r="BA147" i="1" s="1"/>
  <c r="BA205" i="1"/>
  <c r="BB209" i="1"/>
  <c r="BE145" i="1"/>
  <c r="BB207" i="1"/>
  <c r="BD210" i="1"/>
  <c r="AZ37" i="1"/>
  <c r="BC248" i="1"/>
  <c r="BE193" i="1"/>
  <c r="BC164" i="1"/>
  <c r="BB210" i="1"/>
  <c r="L169" i="1"/>
  <c r="L563" i="1"/>
  <c r="L227" i="1" s="1"/>
  <c r="BB174" i="1"/>
  <c r="BB563" i="1"/>
  <c r="K563" i="1"/>
  <c r="K227" i="1" s="1"/>
  <c r="K169" i="1"/>
  <c r="K174" i="1" s="1"/>
  <c r="K190" i="1" s="1"/>
  <c r="AZ50" i="1"/>
  <c r="AZ9" i="1"/>
  <c r="AZ72" i="1" s="1"/>
  <c r="O129" i="1"/>
  <c r="K182" i="1"/>
  <c r="K10" i="1"/>
  <c r="K50" i="1" s="1"/>
  <c r="K207" i="1"/>
  <c r="K209" i="1"/>
  <c r="K57" i="17"/>
  <c r="K73" i="17" s="1"/>
  <c r="K210" i="1"/>
  <c r="Z202" i="1"/>
  <c r="AA218" i="1" s="1"/>
  <c r="BD209" i="1"/>
  <c r="BD174" i="1"/>
  <c r="BC174" i="1"/>
  <c r="L182" i="1"/>
  <c r="L57" i="17"/>
  <c r="L73" i="17" s="1"/>
  <c r="L209" i="1"/>
  <c r="L10" i="1"/>
  <c r="L210" i="1"/>
  <c r="BD164" i="1"/>
  <c r="BD207" i="1"/>
  <c r="BC10" i="1"/>
  <c r="BC37" i="1" s="1"/>
  <c r="BD163" i="1"/>
  <c r="BC210" i="1"/>
  <c r="BC209" i="1"/>
  <c r="BC163" i="1"/>
  <c r="BD10" i="1"/>
  <c r="BC207" i="1"/>
  <c r="L163" i="1"/>
  <c r="N187" i="1"/>
  <c r="L207" i="1"/>
  <c r="BB218" i="1"/>
  <c r="P295" i="1"/>
  <c r="P301" i="1" s="1"/>
  <c r="Q297" i="1"/>
  <c r="P289" i="1"/>
  <c r="O290" i="1"/>
  <c r="O565" i="1"/>
  <c r="O16" i="1"/>
  <c r="BR16" i="1"/>
  <c r="N63" i="1"/>
  <c r="N98" i="1" s="1"/>
  <c r="N56" i="1"/>
  <c r="M98" i="1"/>
  <c r="T63" i="1"/>
  <c r="BA162" i="1"/>
  <c r="BA214" i="1"/>
  <c r="BE162" i="1"/>
  <c r="BE157" i="1" s="1"/>
  <c r="BE214" i="1"/>
  <c r="AT541" i="1"/>
  <c r="AT69" i="1"/>
  <c r="AT78" i="1" s="1"/>
  <c r="O170" i="1"/>
  <c r="BS170" i="1" s="1"/>
  <c r="AT370" i="1"/>
  <c r="AT425" i="1" s="1"/>
  <c r="AT397" i="1"/>
  <c r="AT557" i="1"/>
  <c r="AT542" i="1"/>
  <c r="BA130" i="1"/>
  <c r="BA134" i="1"/>
  <c r="BB134" i="1"/>
  <c r="BE130" i="1"/>
  <c r="P358" i="1"/>
  <c r="Q583" i="1"/>
  <c r="BE178" i="1"/>
  <c r="BP170" i="1"/>
  <c r="BE187" i="1"/>
  <c r="BA178" i="1"/>
  <c r="BB193" i="1"/>
  <c r="BA187" i="1"/>
  <c r="BA193" i="1"/>
  <c r="P51" i="1"/>
  <c r="O33" i="17"/>
  <c r="O109" i="17"/>
  <c r="O95" i="17"/>
  <c r="O34" i="17"/>
  <c r="O96" i="17"/>
  <c r="O112" i="17"/>
  <c r="O35" i="17"/>
  <c r="L115" i="17"/>
  <c r="L82" i="17"/>
  <c r="M89" i="17"/>
  <c r="N113" i="17"/>
  <c r="N88" i="17"/>
  <c r="L90" i="17"/>
  <c r="Q11" i="1"/>
  <c r="R224" i="1"/>
  <c r="R11" i="1" s="1"/>
  <c r="M81" i="17"/>
  <c r="M86" i="17" s="1"/>
  <c r="M85" i="17"/>
  <c r="L176" i="17"/>
  <c r="L201" i="17"/>
  <c r="L168" i="17"/>
  <c r="L172" i="17"/>
  <c r="N110" i="17"/>
  <c r="N84" i="17"/>
  <c r="P101" i="17"/>
  <c r="P94" i="17"/>
  <c r="P37" i="17"/>
  <c r="P100" i="17"/>
  <c r="P36" i="17"/>
  <c r="Q98" i="17"/>
  <c r="K753" i="1"/>
  <c r="K352" i="1" s="1"/>
  <c r="K607" i="1"/>
  <c r="J222" i="17"/>
  <c r="K99" i="1"/>
  <c r="BA64" i="1"/>
  <c r="N731" i="1"/>
  <c r="N351" i="1"/>
  <c r="M729" i="1"/>
  <c r="L717" i="1"/>
  <c r="AA216" i="1"/>
  <c r="Z209" i="1"/>
  <c r="E200" i="1"/>
  <c r="AJ511" i="1"/>
  <c r="AJ532" i="1" s="1"/>
  <c r="AK443" i="1"/>
  <c r="AJ451" i="1"/>
  <c r="AJ435" i="1"/>
  <c r="M566" i="1"/>
  <c r="M17" i="1"/>
  <c r="T310" i="1"/>
  <c r="M311" i="1"/>
  <c r="BA68" i="1"/>
  <c r="L57" i="1"/>
  <c r="L64" i="1"/>
  <c r="P743" i="1"/>
  <c r="O735" i="1"/>
  <c r="O730" i="1" s="1"/>
  <c r="BP17" i="1"/>
  <c r="BB44" i="1"/>
  <c r="BA44" i="1"/>
  <c r="BA57" i="1"/>
  <c r="N310" i="1"/>
  <c r="O315" i="1"/>
  <c r="AY72" i="1"/>
  <c r="J218" i="17"/>
  <c r="BE17" i="1"/>
  <c r="BE566" i="1"/>
  <c r="BE311" i="1"/>
  <c r="BE315" i="1"/>
  <c r="BE316" i="1" s="1"/>
  <c r="J649" i="1"/>
  <c r="K649" i="1" s="1"/>
  <c r="L649" i="1" s="1"/>
  <c r="M649" i="1" s="1"/>
  <c r="N649" i="1" s="1"/>
  <c r="O649" i="1" s="1"/>
  <c r="P649" i="1" s="1"/>
  <c r="Q649" i="1" s="1"/>
  <c r="R649" i="1" s="1"/>
  <c r="J374" i="1"/>
  <c r="J655" i="1"/>
  <c r="J394" i="1"/>
  <c r="J690" i="1"/>
  <c r="J125" i="15"/>
  <c r="J126" i="15" s="1"/>
  <c r="J124" i="15" s="1"/>
  <c r="J396" i="1"/>
  <c r="J446" i="1"/>
  <c r="J656" i="1"/>
  <c r="K656" i="1" s="1"/>
  <c r="L656" i="1" s="1"/>
  <c r="M656" i="1" s="1"/>
  <c r="N656" i="1" s="1"/>
  <c r="O656" i="1" s="1"/>
  <c r="P656" i="1" s="1"/>
  <c r="Q656" i="1" s="1"/>
  <c r="R656" i="1" s="1"/>
  <c r="J693" i="1"/>
  <c r="J692" i="1" s="1"/>
  <c r="J475" i="1"/>
  <c r="J688" i="1"/>
  <c r="J497" i="1"/>
  <c r="J535" i="1" s="1"/>
  <c r="J395" i="1"/>
  <c r="J685" i="1"/>
  <c r="J338" i="1"/>
  <c r="J403" i="1" s="1"/>
  <c r="M766" i="1"/>
  <c r="P746" i="1"/>
  <c r="Q746" i="1" s="1"/>
  <c r="R746" i="1" s="1"/>
  <c r="Q732" i="1"/>
  <c r="E210" i="1"/>
  <c r="F213" i="1"/>
  <c r="E206" i="1"/>
  <c r="BC351" i="1"/>
  <c r="BB68" i="1"/>
  <c r="L240" i="17"/>
  <c r="L226" i="17"/>
  <c r="L243" i="17"/>
  <c r="E556" i="1"/>
  <c r="D556" i="1"/>
  <c r="D507" i="1"/>
  <c r="D528" i="1" s="1"/>
  <c r="Q269" i="1"/>
  <c r="P260" i="1"/>
  <c r="N276" i="1"/>
  <c r="N274" i="1"/>
  <c r="N232" i="17"/>
  <c r="M225" i="17"/>
  <c r="M224" i="17" s="1"/>
  <c r="K216" i="17"/>
  <c r="K241" i="17"/>
  <c r="O261" i="1"/>
  <c r="O263" i="1"/>
  <c r="O273" i="1"/>
  <c r="K220" i="17"/>
  <c r="K221" i="17" s="1"/>
  <c r="K244" i="17"/>
  <c r="E449" i="1"/>
  <c r="D434" i="1"/>
  <c r="D449" i="1"/>
  <c r="D359" i="1"/>
  <c r="D415" i="1" s="1"/>
  <c r="M176" i="17"/>
  <c r="M201" i="17"/>
  <c r="M168" i="17"/>
  <c r="AO543" i="1"/>
  <c r="AO559" i="1"/>
  <c r="AO514" i="1"/>
  <c r="AO516" i="1" s="1"/>
  <c r="E758" i="1"/>
  <c r="E470" i="1"/>
  <c r="E472" i="1" s="1"/>
  <c r="E375" i="1"/>
  <c r="H503" i="1"/>
  <c r="H534" i="1" s="1"/>
  <c r="H539" i="1"/>
  <c r="H555" i="1"/>
  <c r="F375" i="1"/>
  <c r="F758" i="1"/>
  <c r="F470" i="1"/>
  <c r="F472" i="1" s="1"/>
  <c r="H354" i="1"/>
  <c r="H448" i="1"/>
  <c r="H433" i="1"/>
  <c r="AL551" i="1"/>
  <c r="AL543" i="1"/>
  <c r="AL514" i="1"/>
  <c r="AL516" i="1" s="1"/>
  <c r="AI435" i="1"/>
  <c r="AI451" i="1"/>
  <c r="AI511" i="1"/>
  <c r="AI532" i="1" s="1"/>
  <c r="AJ443" i="1"/>
  <c r="AP375" i="1"/>
  <c r="AZ248" i="1"/>
  <c r="AZ249" i="1"/>
  <c r="BB244" i="1"/>
  <c r="BA244" i="1"/>
  <c r="BA243" i="1"/>
  <c r="BA239" i="1"/>
  <c r="K232" i="1"/>
  <c r="L239" i="1"/>
  <c r="AY19" i="1"/>
  <c r="AY49" i="1"/>
  <c r="AY36" i="1"/>
  <c r="M242" i="1"/>
  <c r="BE242" i="1"/>
  <c r="BD249" i="1"/>
  <c r="AZ39" i="1"/>
  <c r="AZ52" i="1"/>
  <c r="Q326" i="1"/>
  <c r="R326" i="1" s="1"/>
  <c r="R324" i="1" s="1"/>
  <c r="G121" i="15"/>
  <c r="G122" i="15" s="1"/>
  <c r="AO443" i="1"/>
  <c r="AN511" i="1"/>
  <c r="AN532" i="1" s="1"/>
  <c r="AN451" i="1"/>
  <c r="AN435" i="1"/>
  <c r="AN443" i="1"/>
  <c r="AM435" i="1"/>
  <c r="AM443" i="1"/>
  <c r="AM511" i="1"/>
  <c r="AM451" i="1"/>
  <c r="G470" i="1"/>
  <c r="G472" i="1" s="1"/>
  <c r="G509" i="1"/>
  <c r="G375" i="1"/>
  <c r="G758" i="1"/>
  <c r="H785" i="1"/>
  <c r="AI443" i="1"/>
  <c r="AL451" i="1"/>
  <c r="AH511" i="1"/>
  <c r="AH532" i="1" s="1"/>
  <c r="AH451" i="1"/>
  <c r="AH435" i="1"/>
  <c r="AH443" i="1"/>
  <c r="H378" i="1"/>
  <c r="P145" i="1"/>
  <c r="P200" i="1"/>
  <c r="P59" i="17"/>
  <c r="P61" i="17"/>
  <c r="O212" i="1"/>
  <c r="I217" i="17"/>
  <c r="I213" i="17"/>
  <c r="I222" i="17" s="1"/>
  <c r="J217" i="17"/>
  <c r="P53" i="1"/>
  <c r="R608" i="1"/>
  <c r="R794" i="1"/>
  <c r="I221" i="17"/>
  <c r="J221" i="17"/>
  <c r="Q321" i="1"/>
  <c r="P18" i="1"/>
  <c r="Q13" i="1"/>
  <c r="R254" i="1"/>
  <c r="BB50" i="1"/>
  <c r="O58" i="1"/>
  <c r="O65" i="1"/>
  <c r="O100" i="1" s="1"/>
  <c r="AX370" i="1"/>
  <c r="AX425" i="1" s="1"/>
  <c r="AX397" i="1"/>
  <c r="O171" i="1"/>
  <c r="I555" i="1"/>
  <c r="I539" i="1"/>
  <c r="I503" i="1"/>
  <c r="I534" i="1" s="1"/>
  <c r="AQ441" i="1"/>
  <c r="AQ449" i="1"/>
  <c r="AQ359" i="1"/>
  <c r="AQ415" i="1" s="1"/>
  <c r="AQ434" i="1"/>
  <c r="Q631" i="1"/>
  <c r="AR69" i="1"/>
  <c r="AR78" i="1" s="1"/>
  <c r="AR557" i="1"/>
  <c r="AR541" i="1"/>
  <c r="AS548" i="1"/>
  <c r="AS505" i="1"/>
  <c r="AS536" i="1" s="1"/>
  <c r="AS556" i="1"/>
  <c r="AT548" i="1"/>
  <c r="AS507" i="1"/>
  <c r="AS540" i="1"/>
  <c r="I354" i="1"/>
  <c r="I448" i="1"/>
  <c r="I433" i="1"/>
  <c r="AR558" i="1"/>
  <c r="AR542" i="1"/>
  <c r="AR397" i="1"/>
  <c r="AR370" i="1"/>
  <c r="AR425" i="1" s="1"/>
  <c r="AQ507" i="1"/>
  <c r="AR549" i="1" s="1"/>
  <c r="AQ556" i="1"/>
  <c r="AQ505" i="1"/>
  <c r="AQ540" i="1"/>
  <c r="AQ548" i="1"/>
  <c r="AR548" i="1"/>
  <c r="AW449" i="1"/>
  <c r="AW359" i="1"/>
  <c r="AW415" i="1" s="1"/>
  <c r="AW434" i="1"/>
  <c r="AX441" i="1"/>
  <c r="AS434" i="1"/>
  <c r="AS441" i="1"/>
  <c r="AS449" i="1"/>
  <c r="AS359" i="1"/>
  <c r="AS415" i="1" s="1"/>
  <c r="AT441" i="1"/>
  <c r="AW540" i="1"/>
  <c r="AW507" i="1"/>
  <c r="AW505" i="1"/>
  <c r="AW536" i="1" s="1"/>
  <c r="AW556" i="1"/>
  <c r="AX548" i="1"/>
  <c r="AU434" i="1"/>
  <c r="AU359" i="1"/>
  <c r="AU415" i="1" s="1"/>
  <c r="AU441" i="1"/>
  <c r="AU449" i="1"/>
  <c r="AV359" i="1"/>
  <c r="AV415" i="1" s="1"/>
  <c r="AV434" i="1"/>
  <c r="AV449" i="1"/>
  <c r="AV441" i="1"/>
  <c r="AW441" i="1"/>
  <c r="Q228" i="17"/>
  <c r="AU540" i="1"/>
  <c r="AU505" i="1"/>
  <c r="AU536" i="1" s="1"/>
  <c r="AU556" i="1"/>
  <c r="AU507" i="1"/>
  <c r="AU548" i="1"/>
  <c r="AV556" i="1"/>
  <c r="AV548" i="1"/>
  <c r="AV540" i="1"/>
  <c r="AV507" i="1"/>
  <c r="AV505" i="1"/>
  <c r="AV536" i="1" s="1"/>
  <c r="AW548" i="1"/>
  <c r="O616" i="1" l="1"/>
  <c r="O783" i="1" s="1"/>
  <c r="P130" i="1"/>
  <c r="M163" i="1"/>
  <c r="P128" i="1"/>
  <c r="N214" i="1"/>
  <c r="AX558" i="1"/>
  <c r="AX69" i="1"/>
  <c r="AX78" i="1" s="1"/>
  <c r="BD9" i="1"/>
  <c r="BC183" i="1"/>
  <c r="BC182" i="1"/>
  <c r="L158" i="1"/>
  <c r="BD183" i="1"/>
  <c r="BD182" i="1"/>
  <c r="BB183" i="1"/>
  <c r="BB182" i="1"/>
  <c r="BD157" i="1"/>
  <c r="BD158" i="1" s="1"/>
  <c r="BC157" i="1"/>
  <c r="BC158" i="1" s="1"/>
  <c r="BB157" i="1"/>
  <c r="BB158" i="1" s="1"/>
  <c r="M169" i="1"/>
  <c r="M174" i="1" s="1"/>
  <c r="M157" i="1"/>
  <c r="M158" i="1" s="1"/>
  <c r="O202" i="1"/>
  <c r="O214" i="1" s="1"/>
  <c r="O159" i="1"/>
  <c r="BA157" i="1"/>
  <c r="BA158" i="1" s="1"/>
  <c r="BA160" i="1"/>
  <c r="AX557" i="1"/>
  <c r="AP509" i="1"/>
  <c r="AP530" i="1" s="1"/>
  <c r="R114" i="1"/>
  <c r="R138" i="1" s="1"/>
  <c r="AX542" i="1"/>
  <c r="R153" i="1"/>
  <c r="Q120" i="1"/>
  <c r="P201" i="1"/>
  <c r="P213" i="1" s="1"/>
  <c r="Q115" i="1"/>
  <c r="P146" i="1"/>
  <c r="BD52" i="1"/>
  <c r="M57" i="17"/>
  <c r="M58" i="17" s="1"/>
  <c r="M209" i="1"/>
  <c r="T162" i="1"/>
  <c r="Q138" i="1"/>
  <c r="O213" i="1"/>
  <c r="Q137" i="1"/>
  <c r="Q200" i="1" s="1"/>
  <c r="M10" i="1"/>
  <c r="T10" i="1" s="1"/>
  <c r="W12" i="15" s="1"/>
  <c r="M207" i="1"/>
  <c r="M182" i="1"/>
  <c r="M563" i="1"/>
  <c r="M227" i="1" s="1"/>
  <c r="AR550" i="1"/>
  <c r="AQ536" i="1"/>
  <c r="BL511" i="1"/>
  <c r="AM532" i="1"/>
  <c r="J529" i="1"/>
  <c r="J531" i="1"/>
  <c r="G530" i="1"/>
  <c r="J520" i="1"/>
  <c r="J524" i="1"/>
  <c r="J523" i="1"/>
  <c r="J521" i="1"/>
  <c r="J525" i="1"/>
  <c r="J410" i="1"/>
  <c r="J411" i="1" s="1"/>
  <c r="N152" i="17"/>
  <c r="N126" i="17"/>
  <c r="O48" i="17"/>
  <c r="O181" i="17"/>
  <c r="O198" i="17"/>
  <c r="O195" i="17"/>
  <c r="O49" i="17"/>
  <c r="O47" i="17"/>
  <c r="L124" i="17"/>
  <c r="L157" i="17"/>
  <c r="N170" i="17"/>
  <c r="N196" i="17"/>
  <c r="M123" i="17"/>
  <c r="M127" i="17"/>
  <c r="N130" i="17"/>
  <c r="N131" i="17" s="1"/>
  <c r="N155" i="17"/>
  <c r="O41" i="17"/>
  <c r="O42" i="17"/>
  <c r="O154" i="17"/>
  <c r="O151" i="17"/>
  <c r="O40" i="17"/>
  <c r="O137" i="17"/>
  <c r="P50" i="17"/>
  <c r="Q183" i="17"/>
  <c r="P180" i="17"/>
  <c r="P51" i="17"/>
  <c r="L132" i="17"/>
  <c r="P44" i="17"/>
  <c r="Q139" i="17"/>
  <c r="P43" i="17"/>
  <c r="P136" i="17"/>
  <c r="P138" i="17" s="1"/>
  <c r="L128" i="17"/>
  <c r="N199" i="17"/>
  <c r="N174" i="17"/>
  <c r="N175" i="17" s="1"/>
  <c r="BB151" i="1"/>
  <c r="BE147" i="1"/>
  <c r="BA151" i="1"/>
  <c r="BC169" i="1"/>
  <c r="BC181" i="1" s="1"/>
  <c r="BC184" i="1" s="1"/>
  <c r="BD169" i="1"/>
  <c r="BD181" i="1" s="1"/>
  <c r="BB169" i="1"/>
  <c r="BB181" i="1" s="1"/>
  <c r="P129" i="1"/>
  <c r="L50" i="1"/>
  <c r="P170" i="1"/>
  <c r="BT170" i="1" s="1"/>
  <c r="BD50" i="1"/>
  <c r="L177" i="1"/>
  <c r="L181" i="1"/>
  <c r="BE207" i="1"/>
  <c r="BE563" i="1"/>
  <c r="N563" i="1"/>
  <c r="N227" i="1" s="1"/>
  <c r="N169" i="1"/>
  <c r="AZ166" i="1"/>
  <c r="BA563" i="1"/>
  <c r="K186" i="1"/>
  <c r="AY23" i="1"/>
  <c r="AY28" i="1"/>
  <c r="BC50" i="1"/>
  <c r="BC9" i="1"/>
  <c r="BC19" i="1" s="1"/>
  <c r="L58" i="17"/>
  <c r="K58" i="17"/>
  <c r="L186" i="1"/>
  <c r="K177" i="1"/>
  <c r="K181" i="1"/>
  <c r="BE174" i="1"/>
  <c r="AX166" i="1"/>
  <c r="BA174" i="1"/>
  <c r="L174" i="1"/>
  <c r="BA164" i="1"/>
  <c r="O187" i="1"/>
  <c r="BD37" i="1"/>
  <c r="N163" i="1"/>
  <c r="BC166" i="1"/>
  <c r="N209" i="1"/>
  <c r="BS16" i="1"/>
  <c r="O56" i="1"/>
  <c r="O63" i="1"/>
  <c r="O98" i="1" s="1"/>
  <c r="BE210" i="1"/>
  <c r="BE163" i="1"/>
  <c r="BE10" i="1"/>
  <c r="N210" i="1"/>
  <c r="N10" i="1"/>
  <c r="P290" i="1"/>
  <c r="P16" i="1"/>
  <c r="P565" i="1"/>
  <c r="BE166" i="1"/>
  <c r="N57" i="17"/>
  <c r="N207" i="1"/>
  <c r="R297" i="1"/>
  <c r="Q289" i="1"/>
  <c r="Q295" i="1"/>
  <c r="Q301" i="1" s="1"/>
  <c r="BE164" i="1"/>
  <c r="N182" i="1"/>
  <c r="BE209" i="1"/>
  <c r="AY166" i="1"/>
  <c r="BB166" i="1"/>
  <c r="BA163" i="1"/>
  <c r="BA207" i="1"/>
  <c r="BA166" i="1"/>
  <c r="BA209" i="1"/>
  <c r="BA210" i="1"/>
  <c r="BD166" i="1"/>
  <c r="BA10" i="1"/>
  <c r="BB164" i="1"/>
  <c r="O162" i="1"/>
  <c r="O182" i="1" s="1"/>
  <c r="P616" i="1"/>
  <c r="P783" i="1" s="1"/>
  <c r="AT509" i="1"/>
  <c r="AT375" i="1"/>
  <c r="BK511" i="1"/>
  <c r="Q358" i="1"/>
  <c r="R583" i="1"/>
  <c r="R358" i="1" s="1"/>
  <c r="K183" i="1"/>
  <c r="K179" i="1"/>
  <c r="N85" i="17"/>
  <c r="N81" i="17"/>
  <c r="N86" i="17" s="1"/>
  <c r="Q51" i="1"/>
  <c r="N89" i="17"/>
  <c r="O84" i="17"/>
  <c r="O110" i="17"/>
  <c r="M115" i="17"/>
  <c r="M82" i="17"/>
  <c r="M90" i="17"/>
  <c r="O88" i="17"/>
  <c r="O89" i="17" s="1"/>
  <c r="O113" i="17"/>
  <c r="Q94" i="17"/>
  <c r="Q101" i="17"/>
  <c r="Q37" i="17"/>
  <c r="R98" i="17"/>
  <c r="Q100" i="17"/>
  <c r="Q36" i="17"/>
  <c r="P95" i="17"/>
  <c r="P34" i="17"/>
  <c r="P35" i="17"/>
  <c r="P112" i="17"/>
  <c r="P96" i="17"/>
  <c r="P33" i="17"/>
  <c r="P109" i="17"/>
  <c r="R51" i="1"/>
  <c r="BC68" i="1"/>
  <c r="BD351" i="1"/>
  <c r="Q747" i="1"/>
  <c r="R732" i="1"/>
  <c r="R748" i="1" s="1"/>
  <c r="N566" i="1"/>
  <c r="N311" i="1"/>
  <c r="N17" i="1"/>
  <c r="L753" i="1"/>
  <c r="L352" i="1" s="1"/>
  <c r="L607" i="1"/>
  <c r="K68" i="1"/>
  <c r="K769" i="1"/>
  <c r="J432" i="1"/>
  <c r="J447" i="1"/>
  <c r="J350" i="1"/>
  <c r="J499" i="1"/>
  <c r="J522" i="1" s="1"/>
  <c r="J554" i="1"/>
  <c r="BE57" i="1"/>
  <c r="BE44" i="1"/>
  <c r="T17" i="1"/>
  <c r="M64" i="1"/>
  <c r="M57" i="1"/>
  <c r="E205" i="1"/>
  <c r="E202" i="1"/>
  <c r="F214" i="1" s="1"/>
  <c r="N729" i="1"/>
  <c r="M717" i="1"/>
  <c r="BB91" i="1"/>
  <c r="BA99" i="1"/>
  <c r="BA74" i="1"/>
  <c r="BA91" i="1"/>
  <c r="O731" i="1"/>
  <c r="O351" i="1"/>
  <c r="BE64" i="1"/>
  <c r="L99" i="1"/>
  <c r="N766" i="1"/>
  <c r="BE351" i="1"/>
  <c r="P315" i="1"/>
  <c r="O310" i="1"/>
  <c r="P735" i="1"/>
  <c r="P730" i="1" s="1"/>
  <c r="AJ543" i="1"/>
  <c r="AJ514" i="1"/>
  <c r="AJ516" i="1" s="1"/>
  <c r="AK551" i="1"/>
  <c r="M243" i="17"/>
  <c r="M240" i="17"/>
  <c r="M226" i="17"/>
  <c r="O276" i="1"/>
  <c r="O274" i="1"/>
  <c r="K217" i="17"/>
  <c r="K213" i="17"/>
  <c r="K218" i="17" s="1"/>
  <c r="P261" i="1"/>
  <c r="P273" i="1"/>
  <c r="P263" i="1"/>
  <c r="L220" i="17"/>
  <c r="L221" i="17" s="1"/>
  <c r="L244" i="17"/>
  <c r="O232" i="17"/>
  <c r="N225" i="17"/>
  <c r="R269" i="1"/>
  <c r="R260" i="1" s="1"/>
  <c r="Q260" i="1"/>
  <c r="E557" i="1"/>
  <c r="D557" i="1"/>
  <c r="D397" i="1"/>
  <c r="D370" i="1"/>
  <c r="L241" i="17"/>
  <c r="L216" i="17"/>
  <c r="E378" i="1"/>
  <c r="E785" i="1"/>
  <c r="H449" i="1"/>
  <c r="H434" i="1"/>
  <c r="H19" i="15"/>
  <c r="H540" i="1"/>
  <c r="H507" i="1"/>
  <c r="H528" i="1" s="1"/>
  <c r="H505" i="1"/>
  <c r="H536" i="1" s="1"/>
  <c r="H556" i="1"/>
  <c r="AI514" i="1"/>
  <c r="AI516" i="1" s="1"/>
  <c r="AI543" i="1"/>
  <c r="F785" i="1"/>
  <c r="AY292" i="1"/>
  <c r="AY336" i="1"/>
  <c r="AY562" i="1"/>
  <c r="AY567" i="1" s="1"/>
  <c r="F378" i="1"/>
  <c r="AY236" i="1"/>
  <c r="AY76" i="1"/>
  <c r="AY77" i="1"/>
  <c r="AP378" i="1"/>
  <c r="AZ49" i="1"/>
  <c r="AZ36" i="1"/>
  <c r="AZ19" i="1"/>
  <c r="AZ168" i="1" s="1"/>
  <c r="AY97" i="1"/>
  <c r="AY89" i="1"/>
  <c r="L232" i="1"/>
  <c r="BE239" i="1"/>
  <c r="M239" i="1"/>
  <c r="BE243" i="1"/>
  <c r="BE244" i="1"/>
  <c r="BO9" i="1"/>
  <c r="K233" i="1"/>
  <c r="K247" i="1"/>
  <c r="K248" i="1" s="1"/>
  <c r="K564" i="1"/>
  <c r="K12" i="1"/>
  <c r="K9" i="1" s="1"/>
  <c r="N242" i="1"/>
  <c r="O242" i="1" s="1"/>
  <c r="P242" i="1" s="1"/>
  <c r="Q242" i="1" s="1"/>
  <c r="R242" i="1" s="1"/>
  <c r="T242" i="1"/>
  <c r="AY24" i="1"/>
  <c r="AY30" i="1"/>
  <c r="AY59" i="1"/>
  <c r="AY29" i="1"/>
  <c r="AY32" i="1"/>
  <c r="AY27" i="1"/>
  <c r="AY31" i="1"/>
  <c r="AY25" i="1"/>
  <c r="AY46" i="1"/>
  <c r="AY26" i="1"/>
  <c r="BA232" i="1"/>
  <c r="AY237" i="1" s="1"/>
  <c r="BA240" i="1"/>
  <c r="BD19" i="1"/>
  <c r="BD28" i="1" s="1"/>
  <c r="BD62" i="1"/>
  <c r="BD49" i="1"/>
  <c r="Q324" i="1"/>
  <c r="G785" i="1"/>
  <c r="G378" i="1"/>
  <c r="H451" i="1" s="1"/>
  <c r="AM514" i="1"/>
  <c r="AM516" i="1" s="1"/>
  <c r="AM543" i="1"/>
  <c r="AM551" i="1"/>
  <c r="AN514" i="1"/>
  <c r="AN516" i="1" s="1"/>
  <c r="AN543" i="1"/>
  <c r="AN559" i="1"/>
  <c r="AO551" i="1"/>
  <c r="AN551" i="1"/>
  <c r="H79" i="15"/>
  <c r="H80" i="15" s="1"/>
  <c r="H511" i="1"/>
  <c r="H532" i="1" s="1"/>
  <c r="H435" i="1"/>
  <c r="H880" i="1"/>
  <c r="H882" i="1" s="1"/>
  <c r="AH543" i="1"/>
  <c r="Q61" i="17"/>
  <c r="Q59" i="17"/>
  <c r="P212" i="1"/>
  <c r="R321" i="1"/>
  <c r="Q18" i="1"/>
  <c r="P171" i="1"/>
  <c r="AX375" i="1"/>
  <c r="AX509" i="1"/>
  <c r="AX530" i="1" s="1"/>
  <c r="R13" i="1"/>
  <c r="I218" i="17"/>
  <c r="I246" i="17"/>
  <c r="I214" i="17"/>
  <c r="J214" i="17"/>
  <c r="BB19" i="1"/>
  <c r="BB49" i="1"/>
  <c r="BB62" i="1"/>
  <c r="Q53" i="1"/>
  <c r="P58" i="1"/>
  <c r="P65" i="1"/>
  <c r="P100" i="1" s="1"/>
  <c r="AW541" i="1"/>
  <c r="AW69" i="1"/>
  <c r="AW78" i="1" s="1"/>
  <c r="AW557" i="1"/>
  <c r="AX549" i="1"/>
  <c r="AW370" i="1"/>
  <c r="AW425" i="1" s="1"/>
  <c r="AW397" i="1"/>
  <c r="AQ541" i="1"/>
  <c r="AQ557" i="1"/>
  <c r="AQ69" i="1"/>
  <c r="AQ78" i="1" s="1"/>
  <c r="AQ549" i="1"/>
  <c r="AS549" i="1"/>
  <c r="AS557" i="1"/>
  <c r="AT549" i="1"/>
  <c r="AS541" i="1"/>
  <c r="AS69" i="1"/>
  <c r="AS78" i="1" s="1"/>
  <c r="R631" i="1"/>
  <c r="AQ370" i="1"/>
  <c r="AQ425" i="1" s="1"/>
  <c r="AQ397" i="1"/>
  <c r="I556" i="1"/>
  <c r="I507" i="1"/>
  <c r="I528" i="1" s="1"/>
  <c r="I505" i="1"/>
  <c r="I536" i="1" s="1"/>
  <c r="I540" i="1"/>
  <c r="AR375" i="1"/>
  <c r="AR509" i="1"/>
  <c r="I449" i="1"/>
  <c r="I359" i="1"/>
  <c r="I415" i="1" s="1"/>
  <c r="I434" i="1"/>
  <c r="I19" i="15"/>
  <c r="AW542" i="1"/>
  <c r="AW558" i="1"/>
  <c r="AX550" i="1"/>
  <c r="AS370" i="1"/>
  <c r="AS425" i="1" s="1"/>
  <c r="AS397" i="1"/>
  <c r="AQ542" i="1"/>
  <c r="AQ558" i="1"/>
  <c r="AQ550" i="1"/>
  <c r="AS542" i="1"/>
  <c r="AS550" i="1"/>
  <c r="AS558" i="1"/>
  <c r="AT550" i="1"/>
  <c r="AV542" i="1"/>
  <c r="AV550" i="1"/>
  <c r="AW550" i="1"/>
  <c r="AV558" i="1"/>
  <c r="R228" i="17"/>
  <c r="AV541" i="1"/>
  <c r="AV549" i="1"/>
  <c r="AW549" i="1"/>
  <c r="AV69" i="1"/>
  <c r="AV78" i="1" s="1"/>
  <c r="AV557" i="1"/>
  <c r="AU69" i="1"/>
  <c r="AU78" i="1" s="1"/>
  <c r="AU541" i="1"/>
  <c r="AU557" i="1"/>
  <c r="AU549" i="1"/>
  <c r="AV370" i="1"/>
  <c r="AV425" i="1" s="1"/>
  <c r="AV397" i="1"/>
  <c r="AU542" i="1"/>
  <c r="AU550" i="1"/>
  <c r="AU558" i="1"/>
  <c r="AU397" i="1"/>
  <c r="AU370" i="1"/>
  <c r="AU425" i="1" s="1"/>
  <c r="J359" i="1"/>
  <c r="J415" i="1" s="1"/>
  <c r="Q128" i="1" l="1"/>
  <c r="M177" i="1"/>
  <c r="BQ169" i="1"/>
  <c r="BQ168" i="1" s="1"/>
  <c r="M181" i="1"/>
  <c r="M186" i="1"/>
  <c r="Q121" i="1"/>
  <c r="Q122" i="1" s="1"/>
  <c r="Q130" i="1" s="1"/>
  <c r="R60" i="17"/>
  <c r="R59" i="17" s="1"/>
  <c r="T169" i="1"/>
  <c r="M50" i="1"/>
  <c r="R115" i="1"/>
  <c r="Q201" i="1"/>
  <c r="Q159" i="1" s="1"/>
  <c r="Q146" i="1"/>
  <c r="BD184" i="1"/>
  <c r="BB184" i="1"/>
  <c r="BE183" i="1"/>
  <c r="BE182" i="1"/>
  <c r="K184" i="1"/>
  <c r="N58" i="17"/>
  <c r="P202" i="1"/>
  <c r="P159" i="1"/>
  <c r="BE158" i="1"/>
  <c r="N50" i="1"/>
  <c r="R137" i="1"/>
  <c r="R139" i="1" s="1"/>
  <c r="R120" i="1"/>
  <c r="Q139" i="1"/>
  <c r="M73" i="17"/>
  <c r="Q145" i="1"/>
  <c r="AY33" i="1"/>
  <c r="J527" i="1"/>
  <c r="AR530" i="1"/>
  <c r="AT530" i="1"/>
  <c r="D375" i="1"/>
  <c r="D425" i="1"/>
  <c r="AY428" i="1"/>
  <c r="AY526" i="1"/>
  <c r="J349" i="1"/>
  <c r="J427" i="1" s="1"/>
  <c r="J429" i="1"/>
  <c r="BE68" i="1"/>
  <c r="BD68" i="1"/>
  <c r="AY393" i="1"/>
  <c r="AY421" i="1"/>
  <c r="AY408" i="1"/>
  <c r="AY401" i="1"/>
  <c r="AY409" i="1"/>
  <c r="AY402" i="1"/>
  <c r="AY405" i="1"/>
  <c r="AY422" i="1"/>
  <c r="AY416" i="1"/>
  <c r="AY414" i="1"/>
  <c r="AY417" i="1"/>
  <c r="AY406" i="1"/>
  <c r="AY423" i="1"/>
  <c r="AY420" i="1"/>
  <c r="AY418" i="1"/>
  <c r="AY412" i="1"/>
  <c r="AY424" i="1"/>
  <c r="AY413" i="1"/>
  <c r="AY407" i="1"/>
  <c r="AY404" i="1"/>
  <c r="AY419" i="1"/>
  <c r="P151" i="17"/>
  <c r="P137" i="17"/>
  <c r="P42" i="17"/>
  <c r="P40" i="17"/>
  <c r="P41" i="17"/>
  <c r="P154" i="17"/>
  <c r="O155" i="17"/>
  <c r="O130" i="17"/>
  <c r="O131" i="17" s="1"/>
  <c r="N167" i="17"/>
  <c r="N171" i="17"/>
  <c r="O196" i="17"/>
  <c r="O170" i="17"/>
  <c r="N123" i="17"/>
  <c r="N127" i="17"/>
  <c r="Q136" i="17"/>
  <c r="Q138" i="17" s="1"/>
  <c r="Q43" i="17"/>
  <c r="Q44" i="17"/>
  <c r="R139" i="17"/>
  <c r="P198" i="17"/>
  <c r="P49" i="17"/>
  <c r="P181" i="17"/>
  <c r="P47" i="17"/>
  <c r="P48" i="17"/>
  <c r="P195" i="17"/>
  <c r="M132" i="17"/>
  <c r="M157" i="17"/>
  <c r="M128" i="17"/>
  <c r="M124" i="17"/>
  <c r="O199" i="17"/>
  <c r="O174" i="17"/>
  <c r="O175" i="17" s="1"/>
  <c r="Q51" i="17"/>
  <c r="Q180" i="17"/>
  <c r="Q50" i="17"/>
  <c r="R183" i="17"/>
  <c r="O152" i="17"/>
  <c r="O126" i="17"/>
  <c r="P187" i="1"/>
  <c r="BE169" i="1"/>
  <c r="BE181" i="1" s="1"/>
  <c r="BA169" i="1"/>
  <c r="BA183" i="1"/>
  <c r="BC36" i="1"/>
  <c r="BD36" i="1"/>
  <c r="O207" i="1"/>
  <c r="L179" i="1"/>
  <c r="AZ292" i="1"/>
  <c r="AZ562" i="1"/>
  <c r="AZ567" i="1" s="1"/>
  <c r="AZ336" i="1"/>
  <c r="O169" i="1"/>
  <c r="O174" i="1" s="1"/>
  <c r="O183" i="1" s="1"/>
  <c r="O563" i="1"/>
  <c r="O227" i="1" s="1"/>
  <c r="AZ28" i="1"/>
  <c r="AZ76" i="1"/>
  <c r="BC28" i="1"/>
  <c r="BC30" i="1"/>
  <c r="BC26" i="1"/>
  <c r="BC31" i="1"/>
  <c r="BC29" i="1"/>
  <c r="BC23" i="1"/>
  <c r="BC24" i="1"/>
  <c r="BC27" i="1"/>
  <c r="BC59" i="1"/>
  <c r="BC292" i="1"/>
  <c r="BC66" i="1"/>
  <c r="BC101" i="1" s="1"/>
  <c r="BC236" i="1"/>
  <c r="BC336" i="1"/>
  <c r="BC526" i="1" s="1"/>
  <c r="BC562" i="1"/>
  <c r="BC567" i="1" s="1"/>
  <c r="BC25" i="1"/>
  <c r="BC32" i="1"/>
  <c r="L190" i="1"/>
  <c r="BB23" i="1"/>
  <c r="BB28" i="1"/>
  <c r="BB37" i="1"/>
  <c r="L183" i="1"/>
  <c r="L184" i="1" s="1"/>
  <c r="BC62" i="1"/>
  <c r="BC97" i="1" s="1"/>
  <c r="BC49" i="1"/>
  <c r="BR169" i="1"/>
  <c r="BR168" i="1" s="1"/>
  <c r="N174" i="1"/>
  <c r="N73" i="17"/>
  <c r="R146" i="1"/>
  <c r="N181" i="1"/>
  <c r="N186" i="1"/>
  <c r="BO19" i="1"/>
  <c r="R201" i="1"/>
  <c r="R159" i="1" s="1"/>
  <c r="N177" i="1"/>
  <c r="BA50" i="1"/>
  <c r="BE50" i="1"/>
  <c r="BA37" i="1"/>
  <c r="BT16" i="1"/>
  <c r="P63" i="1"/>
  <c r="P98" i="1" s="1"/>
  <c r="P56" i="1"/>
  <c r="O210" i="1"/>
  <c r="O57" i="17"/>
  <c r="O73" i="17" s="1"/>
  <c r="O10" i="1"/>
  <c r="BE37" i="1"/>
  <c r="O163" i="1"/>
  <c r="Q565" i="1"/>
  <c r="Q290" i="1"/>
  <c r="Q16" i="1"/>
  <c r="O209" i="1"/>
  <c r="R289" i="1"/>
  <c r="R295" i="1"/>
  <c r="R301" i="1" s="1"/>
  <c r="Q147" i="1"/>
  <c r="P162" i="1"/>
  <c r="P57" i="17" s="1"/>
  <c r="P214" i="1"/>
  <c r="AT378" i="1"/>
  <c r="T174" i="1"/>
  <c r="M190" i="1"/>
  <c r="R261" i="1"/>
  <c r="M179" i="1"/>
  <c r="W13" i="15" s="1"/>
  <c r="M183" i="1"/>
  <c r="M184" i="1" s="1"/>
  <c r="N90" i="17"/>
  <c r="P88" i="17"/>
  <c r="P89" i="17" s="1"/>
  <c r="P113" i="17"/>
  <c r="N82" i="17"/>
  <c r="N115" i="17"/>
  <c r="R101" i="17"/>
  <c r="R94" i="17"/>
  <c r="R100" i="17"/>
  <c r="R37" i="17"/>
  <c r="R36" i="17"/>
  <c r="O81" i="17"/>
  <c r="O85" i="17"/>
  <c r="P84" i="17"/>
  <c r="P110" i="17"/>
  <c r="Q35" i="17"/>
  <c r="Q96" i="17"/>
  <c r="Q33" i="17"/>
  <c r="Q112" i="17"/>
  <c r="Q34" i="17"/>
  <c r="Q95" i="17"/>
  <c r="Q109" i="17"/>
  <c r="P731" i="1"/>
  <c r="P351" i="1"/>
  <c r="M753" i="1"/>
  <c r="M352" i="1" s="1"/>
  <c r="M607" i="1"/>
  <c r="J503" i="1"/>
  <c r="J534" i="1" s="1"/>
  <c r="J539" i="1"/>
  <c r="J555" i="1"/>
  <c r="R747" i="1"/>
  <c r="R735" i="1" s="1"/>
  <c r="R730" i="1" s="1"/>
  <c r="Q735" i="1"/>
  <c r="Q730" i="1" s="1"/>
  <c r="R273" i="1"/>
  <c r="R276" i="1" s="1"/>
  <c r="O311" i="1"/>
  <c r="O566" i="1"/>
  <c r="O17" i="1"/>
  <c r="BE74" i="1"/>
  <c r="BE99" i="1"/>
  <c r="BE91" i="1"/>
  <c r="O729" i="1"/>
  <c r="N717" i="1"/>
  <c r="R263" i="1"/>
  <c r="Q315" i="1"/>
  <c r="P310" i="1"/>
  <c r="O766" i="1"/>
  <c r="N64" i="1"/>
  <c r="N99" i="1" s="1"/>
  <c r="N57" i="1"/>
  <c r="T64" i="1"/>
  <c r="M99" i="1"/>
  <c r="J433" i="1"/>
  <c r="J354" i="1"/>
  <c r="J448" i="1"/>
  <c r="L769" i="1"/>
  <c r="L68" i="1"/>
  <c r="N243" i="17"/>
  <c r="N240" i="17"/>
  <c r="N226" i="17"/>
  <c r="P232" i="17"/>
  <c r="O225" i="17"/>
  <c r="P276" i="1"/>
  <c r="P274" i="1"/>
  <c r="M241" i="17"/>
  <c r="M216" i="17"/>
  <c r="L213" i="17"/>
  <c r="L218" i="17" s="1"/>
  <c r="L217" i="17"/>
  <c r="K222" i="17"/>
  <c r="K214" i="17"/>
  <c r="K246" i="17"/>
  <c r="Q261" i="1"/>
  <c r="Q263" i="1"/>
  <c r="Q273" i="1"/>
  <c r="M244" i="17"/>
  <c r="M220" i="17"/>
  <c r="E826" i="1"/>
  <c r="F826" i="1"/>
  <c r="H542" i="1"/>
  <c r="H117" i="15"/>
  <c r="H118" i="15" s="1"/>
  <c r="H558" i="1"/>
  <c r="F880" i="1"/>
  <c r="F882" i="1" s="1"/>
  <c r="F883" i="1" s="1"/>
  <c r="F451" i="1"/>
  <c r="F435" i="1"/>
  <c r="H557" i="1"/>
  <c r="H541" i="1"/>
  <c r="H113" i="15"/>
  <c r="H114" i="15" s="1"/>
  <c r="H25" i="15"/>
  <c r="AY497" i="1"/>
  <c r="AY396" i="1"/>
  <c r="AY438" i="1"/>
  <c r="AY446" i="1"/>
  <c r="AY394" i="1"/>
  <c r="AY395" i="1"/>
  <c r="AY374" i="1"/>
  <c r="AY338" i="1"/>
  <c r="AY403" i="1" s="1"/>
  <c r="AY475" i="1"/>
  <c r="AP511" i="1"/>
  <c r="AP532" i="1" s="1"/>
  <c r="AP451" i="1"/>
  <c r="AP381" i="1"/>
  <c r="AP382" i="1"/>
  <c r="AP443" i="1"/>
  <c r="AP435" i="1"/>
  <c r="AZ89" i="1"/>
  <c r="AZ97" i="1"/>
  <c r="BD97" i="1"/>
  <c r="AY165" i="1"/>
  <c r="AZ23" i="1"/>
  <c r="AZ46" i="1"/>
  <c r="AZ59" i="1"/>
  <c r="AZ27" i="1"/>
  <c r="AZ29" i="1"/>
  <c r="AZ24" i="1"/>
  <c r="AZ31" i="1"/>
  <c r="AZ25" i="1"/>
  <c r="AZ30" i="1"/>
  <c r="AZ32" i="1"/>
  <c r="AZ236" i="1"/>
  <c r="AZ26" i="1"/>
  <c r="BD23" i="1"/>
  <c r="BD25" i="1"/>
  <c r="BD562" i="1"/>
  <c r="BD27" i="1"/>
  <c r="BD31" i="1"/>
  <c r="BD292" i="1"/>
  <c r="BD29" i="1"/>
  <c r="BD30" i="1"/>
  <c r="BD24" i="1"/>
  <c r="BD32" i="1"/>
  <c r="BD336" i="1"/>
  <c r="BD407" i="1" s="1"/>
  <c r="BD66" i="1"/>
  <c r="BD59" i="1"/>
  <c r="BD236" i="1"/>
  <c r="BD46" i="1"/>
  <c r="BD26" i="1"/>
  <c r="N239" i="1"/>
  <c r="M232" i="1"/>
  <c r="T239" i="1"/>
  <c r="AY93" i="1"/>
  <c r="AY101" i="1"/>
  <c r="K52" i="1"/>
  <c r="BE240" i="1"/>
  <c r="BE232" i="1"/>
  <c r="AY85" i="1"/>
  <c r="BA237" i="1"/>
  <c r="BA235" i="1"/>
  <c r="AZ237" i="1"/>
  <c r="BB234" i="1"/>
  <c r="BD237" i="1"/>
  <c r="BA233" i="1"/>
  <c r="AX237" i="1"/>
  <c r="BC237" i="1"/>
  <c r="BB237" i="1"/>
  <c r="BA234" i="1"/>
  <c r="BA247" i="1"/>
  <c r="BA564" i="1"/>
  <c r="BA12" i="1"/>
  <c r="K235" i="1"/>
  <c r="K257" i="1"/>
  <c r="K562" i="1"/>
  <c r="L233" i="1"/>
  <c r="L12" i="1"/>
  <c r="L9" i="1" s="1"/>
  <c r="L247" i="1"/>
  <c r="L248" i="1" s="1"/>
  <c r="L564" i="1"/>
  <c r="G435" i="1"/>
  <c r="G79" i="15"/>
  <c r="G80" i="15" s="1"/>
  <c r="G880" i="1"/>
  <c r="G511" i="1"/>
  <c r="G451" i="1"/>
  <c r="H543" i="1"/>
  <c r="H514" i="1"/>
  <c r="H516" i="1" s="1"/>
  <c r="H86" i="15"/>
  <c r="H136" i="15" s="1"/>
  <c r="G826" i="1"/>
  <c r="Q170" i="1"/>
  <c r="Q129" i="1"/>
  <c r="Q616" i="1"/>
  <c r="Q783" i="1" s="1"/>
  <c r="Q212" i="1"/>
  <c r="Q65" i="1"/>
  <c r="Q100" i="1" s="1"/>
  <c r="Q58" i="1"/>
  <c r="AX378" i="1"/>
  <c r="R18" i="1"/>
  <c r="BB336" i="1"/>
  <c r="BB526" i="1" s="1"/>
  <c r="BB32" i="1"/>
  <c r="BB27" i="1"/>
  <c r="BB25" i="1"/>
  <c r="BB66" i="1"/>
  <c r="BB67" i="1" s="1"/>
  <c r="BB29" i="1"/>
  <c r="BC46" i="1"/>
  <c r="BB562" i="1"/>
  <c r="BB59" i="1"/>
  <c r="BB292" i="1"/>
  <c r="BB236" i="1"/>
  <c r="BB30" i="1"/>
  <c r="BB31" i="1"/>
  <c r="BB26" i="1"/>
  <c r="BB24" i="1"/>
  <c r="R53" i="1"/>
  <c r="BB97" i="1"/>
  <c r="Q171" i="1"/>
  <c r="I25" i="15"/>
  <c r="I113" i="15"/>
  <c r="I114" i="15" s="1"/>
  <c r="AR378" i="1"/>
  <c r="AW375" i="1"/>
  <c r="AW509" i="1"/>
  <c r="AW530" i="1" s="1"/>
  <c r="I370" i="1"/>
  <c r="I425" i="1" s="1"/>
  <c r="I397" i="1"/>
  <c r="AQ509" i="1"/>
  <c r="AQ375" i="1"/>
  <c r="I542" i="1"/>
  <c r="I117" i="15"/>
  <c r="I118" i="15" s="1"/>
  <c r="I558" i="1"/>
  <c r="AS509" i="1"/>
  <c r="AS375" i="1"/>
  <c r="I541" i="1"/>
  <c r="I557" i="1"/>
  <c r="I69" i="1"/>
  <c r="I78" i="1" s="1"/>
  <c r="AU509" i="1"/>
  <c r="AU530" i="1" s="1"/>
  <c r="AU375" i="1"/>
  <c r="AV375" i="1"/>
  <c r="AV509" i="1"/>
  <c r="AV530" i="1" s="1"/>
  <c r="J370" i="1"/>
  <c r="J425" i="1" s="1"/>
  <c r="J397" i="1"/>
  <c r="Q213" i="1" l="1"/>
  <c r="R61" i="17"/>
  <c r="Q202" i="1"/>
  <c r="Q162" i="1" s="1"/>
  <c r="Q10" i="1" s="1"/>
  <c r="D378" i="1"/>
  <c r="BE184" i="1"/>
  <c r="N179" i="1"/>
  <c r="N183" i="1"/>
  <c r="N184" i="1" s="1"/>
  <c r="R147" i="1"/>
  <c r="R128" i="1"/>
  <c r="R121" i="1"/>
  <c r="R200" i="1"/>
  <c r="R202" i="1" s="1"/>
  <c r="R145" i="1"/>
  <c r="BB33" i="1"/>
  <c r="BC33" i="1"/>
  <c r="BD33" i="1"/>
  <c r="AZ33" i="1"/>
  <c r="BC345" i="1"/>
  <c r="BC405" i="1" s="1"/>
  <c r="AQ530" i="1"/>
  <c r="AY531" i="1"/>
  <c r="AY529" i="1"/>
  <c r="AY535" i="1"/>
  <c r="AS530" i="1"/>
  <c r="H559" i="1"/>
  <c r="G532" i="1"/>
  <c r="BD526" i="1"/>
  <c r="AY520" i="1"/>
  <c r="AY521" i="1"/>
  <c r="AY525" i="1"/>
  <c r="AY523" i="1"/>
  <c r="AY524" i="1"/>
  <c r="AZ428" i="1"/>
  <c r="AZ526" i="1"/>
  <c r="AY410" i="1"/>
  <c r="AY411" i="1" s="1"/>
  <c r="AZ393" i="1"/>
  <c r="AZ401" i="1"/>
  <c r="AZ409" i="1"/>
  <c r="AZ421" i="1"/>
  <c r="AZ420" i="1"/>
  <c r="AZ424" i="1"/>
  <c r="AZ423" i="1"/>
  <c r="AZ408" i="1"/>
  <c r="AZ422" i="1"/>
  <c r="AZ416" i="1"/>
  <c r="AZ419" i="1"/>
  <c r="AZ418" i="1"/>
  <c r="AZ404" i="1"/>
  <c r="AZ407" i="1"/>
  <c r="AZ414" i="1"/>
  <c r="AZ413" i="1"/>
  <c r="AZ417" i="1"/>
  <c r="AZ402" i="1"/>
  <c r="AZ406" i="1"/>
  <c r="AZ405" i="1"/>
  <c r="AZ412" i="1"/>
  <c r="BD420" i="1"/>
  <c r="BD417" i="1"/>
  <c r="BD408" i="1"/>
  <c r="BD401" i="1"/>
  <c r="BD409" i="1"/>
  <c r="BD419" i="1"/>
  <c r="BD421" i="1"/>
  <c r="BD422" i="1"/>
  <c r="BD418" i="1"/>
  <c r="BD423" i="1"/>
  <c r="BD424" i="1"/>
  <c r="BD414" i="1"/>
  <c r="BC373" i="1"/>
  <c r="BC417" i="1"/>
  <c r="BC421" i="1"/>
  <c r="BC408" i="1"/>
  <c r="BC401" i="1"/>
  <c r="BC409" i="1"/>
  <c r="BC420" i="1"/>
  <c r="BC422" i="1"/>
  <c r="BC418" i="1"/>
  <c r="BC423" i="1"/>
  <c r="BC424" i="1"/>
  <c r="BC419" i="1"/>
  <c r="BC414" i="1"/>
  <c r="BC407" i="1"/>
  <c r="BB408" i="1"/>
  <c r="BB418" i="1"/>
  <c r="BB401" i="1"/>
  <c r="BB409" i="1"/>
  <c r="BB417" i="1"/>
  <c r="BB421" i="1"/>
  <c r="BB423" i="1"/>
  <c r="BB424" i="1"/>
  <c r="BB419" i="1"/>
  <c r="BB420" i="1"/>
  <c r="BB422" i="1"/>
  <c r="BB414" i="1"/>
  <c r="BB407" i="1"/>
  <c r="BC497" i="1"/>
  <c r="O58" i="17"/>
  <c r="BC474" i="1"/>
  <c r="BC480" i="1" s="1"/>
  <c r="BC344" i="1"/>
  <c r="BC404" i="1" s="1"/>
  <c r="AZ165" i="1"/>
  <c r="R213" i="1"/>
  <c r="BC446" i="1"/>
  <c r="R51" i="17"/>
  <c r="R180" i="17"/>
  <c r="R50" i="17"/>
  <c r="P199" i="17"/>
  <c r="P174" i="17"/>
  <c r="P175" i="17" s="1"/>
  <c r="Q41" i="17"/>
  <c r="Q151" i="17"/>
  <c r="Q40" i="17"/>
  <c r="Q154" i="17"/>
  <c r="Q137" i="17"/>
  <c r="Q42" i="17"/>
  <c r="R44" i="17"/>
  <c r="R136" i="17"/>
  <c r="R138" i="17" s="1"/>
  <c r="R43" i="17"/>
  <c r="O127" i="17"/>
  <c r="O123" i="17"/>
  <c r="Q48" i="17"/>
  <c r="Q195" i="17"/>
  <c r="Q181" i="17"/>
  <c r="Q49" i="17"/>
  <c r="Q198" i="17"/>
  <c r="Q47" i="17"/>
  <c r="N128" i="17"/>
  <c r="N157" i="17"/>
  <c r="N132" i="17"/>
  <c r="N124" i="17"/>
  <c r="P130" i="17"/>
  <c r="P131" i="17" s="1"/>
  <c r="P155" i="17"/>
  <c r="P196" i="17"/>
  <c r="P170" i="17"/>
  <c r="O167" i="17"/>
  <c r="O171" i="17"/>
  <c r="N176" i="17"/>
  <c r="N201" i="17"/>
  <c r="N168" i="17"/>
  <c r="N172" i="17"/>
  <c r="P126" i="17"/>
  <c r="P152" i="17"/>
  <c r="P10" i="1"/>
  <c r="P210" i="1"/>
  <c r="P163" i="1"/>
  <c r="P182" i="1"/>
  <c r="P207" i="1"/>
  <c r="BC89" i="1"/>
  <c r="O181" i="1"/>
  <c r="O184" i="1" s="1"/>
  <c r="O177" i="1"/>
  <c r="BS169" i="1"/>
  <c r="BS168" i="1" s="1"/>
  <c r="N190" i="1"/>
  <c r="O186" i="1"/>
  <c r="AZ338" i="1"/>
  <c r="AZ403" i="1" s="1"/>
  <c r="AZ497" i="1"/>
  <c r="AZ438" i="1"/>
  <c r="AZ446" i="1"/>
  <c r="AZ374" i="1"/>
  <c r="AZ396" i="1"/>
  <c r="AZ395" i="1"/>
  <c r="AZ394" i="1"/>
  <c r="AZ475" i="1"/>
  <c r="P209" i="1"/>
  <c r="P169" i="1"/>
  <c r="P174" i="1" s="1"/>
  <c r="P183" i="1" s="1"/>
  <c r="P563" i="1"/>
  <c r="P227" i="1" s="1"/>
  <c r="BC165" i="1"/>
  <c r="BA9" i="1"/>
  <c r="O50" i="1"/>
  <c r="BD89" i="1"/>
  <c r="BC67" i="1"/>
  <c r="BC82" i="1" s="1"/>
  <c r="R565" i="1"/>
  <c r="R290" i="1"/>
  <c r="R16" i="1"/>
  <c r="L67" i="15" s="1"/>
  <c r="L69" i="15" s="1"/>
  <c r="L71" i="15" s="1"/>
  <c r="BU16" i="1"/>
  <c r="Q56" i="1"/>
  <c r="Q63" i="1"/>
  <c r="Q98" i="1" s="1"/>
  <c r="AT435" i="1"/>
  <c r="AT381" i="1"/>
  <c r="AT382" i="1"/>
  <c r="AT511" i="1"/>
  <c r="AT451" i="1"/>
  <c r="R274" i="1"/>
  <c r="O179" i="1"/>
  <c r="O190" i="1"/>
  <c r="BU170" i="1"/>
  <c r="Q113" i="17"/>
  <c r="Q88" i="17"/>
  <c r="O90" i="17"/>
  <c r="O115" i="17"/>
  <c r="O82" i="17"/>
  <c r="R33" i="17"/>
  <c r="R34" i="17"/>
  <c r="R95" i="17"/>
  <c r="R96" i="17"/>
  <c r="R35" i="17"/>
  <c r="R112" i="17"/>
  <c r="R109" i="17"/>
  <c r="Q84" i="17"/>
  <c r="Q110" i="17"/>
  <c r="P85" i="17"/>
  <c r="P81" i="17"/>
  <c r="O86" i="17"/>
  <c r="P17" i="1"/>
  <c r="P311" i="1"/>
  <c r="P566" i="1"/>
  <c r="P729" i="1"/>
  <c r="O717" i="1"/>
  <c r="O57" i="1"/>
  <c r="O64" i="1"/>
  <c r="O99" i="1" s="1"/>
  <c r="Q731" i="1"/>
  <c r="Q351" i="1"/>
  <c r="J434" i="1"/>
  <c r="J449" i="1"/>
  <c r="J19" i="15"/>
  <c r="Q310" i="1"/>
  <c r="R315" i="1"/>
  <c r="R310" i="1" s="1"/>
  <c r="R351" i="1"/>
  <c r="R731" i="1"/>
  <c r="M769" i="1"/>
  <c r="M68" i="1"/>
  <c r="J505" i="1"/>
  <c r="J536" i="1" s="1"/>
  <c r="J556" i="1"/>
  <c r="J507" i="1"/>
  <c r="J528" i="1" s="1"/>
  <c r="J540" i="1"/>
  <c r="P766" i="1"/>
  <c r="N753" i="1"/>
  <c r="N352" i="1" s="1"/>
  <c r="N607" i="1"/>
  <c r="M221" i="17"/>
  <c r="L222" i="17"/>
  <c r="L246" i="17"/>
  <c r="L214" i="17"/>
  <c r="D386" i="1"/>
  <c r="M217" i="17"/>
  <c r="M213" i="17"/>
  <c r="O243" i="17"/>
  <c r="O240" i="17"/>
  <c r="O226" i="17"/>
  <c r="N244" i="17"/>
  <c r="N220" i="17"/>
  <c r="Q276" i="1"/>
  <c r="Q274" i="1"/>
  <c r="Q232" i="17"/>
  <c r="P225" i="17"/>
  <c r="N241" i="17"/>
  <c r="N216" i="17"/>
  <c r="E828" i="1"/>
  <c r="AY350" i="1"/>
  <c r="AY439" i="1"/>
  <c r="AY447" i="1"/>
  <c r="AY432" i="1"/>
  <c r="AY499" i="1"/>
  <c r="AY522" i="1" s="1"/>
  <c r="AY546" i="1"/>
  <c r="AY554" i="1"/>
  <c r="H26" i="15"/>
  <c r="H139" i="15"/>
  <c r="H138" i="15" s="1"/>
  <c r="H121" i="15"/>
  <c r="H122" i="15" s="1"/>
  <c r="F884" i="1"/>
  <c r="G878" i="1"/>
  <c r="AP383" i="1"/>
  <c r="AP551" i="1"/>
  <c r="AP514" i="1"/>
  <c r="AP516" i="1" s="1"/>
  <c r="AP559" i="1"/>
  <c r="AP543" i="1"/>
  <c r="AP384" i="1"/>
  <c r="K258" i="1"/>
  <c r="M12" i="1"/>
  <c r="M9" i="1" s="1"/>
  <c r="T232" i="1"/>
  <c r="M564" i="1"/>
  <c r="M235" i="1" s="1"/>
  <c r="M233" i="1"/>
  <c r="M247" i="1"/>
  <c r="M248" i="1" s="1"/>
  <c r="BD567" i="1"/>
  <c r="BD165" i="1"/>
  <c r="BB249" i="1"/>
  <c r="BA248" i="1"/>
  <c r="BA249" i="1"/>
  <c r="O239" i="1"/>
  <c r="N232" i="1"/>
  <c r="AZ93" i="1"/>
  <c r="AZ101" i="1"/>
  <c r="AZ67" i="1"/>
  <c r="L257" i="1"/>
  <c r="L562" i="1"/>
  <c r="L258" i="1" s="1"/>
  <c r="BE247" i="1"/>
  <c r="BE235" i="1"/>
  <c r="BE12" i="1"/>
  <c r="BE9" i="1" s="1"/>
  <c r="BE564" i="1"/>
  <c r="BE237" i="1"/>
  <c r="BE233" i="1"/>
  <c r="BE234" i="1"/>
  <c r="L52" i="1"/>
  <c r="BD67" i="1"/>
  <c r="BD101" i="1"/>
  <c r="BD93" i="1"/>
  <c r="L235" i="1"/>
  <c r="BA52" i="1"/>
  <c r="BB39" i="1"/>
  <c r="BA39" i="1"/>
  <c r="AY102" i="1"/>
  <c r="AY94" i="1"/>
  <c r="AY82" i="1"/>
  <c r="AY83" i="1"/>
  <c r="AY84" i="1"/>
  <c r="AY81" i="1"/>
  <c r="K62" i="1"/>
  <c r="K49" i="1"/>
  <c r="K19" i="1"/>
  <c r="BD373" i="1"/>
  <c r="BD497" i="1"/>
  <c r="BD474" i="1"/>
  <c r="BD344" i="1"/>
  <c r="BD404" i="1" s="1"/>
  <c r="BD345" i="1"/>
  <c r="BD405" i="1" s="1"/>
  <c r="BD446" i="1"/>
  <c r="BD438" i="1"/>
  <c r="G882" i="1"/>
  <c r="G543" i="1"/>
  <c r="G86" i="15"/>
  <c r="G514" i="1"/>
  <c r="G516" i="1" s="1"/>
  <c r="H93" i="15"/>
  <c r="H132" i="15"/>
  <c r="H134" i="15"/>
  <c r="H87" i="15"/>
  <c r="P58" i="17"/>
  <c r="P73" i="17"/>
  <c r="Q187" i="1"/>
  <c r="BB84" i="1"/>
  <c r="BB82" i="1"/>
  <c r="BB81" i="1"/>
  <c r="BB83" i="1"/>
  <c r="BB102" i="1"/>
  <c r="BB77" i="1"/>
  <c r="BB101" i="1"/>
  <c r="BC93" i="1"/>
  <c r="BB85" i="1"/>
  <c r="BB344" i="1"/>
  <c r="BB404" i="1" s="1"/>
  <c r="BB474" i="1"/>
  <c r="BB350" i="1" s="1"/>
  <c r="BB429" i="1" s="1"/>
  <c r="BB345" i="1"/>
  <c r="BB405" i="1" s="1"/>
  <c r="BB446" i="1"/>
  <c r="BB373" i="1"/>
  <c r="BB497" i="1"/>
  <c r="BC438" i="1"/>
  <c r="R58" i="1"/>
  <c r="R65" i="1"/>
  <c r="R100" i="1" s="1"/>
  <c r="BB165" i="1"/>
  <c r="BB567" i="1"/>
  <c r="AX381" i="1"/>
  <c r="AX511" i="1"/>
  <c r="AX532" i="1" s="1"/>
  <c r="AX382" i="1"/>
  <c r="AX451" i="1"/>
  <c r="AX435" i="1"/>
  <c r="R171" i="1"/>
  <c r="AS378" i="1"/>
  <c r="AQ378" i="1"/>
  <c r="AR443" i="1" s="1"/>
  <c r="AW378" i="1"/>
  <c r="AR382" i="1"/>
  <c r="AR511" i="1"/>
  <c r="AR532" i="1" s="1"/>
  <c r="AR381" i="1"/>
  <c r="AR435" i="1"/>
  <c r="AR451" i="1"/>
  <c r="I121" i="15"/>
  <c r="I122" i="15" s="1"/>
  <c r="I56" i="15"/>
  <c r="I26" i="15"/>
  <c r="I139" i="15"/>
  <c r="I138" i="15" s="1"/>
  <c r="I758" i="1"/>
  <c r="I509" i="1"/>
  <c r="I371" i="1"/>
  <c r="I470" i="1"/>
  <c r="I472" i="1" s="1"/>
  <c r="I375" i="1"/>
  <c r="J509" i="1"/>
  <c r="J758" i="1"/>
  <c r="J375" i="1"/>
  <c r="J470" i="1"/>
  <c r="J472" i="1" s="1"/>
  <c r="J371" i="1"/>
  <c r="AV378" i="1"/>
  <c r="AU378" i="1"/>
  <c r="Q214" i="1" l="1"/>
  <c r="D387" i="1"/>
  <c r="D451" i="1"/>
  <c r="E451" i="1"/>
  <c r="R214" i="1"/>
  <c r="R162" i="1"/>
  <c r="R210" i="1" s="1"/>
  <c r="R212" i="1"/>
  <c r="R122" i="1"/>
  <c r="R130" i="1" s="1"/>
  <c r="R129" i="1"/>
  <c r="R616" i="1"/>
  <c r="R783" i="1" s="1"/>
  <c r="R170" i="1"/>
  <c r="AY86" i="1"/>
  <c r="BB86" i="1"/>
  <c r="BC478" i="1"/>
  <c r="BC500" i="1" s="1"/>
  <c r="BC523" i="1" s="1"/>
  <c r="BC479" i="1"/>
  <c r="BC501" i="1" s="1"/>
  <c r="BC524" i="1" s="1"/>
  <c r="AY528" i="1"/>
  <c r="AY527" i="1"/>
  <c r="AT559" i="1"/>
  <c r="AT532" i="1"/>
  <c r="BC520" i="1"/>
  <c r="BC529" i="1"/>
  <c r="BC531" i="1"/>
  <c r="BB520" i="1"/>
  <c r="BB529" i="1"/>
  <c r="BB531" i="1"/>
  <c r="AZ535" i="1"/>
  <c r="AZ531" i="1"/>
  <c r="AZ529" i="1"/>
  <c r="BD520" i="1"/>
  <c r="BD529" i="1"/>
  <c r="BD531" i="1"/>
  <c r="I530" i="1"/>
  <c r="J530" i="1"/>
  <c r="BC554" i="1"/>
  <c r="AZ520" i="1"/>
  <c r="AZ524" i="1"/>
  <c r="AZ523" i="1"/>
  <c r="AZ521" i="1"/>
  <c r="AZ525" i="1"/>
  <c r="AY349" i="1"/>
  <c r="AY427" i="1" s="1"/>
  <c r="AY429" i="1"/>
  <c r="AZ410" i="1"/>
  <c r="AZ411" i="1" s="1"/>
  <c r="P50" i="1"/>
  <c r="O176" i="17"/>
  <c r="O172" i="17"/>
  <c r="O201" i="17"/>
  <c r="O168" i="17"/>
  <c r="P167" i="17"/>
  <c r="P171" i="17"/>
  <c r="Q196" i="17"/>
  <c r="Q170" i="17"/>
  <c r="Q152" i="17"/>
  <c r="Q126" i="17"/>
  <c r="P123" i="17"/>
  <c r="P127" i="17"/>
  <c r="Q199" i="17"/>
  <c r="Q174" i="17"/>
  <c r="Q175" i="17" s="1"/>
  <c r="R48" i="17"/>
  <c r="R47" i="17"/>
  <c r="R181" i="17"/>
  <c r="R49" i="17"/>
  <c r="R198" i="17"/>
  <c r="R195" i="17"/>
  <c r="O128" i="17"/>
  <c r="O124" i="17"/>
  <c r="O132" i="17"/>
  <c r="O157" i="17"/>
  <c r="R42" i="17"/>
  <c r="R41" i="17"/>
  <c r="R154" i="17"/>
  <c r="R151" i="17"/>
  <c r="R40" i="17"/>
  <c r="R137" i="17"/>
  <c r="Q130" i="17"/>
  <c r="Q131" i="17" s="1"/>
  <c r="Q155" i="17"/>
  <c r="Q210" i="1"/>
  <c r="P177" i="1"/>
  <c r="BC102" i="1"/>
  <c r="BC350" i="1"/>
  <c r="BC85" i="1"/>
  <c r="BC94" i="1"/>
  <c r="BT169" i="1"/>
  <c r="BT168" i="1" s="1"/>
  <c r="P186" i="1"/>
  <c r="P181" i="1"/>
  <c r="P184" i="1" s="1"/>
  <c r="Q563" i="1"/>
  <c r="Q227" i="1" s="1"/>
  <c r="Q169" i="1"/>
  <c r="Q186" i="1" s="1"/>
  <c r="AZ499" i="1"/>
  <c r="AZ522" i="1" s="1"/>
  <c r="AZ554" i="1"/>
  <c r="AZ546" i="1"/>
  <c r="AZ350" i="1"/>
  <c r="AZ429" i="1" s="1"/>
  <c r="AZ432" i="1"/>
  <c r="AZ439" i="1"/>
  <c r="AZ447" i="1"/>
  <c r="K28" i="1"/>
  <c r="BC81" i="1"/>
  <c r="BC84" i="1"/>
  <c r="BC83" i="1"/>
  <c r="BC77" i="1"/>
  <c r="L73" i="15"/>
  <c r="L74" i="15" s="1"/>
  <c r="L75" i="15"/>
  <c r="R10" i="1"/>
  <c r="R50" i="1" s="1"/>
  <c r="Q182" i="1"/>
  <c r="Q57" i="17"/>
  <c r="Q58" i="17" s="1"/>
  <c r="Q207" i="1"/>
  <c r="Q163" i="1"/>
  <c r="Q209" i="1"/>
  <c r="BV16" i="1"/>
  <c r="R56" i="1"/>
  <c r="R63" i="1"/>
  <c r="R98" i="1" s="1"/>
  <c r="AT384" i="1"/>
  <c r="AT383" i="1"/>
  <c r="AT543" i="1"/>
  <c r="AT514" i="1"/>
  <c r="AT516" i="1" s="1"/>
  <c r="P179" i="1"/>
  <c r="P190" i="1"/>
  <c r="P90" i="17"/>
  <c r="P82" i="17"/>
  <c r="P115" i="17"/>
  <c r="R84" i="17"/>
  <c r="R110" i="17"/>
  <c r="R113" i="17"/>
  <c r="R88" i="17"/>
  <c r="R89" i="17" s="1"/>
  <c r="Q89" i="17"/>
  <c r="P86" i="17"/>
  <c r="Q85" i="17"/>
  <c r="Q81" i="17"/>
  <c r="Q566" i="1"/>
  <c r="Q311" i="1"/>
  <c r="Q17" i="1"/>
  <c r="P717" i="1"/>
  <c r="Q729" i="1"/>
  <c r="J117" i="15"/>
  <c r="J118" i="15" s="1"/>
  <c r="J558" i="1"/>
  <c r="J542" i="1"/>
  <c r="N68" i="1"/>
  <c r="N769" i="1"/>
  <c r="J557" i="1"/>
  <c r="J69" i="1"/>
  <c r="J78" i="1" s="1"/>
  <c r="J541" i="1"/>
  <c r="R766" i="1"/>
  <c r="J113" i="15"/>
  <c r="J114" i="15" s="1"/>
  <c r="J25" i="15"/>
  <c r="Q766" i="1"/>
  <c r="R566" i="1"/>
  <c r="R311" i="1"/>
  <c r="R17" i="1"/>
  <c r="O607" i="1"/>
  <c r="O753" i="1"/>
  <c r="O352" i="1" s="1"/>
  <c r="P64" i="1"/>
  <c r="P99" i="1" s="1"/>
  <c r="P57" i="1"/>
  <c r="G883" i="1"/>
  <c r="H878" i="1" s="1"/>
  <c r="H883" i="1" s="1"/>
  <c r="P240" i="17"/>
  <c r="P226" i="17"/>
  <c r="P243" i="17"/>
  <c r="M218" i="17"/>
  <c r="M246" i="17"/>
  <c r="M214" i="17"/>
  <c r="R232" i="17"/>
  <c r="R225" i="17" s="1"/>
  <c r="Q225" i="17"/>
  <c r="N221" i="17"/>
  <c r="N213" i="17"/>
  <c r="N222" i="17" s="1"/>
  <c r="N217" i="17"/>
  <c r="O241" i="17"/>
  <c r="O216" i="17"/>
  <c r="O220" i="17"/>
  <c r="O244" i="17"/>
  <c r="M222" i="17"/>
  <c r="E829" i="1"/>
  <c r="F827" i="1"/>
  <c r="F828" i="1" s="1"/>
  <c r="G827" i="1" s="1"/>
  <c r="G828" i="1" s="1"/>
  <c r="AY503" i="1"/>
  <c r="AY534" i="1" s="1"/>
  <c r="AY555" i="1"/>
  <c r="AY539" i="1"/>
  <c r="AY547" i="1"/>
  <c r="AY354" i="1"/>
  <c r="AY440" i="1"/>
  <c r="AY448" i="1"/>
  <c r="AY433" i="1"/>
  <c r="K23" i="1"/>
  <c r="K165" i="1"/>
  <c r="K474" i="1"/>
  <c r="K66" i="1"/>
  <c r="K59" i="1"/>
  <c r="K336" i="1"/>
  <c r="K526" i="1" s="1"/>
  <c r="K236" i="1"/>
  <c r="K292" i="1"/>
  <c r="K18" i="15"/>
  <c r="K24" i="1"/>
  <c r="K27" i="1"/>
  <c r="K31" i="1"/>
  <c r="K109" i="15"/>
  <c r="K110" i="15" s="1"/>
  <c r="K228" i="1"/>
  <c r="K30" i="1"/>
  <c r="K32" i="1"/>
  <c r="K25" i="1"/>
  <c r="K29" i="1"/>
  <c r="K26" i="1"/>
  <c r="BD81" i="1"/>
  <c r="BD82" i="1"/>
  <c r="BD77" i="1"/>
  <c r="BD84" i="1"/>
  <c r="BD83" i="1"/>
  <c r="BD350" i="1"/>
  <c r="BD429" i="1" s="1"/>
  <c r="BD102" i="1"/>
  <c r="BD94" i="1"/>
  <c r="BD478" i="1"/>
  <c r="BD480" i="1"/>
  <c r="BD479" i="1"/>
  <c r="BD501" i="1" s="1"/>
  <c r="BD524" i="1" s="1"/>
  <c r="BE248" i="1"/>
  <c r="BE249" i="1"/>
  <c r="M257" i="1"/>
  <c r="M562" i="1"/>
  <c r="M258" i="1" s="1"/>
  <c r="BD554" i="1"/>
  <c r="BD546" i="1"/>
  <c r="BA62" i="1"/>
  <c r="BA71" i="1" s="1"/>
  <c r="K97" i="1"/>
  <c r="BP9" i="1"/>
  <c r="BA19" i="1"/>
  <c r="BA28" i="1" s="1"/>
  <c r="BB36" i="1"/>
  <c r="BA49" i="1"/>
  <c r="BA36" i="1"/>
  <c r="BE52" i="1"/>
  <c r="BE39" i="1"/>
  <c r="AZ94" i="1"/>
  <c r="AZ83" i="1"/>
  <c r="AZ82" i="1"/>
  <c r="AZ84" i="1"/>
  <c r="AZ77" i="1"/>
  <c r="AZ102" i="1"/>
  <c r="AZ81" i="1"/>
  <c r="N247" i="1"/>
  <c r="N248" i="1" s="1"/>
  <c r="N233" i="1"/>
  <c r="N564" i="1"/>
  <c r="N12" i="1"/>
  <c r="N9" i="1" s="1"/>
  <c r="T12" i="1"/>
  <c r="M52" i="1"/>
  <c r="K567" i="1"/>
  <c r="BD85" i="1"/>
  <c r="L19" i="1"/>
  <c r="L49" i="1"/>
  <c r="L62" i="1"/>
  <c r="AZ85" i="1"/>
  <c r="P239" i="1"/>
  <c r="O232" i="1"/>
  <c r="H95" i="15"/>
  <c r="H96" i="15" s="1"/>
  <c r="H92" i="15" s="1"/>
  <c r="H94" i="15"/>
  <c r="G87" i="15"/>
  <c r="G93" i="15"/>
  <c r="Q50" i="1"/>
  <c r="AX559" i="1"/>
  <c r="AX543" i="1"/>
  <c r="AX514" i="1"/>
  <c r="AX516" i="1" s="1"/>
  <c r="BB554" i="1"/>
  <c r="BC546" i="1"/>
  <c r="AX383" i="1"/>
  <c r="BB479" i="1"/>
  <c r="BB501" i="1" s="1"/>
  <c r="BB524" i="1" s="1"/>
  <c r="BB480" i="1"/>
  <c r="BB478" i="1"/>
  <c r="BB500" i="1" s="1"/>
  <c r="BB523" i="1" s="1"/>
  <c r="AX384" i="1"/>
  <c r="BB354" i="1"/>
  <c r="BB433" i="1"/>
  <c r="BB448" i="1"/>
  <c r="I785" i="1"/>
  <c r="AW451" i="1"/>
  <c r="AW435" i="1"/>
  <c r="AW381" i="1"/>
  <c r="AW511" i="1"/>
  <c r="AW532" i="1" s="1"/>
  <c r="AW382" i="1"/>
  <c r="AX443" i="1"/>
  <c r="AQ382" i="1"/>
  <c r="AQ443" i="1"/>
  <c r="AQ381" i="1"/>
  <c r="AQ435" i="1"/>
  <c r="AQ451" i="1"/>
  <c r="AQ511" i="1"/>
  <c r="AQ532" i="1" s="1"/>
  <c r="AR543" i="1"/>
  <c r="AR514" i="1"/>
  <c r="AR516" i="1" s="1"/>
  <c r="AR559" i="1"/>
  <c r="AS382" i="1"/>
  <c r="AS435" i="1"/>
  <c r="AS443" i="1"/>
  <c r="AS381" i="1"/>
  <c r="AS511" i="1"/>
  <c r="AS532" i="1" s="1"/>
  <c r="AT443" i="1"/>
  <c r="AS451" i="1"/>
  <c r="I378" i="1"/>
  <c r="AR383" i="1"/>
  <c r="AR384" i="1"/>
  <c r="AV381" i="1"/>
  <c r="AV382" i="1"/>
  <c r="AV443" i="1"/>
  <c r="AV511" i="1"/>
  <c r="AV532" i="1" s="1"/>
  <c r="AV435" i="1"/>
  <c r="AV451" i="1"/>
  <c r="AW443" i="1"/>
  <c r="AU381" i="1"/>
  <c r="AU451" i="1"/>
  <c r="AU435" i="1"/>
  <c r="AU382" i="1"/>
  <c r="AU511" i="1"/>
  <c r="AU532" i="1" s="1"/>
  <c r="AU443" i="1"/>
  <c r="J378" i="1"/>
  <c r="J785" i="1"/>
  <c r="R209" i="1" l="1"/>
  <c r="R163" i="1"/>
  <c r="R207" i="1"/>
  <c r="R57" i="17"/>
  <c r="R73" i="17" s="1"/>
  <c r="R563" i="1"/>
  <c r="R227" i="1" s="1"/>
  <c r="R169" i="1"/>
  <c r="R174" i="1" s="1"/>
  <c r="R183" i="1" s="1"/>
  <c r="BV170" i="1"/>
  <c r="R187" i="1"/>
  <c r="R182" i="1"/>
  <c r="BC477" i="1"/>
  <c r="BC481" i="1" s="1"/>
  <c r="BC86" i="1"/>
  <c r="AZ86" i="1"/>
  <c r="BD86" i="1"/>
  <c r="K33" i="1"/>
  <c r="AZ527" i="1"/>
  <c r="AZ528" i="1"/>
  <c r="BC448" i="1"/>
  <c r="BC429" i="1"/>
  <c r="K401" i="1"/>
  <c r="K409" i="1"/>
  <c r="K417" i="1"/>
  <c r="K418" i="1"/>
  <c r="K420" i="1"/>
  <c r="K421" i="1"/>
  <c r="K422" i="1"/>
  <c r="K423" i="1"/>
  <c r="K419" i="1"/>
  <c r="K412" i="1"/>
  <c r="K424" i="1"/>
  <c r="K414" i="1"/>
  <c r="K407" i="1"/>
  <c r="K408" i="1"/>
  <c r="R152" i="17"/>
  <c r="R126" i="17"/>
  <c r="R170" i="17"/>
  <c r="R196" i="17"/>
  <c r="Q167" i="17"/>
  <c r="Q171" i="17"/>
  <c r="R130" i="17"/>
  <c r="R131" i="17" s="1"/>
  <c r="R155" i="17"/>
  <c r="R174" i="17"/>
  <c r="R175" i="17" s="1"/>
  <c r="R199" i="17"/>
  <c r="P128" i="17"/>
  <c r="P124" i="17"/>
  <c r="P157" i="17"/>
  <c r="P132" i="17"/>
  <c r="Q127" i="17"/>
  <c r="Q123" i="17"/>
  <c r="P176" i="17"/>
  <c r="P172" i="17"/>
  <c r="P168" i="17"/>
  <c r="P201" i="17"/>
  <c r="BC440" i="1"/>
  <c r="BC354" i="1"/>
  <c r="BC449" i="1" s="1"/>
  <c r="BC433" i="1"/>
  <c r="Q73" i="17"/>
  <c r="AZ440" i="1"/>
  <c r="AZ448" i="1"/>
  <c r="AZ433" i="1"/>
  <c r="AZ354" i="1"/>
  <c r="AZ441" i="1" s="1"/>
  <c r="AZ349" i="1"/>
  <c r="AZ427" i="1" s="1"/>
  <c r="AZ503" i="1"/>
  <c r="AZ534" i="1" s="1"/>
  <c r="AZ555" i="1"/>
  <c r="AZ539" i="1"/>
  <c r="AZ547" i="1"/>
  <c r="L28" i="1"/>
  <c r="BU169" i="1"/>
  <c r="BU168" i="1" s="1"/>
  <c r="Q174" i="1"/>
  <c r="O47" i="15"/>
  <c r="W5" i="15"/>
  <c r="Q177" i="1"/>
  <c r="Q181" i="1"/>
  <c r="G884" i="1"/>
  <c r="BA23" i="1"/>
  <c r="BN511" i="1"/>
  <c r="AR551" i="1"/>
  <c r="BM511" i="1"/>
  <c r="Q86" i="17"/>
  <c r="Q82" i="17"/>
  <c r="Q115" i="17"/>
  <c r="R81" i="17"/>
  <c r="R85" i="17"/>
  <c r="Q90" i="17"/>
  <c r="J121" i="15"/>
  <c r="J122" i="15" s="1"/>
  <c r="J56" i="15"/>
  <c r="J57" i="15" s="1"/>
  <c r="J26" i="15"/>
  <c r="J139" i="15"/>
  <c r="J138" i="15" s="1"/>
  <c r="P607" i="1"/>
  <c r="P753" i="1"/>
  <c r="P352" i="1" s="1"/>
  <c r="R64" i="1"/>
  <c r="R57" i="1"/>
  <c r="Q64" i="1"/>
  <c r="Q99" i="1" s="1"/>
  <c r="Q57" i="1"/>
  <c r="O68" i="1"/>
  <c r="O769" i="1"/>
  <c r="R729" i="1"/>
  <c r="R717" i="1" s="1"/>
  <c r="Q717" i="1"/>
  <c r="O213" i="17"/>
  <c r="O222" i="17" s="1"/>
  <c r="O217" i="17"/>
  <c r="Q243" i="17"/>
  <c r="Q226" i="17"/>
  <c r="Q240" i="17"/>
  <c r="P244" i="17"/>
  <c r="P220" i="17"/>
  <c r="N218" i="17"/>
  <c r="N246" i="17"/>
  <c r="N214" i="17"/>
  <c r="R243" i="17"/>
  <c r="R240" i="17"/>
  <c r="R226" i="17"/>
  <c r="O221" i="17"/>
  <c r="P241" i="17"/>
  <c r="P216" i="17"/>
  <c r="F829" i="1"/>
  <c r="H827" i="1"/>
  <c r="H828" i="1" s="1"/>
  <c r="H829" i="1" s="1"/>
  <c r="G829" i="1"/>
  <c r="AY359" i="1"/>
  <c r="AY415" i="1" s="1"/>
  <c r="AY434" i="1"/>
  <c r="AY441" i="1"/>
  <c r="AY449" i="1"/>
  <c r="AY548" i="1"/>
  <c r="AY556" i="1"/>
  <c r="AY540" i="1"/>
  <c r="AY505" i="1"/>
  <c r="AY536" i="1" s="1"/>
  <c r="AY507" i="1"/>
  <c r="O564" i="1"/>
  <c r="O235" i="1" s="1"/>
  <c r="O247" i="1"/>
  <c r="O248" i="1" s="1"/>
  <c r="O12" i="1"/>
  <c r="O9" i="1" s="1"/>
  <c r="O233" i="1"/>
  <c r="N235" i="1"/>
  <c r="N562" i="1"/>
  <c r="N258" i="1" s="1"/>
  <c r="N257" i="1"/>
  <c r="K67" i="1"/>
  <c r="BA66" i="1"/>
  <c r="K101" i="1"/>
  <c r="L567" i="1"/>
  <c r="L24" i="1"/>
  <c r="L165" i="1"/>
  <c r="L292" i="1"/>
  <c r="L31" i="1"/>
  <c r="L27" i="1"/>
  <c r="L336" i="1"/>
  <c r="L526" i="1" s="1"/>
  <c r="L30" i="1"/>
  <c r="L25" i="1"/>
  <c r="L29" i="1"/>
  <c r="L474" i="1"/>
  <c r="L18" i="15"/>
  <c r="L228" i="1"/>
  <c r="L66" i="1"/>
  <c r="L236" i="1"/>
  <c r="L109" i="15"/>
  <c r="L110" i="15" s="1"/>
  <c r="L32" i="1"/>
  <c r="L59" i="1"/>
  <c r="L26" i="1"/>
  <c r="L23" i="1"/>
  <c r="BD500" i="1"/>
  <c r="BD523" i="1" s="1"/>
  <c r="BD477" i="1"/>
  <c r="BD481" i="1" s="1"/>
  <c r="M19" i="1"/>
  <c r="M62" i="1"/>
  <c r="M49" i="1"/>
  <c r="T9" i="1"/>
  <c r="N52" i="1"/>
  <c r="P232" i="1"/>
  <c r="Q239" i="1"/>
  <c r="BE19" i="1"/>
  <c r="BE28" i="1" s="1"/>
  <c r="BE36" i="1"/>
  <c r="BE49" i="1"/>
  <c r="K634" i="1"/>
  <c r="K480" i="1"/>
  <c r="K767" i="1"/>
  <c r="K478" i="1"/>
  <c r="K477" i="1"/>
  <c r="K479" i="1"/>
  <c r="BA474" i="1"/>
  <c r="BE62" i="1"/>
  <c r="L97" i="1"/>
  <c r="BA336" i="1"/>
  <c r="BA526" i="1" s="1"/>
  <c r="BA24" i="1"/>
  <c r="BA25" i="1"/>
  <c r="BA292" i="1"/>
  <c r="BA46" i="1"/>
  <c r="BA236" i="1"/>
  <c r="BA59" i="1"/>
  <c r="BA27" i="1"/>
  <c r="BP19" i="1"/>
  <c r="BA30" i="1"/>
  <c r="BA32" i="1"/>
  <c r="BA29" i="1"/>
  <c r="BA562" i="1"/>
  <c r="BA26" i="1"/>
  <c r="BA31" i="1"/>
  <c r="BB46" i="1"/>
  <c r="BA89" i="1"/>
  <c r="BA72" i="1"/>
  <c r="BA97" i="1"/>
  <c r="BB89" i="1"/>
  <c r="BD433" i="1"/>
  <c r="BD448" i="1"/>
  <c r="BD354" i="1"/>
  <c r="BD440" i="1"/>
  <c r="K605" i="1"/>
  <c r="K620" i="1"/>
  <c r="K125" i="15"/>
  <c r="K126" i="15" s="1"/>
  <c r="K124" i="15" s="1"/>
  <c r="K446" i="1"/>
  <c r="K373" i="1"/>
  <c r="K617" i="1"/>
  <c r="K693" i="1"/>
  <c r="K689" i="1"/>
  <c r="K497" i="1"/>
  <c r="K687" i="1"/>
  <c r="K344" i="1"/>
  <c r="K404" i="1" s="1"/>
  <c r="K345" i="1"/>
  <c r="K405" i="1" s="1"/>
  <c r="G95" i="15"/>
  <c r="G96" i="15" s="1"/>
  <c r="G92" i="15" s="1"/>
  <c r="G94" i="15"/>
  <c r="I878" i="1"/>
  <c r="H884" i="1"/>
  <c r="BB477" i="1"/>
  <c r="BB481" i="1" s="1"/>
  <c r="BB449" i="1"/>
  <c r="BB434" i="1"/>
  <c r="AW384" i="1"/>
  <c r="AW559" i="1"/>
  <c r="AW543" i="1"/>
  <c r="AW514" i="1"/>
  <c r="AW516" i="1" s="1"/>
  <c r="AX551" i="1"/>
  <c r="I826" i="1"/>
  <c r="AT551" i="1"/>
  <c r="AS551" i="1"/>
  <c r="AS543" i="1"/>
  <c r="AS559" i="1"/>
  <c r="AS514" i="1"/>
  <c r="AS516" i="1" s="1"/>
  <c r="AQ384" i="1"/>
  <c r="AW383" i="1"/>
  <c r="I435" i="1"/>
  <c r="I880" i="1"/>
  <c r="I451" i="1"/>
  <c r="I79" i="15"/>
  <c r="I80" i="15" s="1"/>
  <c r="I511" i="1"/>
  <c r="I532" i="1" s="1"/>
  <c r="AS383" i="1"/>
  <c r="AS384" i="1"/>
  <c r="AQ559" i="1"/>
  <c r="AQ514" i="1"/>
  <c r="AQ516" i="1" s="1"/>
  <c r="AQ543" i="1"/>
  <c r="AQ551" i="1"/>
  <c r="AQ383" i="1"/>
  <c r="AV384" i="1"/>
  <c r="AU559" i="1"/>
  <c r="AU543" i="1"/>
  <c r="AU551" i="1"/>
  <c r="AU514" i="1"/>
  <c r="AU516" i="1" s="1"/>
  <c r="J826" i="1"/>
  <c r="AV383" i="1"/>
  <c r="J451" i="1"/>
  <c r="J435" i="1"/>
  <c r="J511" i="1"/>
  <c r="J532" i="1" s="1"/>
  <c r="J880" i="1"/>
  <c r="J882" i="1" s="1"/>
  <c r="J79" i="15"/>
  <c r="AU384" i="1"/>
  <c r="AU383" i="1"/>
  <c r="AV551" i="1"/>
  <c r="AV514" i="1"/>
  <c r="AV516" i="1" s="1"/>
  <c r="AV559" i="1"/>
  <c r="AV543" i="1"/>
  <c r="AW551" i="1"/>
  <c r="R179" i="1" l="1"/>
  <c r="BV169" i="1"/>
  <c r="BV168" i="1" s="1"/>
  <c r="R58" i="17"/>
  <c r="R186" i="1"/>
  <c r="R177" i="1"/>
  <c r="R181" i="1"/>
  <c r="BC483" i="1"/>
  <c r="BC487" i="1" s="1"/>
  <c r="R190" i="1"/>
  <c r="Q183" i="1"/>
  <c r="Q184" i="1" s="1"/>
  <c r="R184" i="1"/>
  <c r="BA33" i="1"/>
  <c r="L33" i="1"/>
  <c r="K520" i="1"/>
  <c r="K529" i="1"/>
  <c r="K531" i="1"/>
  <c r="BA401" i="1"/>
  <c r="BA409" i="1"/>
  <c r="BA419" i="1"/>
  <c r="BA408" i="1"/>
  <c r="BA418" i="1"/>
  <c r="BA421" i="1"/>
  <c r="BA423" i="1"/>
  <c r="BA417" i="1"/>
  <c r="BA420" i="1"/>
  <c r="BA422" i="1"/>
  <c r="BA424" i="1"/>
  <c r="BA414" i="1"/>
  <c r="BA407" i="1"/>
  <c r="L401" i="1"/>
  <c r="L409" i="1"/>
  <c r="L417" i="1"/>
  <c r="L418" i="1"/>
  <c r="L419" i="1"/>
  <c r="L420" i="1"/>
  <c r="L421" i="1"/>
  <c r="L422" i="1"/>
  <c r="L423" i="1"/>
  <c r="L424" i="1"/>
  <c r="L414" i="1"/>
  <c r="L407" i="1"/>
  <c r="L408" i="1"/>
  <c r="Q132" i="17"/>
  <c r="Q124" i="17"/>
  <c r="Q157" i="17"/>
  <c r="Q128" i="17"/>
  <c r="R167" i="17"/>
  <c r="R171" i="17"/>
  <c r="R123" i="17"/>
  <c r="R127" i="17"/>
  <c r="Q172" i="17"/>
  <c r="Q201" i="17"/>
  <c r="Q176" i="17"/>
  <c r="Q168" i="17"/>
  <c r="K481" i="1"/>
  <c r="BC441" i="1"/>
  <c r="BC434" i="1"/>
  <c r="AZ556" i="1"/>
  <c r="AZ540" i="1"/>
  <c r="AZ548" i="1"/>
  <c r="AZ505" i="1"/>
  <c r="AZ536" i="1" s="1"/>
  <c r="AZ507" i="1"/>
  <c r="AZ359" i="1"/>
  <c r="AZ415" i="1" s="1"/>
  <c r="AZ434" i="1"/>
  <c r="AZ449" i="1"/>
  <c r="M28" i="1"/>
  <c r="Q190" i="1"/>
  <c r="Q179" i="1"/>
  <c r="BQ19" i="1"/>
  <c r="K85" i="1"/>
  <c r="M23" i="1"/>
  <c r="BO500" i="1"/>
  <c r="R90" i="17"/>
  <c r="R82" i="17"/>
  <c r="R115" i="17"/>
  <c r="R86" i="17"/>
  <c r="I827" i="1"/>
  <c r="I828" i="1" s="1"/>
  <c r="R607" i="1"/>
  <c r="R753" i="1"/>
  <c r="R352" i="1" s="1"/>
  <c r="R99" i="1"/>
  <c r="P68" i="1"/>
  <c r="P769" i="1"/>
  <c r="Q607" i="1"/>
  <c r="Q753" i="1"/>
  <c r="Q352" i="1" s="1"/>
  <c r="R241" i="17"/>
  <c r="R216" i="17"/>
  <c r="R244" i="17"/>
  <c r="R220" i="17"/>
  <c r="P221" i="17"/>
  <c r="Q220" i="17"/>
  <c r="Q244" i="17"/>
  <c r="P217" i="17"/>
  <c r="P213" i="17"/>
  <c r="P218" i="17" s="1"/>
  <c r="Q241" i="17"/>
  <c r="Q216" i="17"/>
  <c r="O218" i="17"/>
  <c r="O214" i="17"/>
  <c r="O246" i="17"/>
  <c r="AY542" i="1"/>
  <c r="AY550" i="1"/>
  <c r="AY558" i="1"/>
  <c r="AY541" i="1"/>
  <c r="AY549" i="1"/>
  <c r="AY557" i="1"/>
  <c r="AY370" i="1"/>
  <c r="AY425" i="1" s="1"/>
  <c r="AY397" i="1"/>
  <c r="K784" i="1"/>
  <c r="K792" i="1"/>
  <c r="K683" i="1"/>
  <c r="BD483" i="1"/>
  <c r="BD487" i="1" s="1"/>
  <c r="BA446" i="1"/>
  <c r="BB438" i="1"/>
  <c r="BA497" i="1"/>
  <c r="BA438" i="1"/>
  <c r="BE97" i="1"/>
  <c r="BE72" i="1"/>
  <c r="BE89" i="1"/>
  <c r="BA477" i="1"/>
  <c r="BA480" i="1"/>
  <c r="BD449" i="1"/>
  <c r="BD434" i="1"/>
  <c r="BD441" i="1"/>
  <c r="BA479" i="1"/>
  <c r="P12" i="1"/>
  <c r="P9" i="1" s="1"/>
  <c r="P247" i="1"/>
  <c r="P248" i="1" s="1"/>
  <c r="P564" i="1"/>
  <c r="P233" i="1"/>
  <c r="M567" i="1"/>
  <c r="M59" i="1"/>
  <c r="T19" i="1"/>
  <c r="M30" i="1"/>
  <c r="M236" i="1"/>
  <c r="M109" i="15"/>
  <c r="M110" i="15" s="1"/>
  <c r="M27" i="1"/>
  <c r="M474" i="1"/>
  <c r="M25" i="1"/>
  <c r="M292" i="1"/>
  <c r="M66" i="1"/>
  <c r="M26" i="1"/>
  <c r="M29" i="1"/>
  <c r="M18" i="15"/>
  <c r="M32" i="1"/>
  <c r="M228" i="1"/>
  <c r="M336" i="1"/>
  <c r="M526" i="1" s="1"/>
  <c r="M24" i="1"/>
  <c r="M31" i="1"/>
  <c r="M165" i="1"/>
  <c r="K84" i="1"/>
  <c r="K83" i="1"/>
  <c r="K82" i="1"/>
  <c r="K77" i="1"/>
  <c r="BA67" i="1"/>
  <c r="K102" i="1"/>
  <c r="K350" i="1"/>
  <c r="K429" i="1" s="1"/>
  <c r="K81" i="1"/>
  <c r="O52" i="1"/>
  <c r="K501" i="1"/>
  <c r="BA345" i="1"/>
  <c r="BA405" i="1" s="1"/>
  <c r="K554" i="1"/>
  <c r="BA475" i="1"/>
  <c r="BA478" i="1"/>
  <c r="K879" i="1"/>
  <c r="L634" i="1"/>
  <c r="BE23" i="1"/>
  <c r="BE25" i="1"/>
  <c r="BE27" i="1"/>
  <c r="BE30" i="1"/>
  <c r="BE26" i="1"/>
  <c r="BE29" i="1"/>
  <c r="BE292" i="1"/>
  <c r="BE31" i="1"/>
  <c r="BE32" i="1"/>
  <c r="BE59" i="1"/>
  <c r="BE236" i="1"/>
  <c r="BE336" i="1"/>
  <c r="BE526" i="1" s="1"/>
  <c r="BE46" i="1"/>
  <c r="BE562" i="1"/>
  <c r="BE24" i="1"/>
  <c r="N62" i="1"/>
  <c r="N49" i="1"/>
  <c r="N19" i="1"/>
  <c r="M97" i="1"/>
  <c r="T62" i="1"/>
  <c r="L689" i="1"/>
  <c r="L125" i="15"/>
  <c r="L126" i="15" s="1"/>
  <c r="L124" i="15" s="1"/>
  <c r="L687" i="1"/>
  <c r="L617" i="1"/>
  <c r="L693" i="1"/>
  <c r="L344" i="1"/>
  <c r="L404" i="1" s="1"/>
  <c r="L605" i="1"/>
  <c r="L620" i="1"/>
  <c r="L497" i="1"/>
  <c r="L446" i="1"/>
  <c r="L373" i="1"/>
  <c r="L345" i="1"/>
  <c r="L405" i="1" s="1"/>
  <c r="K500" i="1"/>
  <c r="BA344" i="1"/>
  <c r="BA404" i="1" s="1"/>
  <c r="K706" i="1"/>
  <c r="K793" i="1"/>
  <c r="K642" i="1"/>
  <c r="BA373" i="1"/>
  <c r="BA165" i="1"/>
  <c r="BA567" i="1"/>
  <c r="K22" i="15"/>
  <c r="Q232" i="1"/>
  <c r="R239" i="1"/>
  <c r="R232" i="1" s="1"/>
  <c r="L67" i="1"/>
  <c r="L101" i="1"/>
  <c r="BE66" i="1"/>
  <c r="L480" i="1"/>
  <c r="L479" i="1"/>
  <c r="L767" i="1"/>
  <c r="L477" i="1"/>
  <c r="L478" i="1"/>
  <c r="BE474" i="1"/>
  <c r="BA101" i="1"/>
  <c r="BA93" i="1"/>
  <c r="BA76" i="1"/>
  <c r="BB93" i="1"/>
  <c r="O562" i="1"/>
  <c r="O258" i="1" s="1"/>
  <c r="O257" i="1"/>
  <c r="BB483" i="1"/>
  <c r="BB487" i="1" s="1"/>
  <c r="I882" i="1"/>
  <c r="I883" i="1" s="1"/>
  <c r="I543" i="1"/>
  <c r="I86" i="15"/>
  <c r="I136" i="15" s="1"/>
  <c r="I514" i="1"/>
  <c r="I516" i="1" s="1"/>
  <c r="I559" i="1"/>
  <c r="J80" i="15"/>
  <c r="H100" i="15"/>
  <c r="H99" i="15" s="1"/>
  <c r="J543" i="1"/>
  <c r="J86" i="15"/>
  <c r="J136" i="15" s="1"/>
  <c r="J514" i="1"/>
  <c r="J516" i="1" s="1"/>
  <c r="J559" i="1"/>
  <c r="K86" i="1" l="1"/>
  <c r="M33" i="1"/>
  <c r="BE33" i="1"/>
  <c r="BA520" i="1"/>
  <c r="BA531" i="1"/>
  <c r="BA529" i="1"/>
  <c r="L520" i="1"/>
  <c r="L529" i="1"/>
  <c r="L531" i="1"/>
  <c r="K523" i="1"/>
  <c r="K524" i="1"/>
  <c r="M401" i="1"/>
  <c r="M409" i="1"/>
  <c r="M417" i="1"/>
  <c r="M418" i="1"/>
  <c r="M419" i="1"/>
  <c r="M420" i="1"/>
  <c r="M421" i="1"/>
  <c r="M422" i="1"/>
  <c r="M423" i="1"/>
  <c r="M424" i="1"/>
  <c r="M414" i="1"/>
  <c r="M407" i="1"/>
  <c r="M408" i="1"/>
  <c r="BE401" i="1"/>
  <c r="BE409" i="1"/>
  <c r="BE419" i="1"/>
  <c r="BE417" i="1"/>
  <c r="BE408" i="1"/>
  <c r="BE424" i="1"/>
  <c r="BE420" i="1"/>
  <c r="BE421" i="1"/>
  <c r="BE422" i="1"/>
  <c r="BE418" i="1"/>
  <c r="BE423" i="1"/>
  <c r="BE414" i="1"/>
  <c r="BE407" i="1"/>
  <c r="R157" i="17"/>
  <c r="R132" i="17"/>
  <c r="R128" i="17"/>
  <c r="R124" i="17"/>
  <c r="R176" i="17"/>
  <c r="R172" i="17"/>
  <c r="R168" i="17"/>
  <c r="R201" i="17"/>
  <c r="L481" i="1"/>
  <c r="BA481" i="1"/>
  <c r="AZ550" i="1"/>
  <c r="AZ558" i="1"/>
  <c r="AZ542" i="1"/>
  <c r="AZ370" i="1"/>
  <c r="AZ425" i="1" s="1"/>
  <c r="AZ397" i="1"/>
  <c r="AZ541" i="1"/>
  <c r="AZ549" i="1"/>
  <c r="AZ557" i="1"/>
  <c r="BR19" i="1"/>
  <c r="N28" i="1"/>
  <c r="BE477" i="1"/>
  <c r="BO683" i="1"/>
  <c r="Q769" i="1"/>
  <c r="Q68" i="1"/>
  <c r="R769" i="1"/>
  <c r="R68" i="1"/>
  <c r="R221" i="17"/>
  <c r="Q221" i="17"/>
  <c r="P214" i="17"/>
  <c r="P246" i="17"/>
  <c r="P222" i="17"/>
  <c r="R213" i="17"/>
  <c r="R217" i="17"/>
  <c r="Q217" i="17"/>
  <c r="Q213" i="17"/>
  <c r="Q222" i="17" s="1"/>
  <c r="AY509" i="1"/>
  <c r="AY530" i="1" s="1"/>
  <c r="AY375" i="1"/>
  <c r="AY378" i="1" s="1"/>
  <c r="L642" i="1"/>
  <c r="BE475" i="1"/>
  <c r="N567" i="1"/>
  <c r="N109" i="15"/>
  <c r="N110" i="15" s="1"/>
  <c r="N228" i="1"/>
  <c r="N59" i="1"/>
  <c r="N30" i="1"/>
  <c r="N165" i="1"/>
  <c r="N26" i="1"/>
  <c r="N25" i="1"/>
  <c r="N336" i="1"/>
  <c r="N24" i="1"/>
  <c r="N66" i="1"/>
  <c r="N67" i="1" s="1"/>
  <c r="N32" i="1"/>
  <c r="N474" i="1"/>
  <c r="N292" i="1"/>
  <c r="N236" i="1"/>
  <c r="N18" i="15"/>
  <c r="N31" i="1"/>
  <c r="N27" i="1"/>
  <c r="N29" i="1"/>
  <c r="N23" i="1"/>
  <c r="N97" i="1"/>
  <c r="BE567" i="1"/>
  <c r="BE165" i="1"/>
  <c r="BA395" i="1"/>
  <c r="BA501" i="1"/>
  <c r="BA524" i="1" s="1"/>
  <c r="BA82" i="1"/>
  <c r="BA84" i="1"/>
  <c r="BA102" i="1"/>
  <c r="BB94" i="1"/>
  <c r="BA94" i="1"/>
  <c r="BA77" i="1"/>
  <c r="BA83" i="1"/>
  <c r="BA81" i="1"/>
  <c r="M125" i="15"/>
  <c r="M126" i="15" s="1"/>
  <c r="M124" i="15" s="1"/>
  <c r="M689" i="1"/>
  <c r="M605" i="1"/>
  <c r="M345" i="1"/>
  <c r="M405" i="1" s="1"/>
  <c r="M617" i="1"/>
  <c r="M687" i="1"/>
  <c r="T336" i="1"/>
  <c r="M373" i="1"/>
  <c r="M497" i="1"/>
  <c r="M344" i="1"/>
  <c r="M404" i="1" s="1"/>
  <c r="M693" i="1"/>
  <c r="M620" i="1"/>
  <c r="M446" i="1"/>
  <c r="L81" i="1"/>
  <c r="BE67" i="1"/>
  <c r="BE85" i="1" s="1"/>
  <c r="L82" i="1"/>
  <c r="L102" i="1"/>
  <c r="L83" i="1"/>
  <c r="L84" i="1"/>
  <c r="L350" i="1"/>
  <c r="L429" i="1" s="1"/>
  <c r="L77" i="1"/>
  <c r="L85" i="1"/>
  <c r="L792" i="1"/>
  <c r="L683" i="1"/>
  <c r="BA85" i="1"/>
  <c r="L22" i="15"/>
  <c r="P562" i="1"/>
  <c r="P257" i="1"/>
  <c r="P235" i="1"/>
  <c r="BA485" i="1"/>
  <c r="BA483" i="1"/>
  <c r="BE478" i="1"/>
  <c r="BE484" i="1" s="1"/>
  <c r="BE101" i="1"/>
  <c r="BE93" i="1"/>
  <c r="BE76" i="1"/>
  <c r="R564" i="1"/>
  <c r="R247" i="1"/>
  <c r="R12" i="1"/>
  <c r="R9" i="1" s="1"/>
  <c r="R233" i="1"/>
  <c r="BA374" i="1"/>
  <c r="BA500" i="1"/>
  <c r="BA394" i="1"/>
  <c r="BE344" i="1"/>
  <c r="BE404" i="1" s="1"/>
  <c r="L500" i="1"/>
  <c r="L707" i="1"/>
  <c r="M707" i="1" s="1"/>
  <c r="N707" i="1" s="1"/>
  <c r="O707" i="1" s="1"/>
  <c r="L793" i="1"/>
  <c r="BE479" i="1"/>
  <c r="BE485" i="1" s="1"/>
  <c r="Q233" i="1"/>
  <c r="Q564" i="1"/>
  <c r="Q247" i="1"/>
  <c r="Q248" i="1" s="1"/>
  <c r="Q12" i="1"/>
  <c r="Q9" i="1" s="1"/>
  <c r="AY69" i="1"/>
  <c r="AY78" i="1" s="1"/>
  <c r="BE345" i="1"/>
  <c r="BE405" i="1" s="1"/>
  <c r="L501" i="1"/>
  <c r="L554" i="1"/>
  <c r="BE438" i="1"/>
  <c r="BE497" i="1"/>
  <c r="BE446" i="1"/>
  <c r="BA484" i="1"/>
  <c r="K448" i="1"/>
  <c r="K354" i="1"/>
  <c r="K433" i="1"/>
  <c r="M477" i="1"/>
  <c r="M479" i="1"/>
  <c r="M480" i="1"/>
  <c r="M767" i="1"/>
  <c r="M478" i="1"/>
  <c r="P52" i="1"/>
  <c r="BA486" i="1"/>
  <c r="K24" i="15"/>
  <c r="K685" i="1"/>
  <c r="K692" i="1"/>
  <c r="K677" i="1"/>
  <c r="K684" i="1"/>
  <c r="BE480" i="1"/>
  <c r="BE486" i="1" s="1"/>
  <c r="K701" i="1"/>
  <c r="K697" i="1" s="1"/>
  <c r="L706" i="1"/>
  <c r="BE373" i="1"/>
  <c r="BE374" i="1" s="1"/>
  <c r="L784" i="1"/>
  <c r="M634" i="1"/>
  <c r="L879" i="1"/>
  <c r="O62" i="1"/>
  <c r="O97" i="1" s="1"/>
  <c r="O49" i="1"/>
  <c r="O19" i="1"/>
  <c r="M67" i="1"/>
  <c r="M101" i="1"/>
  <c r="T66" i="1"/>
  <c r="BA554" i="1"/>
  <c r="BA546" i="1"/>
  <c r="BB546" i="1"/>
  <c r="K802" i="1"/>
  <c r="J827" i="1"/>
  <c r="J828" i="1" s="1"/>
  <c r="K827" i="1" s="1"/>
  <c r="I829" i="1"/>
  <c r="I93" i="15"/>
  <c r="I132" i="15"/>
  <c r="I134" i="15"/>
  <c r="I87" i="15"/>
  <c r="J878" i="1"/>
  <c r="J883" i="1" s="1"/>
  <c r="K878" i="1" s="1"/>
  <c r="I884" i="1"/>
  <c r="J87" i="15"/>
  <c r="H103" i="15"/>
  <c r="H102" i="15" s="1"/>
  <c r="J93" i="15"/>
  <c r="J134" i="15"/>
  <c r="J132" i="15"/>
  <c r="L86" i="1" l="1"/>
  <c r="BA86" i="1"/>
  <c r="N33" i="1"/>
  <c r="BE520" i="1"/>
  <c r="BE529" i="1"/>
  <c r="BE531" i="1"/>
  <c r="M520" i="1"/>
  <c r="M531" i="1"/>
  <c r="M529" i="1"/>
  <c r="L523" i="1"/>
  <c r="BP500" i="1"/>
  <c r="BA523" i="1"/>
  <c r="N427" i="1"/>
  <c r="N526" i="1"/>
  <c r="L524" i="1"/>
  <c r="N401" i="1"/>
  <c r="N409" i="1"/>
  <c r="N418" i="1"/>
  <c r="N420" i="1"/>
  <c r="N422" i="1"/>
  <c r="N424" i="1"/>
  <c r="N417" i="1"/>
  <c r="N419" i="1"/>
  <c r="N421" i="1"/>
  <c r="N423" i="1"/>
  <c r="N414" i="1"/>
  <c r="N407" i="1"/>
  <c r="N408" i="1"/>
  <c r="BE483" i="1"/>
  <c r="BE487" i="1" s="1"/>
  <c r="BE481" i="1"/>
  <c r="BA487" i="1"/>
  <c r="M481" i="1"/>
  <c r="AZ509" i="1"/>
  <c r="AZ530" i="1" s="1"/>
  <c r="AZ375" i="1"/>
  <c r="AZ378" i="1" s="1"/>
  <c r="AZ443" i="1" s="1"/>
  <c r="O28" i="1"/>
  <c r="N41" i="1"/>
  <c r="M85" i="1"/>
  <c r="O23" i="1"/>
  <c r="BS19" i="1"/>
  <c r="BP683" i="1"/>
  <c r="Q218" i="17"/>
  <c r="Q246" i="17"/>
  <c r="Q214" i="17"/>
  <c r="R218" i="17"/>
  <c r="R214" i="17"/>
  <c r="R246" i="17"/>
  <c r="R222" i="17"/>
  <c r="AY511" i="1"/>
  <c r="AY532" i="1" s="1"/>
  <c r="AY381" i="1"/>
  <c r="AY383" i="1" s="1"/>
  <c r="AY435" i="1"/>
  <c r="AY382" i="1"/>
  <c r="AY384" i="1" s="1"/>
  <c r="AY443" i="1"/>
  <c r="AY451" i="1"/>
  <c r="M642" i="1"/>
  <c r="L677" i="1"/>
  <c r="M784" i="1"/>
  <c r="N350" i="1"/>
  <c r="N429" i="1" s="1"/>
  <c r="N83" i="1"/>
  <c r="N84" i="1"/>
  <c r="N81" i="1"/>
  <c r="N102" i="1"/>
  <c r="N82" i="1"/>
  <c r="N77" i="1"/>
  <c r="Q235" i="1"/>
  <c r="Q257" i="1"/>
  <c r="Q562" i="1"/>
  <c r="R235" i="1"/>
  <c r="R257" i="1"/>
  <c r="R562" i="1"/>
  <c r="R258" i="1" s="1"/>
  <c r="L433" i="1"/>
  <c r="L448" i="1"/>
  <c r="L354" i="1"/>
  <c r="L701" i="1"/>
  <c r="L697" i="1" s="1"/>
  <c r="L675" i="1" s="1"/>
  <c r="M706" i="1"/>
  <c r="M22" i="15"/>
  <c r="BE546" i="1"/>
  <c r="BE554" i="1"/>
  <c r="BE500" i="1"/>
  <c r="BE523" i="1" s="1"/>
  <c r="BE394" i="1"/>
  <c r="P258" i="1"/>
  <c r="L684" i="1"/>
  <c r="L24" i="15"/>
  <c r="L685" i="1"/>
  <c r="L692" i="1"/>
  <c r="BE81" i="1"/>
  <c r="BE84" i="1"/>
  <c r="BE94" i="1"/>
  <c r="BE77" i="1"/>
  <c r="BE102" i="1"/>
  <c r="BE83" i="1"/>
  <c r="BE82" i="1"/>
  <c r="M500" i="1"/>
  <c r="M523" i="1" s="1"/>
  <c r="M683" i="1"/>
  <c r="M792" i="1"/>
  <c r="N478" i="1"/>
  <c r="N479" i="1"/>
  <c r="N767" i="1"/>
  <c r="N477" i="1"/>
  <c r="N480" i="1"/>
  <c r="P49" i="1"/>
  <c r="P62" i="1"/>
  <c r="P19" i="1"/>
  <c r="K698" i="1"/>
  <c r="K765" i="1"/>
  <c r="K21" i="15" s="1"/>
  <c r="K696" i="1"/>
  <c r="K675" i="1"/>
  <c r="K674" i="1" s="1"/>
  <c r="K602" i="1" s="1"/>
  <c r="BE395" i="1"/>
  <c r="BE501" i="1"/>
  <c r="BE524" i="1" s="1"/>
  <c r="Q52" i="1"/>
  <c r="R52" i="1"/>
  <c r="L802" i="1"/>
  <c r="M554" i="1"/>
  <c r="T497" i="1"/>
  <c r="M793" i="1"/>
  <c r="M708" i="1"/>
  <c r="N708" i="1" s="1"/>
  <c r="O708" i="1" s="1"/>
  <c r="P708" i="1" s="1"/>
  <c r="N689" i="1"/>
  <c r="N693" i="1"/>
  <c r="N373" i="1"/>
  <c r="N446" i="1"/>
  <c r="N345" i="1"/>
  <c r="N405" i="1" s="1"/>
  <c r="N497" i="1"/>
  <c r="N344" i="1"/>
  <c r="N404" i="1" s="1"/>
  <c r="N125" i="15"/>
  <c r="N126" i="15" s="1"/>
  <c r="N124" i="15" s="1"/>
  <c r="N620" i="1"/>
  <c r="N687" i="1"/>
  <c r="N605" i="1"/>
  <c r="N617" i="1"/>
  <c r="K449" i="1"/>
  <c r="K19" i="15"/>
  <c r="K434" i="1"/>
  <c r="M81" i="1"/>
  <c r="M102" i="1"/>
  <c r="M82" i="1"/>
  <c r="M83" i="1"/>
  <c r="M84" i="1"/>
  <c r="M350" i="1"/>
  <c r="M429" i="1" s="1"/>
  <c r="T67" i="1"/>
  <c r="M77" i="1"/>
  <c r="O567" i="1"/>
  <c r="O474" i="1"/>
  <c r="O18" i="15"/>
  <c r="O66" i="1"/>
  <c r="O109" i="15"/>
  <c r="O110" i="15" s="1"/>
  <c r="O29" i="1"/>
  <c r="O59" i="1"/>
  <c r="O32" i="1"/>
  <c r="O30" i="1"/>
  <c r="O31" i="1"/>
  <c r="O165" i="1"/>
  <c r="O25" i="1"/>
  <c r="O228" i="1"/>
  <c r="O27" i="1"/>
  <c r="O26" i="1"/>
  <c r="O336" i="1"/>
  <c r="O24" i="1"/>
  <c r="O292" i="1"/>
  <c r="O236" i="1"/>
  <c r="N634" i="1"/>
  <c r="M879" i="1"/>
  <c r="R248" i="1"/>
  <c r="M501" i="1"/>
  <c r="N101" i="1"/>
  <c r="N85" i="1"/>
  <c r="J884" i="1"/>
  <c r="J829" i="1"/>
  <c r="I94" i="15"/>
  <c r="I95" i="15"/>
  <c r="I96" i="15" s="1"/>
  <c r="I92" i="15" s="1"/>
  <c r="J94" i="15"/>
  <c r="J95" i="15"/>
  <c r="J96" i="15" s="1"/>
  <c r="N86" i="1" l="1"/>
  <c r="BE86" i="1"/>
  <c r="M86" i="1"/>
  <c r="O33" i="1"/>
  <c r="N520" i="1"/>
  <c r="N529" i="1"/>
  <c r="N531" i="1"/>
  <c r="M524" i="1"/>
  <c r="O427" i="1"/>
  <c r="O526" i="1"/>
  <c r="O401" i="1"/>
  <c r="O409" i="1"/>
  <c r="O417" i="1"/>
  <c r="O418" i="1"/>
  <c r="O419" i="1"/>
  <c r="O420" i="1"/>
  <c r="O421" i="1"/>
  <c r="O422" i="1"/>
  <c r="O423" i="1"/>
  <c r="O424" i="1"/>
  <c r="O414" i="1"/>
  <c r="O407" i="1"/>
  <c r="O408" i="1"/>
  <c r="N481" i="1"/>
  <c r="AZ435" i="1"/>
  <c r="AZ511" i="1"/>
  <c r="AZ532" i="1" s="1"/>
  <c r="AZ382" i="1"/>
  <c r="AZ384" i="1" s="1"/>
  <c r="AZ381" i="1"/>
  <c r="AZ383" i="1" s="1"/>
  <c r="AZ451" i="1"/>
  <c r="P28" i="1"/>
  <c r="O41" i="1"/>
  <c r="N784" i="1"/>
  <c r="BQ500" i="1"/>
  <c r="P23" i="1"/>
  <c r="BT19" i="1"/>
  <c r="BQ683" i="1"/>
  <c r="N642" i="1"/>
  <c r="AY543" i="1"/>
  <c r="AY514" i="1"/>
  <c r="AY516" i="1" s="1"/>
  <c r="AY551" i="1"/>
  <c r="AY559" i="1"/>
  <c r="L674" i="1"/>
  <c r="L602" i="1" s="1"/>
  <c r="N683" i="1"/>
  <c r="N792" i="1"/>
  <c r="N554" i="1"/>
  <c r="P97" i="1"/>
  <c r="M684" i="1"/>
  <c r="M24" i="15"/>
  <c r="M692" i="1"/>
  <c r="M685" i="1"/>
  <c r="N706" i="1"/>
  <c r="M701" i="1"/>
  <c r="M697" i="1" s="1"/>
  <c r="L434" i="1"/>
  <c r="L449" i="1"/>
  <c r="L19" i="15"/>
  <c r="O634" i="1"/>
  <c r="N879" i="1"/>
  <c r="O67" i="1"/>
  <c r="O85" i="1" s="1"/>
  <c r="O101" i="1"/>
  <c r="N501" i="1"/>
  <c r="N524" i="1" s="1"/>
  <c r="N22" i="15"/>
  <c r="L765" i="1"/>
  <c r="L21" i="15" s="1"/>
  <c r="L698" i="1"/>
  <c r="L696" i="1"/>
  <c r="R62" i="1"/>
  <c r="R19" i="1"/>
  <c r="R49" i="1"/>
  <c r="K113" i="15"/>
  <c r="K114" i="15" s="1"/>
  <c r="K504" i="1"/>
  <c r="K535" i="1" s="1"/>
  <c r="O373" i="1"/>
  <c r="O689" i="1"/>
  <c r="O605" i="1"/>
  <c r="O497" i="1"/>
  <c r="O617" i="1"/>
  <c r="O125" i="15"/>
  <c r="O126" i="15" s="1"/>
  <c r="O124" i="15" s="1"/>
  <c r="O446" i="1"/>
  <c r="O345" i="1"/>
  <c r="O405" i="1" s="1"/>
  <c r="O687" i="1"/>
  <c r="O693" i="1"/>
  <c r="O344" i="1"/>
  <c r="O404" i="1" s="1"/>
  <c r="O620" i="1"/>
  <c r="N709" i="1"/>
  <c r="O709" i="1" s="1"/>
  <c r="P709" i="1" s="1"/>
  <c r="Q709" i="1" s="1"/>
  <c r="N793" i="1"/>
  <c r="Q62" i="1"/>
  <c r="Q97" i="1" s="1"/>
  <c r="Q49" i="1"/>
  <c r="Q19" i="1"/>
  <c r="P27" i="1"/>
  <c r="P30" i="1"/>
  <c r="P292" i="1"/>
  <c r="P109" i="15"/>
  <c r="P110" i="15" s="1"/>
  <c r="P236" i="1"/>
  <c r="P32" i="1"/>
  <c r="P474" i="1"/>
  <c r="P26" i="1"/>
  <c r="P25" i="1"/>
  <c r="P336" i="1"/>
  <c r="P66" i="1"/>
  <c r="P101" i="1" s="1"/>
  <c r="P18" i="15"/>
  <c r="P165" i="1"/>
  <c r="P31" i="1"/>
  <c r="P59" i="1"/>
  <c r="P29" i="1"/>
  <c r="P228" i="1"/>
  <c r="P24" i="1"/>
  <c r="P567" i="1"/>
  <c r="Q258" i="1"/>
  <c r="O479" i="1"/>
  <c r="O478" i="1"/>
  <c r="O480" i="1"/>
  <c r="O477" i="1"/>
  <c r="O767" i="1"/>
  <c r="T350" i="1"/>
  <c r="M448" i="1"/>
  <c r="M354" i="1"/>
  <c r="M433" i="1"/>
  <c r="N500" i="1"/>
  <c r="N523" i="1" s="1"/>
  <c r="M802" i="1"/>
  <c r="M677" i="1"/>
  <c r="N354" i="1"/>
  <c r="N433" i="1"/>
  <c r="J97" i="15"/>
  <c r="J92" i="15"/>
  <c r="H106" i="15"/>
  <c r="H105" i="15" s="1"/>
  <c r="P33" i="1" l="1"/>
  <c r="O520" i="1"/>
  <c r="O529" i="1"/>
  <c r="O531" i="1"/>
  <c r="P427" i="1"/>
  <c r="P526" i="1"/>
  <c r="P401" i="1"/>
  <c r="P409" i="1"/>
  <c r="P417" i="1"/>
  <c r="P418" i="1"/>
  <c r="P419" i="1"/>
  <c r="P420" i="1"/>
  <c r="P421" i="1"/>
  <c r="P422" i="1"/>
  <c r="P423" i="1"/>
  <c r="P424" i="1"/>
  <c r="P414" i="1"/>
  <c r="P407" i="1"/>
  <c r="P408" i="1"/>
  <c r="O481" i="1"/>
  <c r="AZ543" i="1"/>
  <c r="AZ514" i="1"/>
  <c r="AZ516" i="1" s="1"/>
  <c r="AZ559" i="1"/>
  <c r="AZ551" i="1"/>
  <c r="Q28" i="1"/>
  <c r="P41" i="1"/>
  <c r="R23" i="1"/>
  <c r="R28" i="1"/>
  <c r="BA504" i="1"/>
  <c r="BA535" i="1" s="1"/>
  <c r="K349" i="1"/>
  <c r="K427" i="1" s="1"/>
  <c r="BV19" i="1"/>
  <c r="BU19" i="1"/>
  <c r="BR683" i="1"/>
  <c r="BR500" i="1"/>
  <c r="N677" i="1"/>
  <c r="P479" i="1"/>
  <c r="P477" i="1"/>
  <c r="P767" i="1"/>
  <c r="P480" i="1"/>
  <c r="P478" i="1"/>
  <c r="Q23" i="1"/>
  <c r="Q25" i="1"/>
  <c r="Q292" i="1"/>
  <c r="Q59" i="1"/>
  <c r="Q18" i="15"/>
  <c r="Q24" i="1"/>
  <c r="Q30" i="1"/>
  <c r="Q109" i="15"/>
  <c r="Q110" i="15" s="1"/>
  <c r="Q29" i="1"/>
  <c r="Q228" i="1"/>
  <c r="Q31" i="1"/>
  <c r="Q474" i="1"/>
  <c r="Q26" i="1"/>
  <c r="Q336" i="1"/>
  <c r="Q165" i="1"/>
  <c r="Q27" i="1"/>
  <c r="Q66" i="1"/>
  <c r="Q236" i="1"/>
  <c r="Q32" i="1"/>
  <c r="O793" i="1"/>
  <c r="O710" i="1"/>
  <c r="L504" i="1"/>
  <c r="L113" i="15"/>
  <c r="L114" i="15" s="1"/>
  <c r="N701" i="1"/>
  <c r="N697" i="1" s="1"/>
  <c r="N675" i="1" s="1"/>
  <c r="N802" i="1"/>
  <c r="Q567" i="1"/>
  <c r="P620" i="1"/>
  <c r="P617" i="1"/>
  <c r="P497" i="1"/>
  <c r="P345" i="1"/>
  <c r="P405" i="1" s="1"/>
  <c r="P446" i="1"/>
  <c r="P125" i="15"/>
  <c r="P126" i="15" s="1"/>
  <c r="P124" i="15" s="1"/>
  <c r="P687" i="1"/>
  <c r="P344" i="1"/>
  <c r="P404" i="1" s="1"/>
  <c r="P693" i="1"/>
  <c r="P689" i="1"/>
  <c r="P605" i="1"/>
  <c r="P373" i="1"/>
  <c r="O683" i="1"/>
  <c r="BS683" i="1" s="1"/>
  <c r="O792" i="1"/>
  <c r="O784" i="1"/>
  <c r="P67" i="1"/>
  <c r="N685" i="1"/>
  <c r="N692" i="1"/>
  <c r="N24" i="15"/>
  <c r="N684" i="1"/>
  <c r="N449" i="1"/>
  <c r="N434" i="1"/>
  <c r="N19" i="15"/>
  <c r="O500" i="1"/>
  <c r="O523" i="1" s="1"/>
  <c r="O501" i="1"/>
  <c r="O524" i="1" s="1"/>
  <c r="O554" i="1"/>
  <c r="R567" i="1"/>
  <c r="R24" i="1"/>
  <c r="R29" i="1"/>
  <c r="R292" i="1"/>
  <c r="R165" i="1"/>
  <c r="R228" i="1"/>
  <c r="R474" i="1"/>
  <c r="R25" i="1"/>
  <c r="R336" i="1"/>
  <c r="R109" i="15"/>
  <c r="R110" i="15" s="1"/>
  <c r="R31" i="1"/>
  <c r="R66" i="1"/>
  <c r="R26" i="1"/>
  <c r="R27" i="1"/>
  <c r="R32" i="1"/>
  <c r="R30" i="1"/>
  <c r="R236" i="1"/>
  <c r="R59" i="1"/>
  <c r="R18" i="15"/>
  <c r="AZ69" i="1"/>
  <c r="AZ78" i="1" s="1"/>
  <c r="O81" i="1"/>
  <c r="O77" i="1"/>
  <c r="O83" i="1"/>
  <c r="O102" i="1"/>
  <c r="O350" i="1"/>
  <c r="O429" i="1" s="1"/>
  <c r="O84" i="1"/>
  <c r="O82" i="1"/>
  <c r="O879" i="1"/>
  <c r="P634" i="1"/>
  <c r="T354" i="1"/>
  <c r="M19" i="15"/>
  <c r="M434" i="1"/>
  <c r="M449" i="1"/>
  <c r="O22" i="15"/>
  <c r="R97" i="1"/>
  <c r="M675" i="1"/>
  <c r="M674" i="1" s="1"/>
  <c r="M602" i="1" s="1"/>
  <c r="M765" i="1"/>
  <c r="M21" i="15" s="1"/>
  <c r="M696" i="1"/>
  <c r="M698" i="1"/>
  <c r="O642" i="1"/>
  <c r="O86" i="1" l="1"/>
  <c r="R33" i="1"/>
  <c r="Q33" i="1"/>
  <c r="L349" i="1"/>
  <c r="L427" i="1" s="1"/>
  <c r="L535" i="1"/>
  <c r="P520" i="1"/>
  <c r="P529" i="1"/>
  <c r="P531" i="1"/>
  <c r="R427" i="1"/>
  <c r="R526" i="1"/>
  <c r="Q427" i="1"/>
  <c r="Q526" i="1"/>
  <c r="R409" i="1"/>
  <c r="R401" i="1"/>
  <c r="R420" i="1"/>
  <c r="R418" i="1"/>
  <c r="R424" i="1"/>
  <c r="R417" i="1"/>
  <c r="R419" i="1"/>
  <c r="R421" i="1"/>
  <c r="R423" i="1"/>
  <c r="R422" i="1"/>
  <c r="R414" i="1"/>
  <c r="R407" i="1"/>
  <c r="R408" i="1"/>
  <c r="Q401" i="1"/>
  <c r="Q409" i="1"/>
  <c r="Q417" i="1"/>
  <c r="Q418" i="1"/>
  <c r="Q419" i="1"/>
  <c r="Q420" i="1"/>
  <c r="Q421" i="1"/>
  <c r="Q422" i="1"/>
  <c r="Q423" i="1"/>
  <c r="Q424" i="1"/>
  <c r="Q414" i="1"/>
  <c r="Q407" i="1"/>
  <c r="Q408" i="1"/>
  <c r="P481" i="1"/>
  <c r="R41" i="1"/>
  <c r="Q41" i="1"/>
  <c r="BS500" i="1"/>
  <c r="P784" i="1"/>
  <c r="R101" i="1"/>
  <c r="P642" i="1"/>
  <c r="O802" i="1"/>
  <c r="P501" i="1"/>
  <c r="R67" i="1"/>
  <c r="R81" i="1" s="1"/>
  <c r="P879" i="1"/>
  <c r="Q634" i="1"/>
  <c r="O433" i="1"/>
  <c r="O354" i="1"/>
  <c r="P500" i="1"/>
  <c r="N765" i="1"/>
  <c r="N696" i="1"/>
  <c r="N698" i="1"/>
  <c r="BB504" i="1"/>
  <c r="R477" i="1"/>
  <c r="R767" i="1"/>
  <c r="R479" i="1"/>
  <c r="R480" i="1"/>
  <c r="R478" i="1"/>
  <c r="O24" i="15"/>
  <c r="O692" i="1"/>
  <c r="O685" i="1"/>
  <c r="O684" i="1"/>
  <c r="P683" i="1"/>
  <c r="P792" i="1"/>
  <c r="P554" i="1"/>
  <c r="Q479" i="1"/>
  <c r="Q480" i="1"/>
  <c r="Q767" i="1"/>
  <c r="Q478" i="1"/>
  <c r="Q477" i="1"/>
  <c r="M504" i="1"/>
  <c r="M113" i="15"/>
  <c r="M114" i="15" s="1"/>
  <c r="P793" i="1"/>
  <c r="P711" i="1"/>
  <c r="Q711" i="1" s="1"/>
  <c r="R711" i="1" s="1"/>
  <c r="R605" i="1"/>
  <c r="R344" i="1"/>
  <c r="R404" i="1" s="1"/>
  <c r="R687" i="1"/>
  <c r="R345" i="1"/>
  <c r="R405" i="1" s="1"/>
  <c r="R497" i="1"/>
  <c r="R446" i="1"/>
  <c r="R693" i="1"/>
  <c r="R125" i="15"/>
  <c r="R126" i="15" s="1"/>
  <c r="R124" i="15" s="1"/>
  <c r="R373" i="1"/>
  <c r="R620" i="1"/>
  <c r="R689" i="1"/>
  <c r="R617" i="1"/>
  <c r="N674" i="1"/>
  <c r="P85" i="1"/>
  <c r="P77" i="1"/>
  <c r="P84" i="1"/>
  <c r="P102" i="1"/>
  <c r="P81" i="1"/>
  <c r="P82" i="1"/>
  <c r="P83" i="1"/>
  <c r="P350" i="1"/>
  <c r="P429" i="1" s="1"/>
  <c r="P710" i="1"/>
  <c r="O701" i="1"/>
  <c r="O697" i="1" s="1"/>
  <c r="Q67" i="1"/>
  <c r="Q101" i="1"/>
  <c r="Q617" i="1"/>
  <c r="Q689" i="1"/>
  <c r="Q344" i="1"/>
  <c r="Q404" i="1" s="1"/>
  <c r="Q125" i="15"/>
  <c r="Q126" i="15" s="1"/>
  <c r="Q124" i="15" s="1"/>
  <c r="Q620" i="1"/>
  <c r="Q373" i="1"/>
  <c r="Q446" i="1"/>
  <c r="Q687" i="1"/>
  <c r="Q497" i="1"/>
  <c r="Q693" i="1"/>
  <c r="Q605" i="1"/>
  <c r="Q345" i="1"/>
  <c r="Q405" i="1" s="1"/>
  <c r="P22" i="15"/>
  <c r="O677" i="1"/>
  <c r="P86" i="1" l="1"/>
  <c r="Q520" i="1"/>
  <c r="Q529" i="1"/>
  <c r="Q531" i="1"/>
  <c r="R520" i="1"/>
  <c r="R529" i="1"/>
  <c r="R531" i="1"/>
  <c r="BB349" i="1"/>
  <c r="BB427" i="1" s="1"/>
  <c r="BB535" i="1"/>
  <c r="M349" i="1"/>
  <c r="M427" i="1" s="1"/>
  <c r="M535" i="1"/>
  <c r="P524" i="1"/>
  <c r="BT500" i="1"/>
  <c r="P523" i="1"/>
  <c r="R481" i="1"/>
  <c r="Q481" i="1"/>
  <c r="N21" i="15"/>
  <c r="N113" i="15" s="1"/>
  <c r="N114" i="15" s="1"/>
  <c r="BT683" i="1"/>
  <c r="R85" i="1"/>
  <c r="Q501" i="1"/>
  <c r="R83" i="1"/>
  <c r="R82" i="1"/>
  <c r="R84" i="1"/>
  <c r="R350" i="1"/>
  <c r="R77" i="1"/>
  <c r="R501" i="1"/>
  <c r="P677" i="1"/>
  <c r="Q784" i="1"/>
  <c r="Q712" i="1"/>
  <c r="R712" i="1" s="1"/>
  <c r="Q793" i="1"/>
  <c r="Q81" i="1"/>
  <c r="Q350" i="1"/>
  <c r="Q429" i="1" s="1"/>
  <c r="Q84" i="1"/>
  <c r="Q83" i="1"/>
  <c r="Q77" i="1"/>
  <c r="Q102" i="1"/>
  <c r="Q82" i="1"/>
  <c r="P802" i="1"/>
  <c r="R22" i="15"/>
  <c r="R792" i="1"/>
  <c r="R683" i="1"/>
  <c r="Q22" i="15"/>
  <c r="P692" i="1"/>
  <c r="P24" i="15"/>
  <c r="P685" i="1"/>
  <c r="P684" i="1"/>
  <c r="Q879" i="1"/>
  <c r="R634" i="1"/>
  <c r="R879" i="1" s="1"/>
  <c r="Q554" i="1"/>
  <c r="Q500" i="1"/>
  <c r="Q523" i="1" s="1"/>
  <c r="O696" i="1"/>
  <c r="O698" i="1"/>
  <c r="O765" i="1"/>
  <c r="O21" i="15" s="1"/>
  <c r="R784" i="1"/>
  <c r="R500" i="1"/>
  <c r="R523" i="1" s="1"/>
  <c r="R102" i="1"/>
  <c r="BC504" i="1"/>
  <c r="N504" i="1"/>
  <c r="N535" i="1" s="1"/>
  <c r="O449" i="1"/>
  <c r="O19" i="15"/>
  <c r="O434" i="1"/>
  <c r="Q683" i="1"/>
  <c r="Q792" i="1"/>
  <c r="Q85" i="1"/>
  <c r="Q710" i="1"/>
  <c r="P701" i="1"/>
  <c r="P697" i="1" s="1"/>
  <c r="P433" i="1"/>
  <c r="P354" i="1"/>
  <c r="N602" i="1"/>
  <c r="R713" i="1"/>
  <c r="R793" i="1"/>
  <c r="R554" i="1"/>
  <c r="Q642" i="1"/>
  <c r="R642" i="1" s="1"/>
  <c r="O675" i="1"/>
  <c r="O674" i="1" s="1"/>
  <c r="R86" i="1" l="1"/>
  <c r="Q86" i="1"/>
  <c r="BC349" i="1"/>
  <c r="BC427" i="1" s="1"/>
  <c r="BC535" i="1"/>
  <c r="Q524" i="1"/>
  <c r="R524" i="1"/>
  <c r="R354" i="1"/>
  <c r="R19" i="15" s="1"/>
  <c r="R429" i="1"/>
  <c r="BV500" i="1"/>
  <c r="BV683" i="1"/>
  <c r="BU500" i="1"/>
  <c r="BU683" i="1"/>
  <c r="Q802" i="1"/>
  <c r="R433" i="1"/>
  <c r="Q677" i="1"/>
  <c r="R677" i="1" s="1"/>
  <c r="O602" i="1"/>
  <c r="R802" i="1"/>
  <c r="BD504" i="1"/>
  <c r="BD535" i="1" s="1"/>
  <c r="P19" i="15"/>
  <c r="P449" i="1"/>
  <c r="P434" i="1"/>
  <c r="P675" i="1"/>
  <c r="P674" i="1" s="1"/>
  <c r="P696" i="1"/>
  <c r="P698" i="1"/>
  <c r="P765" i="1"/>
  <c r="P21" i="15" s="1"/>
  <c r="O504" i="1"/>
  <c r="O535" i="1" s="1"/>
  <c r="O113" i="15"/>
  <c r="O114" i="15" s="1"/>
  <c r="Q354" i="1"/>
  <c r="Q433" i="1"/>
  <c r="Q701" i="1"/>
  <c r="Q697" i="1" s="1"/>
  <c r="R710" i="1"/>
  <c r="R701" i="1" s="1"/>
  <c r="R697" i="1" s="1"/>
  <c r="Q24" i="15"/>
  <c r="Q684" i="1"/>
  <c r="Q692" i="1"/>
  <c r="Q685" i="1"/>
  <c r="R684" i="1"/>
  <c r="R685" i="1"/>
  <c r="R24" i="15"/>
  <c r="R692" i="1"/>
  <c r="R434" i="1" l="1"/>
  <c r="BD349" i="1"/>
  <c r="BD427" i="1" s="1"/>
  <c r="P602" i="1"/>
  <c r="BE504" i="1"/>
  <c r="BE535" i="1" s="1"/>
  <c r="R675" i="1"/>
  <c r="R698" i="1"/>
  <c r="R765" i="1"/>
  <c r="P113" i="15"/>
  <c r="P114" i="15" s="1"/>
  <c r="P504" i="1"/>
  <c r="P535" i="1" s="1"/>
  <c r="Q675" i="1"/>
  <c r="Q674" i="1" s="1"/>
  <c r="Q698" i="1"/>
  <c r="Q765" i="1"/>
  <c r="Q21" i="15" s="1"/>
  <c r="Q696" i="1"/>
  <c r="R696" i="1" s="1"/>
  <c r="Q19" i="15"/>
  <c r="Q449" i="1"/>
  <c r="Q434" i="1"/>
  <c r="R449" i="1"/>
  <c r="R21" i="15" l="1"/>
  <c r="R113" i="15" s="1"/>
  <c r="R114" i="15" s="1"/>
  <c r="Q602" i="1"/>
  <c r="R674" i="1"/>
  <c r="R602" i="1" s="1"/>
  <c r="Q113" i="15"/>
  <c r="Q114" i="15" s="1"/>
  <c r="Q504" i="1"/>
  <c r="Q535" i="1" s="1"/>
  <c r="R504" i="1"/>
  <c r="R535" i="1" s="1"/>
  <c r="BA571" i="1" l="1"/>
  <c r="BA570" i="1"/>
  <c r="BA356" i="1" s="1"/>
  <c r="BA412" i="1" s="1"/>
  <c r="BO511" i="1" l="1"/>
  <c r="AY182" i="1" l="1"/>
  <c r="AY181" i="1" l="1"/>
  <c r="AY192" i="1"/>
  <c r="AY186" i="1"/>
  <c r="AY184" i="1" l="1"/>
  <c r="BD179" i="1" l="1"/>
  <c r="BD197" i="1"/>
  <c r="BD190" i="1"/>
  <c r="BD177" i="1"/>
  <c r="AZ190" i="1"/>
  <c r="AZ197" i="1"/>
  <c r="BB190" i="1"/>
  <c r="BB179" i="1"/>
  <c r="BB177" i="1"/>
  <c r="BB197" i="1"/>
  <c r="BC190" i="1"/>
  <c r="BC179" i="1"/>
  <c r="BC197" i="1"/>
  <c r="BA179" i="1"/>
  <c r="BA190" i="1"/>
  <c r="BA197" i="1"/>
  <c r="BE197" i="1"/>
  <c r="BE190" i="1"/>
  <c r="BE179" i="1"/>
  <c r="AZ182" i="1"/>
  <c r="BA182" i="1"/>
  <c r="BA188" i="1"/>
  <c r="BC194" i="1" l="1"/>
  <c r="BP169" i="1"/>
  <c r="BP168" i="1" s="1"/>
  <c r="BE186" i="1"/>
  <c r="BA181" i="1"/>
  <c r="AZ181" i="1"/>
  <c r="BE192" i="1"/>
  <c r="BA177" i="1"/>
  <c r="BD194" i="1"/>
  <c r="AZ188" i="1"/>
  <c r="BC192" i="1"/>
  <c r="BB188" i="1"/>
  <c r="BB186" i="1"/>
  <c r="BE194" i="1"/>
  <c r="BA192" i="1"/>
  <c r="BD188" i="1"/>
  <c r="BC186" i="1"/>
  <c r="BB192" i="1"/>
  <c r="BA186" i="1"/>
  <c r="AZ186" i="1"/>
  <c r="BE177" i="1"/>
  <c r="BA194" i="1"/>
  <c r="BD186" i="1"/>
  <c r="BD192" i="1"/>
  <c r="AZ194" i="1"/>
  <c r="BC177" i="1"/>
  <c r="BC188" i="1"/>
  <c r="BO169" i="1"/>
  <c r="BO168" i="1" s="1"/>
  <c r="BE188" i="1"/>
  <c r="AZ192" i="1"/>
  <c r="BB194" i="1"/>
  <c r="AZ184" i="1" l="1"/>
  <c r="BA184" i="1"/>
  <c r="K337" i="1" l="1"/>
  <c r="L337" i="1"/>
  <c r="L614" i="1" s="1"/>
  <c r="M337" i="1"/>
  <c r="N337" i="1"/>
  <c r="N498" i="1" s="1"/>
  <c r="O337" i="1"/>
  <c r="P337" i="1"/>
  <c r="P599" i="1" s="1"/>
  <c r="Q337" i="1"/>
  <c r="Q615" i="1" s="1"/>
  <c r="R337" i="1"/>
  <c r="R614" i="1" s="1"/>
  <c r="BB337" i="1"/>
  <c r="BC337" i="1"/>
  <c r="BC402" i="1" s="1"/>
  <c r="BD337" i="1"/>
  <c r="N338" i="1"/>
  <c r="P615" i="1" l="1"/>
  <c r="N611" i="1"/>
  <c r="N660" i="1" s="1"/>
  <c r="L599" i="1"/>
  <c r="L615" i="1"/>
  <c r="L498" i="1"/>
  <c r="L521" i="1" s="1"/>
  <c r="P611" i="1"/>
  <c r="P660" i="1" s="1"/>
  <c r="P614" i="1"/>
  <c r="L611" i="1"/>
  <c r="L660" i="1" s="1"/>
  <c r="BC338" i="1"/>
  <c r="BC403" i="1" s="1"/>
  <c r="N499" i="1"/>
  <c r="N522" i="1" s="1"/>
  <c r="N521" i="1"/>
  <c r="R615" i="1"/>
  <c r="N599" i="1"/>
  <c r="N614" i="1"/>
  <c r="M615" i="1"/>
  <c r="BC498" i="1"/>
  <c r="M614" i="1"/>
  <c r="M611" i="1"/>
  <c r="M660" i="1" s="1"/>
  <c r="M599" i="1"/>
  <c r="BB338" i="1"/>
  <c r="BB403" i="1" s="1"/>
  <c r="BB402" i="1"/>
  <c r="O338" i="1"/>
  <c r="O403" i="1" s="1"/>
  <c r="O402" i="1"/>
  <c r="P338" i="1"/>
  <c r="P403" i="1" s="1"/>
  <c r="P402" i="1"/>
  <c r="L338" i="1"/>
  <c r="L432" i="1" s="1"/>
  <c r="L402" i="1"/>
  <c r="N346" i="1"/>
  <c r="N347" i="1" s="1"/>
  <c r="N403" i="1"/>
  <c r="R338" i="1"/>
  <c r="R432" i="1" s="1"/>
  <c r="R402" i="1"/>
  <c r="N615" i="1"/>
  <c r="N402" i="1"/>
  <c r="K338" i="1"/>
  <c r="K432" i="1" s="1"/>
  <c r="K402" i="1"/>
  <c r="BD498" i="1"/>
  <c r="BD402" i="1"/>
  <c r="Q611" i="1"/>
  <c r="Q660" i="1" s="1"/>
  <c r="Q402" i="1"/>
  <c r="M498" i="1"/>
  <c r="M402" i="1"/>
  <c r="P498" i="1"/>
  <c r="P521" i="1" s="1"/>
  <c r="R611" i="1"/>
  <c r="R660" i="1" s="1"/>
  <c r="R498" i="1"/>
  <c r="R521" i="1" s="1"/>
  <c r="R599" i="1"/>
  <c r="Q614" i="1"/>
  <c r="R781" i="1" s="1"/>
  <c r="Q599" i="1"/>
  <c r="BD338" i="1"/>
  <c r="BD403" i="1" s="1"/>
  <c r="Q338" i="1"/>
  <c r="Q498" i="1"/>
  <c r="N432" i="1"/>
  <c r="M338" i="1"/>
  <c r="BB498" i="1"/>
  <c r="BA337" i="1"/>
  <c r="BA402" i="1" s="1"/>
  <c r="BE337" i="1"/>
  <c r="O615" i="1"/>
  <c r="K615" i="1"/>
  <c r="O614" i="1"/>
  <c r="K614" i="1"/>
  <c r="K781" i="1" s="1"/>
  <c r="O611" i="1"/>
  <c r="K611" i="1"/>
  <c r="O599" i="1"/>
  <c r="K599" i="1"/>
  <c r="O498" i="1"/>
  <c r="O521" i="1" s="1"/>
  <c r="K498" i="1"/>
  <c r="K521" i="1" s="1"/>
  <c r="Q782" i="1" l="1"/>
  <c r="L817" i="1"/>
  <c r="M779" i="1"/>
  <c r="BC346" i="1"/>
  <c r="BC406" i="1" s="1"/>
  <c r="BC410" i="1" s="1"/>
  <c r="BC411" i="1" s="1"/>
  <c r="L499" i="1"/>
  <c r="BC447" i="1"/>
  <c r="K346" i="1"/>
  <c r="K406" i="1" s="1"/>
  <c r="K410" i="1" s="1"/>
  <c r="N396" i="1"/>
  <c r="BB447" i="1"/>
  <c r="N779" i="1"/>
  <c r="Q578" i="1"/>
  <c r="Q577" i="1" s="1"/>
  <c r="Q357" i="1" s="1"/>
  <c r="Q413" i="1" s="1"/>
  <c r="K447" i="1"/>
  <c r="L447" i="1"/>
  <c r="P432" i="1"/>
  <c r="BB432" i="1"/>
  <c r="O779" i="1"/>
  <c r="Q432" i="1"/>
  <c r="N539" i="1"/>
  <c r="N578" i="1"/>
  <c r="N577" i="1" s="1"/>
  <c r="N357" i="1" s="1"/>
  <c r="N413" i="1" s="1"/>
  <c r="M782" i="1"/>
  <c r="R779" i="1"/>
  <c r="BC432" i="1"/>
  <c r="BC439" i="1"/>
  <c r="R782" i="1"/>
  <c r="BA338" i="1"/>
  <c r="BA403" i="1" s="1"/>
  <c r="N781" i="1"/>
  <c r="M817" i="1"/>
  <c r="M823" i="1" s="1"/>
  <c r="O781" i="1"/>
  <c r="BB499" i="1"/>
  <c r="BB521" i="1"/>
  <c r="Q499" i="1"/>
  <c r="Q522" i="1" s="1"/>
  <c r="Q521" i="1"/>
  <c r="Q447" i="1"/>
  <c r="M521" i="1"/>
  <c r="BD499" i="1"/>
  <c r="BD539" i="1" s="1"/>
  <c r="BD521" i="1"/>
  <c r="BC499" i="1"/>
  <c r="BC521" i="1"/>
  <c r="P346" i="1"/>
  <c r="P406" i="1" s="1"/>
  <c r="P410" i="1" s="1"/>
  <c r="P411" i="1" s="1"/>
  <c r="BB346" i="1"/>
  <c r="BB406" i="1" s="1"/>
  <c r="BB410" i="1" s="1"/>
  <c r="BB411" i="1" s="1"/>
  <c r="N782" i="1"/>
  <c r="R578" i="1"/>
  <c r="R577" i="1" s="1"/>
  <c r="R357" i="1" s="1"/>
  <c r="R413" i="1" s="1"/>
  <c r="R447" i="1"/>
  <c r="O432" i="1"/>
  <c r="P447" i="1"/>
  <c r="R817" i="1"/>
  <c r="R823" i="1" s="1"/>
  <c r="N817" i="1"/>
  <c r="N823" i="1" s="1"/>
  <c r="M781" i="1"/>
  <c r="O346" i="1"/>
  <c r="O406" i="1" s="1"/>
  <c r="O410" i="1" s="1"/>
  <c r="O411" i="1" s="1"/>
  <c r="M578" i="1"/>
  <c r="M577" i="1" s="1"/>
  <c r="M357" i="1" s="1"/>
  <c r="M413" i="1" s="1"/>
  <c r="BE498" i="1"/>
  <c r="BE402" i="1"/>
  <c r="Q817" i="1"/>
  <c r="Q823" i="1" s="1"/>
  <c r="Q781" i="1"/>
  <c r="M499" i="1"/>
  <c r="M522" i="1" s="1"/>
  <c r="O447" i="1"/>
  <c r="R346" i="1"/>
  <c r="R403" i="1"/>
  <c r="L403" i="1"/>
  <c r="BD439" i="1"/>
  <c r="Q346" i="1"/>
  <c r="Q403" i="1"/>
  <c r="N406" i="1"/>
  <c r="N410" i="1" s="1"/>
  <c r="N411" i="1" s="1"/>
  <c r="N502" i="1"/>
  <c r="N447" i="1"/>
  <c r="M403" i="1"/>
  <c r="L346" i="1"/>
  <c r="L406" i="1" s="1"/>
  <c r="L410" i="1" s="1"/>
  <c r="Q779" i="1"/>
  <c r="K403" i="1"/>
  <c r="M447" i="1"/>
  <c r="L781" i="1"/>
  <c r="P499" i="1"/>
  <c r="M346" i="1"/>
  <c r="R499" i="1"/>
  <c r="R522" i="1" s="1"/>
  <c r="M432" i="1"/>
  <c r="T338" i="1"/>
  <c r="P781" i="1"/>
  <c r="BD447" i="1"/>
  <c r="BD346" i="1"/>
  <c r="BD432" i="1"/>
  <c r="BE393" i="1"/>
  <c r="P779" i="1"/>
  <c r="BE338" i="1"/>
  <c r="BE403" i="1" s="1"/>
  <c r="O499" i="1"/>
  <c r="O522" i="1" s="1"/>
  <c r="O660" i="1"/>
  <c r="O817" i="1"/>
  <c r="O823" i="1" s="1"/>
  <c r="O782" i="1"/>
  <c r="BA393" i="1"/>
  <c r="BA498" i="1"/>
  <c r="BA521" i="1" s="1"/>
  <c r="P782" i="1"/>
  <c r="P817" i="1"/>
  <c r="P823" i="1" s="1"/>
  <c r="L779" i="1"/>
  <c r="K779" i="1"/>
  <c r="K499" i="1"/>
  <c r="K522" i="1" s="1"/>
  <c r="K660" i="1"/>
  <c r="K817" i="1"/>
  <c r="L782" i="1"/>
  <c r="K782" i="1"/>
  <c r="L823" i="1" l="1"/>
  <c r="K347" i="1"/>
  <c r="BB347" i="1"/>
  <c r="Q664" i="1"/>
  <c r="Q666" i="1" s="1"/>
  <c r="BC347" i="1"/>
  <c r="R664" i="1"/>
  <c r="R665" i="1" s="1"/>
  <c r="N664" i="1"/>
  <c r="N666" i="1" s="1"/>
  <c r="BC502" i="1"/>
  <c r="BC525" i="1" s="1"/>
  <c r="BC527" i="1" s="1"/>
  <c r="BC396" i="1"/>
  <c r="L539" i="1"/>
  <c r="O396" i="1"/>
  <c r="L396" i="1"/>
  <c r="O347" i="1"/>
  <c r="L522" i="1"/>
  <c r="O502" i="1"/>
  <c r="O428" i="1" s="1"/>
  <c r="BA346" i="1"/>
  <c r="BA406" i="1" s="1"/>
  <c r="BA410" i="1" s="1"/>
  <c r="BA411" i="1" s="1"/>
  <c r="K396" i="1"/>
  <c r="K502" i="1"/>
  <c r="BA439" i="1"/>
  <c r="K411" i="1"/>
  <c r="BA432" i="1"/>
  <c r="BB439" i="1"/>
  <c r="BB502" i="1"/>
  <c r="BB525" i="1" s="1"/>
  <c r="BB527" i="1" s="1"/>
  <c r="BA447" i="1"/>
  <c r="BB396" i="1"/>
  <c r="Q539" i="1"/>
  <c r="M664" i="1"/>
  <c r="M665" i="1" s="1"/>
  <c r="P502" i="1"/>
  <c r="P428" i="1" s="1"/>
  <c r="P347" i="1"/>
  <c r="BE447" i="1"/>
  <c r="BE432" i="1"/>
  <c r="P396" i="1"/>
  <c r="BC522" i="1"/>
  <c r="BC555" i="1"/>
  <c r="BC539" i="1"/>
  <c r="BC547" i="1"/>
  <c r="Q555" i="1"/>
  <c r="P522" i="1"/>
  <c r="BE499" i="1"/>
  <c r="BE521" i="1"/>
  <c r="N428" i="1"/>
  <c r="N525" i="1"/>
  <c r="BD555" i="1"/>
  <c r="BD522" i="1"/>
  <c r="BD547" i="1"/>
  <c r="BB539" i="1"/>
  <c r="BB522" i="1"/>
  <c r="BB555" i="1"/>
  <c r="BE439" i="1"/>
  <c r="L502" i="1"/>
  <c r="L411" i="1"/>
  <c r="R502" i="1"/>
  <c r="R525" i="1" s="1"/>
  <c r="R406" i="1"/>
  <c r="R410" i="1" s="1"/>
  <c r="R411" i="1" s="1"/>
  <c r="R396" i="1"/>
  <c r="R347" i="1"/>
  <c r="L347" i="1"/>
  <c r="N503" i="1"/>
  <c r="N534" i="1" s="1"/>
  <c r="M539" i="1"/>
  <c r="M555" i="1"/>
  <c r="N555" i="1"/>
  <c r="BE346" i="1"/>
  <c r="BE502" i="1" s="1"/>
  <c r="BE525" i="1" s="1"/>
  <c r="BE527" i="1" s="1"/>
  <c r="BD406" i="1"/>
  <c r="BD410" i="1" s="1"/>
  <c r="BD411" i="1" s="1"/>
  <c r="M502" i="1"/>
  <c r="M406" i="1"/>
  <c r="M410" i="1" s="1"/>
  <c r="M411" i="1" s="1"/>
  <c r="Q406" i="1"/>
  <c r="Q410" i="1" s="1"/>
  <c r="Q411" i="1" s="1"/>
  <c r="Q347" i="1"/>
  <c r="Q396" i="1"/>
  <c r="Q502" i="1"/>
  <c r="P539" i="1"/>
  <c r="R555" i="1"/>
  <c r="R539" i="1"/>
  <c r="M396" i="1"/>
  <c r="M347" i="1"/>
  <c r="T347" i="1" s="1"/>
  <c r="BD502" i="1"/>
  <c r="BD525" i="1" s="1"/>
  <c r="BD527" i="1" s="1"/>
  <c r="BD396" i="1"/>
  <c r="BD347" i="1"/>
  <c r="BA499" i="1"/>
  <c r="BA522" i="1" s="1"/>
  <c r="P578" i="1"/>
  <c r="P577" i="1" s="1"/>
  <c r="P357" i="1" s="1"/>
  <c r="P413" i="1" s="1"/>
  <c r="O578" i="1"/>
  <c r="O577" i="1" s="1"/>
  <c r="O357" i="1" s="1"/>
  <c r="O413" i="1" s="1"/>
  <c r="O539" i="1"/>
  <c r="O555" i="1"/>
  <c r="P555" i="1"/>
  <c r="K823" i="1"/>
  <c r="L578" i="1"/>
  <c r="L577" i="1" s="1"/>
  <c r="K578" i="1"/>
  <c r="K577" i="1" s="1"/>
  <c r="K555" i="1"/>
  <c r="K539" i="1"/>
  <c r="L555" i="1"/>
  <c r="Q665" i="1"/>
  <c r="K525" i="1" l="1"/>
  <c r="K527" i="1" s="1"/>
  <c r="R666" i="1"/>
  <c r="K503" i="1"/>
  <c r="K534" i="1" s="1"/>
  <c r="BC428" i="1"/>
  <c r="BC528" i="1"/>
  <c r="BC503" i="1"/>
  <c r="BC505" i="1" s="1"/>
  <c r="K428" i="1"/>
  <c r="N665" i="1"/>
  <c r="BB528" i="1"/>
  <c r="O503" i="1"/>
  <c r="O534" i="1" s="1"/>
  <c r="O525" i="1"/>
  <c r="O528" i="1" s="1"/>
  <c r="BA396" i="1"/>
  <c r="BA502" i="1"/>
  <c r="BA347" i="1"/>
  <c r="BA350" i="1" s="1"/>
  <c r="BA429" i="1" s="1"/>
  <c r="M666" i="1"/>
  <c r="L503" i="1"/>
  <c r="L534" i="1" s="1"/>
  <c r="BB428" i="1"/>
  <c r="BB503" i="1"/>
  <c r="BB556" i="1" s="1"/>
  <c r="N528" i="1"/>
  <c r="N527" i="1"/>
  <c r="R528" i="1"/>
  <c r="R527" i="1"/>
  <c r="P525" i="1"/>
  <c r="P527" i="1" s="1"/>
  <c r="BC534" i="1"/>
  <c r="P503" i="1"/>
  <c r="M503" i="1"/>
  <c r="M505" i="1" s="1"/>
  <c r="M536" i="1" s="1"/>
  <c r="Q428" i="1"/>
  <c r="Q525" i="1"/>
  <c r="BD528" i="1"/>
  <c r="L428" i="1"/>
  <c r="L525" i="1"/>
  <c r="L527" i="1" s="1"/>
  <c r="BE522" i="1"/>
  <c r="BE528" i="1" s="1"/>
  <c r="BE539" i="1"/>
  <c r="BE547" i="1"/>
  <c r="M428" i="1"/>
  <c r="M525" i="1"/>
  <c r="M527" i="1" s="1"/>
  <c r="BE503" i="1"/>
  <c r="BE428" i="1"/>
  <c r="BE347" i="1"/>
  <c r="BE350" i="1" s="1"/>
  <c r="BE440" i="1" s="1"/>
  <c r="BD503" i="1"/>
  <c r="BD505" i="1" s="1"/>
  <c r="BD536" i="1" s="1"/>
  <c r="BD428" i="1"/>
  <c r="R503" i="1"/>
  <c r="R507" i="1" s="1"/>
  <c r="R428" i="1"/>
  <c r="Q503" i="1"/>
  <c r="BE396" i="1"/>
  <c r="BE406" i="1"/>
  <c r="BE410" i="1" s="1"/>
  <c r="BE411" i="1" s="1"/>
  <c r="N505" i="1"/>
  <c r="N536" i="1" s="1"/>
  <c r="N540" i="1"/>
  <c r="N507" i="1"/>
  <c r="BB577" i="1"/>
  <c r="L357" i="1"/>
  <c r="L413" i="1" s="1"/>
  <c r="O664" i="1"/>
  <c r="BA539" i="1"/>
  <c r="BA555" i="1"/>
  <c r="BA547" i="1"/>
  <c r="BB547" i="1"/>
  <c r="BE555" i="1"/>
  <c r="K357" i="1"/>
  <c r="K413" i="1" s="1"/>
  <c r="BA577" i="1"/>
  <c r="BA357" i="1" s="1"/>
  <c r="P664" i="1"/>
  <c r="K556" i="1"/>
  <c r="O540" i="1" l="1"/>
  <c r="BC507" i="1"/>
  <c r="BC541" i="1" s="1"/>
  <c r="O527" i="1"/>
  <c r="BC540" i="1"/>
  <c r="BC556" i="1"/>
  <c r="BA349" i="1"/>
  <c r="BA427" i="1" s="1"/>
  <c r="K507" i="1"/>
  <c r="K528" i="1" s="1"/>
  <c r="K540" i="1"/>
  <c r="K505" i="1"/>
  <c r="K536" i="1" s="1"/>
  <c r="T503" i="1"/>
  <c r="L556" i="1"/>
  <c r="O556" i="1"/>
  <c r="O507" i="1"/>
  <c r="O505" i="1"/>
  <c r="O536" i="1" s="1"/>
  <c r="BA525" i="1"/>
  <c r="BA527" i="1" s="1"/>
  <c r="BA354" i="1"/>
  <c r="BA434" i="1" s="1"/>
  <c r="BA448" i="1"/>
  <c r="BB440" i="1"/>
  <c r="BA433" i="1"/>
  <c r="BA440" i="1"/>
  <c r="BA503" i="1"/>
  <c r="BA534" i="1" s="1"/>
  <c r="BA428" i="1"/>
  <c r="BB540" i="1"/>
  <c r="BB507" i="1"/>
  <c r="BB557" i="1" s="1"/>
  <c r="P528" i="1"/>
  <c r="BC548" i="1"/>
  <c r="M556" i="1"/>
  <c r="L505" i="1"/>
  <c r="L536" i="1" s="1"/>
  <c r="L507" i="1"/>
  <c r="L528" i="1" s="1"/>
  <c r="L540" i="1"/>
  <c r="BB534" i="1"/>
  <c r="BB505" i="1"/>
  <c r="BC550" i="1" s="1"/>
  <c r="Q528" i="1"/>
  <c r="Q527" i="1"/>
  <c r="Q556" i="1"/>
  <c r="Q534" i="1"/>
  <c r="BD548" i="1"/>
  <c r="BD534" i="1"/>
  <c r="N556" i="1"/>
  <c r="M534" i="1"/>
  <c r="P505" i="1"/>
  <c r="P536" i="1" s="1"/>
  <c r="P534" i="1"/>
  <c r="BE507" i="1"/>
  <c r="BE69" i="1" s="1"/>
  <c r="BE78" i="1" s="1"/>
  <c r="BE534" i="1"/>
  <c r="BC542" i="1"/>
  <c r="BC536" i="1"/>
  <c r="R505" i="1"/>
  <c r="R536" i="1" s="1"/>
  <c r="R534" i="1"/>
  <c r="BC558" i="1"/>
  <c r="P540" i="1"/>
  <c r="M540" i="1"/>
  <c r="BD556" i="1"/>
  <c r="P556" i="1"/>
  <c r="P507" i="1"/>
  <c r="P69" i="1" s="1"/>
  <c r="P78" i="1" s="1"/>
  <c r="BD540" i="1"/>
  <c r="M507" i="1"/>
  <c r="M528" i="1" s="1"/>
  <c r="BD507" i="1"/>
  <c r="R540" i="1"/>
  <c r="BE448" i="1"/>
  <c r="BE540" i="1"/>
  <c r="BE354" i="1"/>
  <c r="BE505" i="1"/>
  <c r="BE548" i="1"/>
  <c r="BE349" i="1"/>
  <c r="BE427" i="1" s="1"/>
  <c r="BE429" i="1"/>
  <c r="BE433" i="1"/>
  <c r="R556" i="1"/>
  <c r="N117" i="15"/>
  <c r="N118" i="15" s="1"/>
  <c r="N542" i="1"/>
  <c r="BA413" i="1"/>
  <c r="N69" i="1"/>
  <c r="N78" i="1" s="1"/>
  <c r="Q507" i="1"/>
  <c r="Q505" i="1"/>
  <c r="Q540" i="1"/>
  <c r="R69" i="1"/>
  <c r="R78" i="1" s="1"/>
  <c r="R117" i="15"/>
  <c r="R118" i="15" s="1"/>
  <c r="BD542" i="1"/>
  <c r="BD550" i="1"/>
  <c r="BD558" i="1"/>
  <c r="T505" i="1"/>
  <c r="N558" i="1"/>
  <c r="M542" i="1"/>
  <c r="M117" i="15"/>
  <c r="M118" i="15" s="1"/>
  <c r="P665" i="1"/>
  <c r="P666" i="1"/>
  <c r="O666" i="1"/>
  <c r="O665" i="1"/>
  <c r="L664" i="1"/>
  <c r="BC577" i="1"/>
  <c r="BB357" i="1"/>
  <c r="BB413" i="1" s="1"/>
  <c r="K664" i="1"/>
  <c r="K359" i="1"/>
  <c r="K415" i="1" s="1"/>
  <c r="BE549" i="1" l="1"/>
  <c r="BC69" i="1"/>
  <c r="BC78" i="1" s="1"/>
  <c r="BA528" i="1"/>
  <c r="BD549" i="1"/>
  <c r="BC557" i="1"/>
  <c r="K557" i="1"/>
  <c r="O117" i="15"/>
  <c r="O118" i="15" s="1"/>
  <c r="K542" i="1"/>
  <c r="BA441" i="1"/>
  <c r="K117" i="15"/>
  <c r="K118" i="15" s="1"/>
  <c r="BA359" i="1"/>
  <c r="BA415" i="1" s="1"/>
  <c r="O69" i="1"/>
  <c r="O78" i="1" s="1"/>
  <c r="L117" i="15"/>
  <c r="L118" i="15" s="1"/>
  <c r="L558" i="1"/>
  <c r="K558" i="1"/>
  <c r="L542" i="1"/>
  <c r="O558" i="1"/>
  <c r="O542" i="1"/>
  <c r="K541" i="1"/>
  <c r="K69" i="1"/>
  <c r="K78" i="1" s="1"/>
  <c r="M558" i="1"/>
  <c r="BA449" i="1"/>
  <c r="BB441" i="1"/>
  <c r="BB548" i="1"/>
  <c r="BA548" i="1"/>
  <c r="BE556" i="1"/>
  <c r="BA507" i="1"/>
  <c r="BA541" i="1" s="1"/>
  <c r="BA540" i="1"/>
  <c r="BA556" i="1"/>
  <c r="BA505" i="1"/>
  <c r="BA536" i="1" s="1"/>
  <c r="BC549" i="1"/>
  <c r="P117" i="15"/>
  <c r="P118" i="15" s="1"/>
  <c r="M557" i="1"/>
  <c r="M69" i="1"/>
  <c r="M78" i="1" s="1"/>
  <c r="T507" i="1"/>
  <c r="M541" i="1"/>
  <c r="BB69" i="1"/>
  <c r="BB78" i="1" s="1"/>
  <c r="BB541" i="1"/>
  <c r="L557" i="1"/>
  <c r="P558" i="1"/>
  <c r="BB536" i="1"/>
  <c r="BB542" i="1"/>
  <c r="BB558" i="1"/>
  <c r="P542" i="1"/>
  <c r="L69" i="1"/>
  <c r="L78" i="1" s="1"/>
  <c r="L541" i="1"/>
  <c r="BD541" i="1"/>
  <c r="R542" i="1"/>
  <c r="BE541" i="1"/>
  <c r="BD557" i="1"/>
  <c r="BD69" i="1"/>
  <c r="BD78" i="1" s="1"/>
  <c r="R558" i="1"/>
  <c r="Q536" i="1"/>
  <c r="BE542" i="1"/>
  <c r="BE536" i="1"/>
  <c r="BE441" i="1"/>
  <c r="BE434" i="1"/>
  <c r="BE550" i="1"/>
  <c r="BE449" i="1"/>
  <c r="Q542" i="1"/>
  <c r="Q117" i="15"/>
  <c r="Q118" i="15" s="1"/>
  <c r="Q69" i="1"/>
  <c r="Q78" i="1" s="1"/>
  <c r="Q558" i="1"/>
  <c r="BD577" i="1"/>
  <c r="BC357" i="1"/>
  <c r="BC413" i="1" s="1"/>
  <c r="K360" i="1"/>
  <c r="K416" i="1" s="1"/>
  <c r="L666" i="1"/>
  <c r="L665" i="1"/>
  <c r="K665" i="1"/>
  <c r="K666" i="1"/>
  <c r="BA69" i="1" l="1"/>
  <c r="BA78" i="1" s="1"/>
  <c r="BE558" i="1"/>
  <c r="BA542" i="1"/>
  <c r="BA558" i="1"/>
  <c r="BE557" i="1"/>
  <c r="BA557" i="1"/>
  <c r="BB549" i="1"/>
  <c r="BA549" i="1"/>
  <c r="BB550" i="1"/>
  <c r="BA550" i="1"/>
  <c r="K370" i="1"/>
  <c r="K425" i="1" s="1"/>
  <c r="K621" i="1"/>
  <c r="K398" i="1"/>
  <c r="BA360" i="1"/>
  <c r="BA416" i="1" s="1"/>
  <c r="K613" i="1"/>
  <c r="K20" i="15"/>
  <c r="BD357" i="1"/>
  <c r="BD413" i="1" s="1"/>
  <c r="BE577" i="1"/>
  <c r="BE357" i="1" s="1"/>
  <c r="BE413" i="1" s="1"/>
  <c r="K626" i="1" l="1"/>
  <c r="K772" i="1"/>
  <c r="BA398" i="1"/>
  <c r="BA397" i="1"/>
  <c r="BA370" i="1"/>
  <c r="BA425" i="1" s="1"/>
  <c r="K618" i="1"/>
  <c r="K780" i="1"/>
  <c r="K509" i="1"/>
  <c r="K530" i="1" s="1"/>
  <c r="K758" i="1"/>
  <c r="K470" i="1"/>
  <c r="K472" i="1" s="1"/>
  <c r="K375" i="1"/>
  <c r="K23" i="15" l="1"/>
  <c r="K25" i="15" s="1"/>
  <c r="BA375" i="1"/>
  <c r="BA509" i="1"/>
  <c r="BA530" i="1" s="1"/>
  <c r="K627" i="1"/>
  <c r="K640" i="1"/>
  <c r="K378" i="1"/>
  <c r="K785" i="1"/>
  <c r="K641" i="1" l="1"/>
  <c r="K643" i="1" s="1"/>
  <c r="K382" i="1"/>
  <c r="K451" i="1"/>
  <c r="K79" i="15"/>
  <c r="K381" i="1"/>
  <c r="K880" i="1"/>
  <c r="K882" i="1" s="1"/>
  <c r="K435" i="1"/>
  <c r="K511" i="1"/>
  <c r="K532" i="1" s="1"/>
  <c r="BA378" i="1"/>
  <c r="K26" i="15"/>
  <c r="K139" i="15"/>
  <c r="K138" i="15" s="1"/>
  <c r="K56" i="15"/>
  <c r="K57" i="15" s="1"/>
  <c r="K121" i="15"/>
  <c r="K122" i="15" s="1"/>
  <c r="K826" i="1"/>
  <c r="K883" i="1" l="1"/>
  <c r="L878" i="1" s="1"/>
  <c r="BO641" i="1"/>
  <c r="K661" i="1"/>
  <c r="K662" i="1" s="1"/>
  <c r="K670" i="1" s="1"/>
  <c r="K129" i="15"/>
  <c r="K130" i="15" s="1"/>
  <c r="K128" i="15" s="1"/>
  <c r="K828" i="1"/>
  <c r="BA451" i="1"/>
  <c r="BA382" i="1"/>
  <c r="BA435" i="1"/>
  <c r="BA511" i="1"/>
  <c r="BA532" i="1" s="1"/>
  <c r="BA381" i="1"/>
  <c r="BA443" i="1"/>
  <c r="K383" i="1"/>
  <c r="K81" i="15"/>
  <c r="K384" i="1"/>
  <c r="K515" i="1"/>
  <c r="K559" i="1"/>
  <c r="K514" i="1"/>
  <c r="K516" i="1" s="1"/>
  <c r="K543" i="1"/>
  <c r="K86" i="15"/>
  <c r="K80" i="15"/>
  <c r="I100" i="15"/>
  <c r="I99" i="15" s="1"/>
  <c r="K884" i="1" l="1"/>
  <c r="K93" i="15"/>
  <c r="I103" i="15"/>
  <c r="I102" i="15" s="1"/>
  <c r="K136" i="15"/>
  <c r="K87" i="15"/>
  <c r="K132" i="15"/>
  <c r="J513" i="1"/>
  <c r="K517" i="1"/>
  <c r="K88" i="15"/>
  <c r="BA384" i="1"/>
  <c r="L827" i="1"/>
  <c r="K594" i="1"/>
  <c r="K82" i="15"/>
  <c r="BA383" i="1"/>
  <c r="BA515" i="1"/>
  <c r="BA559" i="1"/>
  <c r="BA514" i="1"/>
  <c r="BA516" i="1" s="1"/>
  <c r="BA551" i="1"/>
  <c r="BA543" i="1"/>
  <c r="BA517" i="1" l="1"/>
  <c r="K94" i="15"/>
  <c r="K95" i="15"/>
  <c r="K96" i="15" s="1"/>
  <c r="K78" i="15"/>
  <c r="K83" i="15"/>
  <c r="K600" i="1"/>
  <c r="L571" i="1"/>
  <c r="K659" i="1"/>
  <c r="K663" i="1" s="1"/>
  <c r="K829" i="1"/>
  <c r="K89" i="15"/>
  <c r="BB571" i="1" l="1"/>
  <c r="L570" i="1"/>
  <c r="L356" i="1" s="1"/>
  <c r="K669" i="1"/>
  <c r="K609" i="1"/>
  <c r="K668" i="1"/>
  <c r="K92" i="15"/>
  <c r="K97" i="15"/>
  <c r="I106" i="15"/>
  <c r="I105" i="15" s="1"/>
  <c r="K85" i="15"/>
  <c r="K90" i="15"/>
  <c r="L412" i="1" l="1"/>
  <c r="BB570" i="1"/>
  <c r="BB356" i="1" s="1"/>
  <c r="BC571" i="1"/>
  <c r="L359" i="1"/>
  <c r="K645" i="1"/>
  <c r="BO609" i="1"/>
  <c r="K134" i="15"/>
  <c r="L415" i="1" l="1"/>
  <c r="BB359" i="1"/>
  <c r="BB412" i="1"/>
  <c r="L360" i="1"/>
  <c r="BC570" i="1"/>
  <c r="BC356" i="1" s="1"/>
  <c r="BD571" i="1"/>
  <c r="L398" i="1" l="1"/>
  <c r="BB360" i="1"/>
  <c r="BB415" i="1"/>
  <c r="BC359" i="1"/>
  <c r="BC412" i="1"/>
  <c r="L370" i="1"/>
  <c r="L509" i="1" s="1"/>
  <c r="L530" i="1" s="1"/>
  <c r="L416" i="1"/>
  <c r="L621" i="1"/>
  <c r="L772" i="1" s="1"/>
  <c r="L20" i="15"/>
  <c r="L613" i="1"/>
  <c r="L780" i="1" s="1"/>
  <c r="BD570" i="1"/>
  <c r="BE571" i="1"/>
  <c r="L618" i="1" l="1"/>
  <c r="L470" i="1"/>
  <c r="L472" i="1" s="1"/>
  <c r="L425" i="1"/>
  <c r="L758" i="1"/>
  <c r="BB398" i="1"/>
  <c r="BB416" i="1"/>
  <c r="L375" i="1"/>
  <c r="L378" i="1" s="1"/>
  <c r="BC360" i="1"/>
  <c r="BC415" i="1"/>
  <c r="BB370" i="1"/>
  <c r="L626" i="1"/>
  <c r="BD356" i="1"/>
  <c r="BE570" i="1"/>
  <c r="BE356" i="1" s="1"/>
  <c r="L23" i="15"/>
  <c r="L25" i="15" s="1"/>
  <c r="L627" i="1" l="1"/>
  <c r="L511" i="1"/>
  <c r="BC398" i="1"/>
  <c r="BC416" i="1"/>
  <c r="BC370" i="1"/>
  <c r="L435" i="1"/>
  <c r="BE359" i="1"/>
  <c r="BE415" i="1" s="1"/>
  <c r="BE412" i="1"/>
  <c r="L640" i="1"/>
  <c r="L641" i="1" s="1"/>
  <c r="BP641" i="1" s="1"/>
  <c r="L880" i="1"/>
  <c r="L381" i="1"/>
  <c r="L383" i="1" s="1"/>
  <c r="BD359" i="1"/>
  <c r="BD415" i="1" s="1"/>
  <c r="BD412" i="1"/>
  <c r="BB375" i="1"/>
  <c r="BB378" i="1" s="1"/>
  <c r="BB425" i="1"/>
  <c r="BB509" i="1"/>
  <c r="BB530" i="1" s="1"/>
  <c r="L79" i="15"/>
  <c r="L80" i="15" s="1"/>
  <c r="L451" i="1"/>
  <c r="L382" i="1"/>
  <c r="L785" i="1"/>
  <c r="L26" i="15"/>
  <c r="L56" i="15"/>
  <c r="L32" i="15"/>
  <c r="L121" i="15"/>
  <c r="L122" i="15" s="1"/>
  <c r="L139" i="15"/>
  <c r="L138" i="15" s="1"/>
  <c r="L882" i="1" l="1"/>
  <c r="L883" i="1" s="1"/>
  <c r="M878" i="1" s="1"/>
  <c r="J100" i="15"/>
  <c r="J99" i="15" s="1"/>
  <c r="L643" i="1"/>
  <c r="L532" i="1"/>
  <c r="L81" i="15"/>
  <c r="L543" i="1"/>
  <c r="L514" i="1"/>
  <c r="L516" i="1" s="1"/>
  <c r="L559" i="1"/>
  <c r="L86" i="15"/>
  <c r="L87" i="15" s="1"/>
  <c r="L515" i="1"/>
  <c r="L661" i="1"/>
  <c r="L662" i="1" s="1"/>
  <c r="L670" i="1" s="1"/>
  <c r="L129" i="15"/>
  <c r="L130" i="15" s="1"/>
  <c r="L128" i="15" s="1"/>
  <c r="BD360" i="1"/>
  <c r="BD416" i="1" s="1"/>
  <c r="L384" i="1"/>
  <c r="BB381" i="1"/>
  <c r="BB383" i="1" s="1"/>
  <c r="BB435" i="1"/>
  <c r="BB451" i="1"/>
  <c r="BB511" i="1"/>
  <c r="BB532" i="1" s="1"/>
  <c r="BB382" i="1"/>
  <c r="BB384" i="1" s="1"/>
  <c r="BB443" i="1"/>
  <c r="BC509" i="1"/>
  <c r="BC530" i="1" s="1"/>
  <c r="BC425" i="1"/>
  <c r="BC375" i="1"/>
  <c r="BC378" i="1" s="1"/>
  <c r="L826" i="1"/>
  <c r="L57" i="15"/>
  <c r="L59" i="15"/>
  <c r="BD370" i="1" l="1"/>
  <c r="BD425" i="1" s="1"/>
  <c r="L884" i="1"/>
  <c r="BE360" i="1"/>
  <c r="BE416" i="1" s="1"/>
  <c r="BD398" i="1"/>
  <c r="L136" i="15"/>
  <c r="J103" i="15"/>
  <c r="J102" i="15" s="1"/>
  <c r="L93" i="15"/>
  <c r="L95" i="15" s="1"/>
  <c r="L96" i="15" s="1"/>
  <c r="L132" i="15"/>
  <c r="L517" i="1"/>
  <c r="K513" i="1"/>
  <c r="L88" i="15"/>
  <c r="L89" i="15" s="1"/>
  <c r="L82" i="15"/>
  <c r="L78" i="15" s="1"/>
  <c r="L828" i="1"/>
  <c r="BC443" i="1"/>
  <c r="BC511" i="1"/>
  <c r="BC532" i="1" s="1"/>
  <c r="BC381" i="1"/>
  <c r="BC383" i="1" s="1"/>
  <c r="BC435" i="1"/>
  <c r="BC382" i="1"/>
  <c r="BC384" i="1" s="1"/>
  <c r="BC451" i="1"/>
  <c r="BB543" i="1"/>
  <c r="BB515" i="1"/>
  <c r="BB514" i="1"/>
  <c r="BB516" i="1" s="1"/>
  <c r="BB559" i="1"/>
  <c r="BB551" i="1"/>
  <c r="BD375" i="1" l="1"/>
  <c r="BD378" i="1" s="1"/>
  <c r="BD443" i="1" s="1"/>
  <c r="BD509" i="1"/>
  <c r="BD530" i="1" s="1"/>
  <c r="BE397" i="1"/>
  <c r="BE398" i="1"/>
  <c r="BE370" i="1"/>
  <c r="BE425" i="1" s="1"/>
  <c r="L94" i="15"/>
  <c r="L83" i="15"/>
  <c r="L594" i="1"/>
  <c r="M827" i="1"/>
  <c r="BB517" i="1"/>
  <c r="BC514" i="1"/>
  <c r="BC516" i="1" s="1"/>
  <c r="BC515" i="1"/>
  <c r="BC517" i="1" s="1"/>
  <c r="BC543" i="1"/>
  <c r="BC551" i="1"/>
  <c r="BC559" i="1"/>
  <c r="L85" i="15"/>
  <c r="L90" i="15"/>
  <c r="L92" i="15"/>
  <c r="L97" i="15"/>
  <c r="J106" i="15"/>
  <c r="J105" i="15" s="1"/>
  <c r="BD451" i="1" l="1"/>
  <c r="BD435" i="1"/>
  <c r="BD511" i="1"/>
  <c r="BP511" i="1" s="1"/>
  <c r="BD382" i="1"/>
  <c r="BD384" i="1" s="1"/>
  <c r="BD381" i="1"/>
  <c r="BD383" i="1" s="1"/>
  <c r="BE509" i="1"/>
  <c r="BE530" i="1" s="1"/>
  <c r="BE375" i="1"/>
  <c r="BE378" i="1" s="1"/>
  <c r="BE451" i="1" s="1"/>
  <c r="L659" i="1"/>
  <c r="L663" i="1" s="1"/>
  <c r="M571" i="1"/>
  <c r="M570" i="1" s="1"/>
  <c r="M356" i="1" s="1"/>
  <c r="L829" i="1"/>
  <c r="L600" i="1"/>
  <c r="BD551" i="1" l="1"/>
  <c r="BD515" i="1"/>
  <c r="BD517" i="1" s="1"/>
  <c r="BE511" i="1"/>
  <c r="BE532" i="1" s="1"/>
  <c r="BE435" i="1"/>
  <c r="BD543" i="1"/>
  <c r="BE382" i="1"/>
  <c r="BE384" i="1" s="1"/>
  <c r="BD514" i="1"/>
  <c r="BD516" i="1" s="1"/>
  <c r="BE443" i="1"/>
  <c r="BD559" i="1"/>
  <c r="BE381" i="1"/>
  <c r="BE383" i="1" s="1"/>
  <c r="BD532" i="1"/>
  <c r="L668" i="1"/>
  <c r="L609" i="1"/>
  <c r="M412" i="1"/>
  <c r="M359" i="1"/>
  <c r="L11" i="15"/>
  <c r="L12" i="15" s="1"/>
  <c r="L39" i="15"/>
  <c r="L61" i="15" s="1"/>
  <c r="L669" i="1"/>
  <c r="BE514" i="1" l="1"/>
  <c r="BE516" i="1" s="1"/>
  <c r="BE515" i="1"/>
  <c r="BE517" i="1" s="1"/>
  <c r="BE551" i="1"/>
  <c r="BE559" i="1"/>
  <c r="BE543" i="1"/>
  <c r="BP609" i="1"/>
  <c r="L134" i="15"/>
  <c r="L645" i="1"/>
  <c r="L116" i="15"/>
  <c r="Q108" i="15"/>
  <c r="I116" i="15"/>
  <c r="N108" i="15"/>
  <c r="R112" i="15"/>
  <c r="P108" i="15"/>
  <c r="O116" i="15"/>
  <c r="G112" i="15"/>
  <c r="I120" i="15"/>
  <c r="G108" i="15"/>
  <c r="R116" i="15"/>
  <c r="I112" i="15"/>
  <c r="R108" i="15"/>
  <c r="J116" i="15"/>
  <c r="H120" i="15"/>
  <c r="K108" i="15"/>
  <c r="J120" i="15"/>
  <c r="I108" i="15"/>
  <c r="M112" i="15"/>
  <c r="Q116" i="15"/>
  <c r="J112" i="15"/>
  <c r="H108" i="15"/>
  <c r="L112" i="15"/>
  <c r="L120" i="15"/>
  <c r="K116" i="15"/>
  <c r="G116" i="15"/>
  <c r="P112" i="15"/>
  <c r="N116" i="15"/>
  <c r="M108" i="15"/>
  <c r="Q112" i="15"/>
  <c r="J108" i="15"/>
  <c r="N112" i="15"/>
  <c r="L108" i="15"/>
  <c r="H116" i="15"/>
  <c r="K112" i="15"/>
  <c r="P116" i="15"/>
  <c r="G120" i="15"/>
  <c r="K120" i="15"/>
  <c r="M116" i="15"/>
  <c r="O108" i="15"/>
  <c r="O112" i="15"/>
  <c r="H112" i="15"/>
  <c r="M415" i="1"/>
  <c r="M360" i="1"/>
  <c r="M416" i="1" l="1"/>
  <c r="M613" i="1"/>
  <c r="M370" i="1"/>
  <c r="M621" i="1"/>
  <c r="M398" i="1"/>
  <c r="M20" i="15"/>
  <c r="M425" i="1" l="1"/>
  <c r="M758" i="1"/>
  <c r="M375" i="1"/>
  <c r="M509" i="1"/>
  <c r="M530" i="1" s="1"/>
  <c r="M470" i="1"/>
  <c r="M472" i="1" s="1"/>
  <c r="M618" i="1"/>
  <c r="M780" i="1"/>
  <c r="M626" i="1"/>
  <c r="M772" i="1"/>
  <c r="M23" i="15" l="1"/>
  <c r="M25" i="15" s="1"/>
  <c r="M627" i="1"/>
  <c r="M640" i="1"/>
  <c r="M641" i="1" s="1"/>
  <c r="M661" i="1" s="1"/>
  <c r="M662" i="1" s="1"/>
  <c r="M670" i="1" s="1"/>
  <c r="M378" i="1"/>
  <c r="M785" i="1"/>
  <c r="BQ641" i="1" l="1"/>
  <c r="M129" i="15"/>
  <c r="M130" i="15" s="1"/>
  <c r="M128" i="15" s="1"/>
  <c r="M643" i="1"/>
  <c r="M56" i="15"/>
  <c r="M139" i="15"/>
  <c r="M138" i="15" s="1"/>
  <c r="M32" i="15"/>
  <c r="M121" i="15"/>
  <c r="M122" i="15" s="1"/>
  <c r="M120" i="15" s="1"/>
  <c r="M26" i="15"/>
  <c r="M826" i="1"/>
  <c r="T378" i="1"/>
  <c r="M382" i="1"/>
  <c r="M880" i="1"/>
  <c r="M381" i="1"/>
  <c r="M511" i="1"/>
  <c r="M532" i="1" s="1"/>
  <c r="M435" i="1"/>
  <c r="M451" i="1"/>
  <c r="M79" i="15"/>
  <c r="M86" i="15" l="1"/>
  <c r="M514" i="1"/>
  <c r="BQ511" i="1"/>
  <c r="M543" i="1"/>
  <c r="T511" i="1"/>
  <c r="M515" i="1"/>
  <c r="M559" i="1"/>
  <c r="M80" i="15"/>
  <c r="K100" i="15"/>
  <c r="K99" i="15" s="1"/>
  <c r="M882" i="1"/>
  <c r="M883" i="1" s="1"/>
  <c r="M383" i="1"/>
  <c r="T381" i="1"/>
  <c r="T382" i="1"/>
  <c r="M81" i="15"/>
  <c r="M384" i="1"/>
  <c r="M828" i="1"/>
  <c r="M57" i="15"/>
  <c r="M59" i="15"/>
  <c r="M88" i="15" l="1"/>
  <c r="T515" i="1"/>
  <c r="M517" i="1"/>
  <c r="N827" i="1"/>
  <c r="M594" i="1"/>
  <c r="M516" i="1"/>
  <c r="T514" i="1"/>
  <c r="N878" i="1"/>
  <c r="M884" i="1"/>
  <c r="M82" i="15"/>
  <c r="M132" i="15"/>
  <c r="M87" i="15"/>
  <c r="M136" i="15"/>
  <c r="M93" i="15"/>
  <c r="K103" i="15"/>
  <c r="K102" i="15" s="1"/>
  <c r="M89" i="15" l="1"/>
  <c r="M94" i="15"/>
  <c r="M95" i="15"/>
  <c r="M96" i="15" s="1"/>
  <c r="M78" i="15"/>
  <c r="M83" i="15"/>
  <c r="M600" i="1"/>
  <c r="M659" i="1"/>
  <c r="M663" i="1" s="1"/>
  <c r="M829" i="1"/>
  <c r="N571" i="1"/>
  <c r="N570" i="1" s="1"/>
  <c r="N356" i="1" s="1"/>
  <c r="M90" i="15" l="1"/>
  <c r="M85" i="15"/>
  <c r="M668" i="1"/>
  <c r="M609" i="1"/>
  <c r="N412" i="1"/>
  <c r="N359" i="1"/>
  <c r="M92" i="15"/>
  <c r="M97" i="15"/>
  <c r="K106" i="15"/>
  <c r="K105" i="15" s="1"/>
  <c r="M669" i="1"/>
  <c r="N415" i="1" l="1"/>
  <c r="N360" i="1"/>
  <c r="BQ609" i="1"/>
  <c r="M134" i="15"/>
  <c r="M645" i="1"/>
  <c r="N416" i="1" l="1"/>
  <c r="N621" i="1"/>
  <c r="N398" i="1"/>
  <c r="N20" i="15"/>
  <c r="N370" i="1"/>
  <c r="N613" i="1"/>
  <c r="N425" i="1" l="1"/>
  <c r="N470" i="1"/>
  <c r="N472" i="1" s="1"/>
  <c r="N509" i="1"/>
  <c r="N758" i="1"/>
  <c r="N375" i="1"/>
  <c r="N772" i="1"/>
  <c r="N626" i="1"/>
  <c r="N780" i="1"/>
  <c r="N618" i="1"/>
  <c r="N530" i="1" l="1"/>
  <c r="N23" i="15"/>
  <c r="N25" i="15" s="1"/>
  <c r="N378" i="1"/>
  <c r="N640" i="1"/>
  <c r="N641" i="1" s="1"/>
  <c r="N661" i="1" s="1"/>
  <c r="N662" i="1" s="1"/>
  <c r="N670" i="1" s="1"/>
  <c r="N785" i="1"/>
  <c r="N627" i="1"/>
  <c r="BR641" i="1" l="1"/>
  <c r="N129" i="15"/>
  <c r="N130" i="15" s="1"/>
  <c r="N128" i="15" s="1"/>
  <c r="N382" i="1"/>
  <c r="N79" i="15"/>
  <c r="N435" i="1"/>
  <c r="N880" i="1"/>
  <c r="N882" i="1" s="1"/>
  <c r="N883" i="1" s="1"/>
  <c r="O878" i="1" s="1"/>
  <c r="N511" i="1"/>
  <c r="N532" i="1" s="1"/>
  <c r="N381" i="1"/>
  <c r="N383" i="1" s="1"/>
  <c r="N451" i="1"/>
  <c r="N826" i="1"/>
  <c r="N828" i="1" s="1"/>
  <c r="N643" i="1"/>
  <c r="N121" i="15"/>
  <c r="N122" i="15" s="1"/>
  <c r="N120" i="15" s="1"/>
  <c r="N26" i="15"/>
  <c r="N56" i="15"/>
  <c r="N32" i="15"/>
  <c r="N139" i="15"/>
  <c r="N138" i="15" s="1"/>
  <c r="N884" i="1" l="1"/>
  <c r="N80" i="15"/>
  <c r="L100" i="15"/>
  <c r="L99" i="15" s="1"/>
  <c r="N57" i="15"/>
  <c r="N59" i="15"/>
  <c r="N81" i="15"/>
  <c r="N384" i="1"/>
  <c r="O827" i="1"/>
  <c r="N594" i="1"/>
  <c r="N515" i="1"/>
  <c r="BR511" i="1"/>
  <c r="N559" i="1"/>
  <c r="N86" i="15"/>
  <c r="N514" i="1"/>
  <c r="N516" i="1" s="1"/>
  <c r="N543" i="1"/>
  <c r="N659" i="1" l="1"/>
  <c r="N663" i="1" s="1"/>
  <c r="N829" i="1"/>
  <c r="O571" i="1"/>
  <c r="O570" i="1" s="1"/>
  <c r="O356" i="1" s="1"/>
  <c r="N600" i="1"/>
  <c r="N517" i="1"/>
  <c r="N88" i="15"/>
  <c r="N89" i="15" s="1"/>
  <c r="N82" i="15"/>
  <c r="N87" i="15"/>
  <c r="N136" i="15"/>
  <c r="N93" i="15"/>
  <c r="L103" i="15"/>
  <c r="L102" i="15" s="1"/>
  <c r="N132" i="15"/>
  <c r="N94" i="15" l="1"/>
  <c r="N95" i="15"/>
  <c r="N96" i="15" s="1"/>
  <c r="N85" i="15"/>
  <c r="N90" i="15"/>
  <c r="N609" i="1"/>
  <c r="O412" i="1"/>
  <c r="O359" i="1"/>
  <c r="N83" i="15"/>
  <c r="N78" i="15"/>
  <c r="N669" i="1"/>
  <c r="O415" i="1" l="1"/>
  <c r="O360" i="1"/>
  <c r="O370" i="1" s="1"/>
  <c r="N97" i="15"/>
  <c r="L106" i="15"/>
  <c r="L105" i="15" s="1"/>
  <c r="N92" i="15"/>
  <c r="BR609" i="1"/>
  <c r="N134" i="15"/>
  <c r="N645" i="1"/>
  <c r="O425" i="1" l="1"/>
  <c r="O375" i="1"/>
  <c r="O470" i="1"/>
  <c r="O472" i="1" s="1"/>
  <c r="O509" i="1"/>
  <c r="O758" i="1"/>
  <c r="O416" i="1"/>
  <c r="O621" i="1"/>
  <c r="O613" i="1"/>
  <c r="O20" i="15"/>
  <c r="O398" i="1"/>
  <c r="O530" i="1" l="1"/>
  <c r="O626" i="1"/>
  <c r="O772" i="1"/>
  <c r="O378" i="1"/>
  <c r="O640" i="1"/>
  <c r="O641" i="1" s="1"/>
  <c r="O618" i="1"/>
  <c r="O780" i="1"/>
  <c r="BS641" i="1" l="1"/>
  <c r="O627" i="1"/>
  <c r="O129" i="15"/>
  <c r="O130" i="15" s="1"/>
  <c r="O128" i="15" s="1"/>
  <c r="O661" i="1"/>
  <c r="O662" i="1" s="1"/>
  <c r="O670" i="1" s="1"/>
  <c r="O785" i="1"/>
  <c r="O435" i="1"/>
  <c r="O382" i="1"/>
  <c r="O511" i="1"/>
  <c r="O532" i="1" s="1"/>
  <c r="O451" i="1"/>
  <c r="O381" i="1"/>
  <c r="O383" i="1" s="1"/>
  <c r="O880" i="1"/>
  <c r="O79" i="15"/>
  <c r="O23" i="15"/>
  <c r="O25" i="15" s="1"/>
  <c r="O81" i="15" l="1"/>
  <c r="O384" i="1"/>
  <c r="M100" i="15"/>
  <c r="M99" i="15" s="1"/>
  <c r="O80" i="15"/>
  <c r="O643" i="1"/>
  <c r="O826" i="1"/>
  <c r="O828" i="1" s="1"/>
  <c r="O32" i="15"/>
  <c r="O121" i="15"/>
  <c r="O122" i="15" s="1"/>
  <c r="O120" i="15" s="1"/>
  <c r="O139" i="15"/>
  <c r="O138" i="15" s="1"/>
  <c r="O56" i="15"/>
  <c r="O26" i="15"/>
  <c r="O882" i="1"/>
  <c r="O883" i="1" s="1"/>
  <c r="O514" i="1"/>
  <c r="O516" i="1" s="1"/>
  <c r="BS511" i="1"/>
  <c r="O543" i="1"/>
  <c r="O559" i="1"/>
  <c r="O86" i="15"/>
  <c r="O515" i="1"/>
  <c r="P878" i="1" l="1"/>
  <c r="O884" i="1"/>
  <c r="O82" i="15"/>
  <c r="O88" i="15"/>
  <c r="O89" i="15" s="1"/>
  <c r="O517" i="1"/>
  <c r="O93" i="15"/>
  <c r="O136" i="15"/>
  <c r="O132" i="15"/>
  <c r="M103" i="15"/>
  <c r="M102" i="15" s="1"/>
  <c r="O87" i="15"/>
  <c r="O59" i="15"/>
  <c r="O57" i="15"/>
  <c r="O594" i="1"/>
  <c r="P827" i="1"/>
  <c r="O83" i="15" l="1"/>
  <c r="O78" i="15"/>
  <c r="O95" i="15"/>
  <c r="O96" i="15" s="1"/>
  <c r="O94" i="15"/>
  <c r="O90" i="15"/>
  <c r="O85" i="15"/>
  <c r="O600" i="1"/>
  <c r="O829" i="1"/>
  <c r="O659" i="1"/>
  <c r="O663" i="1" s="1"/>
  <c r="P571" i="1"/>
  <c r="P570" i="1" s="1"/>
  <c r="P356" i="1" s="1"/>
  <c r="O669" i="1" l="1"/>
  <c r="O609" i="1"/>
  <c r="P412" i="1"/>
  <c r="P359" i="1"/>
  <c r="M106" i="15"/>
  <c r="M105" i="15" s="1"/>
  <c r="O92" i="15"/>
  <c r="O97" i="15"/>
  <c r="P415" i="1" l="1"/>
  <c r="P360" i="1"/>
  <c r="O645" i="1"/>
  <c r="O134" i="15"/>
  <c r="BS609" i="1"/>
  <c r="P370" i="1" l="1"/>
  <c r="P416" i="1"/>
  <c r="P613" i="1"/>
  <c r="P398" i="1"/>
  <c r="P20" i="15"/>
  <c r="P621" i="1"/>
  <c r="P772" i="1" l="1"/>
  <c r="P626" i="1"/>
  <c r="P618" i="1"/>
  <c r="P780" i="1"/>
  <c r="P425" i="1"/>
  <c r="P509" i="1"/>
  <c r="P470" i="1"/>
  <c r="P472" i="1" s="1"/>
  <c r="P375" i="1"/>
  <c r="P758" i="1"/>
  <c r="P530" i="1" l="1"/>
  <c r="P785" i="1"/>
  <c r="P23" i="15"/>
  <c r="P25" i="15" s="1"/>
  <c r="P627" i="1"/>
  <c r="P378" i="1"/>
  <c r="P640" i="1"/>
  <c r="P641" i="1" s="1"/>
  <c r="P643" i="1" l="1"/>
  <c r="P56" i="15"/>
  <c r="P32" i="15"/>
  <c r="P26" i="15"/>
  <c r="P121" i="15"/>
  <c r="P122" i="15" s="1"/>
  <c r="P120" i="15" s="1"/>
  <c r="P139" i="15"/>
  <c r="P138" i="15" s="1"/>
  <c r="P511" i="1"/>
  <c r="P532" i="1" s="1"/>
  <c r="P79" i="15"/>
  <c r="P382" i="1"/>
  <c r="P451" i="1"/>
  <c r="P880" i="1"/>
  <c r="P435" i="1"/>
  <c r="P381" i="1"/>
  <c r="P383" i="1" s="1"/>
  <c r="P826" i="1"/>
  <c r="P828" i="1" s="1"/>
  <c r="BT641" i="1"/>
  <c r="P661" i="1"/>
  <c r="P662" i="1" s="1"/>
  <c r="P670" i="1" s="1"/>
  <c r="P129" i="15"/>
  <c r="P130" i="15" s="1"/>
  <c r="P128" i="15" s="1"/>
  <c r="P384" i="1" l="1"/>
  <c r="P81" i="15"/>
  <c r="N100" i="15"/>
  <c r="N99" i="15" s="1"/>
  <c r="P80" i="15"/>
  <c r="P59" i="15"/>
  <c r="P57" i="15"/>
  <c r="Q827" i="1"/>
  <c r="P594" i="1"/>
  <c r="P882" i="1"/>
  <c r="P883" i="1" s="1"/>
  <c r="P515" i="1"/>
  <c r="P86" i="15"/>
  <c r="P559" i="1"/>
  <c r="BT511" i="1"/>
  <c r="P514" i="1"/>
  <c r="P516" i="1" s="1"/>
  <c r="P543" i="1"/>
  <c r="Q878" i="1" l="1"/>
  <c r="P884" i="1"/>
  <c r="P88" i="15"/>
  <c r="P89" i="15" s="1"/>
  <c r="P517" i="1"/>
  <c r="P600" i="1"/>
  <c r="P659" i="1"/>
  <c r="P663" i="1" s="1"/>
  <c r="Q571" i="1"/>
  <c r="Q570" i="1" s="1"/>
  <c r="Q356" i="1" s="1"/>
  <c r="P829" i="1"/>
  <c r="P93" i="15"/>
  <c r="P136" i="15"/>
  <c r="N103" i="15"/>
  <c r="N102" i="15" s="1"/>
  <c r="P132" i="15"/>
  <c r="P87" i="15"/>
  <c r="P82" i="15"/>
  <c r="Q359" i="1" l="1"/>
  <c r="Q412" i="1"/>
  <c r="P94" i="15"/>
  <c r="P95" i="15"/>
  <c r="P96" i="15" s="1"/>
  <c r="P669" i="1"/>
  <c r="P78" i="15"/>
  <c r="P83" i="15"/>
  <c r="P609" i="1"/>
  <c r="P90" i="15"/>
  <c r="P85" i="15"/>
  <c r="P92" i="15" l="1"/>
  <c r="P97" i="15"/>
  <c r="N106" i="15"/>
  <c r="N105" i="15" s="1"/>
  <c r="BT609" i="1"/>
  <c r="P134" i="15"/>
  <c r="P645" i="1"/>
  <c r="Q415" i="1"/>
  <c r="Q360" i="1"/>
  <c r="Q416" i="1" l="1"/>
  <c r="Q613" i="1"/>
  <c r="Q621" i="1"/>
  <c r="Q398" i="1"/>
  <c r="Q20" i="15"/>
  <c r="Q370" i="1"/>
  <c r="Q772" i="1" l="1"/>
  <c r="Q626" i="1"/>
  <c r="Q425" i="1"/>
  <c r="Q509" i="1"/>
  <c r="Q758" i="1"/>
  <c r="Q375" i="1"/>
  <c r="Q470" i="1"/>
  <c r="Q472" i="1" s="1"/>
  <c r="Q780" i="1"/>
  <c r="Q618" i="1"/>
  <c r="Q530" i="1" l="1"/>
  <c r="Q627" i="1"/>
  <c r="Q378" i="1"/>
  <c r="Q640" i="1"/>
  <c r="Q23" i="15"/>
  <c r="Q25" i="15" s="1"/>
  <c r="Q785" i="1"/>
  <c r="Q641" i="1" l="1"/>
  <c r="Q643" i="1" s="1"/>
  <c r="Q382" i="1"/>
  <c r="Q511" i="1"/>
  <c r="Q532" i="1" s="1"/>
  <c r="Q79" i="15"/>
  <c r="Q381" i="1"/>
  <c r="Q383" i="1" s="1"/>
  <c r="Q451" i="1"/>
  <c r="Q435" i="1"/>
  <c r="Q880" i="1"/>
  <c r="Q826" i="1"/>
  <c r="Q828" i="1" s="1"/>
  <c r="Q32" i="15"/>
  <c r="Q139" i="15"/>
  <c r="Q138" i="15" s="1"/>
  <c r="Q26" i="15"/>
  <c r="Q56" i="15"/>
  <c r="Q121" i="15"/>
  <c r="Q122" i="15" s="1"/>
  <c r="Q120" i="15" s="1"/>
  <c r="Q57" i="15" l="1"/>
  <c r="Q59" i="15"/>
  <c r="R827" i="1"/>
  <c r="Q594" i="1"/>
  <c r="Q384" i="1"/>
  <c r="Q81" i="15"/>
  <c r="Q80" i="15"/>
  <c r="O100" i="15"/>
  <c r="O99" i="15" s="1"/>
  <c r="Q515" i="1"/>
  <c r="BU511" i="1"/>
  <c r="Q559" i="1"/>
  <c r="Q86" i="15"/>
  <c r="Q514" i="1"/>
  <c r="Q516" i="1" s="1"/>
  <c r="Q543" i="1"/>
  <c r="Q882" i="1"/>
  <c r="Q883" i="1" s="1"/>
  <c r="Q129" i="15"/>
  <c r="Q130" i="15" s="1"/>
  <c r="Q128" i="15" s="1"/>
  <c r="BU641" i="1"/>
  <c r="Q661" i="1"/>
  <c r="Q662" i="1" s="1"/>
  <c r="Q670" i="1" s="1"/>
  <c r="R878" i="1" l="1"/>
  <c r="Q884" i="1"/>
  <c r="Q93" i="15"/>
  <c r="O103" i="15"/>
  <c r="O102" i="15" s="1"/>
  <c r="Q132" i="15"/>
  <c r="Q87" i="15"/>
  <c r="Q136" i="15"/>
  <c r="Q517" i="1"/>
  <c r="Q88" i="15"/>
  <c r="Q89" i="15" s="1"/>
  <c r="Q829" i="1"/>
  <c r="R571" i="1"/>
  <c r="R570" i="1" s="1"/>
  <c r="R356" i="1" s="1"/>
  <c r="Q600" i="1"/>
  <c r="Q659" i="1"/>
  <c r="Q663" i="1" s="1"/>
  <c r="Q82" i="15"/>
  <c r="Q78" i="15" l="1"/>
  <c r="Q83" i="15"/>
  <c r="Q609" i="1"/>
  <c r="Q94" i="15"/>
  <c r="Q95" i="15"/>
  <c r="Q96" i="15" s="1"/>
  <c r="Q669" i="1"/>
  <c r="R412" i="1"/>
  <c r="R359" i="1"/>
  <c r="Q85" i="15"/>
  <c r="Q90" i="15"/>
  <c r="BU609" i="1" l="1"/>
  <c r="Q134" i="15"/>
  <c r="Q645" i="1"/>
  <c r="Q92" i="15"/>
  <c r="Q97" i="15"/>
  <c r="O106" i="15"/>
  <c r="O105" i="15" s="1"/>
  <c r="R415" i="1"/>
  <c r="R360" i="1"/>
  <c r="R370" i="1" l="1"/>
  <c r="R416" i="1"/>
  <c r="R398" i="1"/>
  <c r="R20" i="15"/>
  <c r="R613" i="1"/>
  <c r="R621" i="1"/>
  <c r="R626" i="1" l="1"/>
  <c r="R772" i="1"/>
  <c r="R618" i="1"/>
  <c r="R780" i="1"/>
  <c r="R425" i="1"/>
  <c r="R375" i="1"/>
  <c r="R509" i="1"/>
  <c r="R758" i="1"/>
  <c r="R470" i="1"/>
  <c r="R472" i="1" s="1"/>
  <c r="R530" i="1" l="1"/>
  <c r="R627" i="1"/>
  <c r="R23" i="15"/>
  <c r="R25" i="15" s="1"/>
  <c r="R640" i="1"/>
  <c r="R641" i="1" s="1"/>
  <c r="R378" i="1"/>
  <c r="R785" i="1"/>
  <c r="R451" i="1" l="1"/>
  <c r="R79" i="15"/>
  <c r="R880" i="1"/>
  <c r="R382" i="1"/>
  <c r="R381" i="1"/>
  <c r="R383" i="1" s="1"/>
  <c r="R435" i="1"/>
  <c r="R511" i="1"/>
  <c r="R532" i="1" s="1"/>
  <c r="R129" i="15"/>
  <c r="R130" i="15" s="1"/>
  <c r="R128" i="15" s="1"/>
  <c r="BV641" i="1"/>
  <c r="R661" i="1"/>
  <c r="R662" i="1" s="1"/>
  <c r="R670" i="1" s="1"/>
  <c r="R56" i="15"/>
  <c r="R139" i="15"/>
  <c r="R138" i="15" s="1"/>
  <c r="T26" i="15"/>
  <c r="R28" i="15"/>
  <c r="R32" i="15" s="1"/>
  <c r="L38" i="15" s="1"/>
  <c r="L40" i="15" s="1"/>
  <c r="L41" i="15" s="1"/>
  <c r="R26" i="15"/>
  <c r="R121" i="15"/>
  <c r="R122" i="15" s="1"/>
  <c r="R120" i="15" s="1"/>
  <c r="R826" i="1"/>
  <c r="R828" i="1" s="1"/>
  <c r="R594" i="1" s="1"/>
  <c r="R643" i="1"/>
  <c r="R559" i="1" l="1"/>
  <c r="R543" i="1"/>
  <c r="R514" i="1"/>
  <c r="R516" i="1" s="1"/>
  <c r="R86" i="15"/>
  <c r="R515" i="1"/>
  <c r="BV511" i="1"/>
  <c r="R384" i="1"/>
  <c r="R81" i="15"/>
  <c r="R882" i="1"/>
  <c r="R883" i="1" s="1"/>
  <c r="R884" i="1" s="1"/>
  <c r="R659" i="1"/>
  <c r="R663" i="1" s="1"/>
  <c r="R829" i="1"/>
  <c r="R600" i="1"/>
  <c r="M144" i="15"/>
  <c r="L42" i="15"/>
  <c r="L13" i="15"/>
  <c r="R58" i="15"/>
  <c r="R59" i="15" s="1"/>
  <c r="L60" i="15" s="1"/>
  <c r="L62" i="15" s="1"/>
  <c r="L63" i="15" s="1"/>
  <c r="L64" i="15" s="1"/>
  <c r="R57" i="15"/>
  <c r="R80" i="15"/>
  <c r="P100" i="15"/>
  <c r="P99" i="15" s="1"/>
  <c r="R82" i="15" l="1"/>
  <c r="R669" i="1"/>
  <c r="R88" i="15"/>
  <c r="R89" i="15" s="1"/>
  <c r="R517" i="1"/>
  <c r="R87" i="15"/>
  <c r="R136" i="15"/>
  <c r="P103" i="15"/>
  <c r="P102" i="15" s="1"/>
  <c r="R93" i="15"/>
  <c r="R132" i="15"/>
  <c r="W4" i="15"/>
  <c r="O46" i="15"/>
  <c r="O53" i="15" s="1"/>
  <c r="R609" i="1"/>
  <c r="W10" i="15" l="1"/>
  <c r="R134" i="15"/>
  <c r="R90" i="15"/>
  <c r="R85" i="15"/>
  <c r="R78" i="15"/>
  <c r="R83" i="15"/>
  <c r="R645" i="1"/>
  <c r="BV609" i="1"/>
  <c r="L5" i="15"/>
  <c r="L7" i="15"/>
  <c r="R94" i="15"/>
  <c r="R95" i="15"/>
  <c r="R96" i="15" s="1"/>
  <c r="N11" i="15" l="1"/>
  <c r="N10" i="15"/>
  <c r="Q8" i="15"/>
  <c r="Q9" i="15" s="1"/>
  <c r="R12" i="15"/>
  <c r="Q11" i="15"/>
  <c r="P13" i="15"/>
  <c r="P8" i="15"/>
  <c r="P9" i="15" s="1"/>
  <c r="P10" i="15"/>
  <c r="R11" i="15"/>
  <c r="R10" i="15"/>
  <c r="O10" i="15"/>
  <c r="N8" i="15"/>
  <c r="N9" i="15" s="1"/>
  <c r="O12" i="15"/>
  <c r="Q13" i="15"/>
  <c r="Q10" i="15"/>
  <c r="Q12" i="15"/>
  <c r="O13" i="15"/>
  <c r="O8" i="15"/>
  <c r="O9" i="15" s="1"/>
  <c r="P12" i="15"/>
  <c r="O11" i="15"/>
  <c r="P11" i="15"/>
  <c r="R8" i="15"/>
  <c r="R9" i="15" s="1"/>
  <c r="N13" i="15"/>
  <c r="R13" i="15"/>
  <c r="N12" i="15"/>
  <c r="P106" i="15"/>
  <c r="P105" i="15" s="1"/>
  <c r="R92" i="15"/>
  <c r="R97" i="15"/>
</calcChain>
</file>

<file path=xl/comments1.xml><?xml version="1.0" encoding="utf-8"?>
<comments xmlns="http://schemas.openxmlformats.org/spreadsheetml/2006/main">
  <authors>
    <author>Zhu, Julia L (Research)</author>
    <author>Zhu, Julia (Research)</author>
    <author>Ko, Alex (Research)</author>
  </authors>
  <commentList>
    <comment ref="Q118" authorId="0">
      <text>
        <r>
          <rPr>
            <b/>
            <sz val="9"/>
            <color indexed="81"/>
            <rFont val="Tahoma"/>
            <family val="2"/>
          </rPr>
          <t>Zhu, Julia L (Research):</t>
        </r>
        <r>
          <rPr>
            <sz val="9"/>
            <color indexed="81"/>
            <rFont val="Tahoma"/>
            <family val="2"/>
          </rPr>
          <t xml:space="preserve">
reporting format added since Sep-15 quarter</t>
        </r>
      </text>
    </comment>
    <comment ref="N252" authorId="1">
      <text>
        <r>
          <rPr>
            <b/>
            <sz val="9"/>
            <color indexed="81"/>
            <rFont val="Tahoma"/>
            <family val="2"/>
          </rPr>
          <t>Zhu, Julia (Research):</t>
        </r>
        <r>
          <rPr>
            <sz val="9"/>
            <color indexed="81"/>
            <rFont val="Tahoma"/>
            <family val="2"/>
          </rPr>
          <t xml:space="preserve">
One-time charge for financing-related fees as a result of early repayment of bank borrowings</t>
        </r>
      </text>
    </comment>
    <comment ref="W277" authorId="2">
      <text>
        <r>
          <rPr>
            <b/>
            <sz val="9"/>
            <color indexed="81"/>
            <rFont val="Tahoma"/>
            <family val="2"/>
          </rPr>
          <t>Ko, Alex (Research):</t>
        </r>
        <r>
          <rPr>
            <sz val="9"/>
            <color indexed="81"/>
            <rFont val="Tahoma"/>
            <family val="2"/>
          </rPr>
          <t xml:space="preserve">
Certain reclassifications in prepayments, receivables and other assets, accrued expenses, accounts payable and other
liabilities and deferred tax liabilities as of March 31, 2017 were retrospectively adjusted as a result of the adoption of a new
accounting standard effective in the first quarter of fiscal 2018.</t>
        </r>
      </text>
    </comment>
    <comment ref="W280" authorId="2">
      <text>
        <r>
          <rPr>
            <b/>
            <sz val="9"/>
            <color indexed="81"/>
            <rFont val="Tahoma"/>
            <family val="2"/>
          </rPr>
          <t>Ko, Alex (Research):</t>
        </r>
        <r>
          <rPr>
            <sz val="9"/>
            <color indexed="81"/>
            <rFont val="Tahoma"/>
            <family val="2"/>
          </rPr>
          <t xml:space="preserve">
Certain reclassifications in prepayments, receivables and other assets, accrued expenses, accounts payable and other
liabilities and deferred tax liabilities as of March 31, 2017 were retrospectively adjusted as a result of the adoption of a new
accounting standard effective in the first quarter of fiscal 2018.</t>
        </r>
      </text>
    </comment>
    <comment ref="W294" authorId="2">
      <text>
        <r>
          <rPr>
            <b/>
            <sz val="9"/>
            <color indexed="81"/>
            <rFont val="Tahoma"/>
            <family val="2"/>
          </rPr>
          <t>Ko, Alex (Research):</t>
        </r>
        <r>
          <rPr>
            <sz val="9"/>
            <color indexed="81"/>
            <rFont val="Tahoma"/>
            <family val="2"/>
          </rPr>
          <t xml:space="preserve">
Certain reclassifications in prepayments, receivables and other assets, accrued expenses, accounts payable and other
liabilities and deferred tax liabilities as of March 31, 2017 were retrospectively adjusted as a result of the adoption of a new
accounting standard effective in the first quarter of fiscal 2018.</t>
        </r>
      </text>
    </comment>
    <comment ref="W299" authorId="2">
      <text>
        <r>
          <rPr>
            <b/>
            <sz val="9"/>
            <color indexed="81"/>
            <rFont val="Tahoma"/>
            <family val="2"/>
          </rPr>
          <t>Ko, Alex (Research):</t>
        </r>
        <r>
          <rPr>
            <sz val="9"/>
            <color indexed="81"/>
            <rFont val="Tahoma"/>
            <family val="2"/>
          </rPr>
          <t xml:space="preserve">
Certain reclassifications in prepayments, receivables and other assets, accrued expenses, accounts payable and other
liabilities and deferred tax liabilities as of March 31, 2017 were retrospectively adjusted as a result of the adoption of a new
accounting standard effective in the first quarter of fiscal 2018.</t>
        </r>
      </text>
    </comment>
  </commentList>
</comments>
</file>

<file path=xl/comments2.xml><?xml version="1.0" encoding="utf-8"?>
<comments xmlns="http://schemas.openxmlformats.org/spreadsheetml/2006/main">
  <authors>
    <author>Zhang, Elaine (Research)</author>
    <author>Moh, Angela (Research)</author>
  </authors>
  <commentList>
    <comment ref="B4" authorId="0">
      <text>
        <r>
          <rPr>
            <b/>
            <sz val="9"/>
            <color indexed="81"/>
            <rFont val="Tahoma"/>
            <family val="2"/>
          </rPr>
          <t>Zhang, Elaine (Research):</t>
        </r>
        <r>
          <rPr>
            <sz val="9"/>
            <color indexed="81"/>
            <rFont val="Tahoma"/>
            <family val="2"/>
          </rPr>
          <t xml:space="preserve">
2=bull
3=bear
</t>
        </r>
      </text>
    </comment>
    <comment ref="B7" authorId="1">
      <text>
        <r>
          <rPr>
            <b/>
            <sz val="9"/>
            <color indexed="81"/>
            <rFont val="Tahoma"/>
            <family val="2"/>
          </rPr>
          <t>Moh, Angela (Research):</t>
        </r>
        <r>
          <rPr>
            <sz val="9"/>
            <color indexed="81"/>
            <rFont val="Tahoma"/>
            <family val="2"/>
          </rPr>
          <t xml:space="preserve">
align CY with closest FY
eg. 2013 = F14 (mar 14)</t>
        </r>
      </text>
    </comment>
    <comment ref="B24" authorId="1">
      <text>
        <r>
          <rPr>
            <b/>
            <sz val="9"/>
            <color indexed="81"/>
            <rFont val="Tahoma"/>
            <family val="2"/>
          </rPr>
          <t>Moh, Angela (Research):</t>
        </r>
        <r>
          <rPr>
            <sz val="9"/>
            <color indexed="81"/>
            <rFont val="Tahoma"/>
            <family val="2"/>
          </rPr>
          <t xml:space="preserve">
Alibaba users model.xls</t>
        </r>
      </text>
    </comment>
    <comment ref="N118" authorId="1">
      <text>
        <r>
          <rPr>
            <b/>
            <sz val="9"/>
            <color indexed="81"/>
            <rFont val="Tahoma"/>
            <family val="2"/>
          </rPr>
          <t>Moh, Angela (Research):</t>
        </r>
        <r>
          <rPr>
            <sz val="9"/>
            <color indexed="81"/>
            <rFont val="Tahoma"/>
            <family val="2"/>
          </rPr>
          <t xml:space="preserve">
longer run, 
- P4P higher on mobile cuz more traffic on mobile - more bid for it
- display on mobile may be lower as smaller screen
- % Tmall higher - so add to monetization</t>
        </r>
      </text>
    </comment>
  </commentList>
</comments>
</file>

<file path=xl/comments3.xml><?xml version="1.0" encoding="utf-8"?>
<comments xmlns="http://schemas.openxmlformats.org/spreadsheetml/2006/main">
  <authors>
    <author>Chen, Grace (Research)</author>
    <author>Jiang, Alvin (Research)</author>
    <author>Moh, Angela (Research)</author>
    <author>Amanda Chen</author>
    <author>Zhang, Elaine (Research)</author>
    <author>moha</author>
    <author>Lin, Robert (Research)</author>
    <author>Cao, Claire (Research)</author>
    <author>Zhu, Julia (Research)</author>
    <author>Au, Jennifer (Research)</author>
    <author>Sun, Tiantian (Research)</author>
  </authors>
  <commentList>
    <comment ref="AZ14" authorId="0">
      <text>
        <r>
          <rPr>
            <b/>
            <sz val="9"/>
            <color indexed="81"/>
            <rFont val="Tahoma"/>
            <family val="2"/>
          </rPr>
          <t>Chen, Grace (Research):</t>
        </r>
        <r>
          <rPr>
            <sz val="9"/>
            <color indexed="81"/>
            <rFont val="Tahoma"/>
            <family val="2"/>
          </rPr>
          <t xml:space="preserve">
Started consolidation in F3Q18, op losses in F2H at Rmb2bn</t>
        </r>
      </text>
    </comment>
    <comment ref="E106" authorId="1">
      <text>
        <r>
          <rPr>
            <b/>
            <sz val="8"/>
            <color indexed="81"/>
            <rFont val="Tahoma"/>
            <family val="2"/>
          </rPr>
          <t>AJ: from F10 update</t>
        </r>
        <r>
          <rPr>
            <sz val="8"/>
            <color indexed="81"/>
            <rFont val="Tahoma"/>
            <family val="2"/>
          </rPr>
          <t xml:space="preserve">
</t>
        </r>
      </text>
    </comment>
    <comment ref="AO111" authorId="2">
      <text>
        <r>
          <rPr>
            <b/>
            <sz val="9"/>
            <color indexed="81"/>
            <rFont val="Tahoma"/>
            <family val="2"/>
          </rPr>
          <t>Moh, Angela (Research):</t>
        </r>
        <r>
          <rPr>
            <sz val="9"/>
            <color indexed="81"/>
            <rFont val="Tahoma"/>
            <family val="2"/>
          </rPr>
          <t xml:space="preserve">
late CNY </t>
        </r>
      </text>
    </comment>
    <comment ref="D120" authorId="3">
      <text>
        <r>
          <rPr>
            <b/>
            <sz val="9"/>
            <color indexed="81"/>
            <rFont val="Tahoma"/>
            <family val="2"/>
          </rPr>
          <t>Amanda Chen:</t>
        </r>
        <r>
          <rPr>
            <sz val="9"/>
            <color indexed="81"/>
            <rFont val="Tahoma"/>
            <family val="2"/>
          </rPr>
          <t xml:space="preserve">
iResearch estimates
</t>
        </r>
      </text>
    </comment>
    <comment ref="E170" authorId="4">
      <text>
        <r>
          <rPr>
            <b/>
            <sz val="9"/>
            <color indexed="81"/>
            <rFont val="Tahoma"/>
            <family val="2"/>
          </rPr>
          <t>Zhang, Elaine (Research):</t>
        </r>
        <r>
          <rPr>
            <sz val="9"/>
            <color indexed="81"/>
            <rFont val="Tahoma"/>
            <family val="2"/>
          </rPr>
          <t xml:space="preserve">
Tmall established, previously Taobao Mall (2008 set up)</t>
        </r>
      </text>
    </comment>
    <comment ref="AX172" authorId="4">
      <text>
        <r>
          <rPr>
            <b/>
            <sz val="9"/>
            <color indexed="81"/>
            <rFont val="Tahoma"/>
            <family val="2"/>
          </rPr>
          <t>Zhang, Elaine (Research):</t>
        </r>
        <r>
          <rPr>
            <sz val="9"/>
            <color indexed="81"/>
            <rFont val="Tahoma"/>
            <family val="2"/>
          </rPr>
          <t xml:space="preserve">
F1Q18 of excluding Intime, core commerce 55.5% yoy growth, per call with IR</t>
        </r>
      </text>
    </comment>
    <comment ref="BA172" authorId="4">
      <text>
        <r>
          <rPr>
            <b/>
            <sz val="9"/>
            <color indexed="81"/>
            <rFont val="Tahoma"/>
            <family val="2"/>
          </rPr>
          <t>Zhang, Elaine (Research):</t>
        </r>
        <r>
          <rPr>
            <sz val="9"/>
            <color indexed="81"/>
            <rFont val="Tahoma"/>
            <family val="2"/>
          </rPr>
          <t xml:space="preserve">
Total 6bn full year revenue for Intime, assume F1Q18 only factor in 1.5 months</t>
        </r>
      </text>
    </comment>
    <comment ref="AY173" authorId="4">
      <text>
        <r>
          <rPr>
            <b/>
            <sz val="9"/>
            <color indexed="81"/>
            <rFont val="Tahoma"/>
            <family val="2"/>
          </rPr>
          <t>Zhang, Elaine (Research):</t>
        </r>
        <r>
          <rPr>
            <sz val="9"/>
            <color indexed="81"/>
            <rFont val="Tahoma"/>
            <family val="2"/>
          </rPr>
          <t xml:space="preserve">
180% yoy growth excluding Intime
5万/平米 平效，5000sqm每间店，20间店by Sep, 全年5bn</t>
        </r>
      </text>
    </comment>
    <comment ref="AZ173" authorId="4">
      <text>
        <r>
          <rPr>
            <b/>
            <sz val="9"/>
            <color indexed="81"/>
            <rFont val="Tahoma"/>
            <family val="2"/>
          </rPr>
          <t>Zhang, Elaine (Research):</t>
        </r>
        <r>
          <rPr>
            <sz val="9"/>
            <color indexed="81"/>
            <rFont val="Tahoma"/>
            <family val="2"/>
          </rPr>
          <t xml:space="preserve">
excluding Intime, grow 300% yoy</t>
        </r>
      </text>
    </comment>
    <comment ref="G177" authorId="2">
      <text>
        <r>
          <rPr>
            <b/>
            <sz val="9"/>
            <color indexed="81"/>
            <rFont val="Tahoma"/>
            <family val="2"/>
          </rPr>
          <t>Moh, Angela (Research):</t>
        </r>
        <r>
          <rPr>
            <sz val="9"/>
            <color indexed="81"/>
            <rFont val="Tahoma"/>
            <family val="2"/>
          </rPr>
          <t xml:space="preserve">
down as mobile contrib incr - mobile ad rate lower</t>
        </r>
      </text>
    </comment>
    <comment ref="H177" authorId="5">
      <text>
        <r>
          <rPr>
            <b/>
            <sz val="8"/>
            <color indexed="81"/>
            <rFont val="Tahoma"/>
            <family val="2"/>
          </rPr>
          <t>moha:</t>
        </r>
        <r>
          <rPr>
            <sz val="8"/>
            <color indexed="81"/>
            <rFont val="Tahoma"/>
            <family val="2"/>
          </rPr>
          <t xml:space="preserve">
- down as mobile growing faster; mobile rate lower
- june 2014 upgrade homepage and flow;  add in more customization leveraging data to provide more targeted ads =&gt; effectively incr ad inv as go from 1 dimension to multi dimension ad pg - 1000ppl 1000 faces
</t>
        </r>
      </text>
    </comment>
    <comment ref="I177" authorId="5">
      <text>
        <r>
          <rPr>
            <b/>
            <sz val="8"/>
            <color indexed="81"/>
            <rFont val="Tahoma"/>
            <family val="2"/>
          </rPr>
          <t>moha:</t>
        </r>
        <r>
          <rPr>
            <sz val="8"/>
            <color indexed="81"/>
            <rFont val="Tahoma"/>
            <family val="2"/>
          </rPr>
          <t xml:space="preserve">
</t>
        </r>
      </text>
    </comment>
    <comment ref="H178" authorId="5">
      <text>
        <r>
          <rPr>
            <b/>
            <sz val="8"/>
            <color indexed="81"/>
            <rFont val="Tahoma"/>
            <family val="2"/>
          </rPr>
          <t>moha:</t>
        </r>
        <r>
          <rPr>
            <sz val="8"/>
            <color indexed="81"/>
            <rFont val="Tahoma"/>
            <family val="2"/>
          </rPr>
          <t xml:space="preserve">
mix shift 
- assume grocery, healthcare pdts grow faster - commission rate lower - see QBT sheet
but world cup a boost in near term
if assume lottery is 3% of GMV, and commission of 4.4%, then growth of 200% for half yr =&gt; 50bps boost all else equal</t>
        </r>
      </text>
    </comment>
    <comment ref="I178" authorId="2">
      <text>
        <r>
          <rPr>
            <b/>
            <sz val="9"/>
            <color indexed="81"/>
            <rFont val="Tahoma"/>
            <family val="2"/>
          </rPr>
          <t>Moh, Angela (Research):</t>
        </r>
        <r>
          <rPr>
            <sz val="9"/>
            <color indexed="81"/>
            <rFont val="Tahoma"/>
            <family val="2"/>
          </rPr>
          <t xml:space="preserve">
take out the 50bps boost from last yr from lottery</t>
        </r>
      </text>
    </comment>
    <comment ref="G186" authorId="2">
      <text>
        <r>
          <rPr>
            <b/>
            <sz val="9"/>
            <color indexed="81"/>
            <rFont val="Tahoma"/>
            <family val="2"/>
          </rPr>
          <t>Moh, Angela (Research):</t>
        </r>
        <r>
          <rPr>
            <sz val="9"/>
            <color indexed="81"/>
            <rFont val="Tahoma"/>
            <family val="2"/>
          </rPr>
          <t xml:space="preserve">
P4P: +35.2% incr in clicks
+14.6% incr in cost per click as demand from merchants increased --&gt; drove up pricing as bid for ads
display ad - # impressions displayed also up slighlty</t>
        </r>
      </text>
    </comment>
    <comment ref="AL186" authorId="2">
      <text>
        <r>
          <rPr>
            <b/>
            <sz val="9"/>
            <color indexed="81"/>
            <rFont val="Tahoma"/>
            <family val="2"/>
          </rPr>
          <t>Moh, Angela (Research):</t>
        </r>
        <r>
          <rPr>
            <sz val="9"/>
            <color indexed="81"/>
            <rFont val="Tahoma"/>
            <family val="2"/>
          </rPr>
          <t xml:space="preserve">
slower growth as mobile grow faster
mobile online mktg rev lower vs. PC
growth driven by
- +39.2% incr in # clicks for P4P
- -6.9% decr in cost per click (mobile has lower cost per click vs. PC)
- +ve impact from incr in # of imrpessions displayed thru display marketing services</t>
        </r>
      </text>
    </comment>
    <comment ref="AL187" authorId="2">
      <text>
        <r>
          <rPr>
            <b/>
            <sz val="9"/>
            <color indexed="81"/>
            <rFont val="Tahoma"/>
            <family val="2"/>
          </rPr>
          <t xml:space="preserve">Lin, Robert (Research):
</t>
        </r>
        <r>
          <rPr>
            <sz val="9"/>
            <color indexed="81"/>
            <rFont val="Tahoma"/>
            <family val="2"/>
          </rPr>
          <t>1Q14 commission rev up - 
- +80.7% increase in GMV transacted on Tmall during the same period as well as an increase of RMB372 million (US$60 million) in lottery commission income from Taobao Marketplace mainly due to significantly higher activity in June 2014 during the World Cup soccer competition.  While the published commission rates we charge by category remained relatively stable, our blended commission rate increased during this period due to a greater proportion of sales in product categories with higher commission rates.</t>
        </r>
        <r>
          <rPr>
            <b/>
            <sz val="9"/>
            <color indexed="81"/>
            <rFont val="Tahoma"/>
            <family val="2"/>
          </rPr>
          <t xml:space="preserve">
</t>
        </r>
        <r>
          <rPr>
            <sz val="9"/>
            <color indexed="81"/>
            <rFont val="Tahoma"/>
            <family val="2"/>
          </rPr>
          <t xml:space="preserve">
</t>
        </r>
      </text>
    </comment>
    <comment ref="E200" authorId="1">
      <text>
        <r>
          <rPr>
            <b/>
            <sz val="8"/>
            <color indexed="81"/>
            <rFont val="Tahoma"/>
            <family val="2"/>
          </rPr>
          <t>AJ: from F10 update</t>
        </r>
        <r>
          <rPr>
            <sz val="8"/>
            <color indexed="81"/>
            <rFont val="Tahoma"/>
            <family val="2"/>
          </rPr>
          <t xml:space="preserve">
</t>
        </r>
      </text>
    </comment>
    <comment ref="E201" authorId="1">
      <text>
        <r>
          <rPr>
            <b/>
            <sz val="8"/>
            <color indexed="81"/>
            <rFont val="Tahoma"/>
            <family val="2"/>
          </rPr>
          <t>AJ: from F10 update</t>
        </r>
        <r>
          <rPr>
            <sz val="8"/>
            <color indexed="81"/>
            <rFont val="Tahoma"/>
            <family val="2"/>
          </rPr>
          <t xml:space="preserve">
</t>
        </r>
      </text>
    </comment>
    <comment ref="AM205" authorId="2">
      <text>
        <r>
          <rPr>
            <b/>
            <sz val="9"/>
            <color indexed="81"/>
            <rFont val="Tahoma"/>
            <family val="2"/>
          </rPr>
          <t>Moh, Angela (Research):</t>
        </r>
        <r>
          <rPr>
            <sz val="9"/>
            <color indexed="81"/>
            <rFont val="Tahoma"/>
            <family val="2"/>
          </rPr>
          <t xml:space="preserve">
lower Yoy cuz taobao grew faster and Taobao is more PC and lower monet rate</t>
        </r>
      </text>
    </comment>
    <comment ref="AP205" authorId="2">
      <text>
        <r>
          <rPr>
            <b/>
            <sz val="9"/>
            <color indexed="81"/>
            <rFont val="Tahoma"/>
            <family val="2"/>
          </rPr>
          <t>Moh, Angela (Research):</t>
        </r>
        <r>
          <rPr>
            <sz val="9"/>
            <color indexed="81"/>
            <rFont val="Tahoma"/>
            <family val="2"/>
          </rPr>
          <t xml:space="preserve">
so 1Q,2Q,4Q more similar</t>
        </r>
      </text>
    </comment>
    <comment ref="G206" authorId="5">
      <text>
        <r>
          <rPr>
            <b/>
            <sz val="8"/>
            <color indexed="81"/>
            <rFont val="Tahoma"/>
            <family val="2"/>
          </rPr>
          <t>moha:</t>
        </r>
        <r>
          <rPr>
            <sz val="8"/>
            <color indexed="81"/>
            <rFont val="Tahoma"/>
            <family val="2"/>
          </rPr>
          <t xml:space="preserve">
didn't start doing ads until dec 2013</t>
        </r>
      </text>
    </comment>
    <comment ref="H206" authorId="6">
      <text>
        <r>
          <rPr>
            <b/>
            <sz val="9"/>
            <color indexed="81"/>
            <rFont val="Tahoma"/>
            <family val="2"/>
          </rPr>
          <t>Lin, Robert (Research):</t>
        </r>
        <r>
          <rPr>
            <sz val="9"/>
            <color indexed="81"/>
            <rFont val="Tahoma"/>
            <family val="2"/>
          </rPr>
          <t xml:space="preserve">
- more tmall transac help as higher monet rate 
- incr ad inv sold - doing more customization, lev data 
- world cup - lottery help in 1Q and part of 2Q - near 10bps boost for 1H</t>
        </r>
      </text>
    </comment>
    <comment ref="AL206" authorId="2">
      <text>
        <r>
          <rPr>
            <b/>
            <sz val="9"/>
            <color indexed="81"/>
            <rFont val="Tahoma"/>
            <family val="2"/>
          </rPr>
          <t>Moh, Angela (Research):</t>
        </r>
        <r>
          <rPr>
            <sz val="9"/>
            <color indexed="81"/>
            <rFont val="Tahoma"/>
            <family val="2"/>
          </rPr>
          <t xml:space="preserve">
would've been 1.4% excl lottery which was boosted by world cup
lottery is low SD% of GMV.  
If assume 3%, implied lottery comiission is 4.4%
if 2%, =&gt; 5.9%</t>
        </r>
      </text>
    </comment>
    <comment ref="AM206" authorId="2">
      <text>
        <r>
          <rPr>
            <b/>
            <sz val="9"/>
            <color indexed="81"/>
            <rFont val="Tahoma"/>
            <family val="2"/>
          </rPr>
          <t>Moh, Angela (Research):</t>
        </r>
        <r>
          <rPr>
            <sz val="9"/>
            <color indexed="81"/>
            <rFont val="Tahoma"/>
            <family val="2"/>
          </rPr>
          <t xml:space="preserve">
still some world cup impact in july - so lottery sales still strong</t>
        </r>
      </text>
    </comment>
    <comment ref="AL207" authorId="6">
      <text>
        <r>
          <rPr>
            <b/>
            <sz val="9"/>
            <color indexed="81"/>
            <rFont val="Tahoma"/>
            <family val="2"/>
          </rPr>
          <t>Lin, Robert (Research):</t>
        </r>
        <r>
          <rPr>
            <sz val="9"/>
            <color indexed="81"/>
            <rFont val="Tahoma"/>
            <family val="2"/>
          </rPr>
          <t xml:space="preserve">
slight uptick in rate due to higher GMV contribution from Tmall. lottery commission income during world cup higher growth in commission revenue.  Partially offset by higher mobile GMV which monetize at lower rate than PC.
Lottery sales up alot too due to world cup.
 lottery has higher commission</t>
        </r>
      </text>
    </comment>
    <comment ref="AB224" authorId="4">
      <text>
        <r>
          <rPr>
            <b/>
            <sz val="9"/>
            <color indexed="81"/>
            <rFont val="Tahoma"/>
            <family val="2"/>
          </rPr>
          <t>Zhang, Elaine (Research):</t>
        </r>
        <r>
          <rPr>
            <sz val="9"/>
            <color indexed="81"/>
            <rFont val="Tahoma"/>
            <family val="2"/>
          </rPr>
          <t xml:space="preserve">
2011/12 quarterly number is from old model calculation results (based on old reporting)</t>
        </r>
      </text>
    </comment>
    <comment ref="AL225" authorId="2">
      <text>
        <r>
          <rPr>
            <b/>
            <sz val="9"/>
            <color indexed="81"/>
            <rFont val="Tahoma"/>
            <family val="2"/>
          </rPr>
          <t>Moh, Angela (Research):</t>
        </r>
        <r>
          <rPr>
            <sz val="9"/>
            <color indexed="81"/>
            <rFont val="Tahoma"/>
            <family val="2"/>
          </rPr>
          <t xml:space="preserve">
good grwoth in paying members + incr in ARPU as hv more premium package offer to china trustpass customers</t>
        </r>
      </text>
    </comment>
    <comment ref="AM225" authorId="2">
      <text>
        <r>
          <rPr>
            <b/>
            <sz val="9"/>
            <color indexed="81"/>
            <rFont val="Tahoma"/>
            <family val="2"/>
          </rPr>
          <t>Moh, Angela (Research):</t>
        </r>
        <r>
          <rPr>
            <sz val="9"/>
            <color indexed="81"/>
            <rFont val="Tahoma"/>
            <family val="2"/>
          </rPr>
          <t xml:space="preserve">
incr in paying members and avg rev</t>
        </r>
      </text>
    </comment>
    <comment ref="B231" authorId="4">
      <text>
        <r>
          <rPr>
            <b/>
            <sz val="9"/>
            <color indexed="81"/>
            <rFont val="Tahoma"/>
            <family val="2"/>
          </rPr>
          <t>Zhang, Elaine (Research):</t>
        </r>
        <r>
          <rPr>
            <sz val="9"/>
            <color indexed="81"/>
            <rFont val="Tahoma"/>
            <family val="2"/>
          </rPr>
          <t xml:space="preserve">
Revenue from commission (mainly) and marketing services</t>
        </r>
      </text>
    </comment>
    <comment ref="G233" authorId="5">
      <text>
        <r>
          <rPr>
            <b/>
            <sz val="8"/>
            <color indexed="81"/>
            <rFont val="Tahoma"/>
            <family val="2"/>
          </rPr>
          <t>moha:</t>
        </r>
        <r>
          <rPr>
            <sz val="8"/>
            <color indexed="81"/>
            <rFont val="Tahoma"/>
            <family val="2"/>
          </rPr>
          <t xml:space="preserve">
incr in #buyers from brazil, russia, US</t>
        </r>
      </text>
    </comment>
    <comment ref="AL233" authorId="2">
      <text>
        <r>
          <rPr>
            <b/>
            <sz val="9"/>
            <color indexed="81"/>
            <rFont val="Tahoma"/>
            <family val="2"/>
          </rPr>
          <t>Moh, Angela (Research):</t>
        </r>
        <r>
          <rPr>
            <sz val="9"/>
            <color indexed="81"/>
            <rFont val="Tahoma"/>
            <family val="2"/>
          </rPr>
          <t xml:space="preserve">
incr in buyers from Russia, brazil, us
russia - political uncert and some customs duty impact
brazil - strikes around world cup some impact on deliveries
slightly weaker than company expectation</t>
        </r>
      </text>
    </comment>
    <comment ref="G237" authorId="7">
      <text>
        <r>
          <rPr>
            <b/>
            <sz val="9"/>
            <color indexed="81"/>
            <rFont val="Tahoma"/>
            <family val="2"/>
          </rPr>
          <t>Cao, Claire (Research):</t>
        </r>
        <r>
          <rPr>
            <sz val="9"/>
            <color indexed="81"/>
            <rFont val="Tahoma"/>
            <family val="2"/>
          </rPr>
          <t xml:space="preserve">
For 12m ended Mar 31, 2014, AliExpress GMV settled through Alipay is US$2.4bn</t>
        </r>
      </text>
    </comment>
    <comment ref="B247" authorId="2">
      <text>
        <r>
          <rPr>
            <b/>
            <sz val="9"/>
            <color indexed="81"/>
            <rFont val="Tahoma"/>
            <family val="2"/>
          </rPr>
          <t>Moh, Angela (Research):</t>
        </r>
        <r>
          <rPr>
            <sz val="9"/>
            <color indexed="81"/>
            <rFont val="Tahoma"/>
            <family val="2"/>
          </rPr>
          <t xml:space="preserve">
this is estimate using rev/5% take rate. (GNV settled through AliPay)
rev also includes some rev from 3rd party mktg affiliate. 
So actual GMV likely a little smaller than this calc 
</t>
        </r>
      </text>
    </comment>
    <comment ref="G247" authorId="3">
      <text>
        <r>
          <rPr>
            <b/>
            <sz val="9"/>
            <color indexed="81"/>
            <rFont val="Tahoma"/>
            <family val="2"/>
          </rPr>
          <t>Amanda Chen:</t>
        </r>
        <r>
          <rPr>
            <sz val="9"/>
            <color indexed="81"/>
            <rFont val="Tahoma"/>
            <family val="2"/>
          </rPr>
          <t xml:space="preserve">
In fiscal year 2014, 65% of GMV generated on AliExpress was settled through Alipay.</t>
        </r>
      </text>
    </comment>
    <comment ref="J250" authorId="4">
      <text>
        <r>
          <rPr>
            <b/>
            <sz val="9"/>
            <color indexed="81"/>
            <rFont val="Tahoma"/>
            <family val="2"/>
          </rPr>
          <t>Zhang, Elaine (Research):</t>
        </r>
        <r>
          <rPr>
            <sz val="9"/>
            <color indexed="81"/>
            <rFont val="Tahoma"/>
            <family val="2"/>
          </rPr>
          <t xml:space="preserve">
5-8% commission for AliExpress, not disclosed for Lazada</t>
        </r>
      </text>
    </comment>
    <comment ref="H255" authorId="5">
      <text>
        <r>
          <rPr>
            <b/>
            <sz val="8"/>
            <color indexed="81"/>
            <rFont val="Tahoma"/>
            <family val="2"/>
          </rPr>
          <t>moha:</t>
        </r>
        <r>
          <rPr>
            <sz val="8"/>
            <color indexed="81"/>
            <rFont val="Tahoma"/>
            <family val="2"/>
          </rPr>
          <t xml:space="preserve">
driven by more VAS, vs. before more just membership</t>
        </r>
      </text>
    </comment>
    <comment ref="B260" authorId="3">
      <text>
        <r>
          <rPr>
            <b/>
            <sz val="9"/>
            <color indexed="81"/>
            <rFont val="Tahoma"/>
            <family val="2"/>
          </rPr>
          <t>Amanda Chen:</t>
        </r>
        <r>
          <rPr>
            <sz val="9"/>
            <color indexed="81"/>
            <rFont val="Tahoma"/>
            <family val="2"/>
          </rPr>
          <t xml:space="preserve">
primarily generated from the sale of Gold Supplier memberships on Alibaba.com, which allow wholesalers to host premium storefronts, with
product listings on the marketplace, as well as value−added services, such as product showcase, custom clearance, VAT, refund and other import/export business solutions.</t>
        </r>
      </text>
    </comment>
    <comment ref="F260" authorId="2">
      <text>
        <r>
          <rPr>
            <b/>
            <sz val="9"/>
            <color indexed="81"/>
            <rFont val="Tahoma"/>
            <family val="2"/>
          </rPr>
          <t>Moh, Angela (Research):</t>
        </r>
        <r>
          <rPr>
            <sz val="9"/>
            <color indexed="81"/>
            <rFont val="Tahoma"/>
            <family val="2"/>
          </rPr>
          <t xml:space="preserve">
per prospectus aug 12'14 [110]</t>
        </r>
      </text>
    </comment>
    <comment ref="G266" authorId="5">
      <text>
        <r>
          <rPr>
            <b/>
            <sz val="8"/>
            <color indexed="81"/>
            <rFont val="Tahoma"/>
            <family val="2"/>
          </rPr>
          <t>moha:</t>
        </r>
        <r>
          <rPr>
            <sz val="8"/>
            <color indexed="81"/>
            <rFont val="Tahoma"/>
            <family val="2"/>
          </rPr>
          <t xml:space="preserve">
slight incr per prospectus as export slow</t>
        </r>
      </text>
    </comment>
    <comment ref="H266" authorId="5">
      <text>
        <r>
          <rPr>
            <b/>
            <sz val="8"/>
            <color indexed="81"/>
            <rFont val="Tahoma"/>
            <family val="2"/>
          </rPr>
          <t>moha:</t>
        </r>
        <r>
          <rPr>
            <sz val="8"/>
            <color indexed="81"/>
            <rFont val="Tahoma"/>
            <family val="2"/>
          </rPr>
          <t xml:space="preserve">
export still rel slow
mgmt guide slight growth</t>
        </r>
      </text>
    </comment>
    <comment ref="AL266" authorId="2">
      <text>
        <r>
          <rPr>
            <b/>
            <sz val="9"/>
            <color indexed="81"/>
            <rFont val="Tahoma"/>
            <family val="2"/>
          </rPr>
          <t>Moh, Angela (Research):</t>
        </r>
        <r>
          <rPr>
            <sz val="9"/>
            <color indexed="81"/>
            <rFont val="Tahoma"/>
            <family val="2"/>
          </rPr>
          <t xml:space="preserve">
per co growth in rev mainly from incr in # paying members</t>
        </r>
      </text>
    </comment>
    <comment ref="F269" authorId="5">
      <text>
        <r>
          <rPr>
            <b/>
            <sz val="8"/>
            <color indexed="81"/>
            <rFont val="Tahoma"/>
            <family val="2"/>
          </rPr>
          <t>moha:</t>
        </r>
        <r>
          <rPr>
            <sz val="8"/>
            <color indexed="81"/>
            <rFont val="Tahoma"/>
            <family val="2"/>
          </rPr>
          <t xml:space="preserve">
chg ITC to Glbal Gold suppliers - so rates went up</t>
        </r>
      </text>
    </comment>
    <comment ref="B273" authorId="3">
      <text>
        <r>
          <rPr>
            <b/>
            <sz val="9"/>
            <color indexed="81"/>
            <rFont val="Tahoma"/>
            <family val="2"/>
          </rPr>
          <t>Amanda Chen:</t>
        </r>
        <r>
          <rPr>
            <sz val="9"/>
            <color indexed="81"/>
            <rFont val="Tahoma"/>
            <family val="2"/>
          </rPr>
          <t xml:space="preserve">
primarily from P4P marketing services</t>
        </r>
      </text>
    </comment>
    <comment ref="H276" authorId="5">
      <text>
        <r>
          <rPr>
            <b/>
            <sz val="8"/>
            <color indexed="81"/>
            <rFont val="Tahoma"/>
            <family val="2"/>
          </rPr>
          <t>moha:</t>
        </r>
        <r>
          <rPr>
            <sz val="8"/>
            <color indexed="81"/>
            <rFont val="Tahoma"/>
            <family val="2"/>
          </rPr>
          <t xml:space="preserve">
per co. increase as do more new VAS stuff after consolidate One Touch vs. mainly membership before helping exporters get VAT rebate </t>
        </r>
      </text>
    </comment>
    <comment ref="B288" authorId="4">
      <text>
        <r>
          <rPr>
            <b/>
            <sz val="9"/>
            <color indexed="81"/>
            <rFont val="Tahoma"/>
            <family val="2"/>
          </rPr>
          <t>Zhang, Elaine (Research):</t>
        </r>
        <r>
          <rPr>
            <sz val="9"/>
            <color indexed="81"/>
            <rFont val="Tahoma"/>
            <family val="2"/>
          </rPr>
          <t xml:space="preserve">
Revenue from cloud computing and Internet infrastructure is primarily generated from the provision of services, such as data storage, elastic computing, database and large scale computing services, as well as web hosting and domain name registration.</t>
        </r>
      </text>
    </comment>
    <comment ref="G289" authorId="5">
      <text>
        <r>
          <rPr>
            <b/>
            <sz val="8"/>
            <color indexed="81"/>
            <rFont val="Tahoma"/>
            <family val="2"/>
          </rPr>
          <t>moha:</t>
        </r>
        <r>
          <rPr>
            <sz val="8"/>
            <color indexed="81"/>
            <rFont val="Tahoma"/>
            <family val="2"/>
          </rPr>
          <t xml:space="preserve">
per wallace, around 80% of rev is actually domain name leasing. So cloud is tiny now</t>
        </r>
      </text>
    </comment>
    <comment ref="H290" authorId="5">
      <text>
        <r>
          <rPr>
            <b/>
            <sz val="8"/>
            <color indexed="81"/>
            <rFont val="Tahoma"/>
            <family val="2"/>
          </rPr>
          <t>moha:</t>
        </r>
        <r>
          <rPr>
            <sz val="8"/>
            <color indexed="81"/>
            <rFont val="Tahoma"/>
            <family val="2"/>
          </rPr>
          <t xml:space="preserve">
rising adoption + improvement in services</t>
        </r>
      </text>
    </comment>
    <comment ref="H295" authorId="8">
      <text>
        <r>
          <rPr>
            <b/>
            <sz val="9"/>
            <color indexed="81"/>
            <rFont val="Tahoma"/>
            <family val="2"/>
          </rPr>
          <t xml:space="preserve">Lin, Robert (Research):
</t>
        </r>
        <r>
          <rPr>
            <sz val="9"/>
            <color indexed="81"/>
            <rFont val="Tahoma"/>
            <family val="2"/>
          </rPr>
          <t xml:space="preserve">according to Aliyun fact sheet 1.4mn customers
</t>
        </r>
      </text>
    </comment>
    <comment ref="H297" authorId="5">
      <text>
        <r>
          <rPr>
            <b/>
            <sz val="8"/>
            <color indexed="81"/>
            <rFont val="Tahoma"/>
            <family val="2"/>
          </rPr>
          <t>moha:</t>
        </r>
        <r>
          <rPr>
            <sz val="8"/>
            <color indexed="81"/>
            <rFont val="Tahoma"/>
            <family val="2"/>
          </rPr>
          <t xml:space="preserve">
hv 8mn active merchants so addressable pool is high</t>
        </r>
      </text>
    </comment>
    <comment ref="I297" authorId="6">
      <text>
        <r>
          <rPr>
            <b/>
            <sz val="9"/>
            <color indexed="81"/>
            <rFont val="Tahoma"/>
            <family val="2"/>
          </rPr>
          <t>Lin, Robert (Research):</t>
        </r>
        <r>
          <rPr>
            <sz val="9"/>
            <color indexed="81"/>
            <rFont val="Tahoma"/>
            <family val="2"/>
          </rPr>
          <t xml:space="preserve">
2.3mn customers
500k paying customer</t>
        </r>
      </text>
    </comment>
    <comment ref="J297" authorId="6">
      <text>
        <r>
          <rPr>
            <b/>
            <sz val="9"/>
            <color indexed="81"/>
            <rFont val="Tahoma"/>
            <family val="2"/>
          </rPr>
          <t>Lin, Robert (Research):</t>
        </r>
        <r>
          <rPr>
            <sz val="9"/>
            <color indexed="81"/>
            <rFont val="Tahoma"/>
            <family val="2"/>
          </rPr>
          <t xml:space="preserve">
2.3mn customers
500k paying customer</t>
        </r>
      </text>
    </comment>
    <comment ref="J315" authorId="4">
      <text>
        <r>
          <rPr>
            <b/>
            <sz val="9"/>
            <color indexed="81"/>
            <rFont val="Tahoma"/>
            <family val="2"/>
          </rPr>
          <t>Zhang, Elaine (Research):</t>
        </r>
        <r>
          <rPr>
            <sz val="9"/>
            <color indexed="81"/>
            <rFont val="Tahoma"/>
            <family val="2"/>
          </rPr>
          <t xml:space="preserve">
UC contribution over 50%</t>
        </r>
      </text>
    </comment>
    <comment ref="K315" authorId="4">
      <text>
        <r>
          <rPr>
            <b/>
            <sz val="9"/>
            <color indexed="81"/>
            <rFont val="Tahoma"/>
            <family val="2"/>
          </rPr>
          <t>Zhang, Elaine (Research):</t>
        </r>
        <r>
          <rPr>
            <sz val="9"/>
            <color indexed="81"/>
            <rFont val="Tahoma"/>
            <family val="2"/>
          </rPr>
          <t xml:space="preserve">
per ir, revenue from Youku vs others around 50/50</t>
        </r>
      </text>
    </comment>
    <comment ref="B324" authorId="4">
      <text>
        <r>
          <rPr>
            <b/>
            <sz val="9"/>
            <color indexed="81"/>
            <rFont val="Tahoma"/>
            <family val="2"/>
          </rPr>
          <t>Zhang, Elaine (Research):</t>
        </r>
        <r>
          <rPr>
            <sz val="9"/>
            <color indexed="81"/>
            <rFont val="Tahoma"/>
            <family val="2"/>
          </rPr>
          <t xml:space="preserve">
count the loan fee from Ant since Feb 15 when completing SME business trasfer to Ant. Previously the income was counted in interest income</t>
        </r>
      </text>
    </comment>
    <comment ref="B325" authorId="2">
      <text>
        <r>
          <rPr>
            <b/>
            <sz val="9"/>
            <color indexed="81"/>
            <rFont val="Tahoma"/>
            <family val="2"/>
          </rPr>
          <t>Moh, Angela (Research):</t>
        </r>
        <r>
          <rPr>
            <sz val="9"/>
            <color indexed="81"/>
            <rFont val="Tahoma"/>
            <family val="2"/>
          </rPr>
          <t xml:space="preserve">
2.5% for c2015-c2017 2.5% of avg daily bal
2018-2021 = flat 2017 amt
</t>
        </r>
      </text>
    </comment>
    <comment ref="H327" authorId="2">
      <text>
        <r>
          <rPr>
            <b/>
            <sz val="9"/>
            <color indexed="81"/>
            <rFont val="Tahoma"/>
            <family val="2"/>
          </rPr>
          <t>Moh, Angela (Research):</t>
        </r>
        <r>
          <rPr>
            <sz val="9"/>
            <color indexed="81"/>
            <rFont val="Tahoma"/>
            <family val="2"/>
          </rPr>
          <t xml:space="preserve">
also refer ton Ali SMF Model Master.xlsm</t>
        </r>
      </text>
    </comment>
    <comment ref="B329" authorId="5">
      <text>
        <r>
          <rPr>
            <b/>
            <sz val="8"/>
            <color indexed="81"/>
            <rFont val="Tahoma"/>
            <family val="2"/>
          </rPr>
          <t>moha:</t>
        </r>
        <r>
          <rPr>
            <sz val="8"/>
            <color indexed="81"/>
            <rFont val="Tahoma"/>
            <family val="2"/>
          </rPr>
          <t xml:space="preserve">
royalty and software tech serv fee = sum of exp reimb +49.9% of consol pre tax income of alipay
post AUG 2014 restruc - 37.5% share of pretax profit of SMF or Ant Financial</t>
        </r>
      </text>
    </comment>
    <comment ref="G329" authorId="5">
      <text>
        <r>
          <rPr>
            <b/>
            <sz val="8"/>
            <color indexed="81"/>
            <rFont val="Tahoma"/>
            <family val="2"/>
          </rPr>
          <t>moha:</t>
        </r>
        <r>
          <rPr>
            <sz val="8"/>
            <color indexed="81"/>
            <rFont val="Tahoma"/>
            <family val="2"/>
          </rPr>
          <t xml:space="preserve">
jun 16 F-1 [224]
incl around 700mn one off recog of prior accrued payable on intrest on escrow pmt - regulators say ok to treat as own income</t>
        </r>
      </text>
    </comment>
    <comment ref="H329" authorId="5">
      <text>
        <r>
          <rPr>
            <b/>
            <sz val="8"/>
            <color indexed="81"/>
            <rFont val="Tahoma"/>
            <family val="2"/>
          </rPr>
          <t>moha:</t>
        </r>
        <r>
          <rPr>
            <sz val="8"/>
            <color indexed="81"/>
            <rFont val="Tahoma"/>
            <family val="2"/>
          </rPr>
          <t xml:space="preserve">
excl 700 from escrow interest in F14</t>
        </r>
      </text>
    </comment>
    <comment ref="AK329" authorId="6">
      <text>
        <r>
          <rPr>
            <b/>
            <sz val="9"/>
            <color indexed="81"/>
            <rFont val="Tahoma"/>
            <family val="2"/>
          </rPr>
          <t>Lin, Robert (Research):</t>
        </r>
        <r>
          <rPr>
            <sz val="9"/>
            <color indexed="81"/>
            <rFont val="Tahoma"/>
            <family val="2"/>
          </rPr>
          <t xml:space="preserve">
exclude 700mn of 1x interest accrued</t>
        </r>
      </text>
    </comment>
    <comment ref="AN329" authorId="2">
      <text>
        <r>
          <rPr>
            <b/>
            <sz val="9"/>
            <color indexed="81"/>
            <rFont val="Tahoma"/>
            <family val="2"/>
          </rPr>
          <t>Moh, Angela (Research):</t>
        </r>
        <r>
          <rPr>
            <sz val="9"/>
            <color indexed="81"/>
            <rFont val="Tahoma"/>
            <family val="2"/>
          </rPr>
          <t xml:space="preserve">
alipay 12.12 subsidy to get users - see GMV details sheet</t>
        </r>
      </text>
    </comment>
    <comment ref="B337" authorId="5">
      <text>
        <r>
          <rPr>
            <b/>
            <sz val="8"/>
            <color indexed="81"/>
            <rFont val="Tahoma"/>
            <family val="2"/>
          </rPr>
          <t>moha:</t>
        </r>
        <r>
          <rPr>
            <sz val="8"/>
            <color indexed="81"/>
            <rFont val="Tahoma"/>
            <family val="2"/>
          </rPr>
          <t xml:space="preserve">
- pmt processing fee to Alipay/ other financial instit
- traffic acquis cost to 3rd party mktg affiliates at fixed price or % rev
- exp assoc with oper of websites
- depr and maint for hardware
- salary, comp, SBC for cust service and web oper ppl
- unit volume driven rebates
- biz tax
- allowance for doubtful accts for micro loans
 </t>
        </r>
      </text>
    </comment>
    <comment ref="B344" authorId="5">
      <text>
        <r>
          <rPr>
            <b/>
            <sz val="8"/>
            <color indexed="81"/>
            <rFont val="Tahoma"/>
            <family val="2"/>
          </rPr>
          <t>moha:</t>
        </r>
        <r>
          <rPr>
            <sz val="8"/>
            <color indexed="81"/>
            <rFont val="Tahoma"/>
            <family val="2"/>
          </rPr>
          <t xml:space="preserve">
- salaries, bonues, benefits and share-based compensation exp for R&amp;D ppl
- royalty feees paid to Yahoo per Yahoo TIPLA - terminate post IPO </t>
        </r>
      </text>
    </comment>
    <comment ref="B345" authorId="5">
      <text>
        <r>
          <rPr>
            <b/>
            <sz val="8"/>
            <color indexed="81"/>
            <rFont val="Tahoma"/>
            <family val="2"/>
          </rPr>
          <t>moha:</t>
        </r>
        <r>
          <rPr>
            <sz val="8"/>
            <color indexed="81"/>
            <rFont val="Tahoma"/>
            <family val="2"/>
          </rPr>
          <t xml:space="preserve">
- online, offline mktg, promo, sales commissions for membership acquis for wholesale mktplace
- salaries, benef for mktg ppl</t>
        </r>
      </text>
    </comment>
    <comment ref="B346" authorId="5">
      <text>
        <r>
          <rPr>
            <b/>
            <sz val="8"/>
            <color indexed="81"/>
            <rFont val="Tahoma"/>
            <family val="2"/>
          </rPr>
          <t>moha:</t>
        </r>
        <r>
          <rPr>
            <sz val="8"/>
            <color indexed="81"/>
            <rFont val="Tahoma"/>
            <family val="2"/>
          </rPr>
          <t xml:space="preserve">
- salareis, bonuses, 
benefits, share based comp
- prof service fees, overhead, charity contrib</t>
        </r>
      </text>
    </comment>
    <comment ref="G346" authorId="3">
      <text>
        <r>
          <rPr>
            <b/>
            <sz val="9"/>
            <color indexed="81"/>
            <rFont val="Tahoma"/>
            <family val="2"/>
          </rPr>
          <t>Amanda Chen:</t>
        </r>
        <r>
          <rPr>
            <sz val="9"/>
            <color indexed="81"/>
            <rFont val="Tahoma"/>
            <family val="2"/>
          </rPr>
          <t xml:space="preserve">
In FY2014, G&amp;A expenses included an equity−settled donation expense of RMB1,269 mn relating to the grant of options to purchase 50,000,000 of ordinary shares to a non−profit organization designated by Jack Ma and Joe Tsai.</t>
        </r>
      </text>
    </comment>
    <comment ref="B353" authorId="5">
      <text>
        <r>
          <rPr>
            <b/>
            <sz val="8"/>
            <color indexed="81"/>
            <rFont val="Tahoma"/>
            <family val="2"/>
          </rPr>
          <t>moha:</t>
        </r>
        <r>
          <rPr>
            <sz val="8"/>
            <color indexed="81"/>
            <rFont val="Tahoma"/>
            <family val="2"/>
          </rPr>
          <t xml:space="preserve">
amended TIPLA sep 2012 - made lump sum pmt of US$550mn - reflected as US$561mn due to FX translation</t>
        </r>
      </text>
    </comment>
    <comment ref="F353" authorId="5">
      <text>
        <r>
          <rPr>
            <b/>
            <sz val="8"/>
            <color indexed="81"/>
            <rFont val="Tahoma"/>
            <family val="2"/>
          </rPr>
          <t>moha:</t>
        </r>
        <r>
          <rPr>
            <sz val="8"/>
            <color indexed="81"/>
            <rFont val="Tahoma"/>
            <family val="2"/>
          </rPr>
          <t xml:space="preserve">
US$550mn lump sum pmt to Yhoo for amendment of TIPLA in sep 2012</t>
        </r>
      </text>
    </comment>
    <comment ref="H356" authorId="5">
      <text>
        <r>
          <rPr>
            <b/>
            <sz val="8"/>
            <color indexed="81"/>
            <rFont val="Tahoma"/>
            <family val="2"/>
          </rPr>
          <t>moha:</t>
        </r>
        <r>
          <rPr>
            <sz val="8"/>
            <color indexed="81"/>
            <rFont val="Tahoma"/>
            <family val="2"/>
          </rPr>
          <t xml:space="preserve">
incl reval gain</t>
        </r>
      </text>
    </comment>
    <comment ref="B358" authorId="5">
      <text>
        <r>
          <rPr>
            <b/>
            <sz val="8"/>
            <color indexed="81"/>
            <rFont val="Tahoma"/>
            <family val="2"/>
          </rPr>
          <t>moha:</t>
        </r>
        <r>
          <rPr>
            <sz val="8"/>
            <color indexed="81"/>
            <rFont val="Tahoma"/>
            <family val="2"/>
          </rPr>
          <t xml:space="preserve">
- royalty fees and software tech serv fees paid by Alipay
- govt grants</t>
        </r>
      </text>
    </comment>
    <comment ref="H360" authorId="3">
      <text>
        <r>
          <rPr>
            <b/>
            <sz val="9"/>
            <color indexed="81"/>
            <rFont val="Tahoma"/>
            <family val="2"/>
          </rPr>
          <t>Amanda Chen:</t>
        </r>
        <r>
          <rPr>
            <sz val="9"/>
            <color indexed="81"/>
            <rFont val="Tahoma"/>
            <family val="2"/>
          </rPr>
          <t xml:space="preserve">
use adjusted tax rate, excluding sbc and other non-cash gains</t>
        </r>
      </text>
    </comment>
    <comment ref="K365" authorId="4">
      <text>
        <r>
          <rPr>
            <b/>
            <sz val="9"/>
            <color indexed="81"/>
            <rFont val="Tahoma"/>
            <family val="2"/>
          </rPr>
          <t>Zhang, Elaine (Research):</t>
        </r>
        <r>
          <rPr>
            <sz val="9"/>
            <color indexed="81"/>
            <rFont val="Tahoma"/>
            <family val="2"/>
          </rPr>
          <t xml:space="preserve">
reflected Sun Art equity interest of 0.8bn per year (quarterly start to factor in F1Q19)</t>
        </r>
      </text>
    </comment>
    <comment ref="BB365" authorId="4">
      <text>
        <r>
          <rPr>
            <b/>
            <sz val="9"/>
            <color indexed="81"/>
            <rFont val="Tahoma"/>
            <family val="2"/>
          </rPr>
          <t>Zhang, Elaine (Research):</t>
        </r>
        <r>
          <rPr>
            <sz val="9"/>
            <color indexed="81"/>
            <rFont val="Tahoma"/>
            <family val="2"/>
          </rPr>
          <t xml:space="preserve">
start to have Ant as equity investee profits</t>
        </r>
      </text>
    </comment>
    <comment ref="H373" authorId="5">
      <text>
        <r>
          <rPr>
            <b/>
            <sz val="8"/>
            <color indexed="81"/>
            <rFont val="Tahoma"/>
            <family val="2"/>
          </rPr>
          <t>moha:</t>
        </r>
        <r>
          <rPr>
            <sz val="8"/>
            <color indexed="81"/>
            <rFont val="Tahoma"/>
            <family val="2"/>
          </rPr>
          <t xml:space="preserve">
China Vision - kcik in 3Q
</t>
        </r>
      </text>
    </comment>
    <comment ref="K373" authorId="4">
      <text>
        <r>
          <rPr>
            <b/>
            <sz val="9"/>
            <color indexed="81"/>
            <rFont val="Tahoma"/>
            <family val="2"/>
          </rPr>
          <t>Zhang, Elaine (Research):</t>
        </r>
        <r>
          <rPr>
            <sz val="9"/>
            <color indexed="81"/>
            <rFont val="Tahoma"/>
            <family val="2"/>
          </rPr>
          <t xml:space="preserve">
origianl 3135mn, add 1000 Cainiao loss (50% of 2000)</t>
        </r>
      </text>
    </comment>
    <comment ref="H386" authorId="2">
      <text>
        <r>
          <rPr>
            <b/>
            <sz val="9"/>
            <color indexed="81"/>
            <rFont val="Tahoma"/>
            <family val="2"/>
          </rPr>
          <t>Moh, Angela (Research):</t>
        </r>
        <r>
          <rPr>
            <sz val="9"/>
            <color indexed="81"/>
            <rFont val="Tahoma"/>
            <family val="2"/>
          </rPr>
          <t xml:space="preserve">
match shareholding! G30</t>
        </r>
      </text>
    </comment>
    <comment ref="B474" authorId="5">
      <text>
        <r>
          <rPr>
            <b/>
            <sz val="8"/>
            <color indexed="81"/>
            <rFont val="Tahoma"/>
            <family val="2"/>
          </rPr>
          <t>moha:</t>
        </r>
        <r>
          <rPr>
            <sz val="8"/>
            <color indexed="81"/>
            <rFont val="Tahoma"/>
            <family val="2"/>
          </rPr>
          <t xml:space="preserve">
usually 4 yr vesting sched
- first yr 25% vesting
- or 50% second yr
- 25% thereafter each yr</t>
        </r>
      </text>
    </comment>
    <comment ref="G505" authorId="4">
      <text>
        <r>
          <rPr>
            <b/>
            <sz val="9"/>
            <color indexed="81"/>
            <rFont val="Tahoma"/>
            <family val="2"/>
          </rPr>
          <t>Zhang, Elaine (Research):</t>
        </r>
        <r>
          <rPr>
            <sz val="9"/>
            <color indexed="81"/>
            <rFont val="Tahoma"/>
            <family val="2"/>
          </rPr>
          <t xml:space="preserve">
one-off 1269 equity-settled donation expense</t>
        </r>
      </text>
    </comment>
    <comment ref="AJ505" authorId="4">
      <text>
        <r>
          <rPr>
            <b/>
            <sz val="9"/>
            <color indexed="81"/>
            <rFont val="Tahoma"/>
            <family val="2"/>
          </rPr>
          <t>Zhang, Elaine (Research):</t>
        </r>
        <r>
          <rPr>
            <sz val="9"/>
            <color indexed="81"/>
            <rFont val="Tahoma"/>
            <family val="2"/>
          </rPr>
          <t xml:space="preserve">
one-off 1269 equity-settled donation expense</t>
        </r>
      </text>
    </comment>
    <comment ref="Y564" authorId="4">
      <text>
        <r>
          <rPr>
            <b/>
            <sz val="9"/>
            <color indexed="81"/>
            <rFont val="Tahoma"/>
            <family val="2"/>
          </rPr>
          <t>Zhang, Elaine (Research):</t>
        </r>
        <r>
          <rPr>
            <sz val="9"/>
            <color indexed="81"/>
            <rFont val="Tahoma"/>
            <family val="2"/>
          </rPr>
          <t xml:space="preserve">
estimated numbers, see old model</t>
        </r>
      </text>
    </comment>
    <comment ref="AL565" authorId="6">
      <text>
        <r>
          <rPr>
            <b/>
            <sz val="9"/>
            <color indexed="81"/>
            <rFont val="Tahoma"/>
            <family val="2"/>
          </rPr>
          <t>Lin, Robert (Research):</t>
        </r>
        <r>
          <rPr>
            <sz val="9"/>
            <color indexed="81"/>
            <rFont val="Tahoma"/>
            <family val="2"/>
          </rPr>
          <t xml:space="preserve">
2/3 cloud and 1/3 other infra biz</t>
        </r>
      </text>
    </comment>
    <comment ref="G570" authorId="5">
      <text>
        <r>
          <rPr>
            <b/>
            <sz val="8"/>
            <color indexed="81"/>
            <rFont val="Tahoma"/>
            <family val="2"/>
          </rPr>
          <t>moha:</t>
        </r>
        <r>
          <rPr>
            <sz val="8"/>
            <color indexed="81"/>
            <rFont val="Tahoma"/>
            <family val="2"/>
          </rPr>
          <t xml:space="preserve">
- 755 incr from higher interest rate and cash balance
- 243 decr in FX loss due to exchg gain from FX denom deposit
- 308 incr from disposal of investment</t>
        </r>
      </text>
    </comment>
    <comment ref="AP571" authorId="6">
      <text>
        <r>
          <rPr>
            <b/>
            <sz val="9"/>
            <color indexed="81"/>
            <rFont val="Tahoma"/>
            <family val="2"/>
          </rPr>
          <t>Lin, Robert (Research):</t>
        </r>
        <r>
          <rPr>
            <sz val="9"/>
            <color indexed="81"/>
            <rFont val="Tahoma"/>
            <family val="2"/>
          </rPr>
          <t xml:space="preserve">
1.4bn due to FV of CB change so int income was about 1-1.2bn</t>
        </r>
      </text>
    </comment>
    <comment ref="I572" authorId="4">
      <text>
        <r>
          <rPr>
            <b/>
            <sz val="9"/>
            <color indexed="81"/>
            <rFont val="Tahoma"/>
            <family val="2"/>
          </rPr>
          <t>Zhang, Elaine (Research):</t>
        </r>
        <r>
          <rPr>
            <sz val="9"/>
            <color indexed="81"/>
            <rFont val="Tahoma"/>
            <family val="2"/>
          </rPr>
          <t xml:space="preserve">
non-cash deemed
disposal gain of RMB24,734 million (US$3,836 million) arising from the deconsolidation of Alibaba Pictures, a
non-cash gain of RMB18,603 million (US$2,885 million) from the revaluation of our previously held equity interest
in Alibaba Health when we obtained control over Alibaba Health in fiscal year 2016</t>
        </r>
      </text>
    </comment>
    <comment ref="I577" authorId="6">
      <text>
        <r>
          <rPr>
            <b/>
            <sz val="9"/>
            <color indexed="81"/>
            <rFont val="Tahoma"/>
            <family val="2"/>
          </rPr>
          <t>Lin, Robert (Research):</t>
        </r>
        <r>
          <rPr>
            <sz val="9"/>
            <color indexed="81"/>
            <rFont val="Tahoma"/>
            <family val="2"/>
          </rPr>
          <t xml:space="preserve">
830mn 1x charge</t>
        </r>
      </text>
    </comment>
    <comment ref="AS577" authorId="6">
      <text>
        <r>
          <rPr>
            <b/>
            <sz val="9"/>
            <color indexed="81"/>
            <rFont val="Tahoma"/>
            <family val="2"/>
          </rPr>
          <t>Lin, Robert (Research):</t>
        </r>
        <r>
          <rPr>
            <sz val="9"/>
            <color indexed="81"/>
            <rFont val="Tahoma"/>
            <family val="2"/>
          </rPr>
          <t xml:space="preserve">
830</t>
        </r>
      </text>
    </comment>
    <comment ref="AW577" authorId="6">
      <text>
        <r>
          <rPr>
            <b/>
            <sz val="9"/>
            <color indexed="81"/>
            <rFont val="Tahoma"/>
            <family val="2"/>
          </rPr>
          <t>Lin, Robert (Research):</t>
        </r>
        <r>
          <rPr>
            <sz val="9"/>
            <color indexed="81"/>
            <rFont val="Tahoma"/>
            <family val="2"/>
          </rPr>
          <t xml:space="preserve">
830</t>
        </r>
      </text>
    </comment>
    <comment ref="H579" authorId="2">
      <text>
        <r>
          <rPr>
            <b/>
            <sz val="9"/>
            <color indexed="81"/>
            <rFont val="Tahoma"/>
            <family val="2"/>
          </rPr>
          <t>Moh, Angela (Research):</t>
        </r>
        <r>
          <rPr>
            <sz val="9"/>
            <color indexed="81"/>
            <rFont val="Tahoma"/>
            <family val="2"/>
          </rPr>
          <t xml:space="preserve">
one off charge for finance related fees from early repmt of $8bn bank loan with $8bn notes issued</t>
        </r>
      </text>
    </comment>
    <comment ref="I579" authorId="4">
      <text>
        <r>
          <rPr>
            <b/>
            <sz val="9"/>
            <color indexed="81"/>
            <rFont val="Tahoma"/>
            <family val="2"/>
          </rPr>
          <t>Zhang, Elaine (Research):</t>
        </r>
        <r>
          <rPr>
            <sz val="9"/>
            <color indexed="81"/>
            <rFont val="Tahoma"/>
            <family val="2"/>
          </rPr>
          <t xml:space="preserve">
one-time charge for financingrelated
fees of RMB830 million</t>
        </r>
      </text>
    </comment>
    <comment ref="J583" authorId="4">
      <text>
        <r>
          <rPr>
            <b/>
            <sz val="9"/>
            <color indexed="81"/>
            <rFont val="Tahoma"/>
            <family val="2"/>
          </rPr>
          <t>Zhang, Elaine (Research):</t>
        </r>
        <r>
          <rPr>
            <sz val="9"/>
            <color indexed="81"/>
            <rFont val="Tahoma"/>
            <family val="2"/>
          </rPr>
          <t xml:space="preserve">
4.2bn gain from FX
1.9bn from Ant</t>
        </r>
      </text>
    </comment>
    <comment ref="K583" authorId="4">
      <text>
        <r>
          <rPr>
            <b/>
            <sz val="9"/>
            <color indexed="81"/>
            <rFont val="Tahoma"/>
            <family val="2"/>
          </rPr>
          <t>Zhang, Elaine (Research):</t>
        </r>
        <r>
          <rPr>
            <sz val="9"/>
            <color indexed="81"/>
            <rFont val="Tahoma"/>
            <family val="2"/>
          </rPr>
          <t xml:space="preserve">
This year could be 2bn FX loss vs. 4.2bn gain last year</t>
        </r>
      </text>
    </comment>
    <comment ref="BB583" authorId="4">
      <text>
        <r>
          <rPr>
            <b/>
            <sz val="9"/>
            <color indexed="81"/>
            <rFont val="Tahoma"/>
            <family val="2"/>
          </rPr>
          <t>Zhang, Elaine (Research):</t>
        </r>
        <r>
          <rPr>
            <sz val="9"/>
            <color indexed="81"/>
            <rFont val="Tahoma"/>
            <family val="2"/>
          </rPr>
          <t xml:space="preserve">
Ant to become equity investee</t>
        </r>
      </text>
    </comment>
    <comment ref="AH586" authorId="4">
      <text>
        <r>
          <rPr>
            <b/>
            <sz val="9"/>
            <color indexed="81"/>
            <rFont val="Tahoma"/>
            <family val="2"/>
          </rPr>
          <t>Zhang, Elaine (Research):</t>
        </r>
        <r>
          <rPr>
            <sz val="9"/>
            <color indexed="81"/>
            <rFont val="Tahoma"/>
            <family val="2"/>
          </rPr>
          <t xml:space="preserve">
no reporting, assumption
</t>
        </r>
      </text>
    </comment>
    <comment ref="AS586" authorId="4">
      <text>
        <r>
          <rPr>
            <b/>
            <sz val="9"/>
            <color indexed="81"/>
            <rFont val="Tahoma"/>
            <family val="2"/>
          </rPr>
          <t>Zhang, Elaine (Research):</t>
        </r>
        <r>
          <rPr>
            <sz val="9"/>
            <color indexed="81"/>
            <rFont val="Tahoma"/>
            <family val="2"/>
          </rPr>
          <t xml:space="preserve">
Ant sustained net loss, resulting reversal of 207mn income recognition</t>
        </r>
      </text>
    </comment>
    <comment ref="B596" authorId="5">
      <text>
        <r>
          <rPr>
            <b/>
            <sz val="8"/>
            <color indexed="81"/>
            <rFont val="Tahoma"/>
            <family val="2"/>
          </rPr>
          <t>moha:</t>
        </r>
        <r>
          <rPr>
            <sz val="8"/>
            <color indexed="81"/>
            <rFont val="Tahoma"/>
            <family val="2"/>
          </rPr>
          <t xml:space="preserve">
mainly fixed dep with 3m-1yr maturity</t>
        </r>
      </text>
    </comment>
    <comment ref="B597" authorId="5">
      <text>
        <r>
          <rPr>
            <b/>
            <sz val="8"/>
            <color indexed="81"/>
            <rFont val="Tahoma"/>
            <family val="2"/>
          </rPr>
          <t>moha:</t>
        </r>
        <r>
          <rPr>
            <sz val="8"/>
            <color indexed="81"/>
            <rFont val="Tahoma"/>
            <family val="2"/>
          </rPr>
          <t xml:space="preserve">
mainly micro loans services to SME that are merchants on ali mktplaces
- record at principal less allowance for doubtful debt
- loans are 7-360 days</t>
        </r>
      </text>
    </comment>
    <comment ref="B603" authorId="3">
      <text>
        <r>
          <rPr>
            <b/>
            <sz val="9"/>
            <color indexed="81"/>
            <rFont val="Tahoma"/>
            <family val="2"/>
          </rPr>
          <t>Amanda Chen:</t>
        </r>
        <r>
          <rPr>
            <sz val="9"/>
            <color indexed="81"/>
            <rFont val="Tahoma"/>
            <family val="2"/>
          </rPr>
          <t xml:space="preserve">
associates</t>
        </r>
      </text>
    </comment>
    <comment ref="H603" authorId="7">
      <text>
        <r>
          <rPr>
            <b/>
            <sz val="9"/>
            <color indexed="81"/>
            <rFont val="Tahoma"/>
            <family val="2"/>
          </rPr>
          <t>Cao, Claire (Research):</t>
        </r>
        <r>
          <rPr>
            <sz val="9"/>
            <color indexed="81"/>
            <rFont val="Tahoma"/>
            <family val="2"/>
          </rPr>
          <t xml:space="preserve">
tango, intime, shoprunner, citic 21. </t>
        </r>
      </text>
    </comment>
    <comment ref="B612" authorId="5">
      <text>
        <r>
          <rPr>
            <b/>
            <sz val="8"/>
            <color indexed="81"/>
            <rFont val="Tahoma"/>
            <family val="2"/>
          </rPr>
          <t>moha:</t>
        </r>
        <r>
          <rPr>
            <sz val="8"/>
            <color indexed="81"/>
            <rFont val="Tahoma"/>
            <family val="2"/>
          </rPr>
          <t xml:space="preserve">
factor out loan receivables - recorded as pledged assets and proceeds recog as secured borroiwngs
</t>
        </r>
      </text>
    </comment>
    <comment ref="B615" authorId="3">
      <text>
        <r>
          <rPr>
            <b/>
            <sz val="9"/>
            <color indexed="81"/>
            <rFont val="Tahoma"/>
            <family val="2"/>
          </rPr>
          <t>Amanda Chen:</t>
        </r>
        <r>
          <rPr>
            <sz val="9"/>
            <color indexed="81"/>
            <rFont val="Tahoma"/>
            <family val="2"/>
          </rPr>
          <t xml:space="preserve">
why so high?</t>
        </r>
      </text>
    </comment>
    <comment ref="B616" authorId="4">
      <text>
        <r>
          <rPr>
            <b/>
            <sz val="9"/>
            <color indexed="81"/>
            <rFont val="Tahoma"/>
            <family val="2"/>
          </rPr>
          <t>Zhang, Elaine (Research):</t>
        </r>
        <r>
          <rPr>
            <sz val="9"/>
            <color indexed="81"/>
            <rFont val="Tahoma"/>
            <family val="2"/>
          </rPr>
          <t xml:space="preserve">
mainly related to merchants operating on Tmall</t>
        </r>
      </text>
    </comment>
    <comment ref="B617" authorId="4">
      <text>
        <r>
          <rPr>
            <b/>
            <sz val="9"/>
            <color indexed="81"/>
            <rFont val="Tahoma"/>
            <family val="2"/>
          </rPr>
          <t>Zhang, Elaine (Research):</t>
        </r>
        <r>
          <rPr>
            <sz val="9"/>
            <color indexed="81"/>
            <rFont val="Tahoma"/>
            <family val="2"/>
          </rPr>
          <t xml:space="preserve">
Deferred revenue and customer advances represent service fees received from customers that relate to services
to be provided in the future.</t>
        </r>
      </text>
    </comment>
    <comment ref="K623" authorId="4">
      <text>
        <r>
          <rPr>
            <b/>
            <sz val="9"/>
            <color indexed="81"/>
            <rFont val="Tahoma"/>
            <family val="2"/>
          </rPr>
          <t>Zhang, Elaine (Research):</t>
        </r>
        <r>
          <rPr>
            <sz val="9"/>
            <color indexed="81"/>
            <rFont val="Tahoma"/>
            <family val="2"/>
          </rPr>
          <t xml:space="preserve">
issued 7bn USD debt</t>
        </r>
      </text>
    </comment>
    <comment ref="G674" authorId="5">
      <text>
        <r>
          <rPr>
            <b/>
            <sz val="8"/>
            <color indexed="81"/>
            <rFont val="Tahoma"/>
            <family val="2"/>
          </rPr>
          <t>moha:</t>
        </r>
        <r>
          <rPr>
            <sz val="8"/>
            <color indexed="81"/>
            <rFont val="Tahoma"/>
            <family val="2"/>
          </rPr>
          <t xml:space="preserve">
1584mn fully depr</t>
        </r>
      </text>
    </comment>
    <comment ref="B689" authorId="5">
      <text>
        <r>
          <rPr>
            <b/>
            <sz val="8"/>
            <color indexed="81"/>
            <rFont val="Tahoma"/>
            <family val="2"/>
          </rPr>
          <t>moha:</t>
        </r>
        <r>
          <rPr>
            <sz val="8"/>
            <color indexed="81"/>
            <rFont val="Tahoma"/>
            <family val="2"/>
          </rPr>
          <t xml:space="preserve">
~ technology capex per co</t>
        </r>
      </text>
    </comment>
    <comment ref="H689" authorId="3">
      <text>
        <r>
          <rPr>
            <b/>
            <sz val="9"/>
            <color indexed="81"/>
            <rFont val="Tahoma"/>
            <family val="2"/>
          </rPr>
          <t>Amanda Chen:</t>
        </r>
        <r>
          <rPr>
            <sz val="9"/>
            <color indexed="81"/>
            <rFont val="Tahoma"/>
            <family val="2"/>
          </rPr>
          <t xml:space="preserve">
campus, data centers [3 centers, hangzhou, qingdao, beijing] include some lands, </t>
        </r>
      </text>
    </comment>
    <comment ref="I689" authorId="3">
      <text>
        <r>
          <rPr>
            <b/>
            <sz val="9"/>
            <color indexed="81"/>
            <rFont val="Tahoma"/>
            <family val="2"/>
          </rPr>
          <t>Amanda Chen:</t>
        </r>
        <r>
          <rPr>
            <sz val="9"/>
            <color indexed="81"/>
            <rFont val="Tahoma"/>
            <family val="2"/>
          </rPr>
          <t xml:space="preserve">
campus, data centers [3 centers, hangzhou, qingdao, beijing] include some lands, </t>
        </r>
      </text>
    </comment>
    <comment ref="L689" authorId="4">
      <text>
        <r>
          <rPr>
            <b/>
            <sz val="9"/>
            <color indexed="81"/>
            <rFont val="Tahoma"/>
            <family val="2"/>
          </rPr>
          <t>Zhang, Elaine (Research):</t>
        </r>
        <r>
          <rPr>
            <sz val="9"/>
            <color indexed="81"/>
            <rFont val="Tahoma"/>
            <family val="2"/>
          </rPr>
          <t xml:space="preserve">
add 20bn per year for the next three years to factor in Cainiao capex</t>
        </r>
      </text>
    </comment>
    <comment ref="H690" authorId="5">
      <text>
        <r>
          <rPr>
            <b/>
            <sz val="8"/>
            <color indexed="81"/>
            <rFont val="Tahoma"/>
            <family val="2"/>
          </rPr>
          <t>moha:</t>
        </r>
        <r>
          <rPr>
            <sz val="8"/>
            <color indexed="81"/>
            <rFont val="Tahoma"/>
            <family val="2"/>
          </rPr>
          <t xml:space="preserve">
per co around 5.5% of rev = technology capex</t>
        </r>
      </text>
    </comment>
    <comment ref="H694" authorId="5">
      <text>
        <r>
          <rPr>
            <b/>
            <sz val="8"/>
            <color indexed="81"/>
            <rFont val="Tahoma"/>
            <family val="2"/>
          </rPr>
          <t>moha:</t>
        </r>
        <r>
          <rPr>
            <sz val="8"/>
            <color indexed="81"/>
            <rFont val="Tahoma"/>
            <family val="2"/>
          </rPr>
          <t xml:space="preserve">
per co
14-17 CAGR 29%</t>
        </r>
      </text>
    </comment>
    <comment ref="H697" authorId="5">
      <text>
        <r>
          <rPr>
            <b/>
            <sz val="8"/>
            <color indexed="81"/>
            <rFont val="Tahoma"/>
            <family val="2"/>
          </rPr>
          <t>moha:</t>
        </r>
        <r>
          <rPr>
            <sz val="8"/>
            <color indexed="81"/>
            <rFont val="Tahoma"/>
            <family val="2"/>
          </rPr>
          <t xml:space="preserve">
should have amort for land use rights, but not proper breakdown in capex.  No depr on construc in progress
</t>
        </r>
      </text>
    </comment>
    <comment ref="H725" authorId="5">
      <text>
        <r>
          <rPr>
            <b/>
            <sz val="8"/>
            <color indexed="81"/>
            <rFont val="Tahoma"/>
            <family val="2"/>
          </rPr>
          <t>moha:</t>
        </r>
        <r>
          <rPr>
            <sz val="8"/>
            <color indexed="81"/>
            <rFont val="Tahoma"/>
            <family val="2"/>
          </rPr>
          <t xml:space="preserve">
1/3 of 27000 for acquisitions
 + reval gain on ucweb, one touch 7000 (see P&amp;L interest and inv income line)
1300 excess value for SMF restructuring - amortized over 5 yrs
(pg 118 of prospectus) - impact of 1.1% of F14 net income implies ~257mn amort exp vs. 1300mn =&gt; 5 yrs amort</t>
        </r>
      </text>
    </comment>
    <comment ref="J726" authorId="6">
      <text>
        <r>
          <rPr>
            <b/>
            <sz val="9"/>
            <color indexed="81"/>
            <rFont val="Tahoma"/>
            <family val="2"/>
          </rPr>
          <t>Lin, Robert (Research):</t>
        </r>
        <r>
          <rPr>
            <sz val="9"/>
            <color indexed="81"/>
            <rFont val="Tahoma"/>
            <family val="2"/>
          </rPr>
          <t xml:space="preserve">
Youku Acq: Cash of US$5.369bn - YOKU cash of US$1.177bn = US$4.191bn 
FX usese Rmb 6.4 per US$
Likely 1x provision of Rmb3.667bn in interest income</t>
        </r>
      </text>
    </comment>
    <comment ref="I727" authorId="4">
      <text>
        <r>
          <rPr>
            <b/>
            <sz val="9"/>
            <color indexed="81"/>
            <rFont val="Tahoma"/>
            <family val="2"/>
          </rPr>
          <t>Zhang, Elaine (Research):</t>
        </r>
        <r>
          <rPr>
            <sz val="9"/>
            <color indexed="81"/>
            <rFont val="Tahoma"/>
            <family val="2"/>
          </rPr>
          <t xml:space="preserve">
gains from disconsolidation of alipicture relating issue of new shares
non-cash deemed disposal gain of RMB24,734 million (US$3,836 million) arising from the deconsolidation of Alibaba Pictures, 
a non-cash gain of RMB18,603 million (US$2,885 million) from the revaluation of our previously held equity interest in Alibaba Health when we obtained control over Alibaba Health in fiscal year 2016</t>
        </r>
      </text>
    </comment>
    <comment ref="H764" authorId="2">
      <text>
        <r>
          <rPr>
            <b/>
            <sz val="9"/>
            <color indexed="81"/>
            <rFont val="Tahoma"/>
            <family val="2"/>
          </rPr>
          <t>Moh, Angela (Research):</t>
        </r>
        <r>
          <rPr>
            <sz val="9"/>
            <color indexed="81"/>
            <rFont val="Tahoma"/>
            <family val="2"/>
          </rPr>
          <t xml:space="preserve">
gain on sale of SME loan</t>
        </r>
      </text>
    </comment>
    <comment ref="B773" authorId="9">
      <text>
        <r>
          <rPr>
            <b/>
            <sz val="9"/>
            <color indexed="81"/>
            <rFont val="Tahoma"/>
            <family val="2"/>
          </rPr>
          <t>Au, Jennifer (Research):</t>
        </r>
        <r>
          <rPr>
            <sz val="9"/>
            <color indexed="81"/>
            <rFont val="Tahoma"/>
            <family val="2"/>
          </rPr>
          <t xml:space="preserve">
Originally named "Revaluation gain for Autonavi"</t>
        </r>
      </text>
    </comment>
    <comment ref="I779" authorId="10">
      <text>
        <r>
          <rPr>
            <b/>
            <sz val="9"/>
            <color indexed="81"/>
            <rFont val="Tahoma"/>
            <family val="2"/>
          </rPr>
          <t>Sun, Tiantian (Research):</t>
        </r>
        <r>
          <rPr>
            <sz val="9"/>
            <color indexed="81"/>
            <rFont val="Tahoma"/>
            <family val="2"/>
          </rPr>
          <t xml:space="preserve">
-4504 in 16 and -14138 in 16</t>
        </r>
      </text>
    </comment>
    <comment ref="H794" authorId="2">
      <text>
        <r>
          <rPr>
            <b/>
            <sz val="9"/>
            <color indexed="81"/>
            <rFont val="Tahoma"/>
            <family val="2"/>
          </rPr>
          <t>Moh, Angela (Research):</t>
        </r>
        <r>
          <rPr>
            <sz val="9"/>
            <color indexed="81"/>
            <rFont val="Tahoma"/>
            <family val="2"/>
          </rPr>
          <t xml:space="preserve">
put restruc cost adj here to bal first - to fix post Annual result</t>
        </r>
      </text>
    </comment>
    <comment ref="J796" authorId="6">
      <text>
        <r>
          <rPr>
            <b/>
            <sz val="9"/>
            <color indexed="81"/>
            <rFont val="Tahoma"/>
            <family val="2"/>
          </rPr>
          <t>Lin, Robert (Research):</t>
        </r>
        <r>
          <rPr>
            <sz val="9"/>
            <color indexed="81"/>
            <rFont val="Tahoma"/>
            <family val="2"/>
          </rPr>
          <t xml:space="preserve">
Youku Acq: Cash of US$5.369bn - YOKU cash of US$1.177bn = US$4.191bn 
FX usese Rmb 6.4 per US$
Likely 1x provision of Rmb3.667bn in interest income</t>
        </r>
      </text>
    </comment>
    <comment ref="I805" authorId="7">
      <text>
        <r>
          <rPr>
            <b/>
            <sz val="9"/>
            <color indexed="81"/>
            <rFont val="Tahoma"/>
            <family val="2"/>
          </rPr>
          <t>Cao, Claire (Research):</t>
        </r>
        <r>
          <rPr>
            <sz val="9"/>
            <color indexed="81"/>
            <rFont val="Tahoma"/>
            <family val="2"/>
          </rPr>
          <t xml:space="preserve">
Launched US$4bn of share buy-back plans and spent Rmb17bn by end F2Q16
Likely spent most of the US$4bn share buy-back program by end F4Q16</t>
        </r>
      </text>
    </comment>
    <comment ref="B833" authorId="2">
      <text>
        <r>
          <rPr>
            <b/>
            <sz val="9"/>
            <color indexed="81"/>
            <rFont val="Tahoma"/>
            <family val="2"/>
          </rPr>
          <t>Moh, Angela (Research):</t>
        </r>
        <r>
          <rPr>
            <sz val="9"/>
            <color indexed="81"/>
            <rFont val="Tahoma"/>
            <family val="2"/>
          </rPr>
          <t xml:space="preserve">
various rounds --&gt; 66% stake in convert pref shares by apr 2014
6/2014 cash US$479mn +12.3mn RSU for remaining stake</t>
        </r>
      </text>
    </comment>
    <comment ref="H834" authorId="2">
      <text>
        <r>
          <rPr>
            <b/>
            <sz val="9"/>
            <color indexed="81"/>
            <rFont val="Tahoma"/>
            <family val="2"/>
          </rPr>
          <t>Moh, Angela (Research):</t>
        </r>
        <r>
          <rPr>
            <sz val="9"/>
            <color indexed="81"/>
            <rFont val="Tahoma"/>
            <family val="2"/>
          </rPr>
          <t xml:space="preserve">
paid US$1032mn on closing in july 2014</t>
        </r>
      </text>
    </comment>
    <comment ref="B837" authorId="5">
      <text>
        <r>
          <rPr>
            <b/>
            <sz val="8"/>
            <color indexed="81"/>
            <rFont val="Tahoma"/>
            <family val="2"/>
          </rPr>
          <t>moha:</t>
        </r>
        <r>
          <rPr>
            <sz val="8"/>
            <color indexed="81"/>
            <rFont val="Tahoma"/>
            <family val="2"/>
          </rPr>
          <t xml:space="preserve">
48% stake - equity inc
may 2013 commit to invest rmb2150mn
+apr 2014 another rmb250mn</t>
        </r>
      </text>
    </comment>
  </commentList>
</comments>
</file>

<file path=xl/comments4.xml><?xml version="1.0" encoding="utf-8"?>
<comments xmlns="http://schemas.openxmlformats.org/spreadsheetml/2006/main">
  <authors>
    <author>moha</author>
    <author>Moh, Angela (Research)</author>
    <author>Zhang, Elaine (Research)</author>
  </authors>
  <commentList>
    <comment ref="H23" authorId="0">
      <text>
        <r>
          <rPr>
            <b/>
            <sz val="8"/>
            <color indexed="81"/>
            <rFont val="Tahoma"/>
            <family val="2"/>
          </rPr>
          <t>moha:</t>
        </r>
        <r>
          <rPr>
            <sz val="8"/>
            <color indexed="81"/>
            <rFont val="Tahoma"/>
            <family val="2"/>
          </rPr>
          <t xml:space="preserve">
take out all items related to SME loan carve out that is in chg in WC</t>
        </r>
      </text>
    </comment>
    <comment ref="I23" authorId="1">
      <text>
        <r>
          <rPr>
            <b/>
            <sz val="9"/>
            <color indexed="81"/>
            <rFont val="Tahoma"/>
            <family val="2"/>
          </rPr>
          <t>Moh, Angela (Research):</t>
        </r>
        <r>
          <rPr>
            <sz val="9"/>
            <color indexed="81"/>
            <rFont val="Tahoma"/>
            <family val="2"/>
          </rPr>
          <t xml:space="preserve">
take out pmt of proceeds of sale of SME loan</t>
        </r>
      </text>
    </comment>
    <comment ref="M49" authorId="2">
      <text>
        <r>
          <rPr>
            <b/>
            <sz val="9"/>
            <color indexed="81"/>
            <rFont val="Tahoma"/>
            <family val="2"/>
          </rPr>
          <t>Zhang, Elaine (Research):</t>
        </r>
        <r>
          <rPr>
            <sz val="9"/>
            <color indexed="81"/>
            <rFont val="Tahoma"/>
            <family val="2"/>
          </rPr>
          <t xml:space="preserve">
assume the 37.5% equity value sharing will be converted to 33% equity interest as discussed.</t>
        </r>
      </text>
    </comment>
    <comment ref="L50" authorId="2">
      <text>
        <r>
          <rPr>
            <b/>
            <sz val="9"/>
            <color indexed="81"/>
            <rFont val="Tahoma"/>
            <family val="2"/>
          </rPr>
          <t>Zhang, Elaine (Research):</t>
        </r>
        <r>
          <rPr>
            <sz val="9"/>
            <color indexed="81"/>
            <rFont val="Tahoma"/>
            <family val="2"/>
          </rPr>
          <t xml:space="preserve">
Jan 17 finaning round, http://companies.caixin.com/2017-01-24/101048705.html</t>
        </r>
      </text>
    </comment>
    <comment ref="L51" authorId="2">
      <text>
        <r>
          <rPr>
            <b/>
            <sz val="9"/>
            <color indexed="81"/>
            <rFont val="Tahoma"/>
            <family val="2"/>
          </rPr>
          <t xml:space="preserve">Zhang, Elaine (Research):
</t>
        </r>
        <r>
          <rPr>
            <sz val="9"/>
            <color indexed="81"/>
            <rFont val="Tahoma"/>
            <family val="2"/>
          </rPr>
          <t>FY17 20-F</t>
        </r>
      </text>
    </comment>
    <comment ref="O170" authorId="2">
      <text>
        <r>
          <rPr>
            <b/>
            <sz val="9"/>
            <color indexed="81"/>
            <rFont val="Tahoma"/>
            <family val="2"/>
          </rPr>
          <t>Zhang, Elaine (Research):</t>
        </r>
        <r>
          <rPr>
            <sz val="9"/>
            <color indexed="81"/>
            <rFont val="Tahoma"/>
            <family val="2"/>
          </rPr>
          <t xml:space="preserve">
2-yr average beta 1.33</t>
        </r>
      </text>
    </comment>
  </commentList>
</comments>
</file>

<file path=xl/sharedStrings.xml><?xml version="1.0" encoding="utf-8"?>
<sst xmlns="http://schemas.openxmlformats.org/spreadsheetml/2006/main" count="2089" uniqueCount="1280">
  <si>
    <t xml:space="preserve">PC </t>
  </si>
  <si>
    <t>PC GMV (Rmb bn)</t>
  </si>
  <si>
    <t>Mobile GMV (Rmb bn)</t>
  </si>
  <si>
    <t>2011</t>
  </si>
  <si>
    <t>Basic (US$)</t>
  </si>
  <si>
    <t>Basic (Rmb)</t>
  </si>
  <si>
    <t>Diluted (Rmb)</t>
  </si>
  <si>
    <t>Diluted (US$)</t>
  </si>
  <si>
    <t>Membership fees &amp; VAS (Rmb mn)</t>
  </si>
  <si>
    <t>Online marketing services (Rmb mn)</t>
  </si>
  <si>
    <t>China Retail Revenue</t>
  </si>
  <si>
    <t>Revaluation of previously held equity interest related to step acquisition</t>
  </si>
  <si>
    <t>Capital injection from non-controlling interests</t>
  </si>
  <si>
    <t>Fee rate</t>
  </si>
  <si>
    <t>SME loan balance (mn)</t>
  </si>
  <si>
    <t>% Chg yoy</t>
  </si>
  <si>
    <t>China Retail</t>
  </si>
  <si>
    <t>1Q17</t>
  </si>
  <si>
    <t>2Q17</t>
  </si>
  <si>
    <t>3Q17</t>
  </si>
  <si>
    <t>4Q17</t>
  </si>
  <si>
    <t>USD</t>
  </si>
  <si>
    <t>No. of diluted ADS (mn)</t>
  </si>
  <si>
    <t>China Retail Revenue (Rmb mn)</t>
  </si>
  <si>
    <t>Base</t>
  </si>
  <si>
    <t>Mobile % PC</t>
  </si>
  <si>
    <t>As % of China Consumption</t>
  </si>
  <si>
    <t>Mobile Rate as % of PC</t>
  </si>
  <si>
    <t>Balance Sheet</t>
  </si>
  <si>
    <t>Acquisitions of Other intangible assets</t>
  </si>
  <si>
    <t>PP&amp;E</t>
  </si>
  <si>
    <t>Net Debt to Equity</t>
  </si>
  <si>
    <t>Debt to Capital</t>
  </si>
  <si>
    <t>ROA</t>
  </si>
  <si>
    <t>ROIC</t>
  </si>
  <si>
    <t>Key Metrics</t>
  </si>
  <si>
    <t>Gross Profits</t>
  </si>
  <si>
    <t>SBC</t>
  </si>
  <si>
    <t>Other</t>
  </si>
  <si>
    <t>NA</t>
  </si>
  <si>
    <t>% YoY</t>
  </si>
  <si>
    <t>Rmb/USD</t>
  </si>
  <si>
    <t>Total Revenue</t>
  </si>
  <si>
    <t>% Mix</t>
  </si>
  <si>
    <t>2025E</t>
  </si>
  <si>
    <t>2023E</t>
  </si>
  <si>
    <t>2024E</t>
  </si>
  <si>
    <t>BABA.N,mscalc:closePriceCurrencyCalc</t>
  </si>
  <si>
    <t>BABA.N,mscalc:targetPrice,,,,USD</t>
  </si>
  <si>
    <t>BABA.N,mscalc:sedolCodeCalc</t>
  </si>
  <si>
    <t>BP41ZD1</t>
  </si>
  <si>
    <t>BABA.N,mscalc:sharePriceCurrent</t>
  </si>
  <si>
    <t>$H$2</t>
  </si>
  <si>
    <t>China Wholesale</t>
  </si>
  <si>
    <t xml:space="preserve">Interest expense </t>
  </si>
  <si>
    <t>Implied interest expense rate</t>
  </si>
  <si>
    <t>2023</t>
  </si>
  <si>
    <t>2024</t>
  </si>
  <si>
    <t>2018E</t>
  </si>
  <si>
    <t>2019E</t>
  </si>
  <si>
    <t>2020E</t>
  </si>
  <si>
    <t>2021E</t>
  </si>
  <si>
    <t>2022E</t>
  </si>
  <si>
    <t>4Q11</t>
  </si>
  <si>
    <t>1Q12</t>
  </si>
  <si>
    <t>2Q12</t>
  </si>
  <si>
    <t>3Q12</t>
  </si>
  <si>
    <t>4Q12</t>
  </si>
  <si>
    <t>1Q13</t>
  </si>
  <si>
    <t>2Q13</t>
  </si>
  <si>
    <t>3Q13</t>
  </si>
  <si>
    <t>4Q13</t>
  </si>
  <si>
    <t>1Q14</t>
  </si>
  <si>
    <t>2Q14</t>
  </si>
  <si>
    <t>3Q14</t>
  </si>
  <si>
    <t>4Q14</t>
  </si>
  <si>
    <t>1Q15</t>
  </si>
  <si>
    <t>2Q15</t>
  </si>
  <si>
    <t>3Q15</t>
  </si>
  <si>
    <t>4Q15</t>
  </si>
  <si>
    <t>% change YoY</t>
  </si>
  <si>
    <t>% change QoQ</t>
  </si>
  <si>
    <t>Others</t>
  </si>
  <si>
    <t>As % of total sales</t>
  </si>
  <si>
    <t>Membership fees</t>
  </si>
  <si>
    <t>Operating expenses</t>
  </si>
  <si>
    <t>R&amp;D</t>
  </si>
  <si>
    <t>1Q11</t>
  </si>
  <si>
    <t>2Q11</t>
  </si>
  <si>
    <t>3Q11</t>
  </si>
  <si>
    <t>Mobile</t>
  </si>
  <si>
    <t>Revenue</t>
  </si>
  <si>
    <t>Cost of revenue</t>
  </si>
  <si>
    <t>G&amp;A</t>
  </si>
  <si>
    <t>Amortization of intangible assets</t>
  </si>
  <si>
    <t>Impairment of goodwill and intangible assets</t>
  </si>
  <si>
    <t>Yahoo TIPLA amendment payment</t>
  </si>
  <si>
    <t>Interest and investment income (loss), net</t>
  </si>
  <si>
    <t>Interest expenses</t>
  </si>
  <si>
    <t>Other income, net</t>
  </si>
  <si>
    <t>Test case</t>
  </si>
  <si>
    <t>Income before income tax and share of results of equity investees</t>
  </si>
  <si>
    <t>Income tax expenses</t>
  </si>
  <si>
    <t>Share of results of equity investees</t>
  </si>
  <si>
    <t>Net income</t>
  </si>
  <si>
    <t>Net income attributable to Alibaba Group Holding Limited</t>
  </si>
  <si>
    <t>Accretion of Convertible Preference Shares</t>
  </si>
  <si>
    <t>Dividends accrued on Convertible Preference Shares</t>
  </si>
  <si>
    <t>Net income attributable to ordinary shareholders</t>
  </si>
  <si>
    <t>Earnings per share attributable to ordinary shareholders</t>
  </si>
  <si>
    <t>Basic</t>
  </si>
  <si>
    <t>Diluted</t>
  </si>
  <si>
    <t>S&amp;M</t>
  </si>
  <si>
    <t>Gross profit</t>
  </si>
  <si>
    <t>Gross margin</t>
  </si>
  <si>
    <t>Operating profit</t>
  </si>
  <si>
    <t>Operating margin</t>
  </si>
  <si>
    <t>Net margin</t>
  </si>
  <si>
    <t>Foreign currency translation</t>
  </si>
  <si>
    <t>Other comprehensive (loss) income</t>
  </si>
  <si>
    <t>Change in unrealized (losses) gains</t>
  </si>
  <si>
    <t>Reclassification adjustment for gains recorded in net income</t>
  </si>
  <si>
    <t>Net change</t>
  </si>
  <si>
    <t>Available-for-sale investment securities</t>
  </si>
  <si>
    <t>Interest rate swaps under hedge accounting</t>
  </si>
  <si>
    <t>Change in unrealized gains</t>
  </si>
  <si>
    <t>Total</t>
  </si>
  <si>
    <t>Total comprehensive income</t>
  </si>
  <si>
    <t>Less: total comprehensive income attributable to noncontrolling interests</t>
  </si>
  <si>
    <t>Total comprehensive income attributable to Alibaba</t>
  </si>
  <si>
    <t>Share-based compensation expenses</t>
  </si>
  <si>
    <t>Cost of revenues</t>
  </si>
  <si>
    <t>EBITDA</t>
  </si>
  <si>
    <t>Year Ended March 31</t>
  </si>
  <si>
    <t>EBITDA margin</t>
  </si>
  <si>
    <t>1Q16</t>
  </si>
  <si>
    <t>2Q16</t>
  </si>
  <si>
    <t>3Q16</t>
  </si>
  <si>
    <t>4Q16</t>
  </si>
  <si>
    <t>Check</t>
  </si>
  <si>
    <t>China commerce</t>
  </si>
  <si>
    <t>International commerce</t>
  </si>
  <si>
    <t>Cloud computing and Internet infrastructure</t>
  </si>
  <si>
    <t>Cash and cash equivalents</t>
  </si>
  <si>
    <t>Restricted cash</t>
  </si>
  <si>
    <t>Total current assets</t>
  </si>
  <si>
    <t>Intangible assets</t>
  </si>
  <si>
    <t>Goodwill</t>
  </si>
  <si>
    <t>Total assets</t>
  </si>
  <si>
    <t>Total current liabilities</t>
  </si>
  <si>
    <t>Deferred tax liabilities</t>
  </si>
  <si>
    <t>Total liabilities</t>
  </si>
  <si>
    <t>Additional paid-in capital</t>
  </si>
  <si>
    <t>Statutory reserves</t>
  </si>
  <si>
    <t>Retained earnings</t>
  </si>
  <si>
    <t>Accumulated other comprehensive income</t>
  </si>
  <si>
    <t>Debt</t>
  </si>
  <si>
    <t>Shareholders equity</t>
  </si>
  <si>
    <t>Total capitalization</t>
  </si>
  <si>
    <t>Change</t>
  </si>
  <si>
    <t>Ordinary shares</t>
  </si>
  <si>
    <t>Share-based compensation expense</t>
  </si>
  <si>
    <t>Income tax payable</t>
  </si>
  <si>
    <t>Deferred revenue</t>
  </si>
  <si>
    <t>2020</t>
  </si>
  <si>
    <t>2021</t>
  </si>
  <si>
    <t>2022</t>
  </si>
  <si>
    <t>CAGR 14-17</t>
  </si>
  <si>
    <t>Change in cash</t>
  </si>
  <si>
    <t>Short-term investments</t>
  </si>
  <si>
    <t>Prepayments and other current assets</t>
  </si>
  <si>
    <t>Property and equipment</t>
  </si>
  <si>
    <t>Non-current liabilities</t>
  </si>
  <si>
    <t>Total mezzanine equity</t>
  </si>
  <si>
    <t>Total liabilities, mezzanine equity and shareholders’ deficit</t>
  </si>
  <si>
    <t>Net cash / (debt)</t>
  </si>
  <si>
    <t>Capital expenditure</t>
  </si>
  <si>
    <t>Change (%)</t>
  </si>
  <si>
    <t>As % of sales</t>
  </si>
  <si>
    <t>Accumulated depreciation</t>
  </si>
  <si>
    <t>Depreciation expenses</t>
  </si>
  <si>
    <t>Disposal of fixed assets / others</t>
  </si>
  <si>
    <t>Net income / (loss)</t>
  </si>
  <si>
    <t>Adjustments:</t>
  </si>
  <si>
    <t>Cash flows from operating activities</t>
  </si>
  <si>
    <t>Cash flows from investing activities</t>
  </si>
  <si>
    <t>Cash flows from financing activities</t>
  </si>
  <si>
    <t>Effect of exchange rate changes</t>
  </si>
  <si>
    <t>Cash and cash equivalents, Beginning of year</t>
  </si>
  <si>
    <t>Cash and cash equivalents, End of year</t>
  </si>
  <si>
    <t>Restricted cash and escrow receivables</t>
  </si>
  <si>
    <t>Loan receivables, net</t>
  </si>
  <si>
    <t>Investment securities</t>
  </si>
  <si>
    <t>Investment in equity investees</t>
  </si>
  <si>
    <t>Prepayments, receivables and other assets</t>
  </si>
  <si>
    <t>Land use rights</t>
  </si>
  <si>
    <t>Current bank borrowings</t>
  </si>
  <si>
    <t>Secured borrowings</t>
  </si>
  <si>
    <t>Escrow money payable</t>
  </si>
  <si>
    <t>Accrued expenses, accounts payable and other liabilities</t>
  </si>
  <si>
    <t>Merchant deposits</t>
  </si>
  <si>
    <t>Deferred revenue and customer advances</t>
  </si>
  <si>
    <t>Redeemable Preference Shares</t>
  </si>
  <si>
    <t>Non-current bank borrowings</t>
  </si>
  <si>
    <t>Other liabilities</t>
  </si>
  <si>
    <t>Convertible Preference Shares</t>
  </si>
  <si>
    <t>Subscription receivables</t>
  </si>
  <si>
    <t>Non controlling interests</t>
  </si>
  <si>
    <t>(Gain) Loss on disposals of equity investees</t>
  </si>
  <si>
    <t>Realized and unrealized loss (gain) related to investment securities</t>
  </si>
  <si>
    <t>Change in fair value of other assets and liabilities</t>
  </si>
  <si>
    <t>Loss (Gain) on disposals of other subsidiaries</t>
  </si>
  <si>
    <t>Depreciation and amortization of property and equipment and land use rights</t>
  </si>
  <si>
    <t>Equity-settled donation expense</t>
  </si>
  <si>
    <t>Loss (Gain) on disposals of property and equipment</t>
  </si>
  <si>
    <t>Deferred income taxes</t>
  </si>
  <si>
    <t>Allowance for doubtful accounts relating to micro loans</t>
  </si>
  <si>
    <t>Loan receivables</t>
  </si>
  <si>
    <t>Decrease (Increase) in short-term investments, net</t>
  </si>
  <si>
    <t>(Increase) Decrease in restricted cash</t>
  </si>
  <si>
    <t>Decrease (Increase) in trading investment securities, net</t>
  </si>
  <si>
    <t>Acquisitions of available-for-sale and held-to-maturity investment securities</t>
  </si>
  <si>
    <t>Disposals of available-for-sale investment securities</t>
  </si>
  <si>
    <t>Acquisitions of Land use rights and construction in progress</t>
  </si>
  <si>
    <t>Acquisitions of Other property, equipment and intangible assets</t>
  </si>
  <si>
    <t>Disposals of property and equipment</t>
  </si>
  <si>
    <t>Cash paid for business combinations, net of cash acquired</t>
  </si>
  <si>
    <t>Deconsolidation and disposal of subsidiaries, net of cash proceeds</t>
  </si>
  <si>
    <t>Loans to employees, net of repayments</t>
  </si>
  <si>
    <t>Acquisitions of equity investees</t>
  </si>
  <si>
    <t>Disposals of equity investees</t>
  </si>
  <si>
    <t>Issuance of ordinary shares</t>
  </si>
  <si>
    <t>Repurchase of ordinary shares</t>
  </si>
  <si>
    <t>Issuance of ordinary shares for Partner Capital Investment Plan</t>
  </si>
  <si>
    <t>Issuance of Convertible Preference Shares, net</t>
  </si>
  <si>
    <t>Payment of dividend on Convertible Preference Shares</t>
  </si>
  <si>
    <t>Redemption of Redeemable Preference Shares</t>
  </si>
  <si>
    <t>Acquisitions of shares of Alibaba.com Limited</t>
  </si>
  <si>
    <t>Blended</t>
  </si>
  <si>
    <t>Income from operations</t>
  </si>
  <si>
    <t>Add: Amortization of intangible assets</t>
  </si>
  <si>
    <t>Internet population (mn)</t>
  </si>
  <si>
    <t>Net add</t>
  </si>
  <si>
    <t>As % of total online users</t>
  </si>
  <si>
    <t>As % of non-mobile</t>
  </si>
  <si>
    <t>Rmb change</t>
  </si>
  <si>
    <t>F2017</t>
  </si>
  <si>
    <t>F2018</t>
  </si>
  <si>
    <t>F2019</t>
  </si>
  <si>
    <t>F2020</t>
  </si>
  <si>
    <t>F2021</t>
  </si>
  <si>
    <t>F2022</t>
  </si>
  <si>
    <t>F2023</t>
  </si>
  <si>
    <t>F2024</t>
  </si>
  <si>
    <t>F2025</t>
  </si>
  <si>
    <t>As % of addition</t>
  </si>
  <si>
    <t>Amortization Expense</t>
  </si>
  <si>
    <t>Prior years</t>
  </si>
  <si>
    <t>Depreciation expenses as % of total capex</t>
  </si>
  <si>
    <t>Add: Changes in loan receivables, net</t>
  </si>
  <si>
    <t>Computer equip and software</t>
  </si>
  <si>
    <t>Furniture, office and transport equip</t>
  </si>
  <si>
    <t>Buildings and leasehold improvements</t>
  </si>
  <si>
    <t>Construction in progress</t>
  </si>
  <si>
    <t>Property and equipment, net</t>
  </si>
  <si>
    <t>Propery and equipment</t>
  </si>
  <si>
    <t xml:space="preserve">Acquisitions </t>
  </si>
  <si>
    <t>User base and customer relationships  (2-6 yrs)</t>
  </si>
  <si>
    <t>Trade names, trademarks and domain names  (5-12 yrs)</t>
  </si>
  <si>
    <t>Existing technology  (2-5 yrs)</t>
  </si>
  <si>
    <t>Non-compete agreements  (over contract term 4-6 yrs)</t>
  </si>
  <si>
    <t>Reval gain</t>
  </si>
  <si>
    <t>Depreciation</t>
  </si>
  <si>
    <t>% of full year</t>
  </si>
  <si>
    <t>Intime</t>
  </si>
  <si>
    <t>China Vision</t>
  </si>
  <si>
    <t>Chk</t>
  </si>
  <si>
    <t>Interest &amp; investment income</t>
  </si>
  <si>
    <t>Interest on cash</t>
  </si>
  <si>
    <t>Autonavi</t>
  </si>
  <si>
    <t>CITIC21CN</t>
  </si>
  <si>
    <t>Weibo</t>
  </si>
  <si>
    <t>Wasu</t>
  </si>
  <si>
    <t>Youku Tudou</t>
  </si>
  <si>
    <t>One Touch</t>
  </si>
  <si>
    <t>SingPost</t>
  </si>
  <si>
    <t>Evergrande Football</t>
  </si>
  <si>
    <t>UCWeb</t>
  </si>
  <si>
    <t>Cainiao</t>
  </si>
  <si>
    <t>Shoprunner</t>
  </si>
  <si>
    <t>TangoMe</t>
  </si>
  <si>
    <t>Haier Electronics</t>
  </si>
  <si>
    <t>Effective rate - on avg debt</t>
  </si>
  <si>
    <t>Effective rate on ending debt</t>
  </si>
  <si>
    <t>Total shareholders’ equity/ (deficit)</t>
  </si>
  <si>
    <t>Intangible Assets</t>
  </si>
  <si>
    <t>Accumulated amortization</t>
  </si>
  <si>
    <t>Amorization expenses</t>
  </si>
  <si>
    <t>As % of gross Intangible</t>
  </si>
  <si>
    <t>New addition</t>
  </si>
  <si>
    <t>Investment capex</t>
  </si>
  <si>
    <t>Technology capex</t>
  </si>
  <si>
    <t>As % of Total revenue</t>
  </si>
  <si>
    <t>As% of online shoppers</t>
  </si>
  <si>
    <t>GDP per capita</t>
  </si>
  <si>
    <t>Consumpt per capita</t>
  </si>
  <si>
    <t>China Population (mn) - per Euromonitor</t>
  </si>
  <si>
    <t>Nominal GDP (Rmb billion) - Euromon</t>
  </si>
  <si>
    <t>China Consumption - euromon</t>
  </si>
  <si>
    <t>Euromon data date</t>
  </si>
  <si>
    <t>Bear</t>
  </si>
  <si>
    <t>Bull</t>
  </si>
  <si>
    <t>GMV (x) from FY14</t>
  </si>
  <si>
    <t>% Total Population</t>
  </si>
  <si>
    <t>% GDP</t>
  </si>
  <si>
    <t>Valuation</t>
  </si>
  <si>
    <t>DCF Per ADS</t>
  </si>
  <si>
    <t>Fully diluted market cap (US$mn) - Calc</t>
  </si>
  <si>
    <t>DCF Equity Value (US$mn)</t>
  </si>
  <si>
    <t>Net cash (US$mn)</t>
  </si>
  <si>
    <t>Current Ratio</t>
  </si>
  <si>
    <t>Net Debt</t>
  </si>
  <si>
    <t>Sensitivity</t>
  </si>
  <si>
    <t>P/E (Diluted) *</t>
  </si>
  <si>
    <t>PEG</t>
  </si>
  <si>
    <t>EV / EBITDA *</t>
  </si>
  <si>
    <t>FCF Yield</t>
  </si>
  <si>
    <t>Industry Assumptions - CY data</t>
  </si>
  <si>
    <t>Online Shoppers</t>
  </si>
  <si>
    <t>% Internet population</t>
  </si>
  <si>
    <t>% total population</t>
  </si>
  <si>
    <t>% of total online shoppers</t>
  </si>
  <si>
    <t>BABA.N</t>
  </si>
  <si>
    <t>Alibaba Group Holding</t>
  </si>
  <si>
    <t>Payment for privatization of Alibaba.com Limited</t>
  </si>
  <si>
    <t>Acquisition of the remaining noncontrolling interest in a subsidiary</t>
  </si>
  <si>
    <t>Dividend paid by a consolidated subsidiary to noncontrolling interests</t>
  </si>
  <si>
    <t>Disposals of partial interest in subsidiaries, net of related costs</t>
  </si>
  <si>
    <t>Proceeds from secured borrowings relating to micro loans</t>
  </si>
  <si>
    <t>Proceeds from current bank borrowings</t>
  </si>
  <si>
    <t>Repayment of current bank borrowings</t>
  </si>
  <si>
    <t>Proceeds from non-current bank borrowings</t>
  </si>
  <si>
    <t>Repayment of non-current bank borrowings</t>
  </si>
  <si>
    <t>Tmall</t>
  </si>
  <si>
    <t>As % of total</t>
  </si>
  <si>
    <t>Taobao</t>
  </si>
  <si>
    <t>Total equity</t>
  </si>
  <si>
    <t>F2014</t>
  </si>
  <si>
    <t>F2015</t>
  </si>
  <si>
    <t>F2016</t>
  </si>
  <si>
    <t>2015</t>
  </si>
  <si>
    <t>2016</t>
  </si>
  <si>
    <t>2017</t>
  </si>
  <si>
    <t>2014</t>
  </si>
  <si>
    <t>2018</t>
  </si>
  <si>
    <t>2019</t>
  </si>
  <si>
    <t>GMV (Rmb bn)</t>
  </si>
  <si>
    <t>Other income</t>
  </si>
  <si>
    <t>Interest expense</t>
  </si>
  <si>
    <t>As % of total revenue</t>
  </si>
  <si>
    <t>Average no. of shares outstanding, basic (mn)</t>
  </si>
  <si>
    <t>Average no. of shares outstanding, diluted (mn)</t>
  </si>
  <si>
    <t>AliExpress</t>
  </si>
  <si>
    <t>Product development expenses</t>
  </si>
  <si>
    <t>Sales &amp; marketing expenses</t>
  </si>
  <si>
    <t>General &amp; administrative expenses</t>
  </si>
  <si>
    <t>Mobile GMV</t>
  </si>
  <si>
    <t>As % of total international commerce sales</t>
  </si>
  <si>
    <t>Taobao.com</t>
  </si>
  <si>
    <t>Free cash flow</t>
  </si>
  <si>
    <t>Mobile monetization rate</t>
  </si>
  <si>
    <t>Commission</t>
  </si>
  <si>
    <t>Taobao GMV (Rmb bn)</t>
  </si>
  <si>
    <t>Tmall GMV (Rmb bn)</t>
  </si>
  <si>
    <t>Capital expenditure - Land use rights and construction in progress</t>
  </si>
  <si>
    <t>Capital expenditure - Other property, equipment and intangible assets</t>
  </si>
  <si>
    <t>PC GMV</t>
  </si>
  <si>
    <t>PC revenue</t>
  </si>
  <si>
    <t>Mobile revenue</t>
  </si>
  <si>
    <t>Net cash</t>
  </si>
  <si>
    <t>Diluted P/E</t>
  </si>
  <si>
    <t>Net profit / (loss)</t>
  </si>
  <si>
    <t>Net profit / (loss), US$mn</t>
  </si>
  <si>
    <t>EPADS</t>
  </si>
  <si>
    <t>EPADS (US$)</t>
  </si>
  <si>
    <t>Non-GAAP Net profit / (loss)</t>
  </si>
  <si>
    <t>Non-GAAP Net profit / (loss), US$mn</t>
  </si>
  <si>
    <t>EV / Sales</t>
  </si>
  <si>
    <t>Sales</t>
  </si>
  <si>
    <t>Sales, US$mn</t>
  </si>
  <si>
    <t>EV / EBITDA</t>
  </si>
  <si>
    <t>EBITDA, US$mn</t>
  </si>
  <si>
    <t>EV / FCF</t>
  </si>
  <si>
    <t>FCF</t>
  </si>
  <si>
    <t>FCF, US$mn</t>
  </si>
  <si>
    <t>Price / Book</t>
  </si>
  <si>
    <t>Book value</t>
  </si>
  <si>
    <t>Book value, US$mn</t>
  </si>
  <si>
    <t>ROE</t>
  </si>
  <si>
    <t>PEG ratio</t>
  </si>
  <si>
    <t>Revenues</t>
  </si>
  <si>
    <t>EBIT</t>
  </si>
  <si>
    <t>(-) Tax</t>
  </si>
  <si>
    <t>(+) Depreciation &amp; amortization</t>
  </si>
  <si>
    <t>(+) Share based compensation</t>
  </si>
  <si>
    <t>(-) Change of working capital</t>
  </si>
  <si>
    <t>(-) Capex</t>
  </si>
  <si>
    <t>% change</t>
  </si>
  <si>
    <t>Exit value</t>
  </si>
  <si>
    <t>Year from now</t>
  </si>
  <si>
    <t>Discount factor</t>
  </si>
  <si>
    <t>Present value</t>
  </si>
  <si>
    <t>Discount rate</t>
  </si>
  <si>
    <t>Exit growth rate</t>
  </si>
  <si>
    <t>Exit FCF multiple</t>
  </si>
  <si>
    <t>Sum of present value</t>
  </si>
  <si>
    <t>Net value (Rmb mn)</t>
  </si>
  <si>
    <t>Net value (US$ mn)</t>
  </si>
  <si>
    <t>Total GMV</t>
  </si>
  <si>
    <t>FY14</t>
  </si>
  <si>
    <t>Average spending per buyer (Rmb)</t>
  </si>
  <si>
    <t>Blended monetization rate</t>
  </si>
  <si>
    <t>GMV split</t>
  </si>
  <si>
    <t>PC</t>
  </si>
  <si>
    <t>Total revenue</t>
  </si>
  <si>
    <t>As % of total China commerce revenue</t>
  </si>
  <si>
    <t>Paying members ('000)</t>
  </si>
  <si>
    <t>As % of total international commerce revenue</t>
  </si>
  <si>
    <t>As % of total int'l wholesale revenue</t>
  </si>
  <si>
    <t>Cloud computing</t>
  </si>
  <si>
    <t>Total China retail GMV (Rmb bn)</t>
  </si>
  <si>
    <t>Customer number ('000)</t>
  </si>
  <si>
    <t>China retail GMV (Rmb bn)</t>
  </si>
  <si>
    <t>Base case</t>
  </si>
  <si>
    <t>PC monetization rate</t>
  </si>
  <si>
    <t>China retail revenue (Rmb mn)</t>
  </si>
  <si>
    <t>Blended monetization</t>
  </si>
  <si>
    <t>Bull case</t>
  </si>
  <si>
    <t>vs. base case</t>
  </si>
  <si>
    <t>Bear case</t>
  </si>
  <si>
    <t>Income Statement</t>
  </si>
  <si>
    <t>China Retail Sales - MS ecomm model</t>
  </si>
  <si>
    <t>As % of Retail Sales</t>
  </si>
  <si>
    <t>F4Q15</t>
  </si>
  <si>
    <t>F1Q16</t>
  </si>
  <si>
    <t>F2Q16</t>
  </si>
  <si>
    <t>F3Q16</t>
  </si>
  <si>
    <t>F4Q16</t>
  </si>
  <si>
    <t>F2018E</t>
  </si>
  <si>
    <t>F2019E</t>
  </si>
  <si>
    <t>F2020E</t>
  </si>
  <si>
    <t>F2021E</t>
  </si>
  <si>
    <t>F2022E</t>
  </si>
  <si>
    <t>F2023E</t>
  </si>
  <si>
    <t>F2024E</t>
  </si>
  <si>
    <t>F2025E</t>
  </si>
  <si>
    <t>US$mn equity value</t>
  </si>
  <si>
    <t>US$ per share</t>
  </si>
  <si>
    <t>Old</t>
  </si>
  <si>
    <t>Treasury shares at cost</t>
  </si>
  <si>
    <t>Amortization of restructuring reserve</t>
  </si>
  <si>
    <t>Net loss</t>
  </si>
  <si>
    <t>Revenue (Rmb mn)</t>
  </si>
  <si>
    <t>Net Income (Rmb mn)</t>
  </si>
  <si>
    <t>Non-GAAP Net Income (Rmb mn)</t>
  </si>
  <si>
    <t>Non-GAAP EBITDA (Rmb mn)</t>
  </si>
  <si>
    <t>Unsecured senior notes</t>
  </si>
  <si>
    <t>Restructuring reserve</t>
  </si>
  <si>
    <t>Non-current bank borrowings/Unsecured senior notes</t>
  </si>
  <si>
    <t>Non-GAAP EBITDA</t>
  </si>
  <si>
    <t>FY15</t>
  </si>
  <si>
    <t>FY16</t>
  </si>
  <si>
    <t>SOTP</t>
  </si>
  <si>
    <t>Alibaba Core</t>
  </si>
  <si>
    <t>Value per share (US$)</t>
  </si>
  <si>
    <t>Per Share Value (US$)</t>
  </si>
  <si>
    <t>SOTP Valuation</t>
  </si>
  <si>
    <t>2025</t>
  </si>
  <si>
    <t>Retail</t>
  </si>
  <si>
    <t>Wholesale</t>
  </si>
  <si>
    <t>Sales and marketing expenses</t>
  </si>
  <si>
    <t>General and administrative expenses</t>
  </si>
  <si>
    <t>FY17</t>
  </si>
  <si>
    <t>-</t>
  </si>
  <si>
    <t>Currency</t>
  </si>
  <si>
    <t>Current Stock Price</t>
  </si>
  <si>
    <t>Count</t>
  </si>
  <si>
    <t>Period end</t>
  </si>
  <si>
    <t>- Mobile contribution to GMV</t>
  </si>
  <si>
    <t>Mobile MAUs (mn)</t>
  </si>
  <si>
    <t>- Mobile contribution to China Retail Revenue</t>
  </si>
  <si>
    <t>Operating Income (Rmb mn)</t>
  </si>
  <si>
    <t>Non-GAAP EBITDA Margin (%)</t>
  </si>
  <si>
    <t>Diluted EPADS</t>
  </si>
  <si>
    <t>Diluted Non-GAAP EPADS</t>
  </si>
  <si>
    <t>Operating Cash Flow (Rmb mn)</t>
  </si>
  <si>
    <t>Non-GAAP Free Cash Flow (Rmb mn)</t>
  </si>
  <si>
    <t>Total China commerce</t>
  </si>
  <si>
    <t>Total international commerce</t>
  </si>
  <si>
    <t>GMV split (%)</t>
  </si>
  <si>
    <t>GMV YoY Growth (%)</t>
  </si>
  <si>
    <t>Revenue Split (%)</t>
  </si>
  <si>
    <t>Revenue YoY Growth (%)</t>
  </si>
  <si>
    <t>Monetization Rate (%)</t>
  </si>
  <si>
    <t>- PC</t>
  </si>
  <si>
    <t>- Mobile</t>
  </si>
  <si>
    <t>Mobile Revenue from China Retail (Rmb mn)</t>
  </si>
  <si>
    <t>- Consolidation of rev from acquired business</t>
  </si>
  <si>
    <t>Mark to Market Impact</t>
  </si>
  <si>
    <t>Amortization of Intangible Assets</t>
  </si>
  <si>
    <t>Number of Employees</t>
  </si>
  <si>
    <t>China Retail Revenue Split (%)</t>
  </si>
  <si>
    <t>Income Statement (Rmb mn)</t>
  </si>
  <si>
    <t>Interest and investment income, net</t>
  </si>
  <si>
    <t>Net (income) loss attributable to noncontrolling interests</t>
  </si>
  <si>
    <t>Weighted average number of share used in calculating net income per ordinary share</t>
  </si>
  <si>
    <t>Non-GAAP costs and expenses excl. SBC:</t>
  </si>
  <si>
    <t>SBC:</t>
  </si>
  <si>
    <t>Balance Sheet (Rmb mn)</t>
  </si>
  <si>
    <t>Assets</t>
  </si>
  <si>
    <t>Current assets:</t>
  </si>
  <si>
    <t>Liabilities, Mezzanine Equity and Shareholders’ Equity</t>
  </si>
  <si>
    <t>Current liabilities:</t>
  </si>
  <si>
    <t>Commitments and contingencies</t>
  </si>
  <si>
    <t>Mezzanine equity:</t>
  </si>
  <si>
    <t>AGH shareholders' equity:</t>
  </si>
  <si>
    <t>Total AGH shareholders' equity</t>
  </si>
  <si>
    <t>Noncontrolling interests</t>
  </si>
  <si>
    <t>Total liabilities, mezzanine equity and equity</t>
  </si>
  <si>
    <t>Net cash provided by operating activities</t>
  </si>
  <si>
    <t>Net cash used in investing activities</t>
  </si>
  <si>
    <t>Net cash provided by financing activities</t>
  </si>
  <si>
    <t>Effect of exchange rate changes on cash and cash equivalents</t>
  </si>
  <si>
    <t>Increase in cash and cash equivalents</t>
  </si>
  <si>
    <t>Cash and cash equivalents at beginning of period</t>
  </si>
  <si>
    <t>Cash and cash equivalents at end of period</t>
  </si>
  <si>
    <t>Add: Share-based compensation expense</t>
  </si>
  <si>
    <t>Add: Depreciation and amortization of property and equipment and land use rights</t>
  </si>
  <si>
    <t>Add: Impairment of goodwill and intangible assets</t>
  </si>
  <si>
    <t>Add: Equity-settled donation expense</t>
  </si>
  <si>
    <t>Add: Impairment of goodwill, intangible assets and investments</t>
  </si>
  <si>
    <t>Add: (Gain) loss on deemed disposals/disposals/ revaluation of investments</t>
  </si>
  <si>
    <t>Add: Amortization of excess value receivable arising from the restructuring of commercial arrangements with Ant Financial</t>
  </si>
  <si>
    <t>Add: Expenses relating to the sale of shares by existing shareholders in initial public offering</t>
  </si>
  <si>
    <t>Non-GAAP net income</t>
  </si>
  <si>
    <t>Add: Reversal of accretion upon assumed conversion of Convertible Preference Shares</t>
  </si>
  <si>
    <t>Net income attributable to ordinary shareholders for computing diluted EPS</t>
  </si>
  <si>
    <t>Add: Non-GAAP adjustments to net income(a)</t>
  </si>
  <si>
    <t>Non-GAAP net income attributable to ordinary shareholders for computing non-GAAP diluted EPS</t>
  </si>
  <si>
    <t>Weighted average number of shares on a diluted basis</t>
  </si>
  <si>
    <t>Diluted EPS(b)</t>
  </si>
  <si>
    <t>Add: Non-GAAP adjustments to net income per share(c)</t>
  </si>
  <si>
    <t>Non-GAAP diluted EPS(d)</t>
  </si>
  <si>
    <t>Cash Flow Statement (Rmb mn)</t>
  </si>
  <si>
    <t>Less: Purchase of property and equipment and intangible assets (excluding land use rights and construction in progress)</t>
  </si>
  <si>
    <t>Youku</t>
  </si>
  <si>
    <t>GMV YoY Growth - excl. online lottery (%)</t>
  </si>
  <si>
    <t>Taobao ex lottery</t>
  </si>
  <si>
    <t>Lottery</t>
  </si>
  <si>
    <t>Proceeds from unsecured senior notes</t>
  </si>
  <si>
    <t>Copyrights and Others</t>
  </si>
  <si>
    <t>SBC to AHG employees</t>
  </si>
  <si>
    <t>SBC to Ant employees and other consultants</t>
  </si>
  <si>
    <t>Ant's SBC to AHG's employees</t>
  </si>
  <si>
    <t>Rmbmn</t>
  </si>
  <si>
    <t>Acquisition</t>
  </si>
  <si>
    <t>Account receivable, net of allowance</t>
  </si>
  <si>
    <t>Computer equipment and software</t>
  </si>
  <si>
    <t>Buildings and leasehold improvemets</t>
  </si>
  <si>
    <t>Furniture, office and transportation equipment</t>
  </si>
  <si>
    <t>Annual China retail revenue per annual active buyer</t>
  </si>
  <si>
    <t>Annual mobile revenue per mobile MAU from China Commerce Retail</t>
  </si>
  <si>
    <t>Rev_Net</t>
  </si>
  <si>
    <t>Exp_RD</t>
  </si>
  <si>
    <t>NP_NONGP</t>
  </si>
  <si>
    <t>Mobile MAU (mn)</t>
  </si>
  <si>
    <t>Lazada</t>
  </si>
  <si>
    <t>ARPU</t>
  </si>
  <si>
    <t>Net debt</t>
  </si>
  <si>
    <t>Koubei</t>
  </si>
  <si>
    <t>International Wholesale</t>
  </si>
  <si>
    <t>% Paying Customer</t>
  </si>
  <si>
    <t>Total Assets</t>
  </si>
  <si>
    <t>CY2014</t>
  </si>
  <si>
    <t>CY2015</t>
  </si>
  <si>
    <t>Recognized net loss</t>
  </si>
  <si>
    <t>Alibaba Picture</t>
  </si>
  <si>
    <t>Recognized net income</t>
  </si>
  <si>
    <t>Tax benefit from share based awards</t>
  </si>
  <si>
    <t>Monetization Rate 2020e</t>
  </si>
  <si>
    <t>Net value / Share (US$)</t>
  </si>
  <si>
    <t>Quarterly contribution</t>
  </si>
  <si>
    <t>Mobile revenue per MAU</t>
  </si>
  <si>
    <t>Mobile revenue per MAU (Calculated)</t>
  </si>
  <si>
    <t>By Segment</t>
  </si>
  <si>
    <t>Cloud Computing</t>
  </si>
  <si>
    <t>Core Commerce</t>
  </si>
  <si>
    <t>Adjusted EBITA</t>
  </si>
  <si>
    <t>Unallocated</t>
  </si>
  <si>
    <t>Cloud paying customers (thousand)</t>
  </si>
  <si>
    <t>operations</t>
  </si>
  <si>
    <t>China commerce retail</t>
  </si>
  <si>
    <t>China commerce wholesale</t>
  </si>
  <si>
    <t>International commerce retail</t>
  </si>
  <si>
    <t>International commerce wholesale</t>
  </si>
  <si>
    <t>Digital media and entertainment</t>
  </si>
  <si>
    <t>Innovation initiatives and others</t>
  </si>
  <si>
    <t>Core commerce</t>
  </si>
  <si>
    <t>Share of losses of equity investees:</t>
  </si>
  <si>
    <t>Adjusted EBITA margin</t>
  </si>
  <si>
    <t>- Koubei</t>
  </si>
  <si>
    <t>- Youku Tudou</t>
  </si>
  <si>
    <t>- Cainiao Network</t>
  </si>
  <si>
    <t>Intenrational Retail</t>
  </si>
  <si>
    <t>% change qoq</t>
  </si>
  <si>
    <t>F1Q17</t>
  </si>
  <si>
    <t>F2Q17</t>
  </si>
  <si>
    <t>- Other equity investees</t>
  </si>
  <si>
    <t>Total core commerce</t>
  </si>
  <si>
    <t>Others core commerce</t>
  </si>
  <si>
    <t>Revenue YoY</t>
  </si>
  <si>
    <t>Breakdown by Segment</t>
  </si>
  <si>
    <t>Cloud revenue</t>
  </si>
  <si>
    <t>Gross profits</t>
  </si>
  <si>
    <t>Net profits</t>
  </si>
  <si>
    <t>I. GAAP</t>
  </si>
  <si>
    <t>II. Non-GAAP</t>
  </si>
  <si>
    <t xml:space="preserve"> </t>
  </si>
  <si>
    <t>Digital Media Entertainment</t>
  </si>
  <si>
    <t>Innovation Initiatives &amp; Others</t>
  </si>
  <si>
    <t>Adjusted (non-GAAP) EBITA</t>
  </si>
  <si>
    <t>Adjusted (non-GAAP) EBITA Margin</t>
  </si>
  <si>
    <t>Total EBITA</t>
  </si>
  <si>
    <t>Total EBITA Margin</t>
  </si>
  <si>
    <t>Total China Retail Revenue</t>
  </si>
  <si>
    <t>Paying Customer</t>
  </si>
  <si>
    <t>4Q18E</t>
  </si>
  <si>
    <t>Dilution gains (impairment losses)</t>
  </si>
  <si>
    <t>F3Q17</t>
  </si>
  <si>
    <t>F4Q17</t>
  </si>
  <si>
    <t>1Q18</t>
  </si>
  <si>
    <t>Morgan Stanley Research - Alibaba</t>
  </si>
  <si>
    <t xml:space="preserve"> (Rmb mn)</t>
  </si>
  <si>
    <t>Senario Assumptions</t>
  </si>
  <si>
    <t>Output Assumptions</t>
  </si>
  <si>
    <t>Digital media &amp; Entertainment</t>
  </si>
  <si>
    <t>Core Commerce: China Retail</t>
  </si>
  <si>
    <t>By platform</t>
  </si>
  <si>
    <t>By channel</t>
  </si>
  <si>
    <t>% of annual active buyers (mn)</t>
  </si>
  <si>
    <t>Commission - Tmall</t>
  </si>
  <si>
    <t>By platform (format)</t>
  </si>
  <si>
    <t>% Monetization rate</t>
  </si>
  <si>
    <t>Commission - as of Tmall GMV</t>
  </si>
  <si>
    <t>Core Commerce: China wholesale - 1688.com</t>
  </si>
  <si>
    <t>Core Commerce: Int'l retail - Lazada/AliExpress</t>
  </si>
  <si>
    <t>Core Commerce: Int'l wholesale - alibaba.com</t>
  </si>
  <si>
    <t>% Take rate</t>
  </si>
  <si>
    <t>Core Commerce: Others</t>
  </si>
  <si>
    <t>% chage YoY</t>
  </si>
  <si>
    <t>&gt;&gt;start consolidate</t>
  </si>
  <si>
    <t>Innovation initiatives and others revenue</t>
  </si>
  <si>
    <t>Digital media and entertainment revenue</t>
  </si>
  <si>
    <t>Core Commerce - Other revenue</t>
  </si>
  <si>
    <t>Check with quarterly</t>
  </si>
  <si>
    <t>% Margin</t>
  </si>
  <si>
    <t>Product development</t>
  </si>
  <si>
    <t>Sales &amp; marketing</t>
  </si>
  <si>
    <t>Check quarterly</t>
  </si>
  <si>
    <t>FX Rate (FY) - RMB/USD - Avg</t>
  </si>
  <si>
    <t>Tax effect</t>
  </si>
  <si>
    <t>Forward exchange contracts under hedge accounting</t>
  </si>
  <si>
    <t>% Breakdown</t>
  </si>
  <si>
    <t>By cost item</t>
  </si>
  <si>
    <t>By business unit</t>
  </si>
  <si>
    <t>SBC by business unit</t>
  </si>
  <si>
    <t>Amortization by business unit</t>
  </si>
  <si>
    <t>Non-GAAP EBITA</t>
  </si>
  <si>
    <t>Non-GAAP operating profit</t>
  </si>
  <si>
    <t>Non-GAAP net income attributable to ordinary shareholder</t>
  </si>
  <si>
    <t>EBITA margin</t>
  </si>
  <si>
    <t>as % of revenue</t>
  </si>
  <si>
    <t>as % of total revenue</t>
  </si>
  <si>
    <t>Net loss attributable to noncontrolling interests</t>
  </si>
  <si>
    <t>Reconcile with Old revenue split</t>
  </si>
  <si>
    <t>Intangible assets (net)</t>
  </si>
  <si>
    <t>As % of total intangible and good will</t>
  </si>
  <si>
    <t>Non-cash disposal gains and others</t>
  </si>
  <si>
    <t>% Implied interest rate on cash</t>
  </si>
  <si>
    <t>% change yoy</t>
  </si>
  <si>
    <t>As % of P&amp;L items</t>
  </si>
  <si>
    <t>Key line &amp; ratios</t>
  </si>
  <si>
    <t>By item</t>
  </si>
  <si>
    <t>By business</t>
  </si>
  <si>
    <t>Average depreciation term - 4 years</t>
  </si>
  <si>
    <t xml:space="preserve">Depreciation Waterfall </t>
  </si>
  <si>
    <t>Changes in working capital</t>
  </si>
  <si>
    <t>Segment Summary</t>
  </si>
  <si>
    <t>Key Assumptions</t>
  </si>
  <si>
    <t>Amortization</t>
  </si>
  <si>
    <t>Non-GAAP OP Margin</t>
  </si>
  <si>
    <t>Implied tax rate on Core commerce</t>
  </si>
  <si>
    <t>Lazada's annual active buyers (mn)</t>
  </si>
  <si>
    <t>AliExpress's annual active buyers (mn)</t>
  </si>
  <si>
    <t>Digital media &amp; entertainment Mobile MAU</t>
  </si>
  <si>
    <t>Others (UC Web + Ali Sports+Ali Music)</t>
  </si>
  <si>
    <t>ADS price, US$ - Price Target</t>
  </si>
  <si>
    <t>Per share value - GAAP</t>
  </si>
  <si>
    <t>Per share value - Non-GAAP</t>
  </si>
  <si>
    <t>% growth</t>
  </si>
  <si>
    <t>EV/Sales</t>
  </si>
  <si>
    <t>Current price reflected EV (US$mn)</t>
  </si>
  <si>
    <t>Price Target Implied Metrics (non GAAP)</t>
  </si>
  <si>
    <t>% Net profit growth</t>
  </si>
  <si>
    <t>% Non-GAAP Net profit growth</t>
  </si>
  <si>
    <t>EBITA</t>
  </si>
  <si>
    <t>Multiples implied by current price</t>
  </si>
  <si>
    <t>Adjustments besides SBC and Amortization</t>
  </si>
  <si>
    <t>Dilution and other adjustment</t>
  </si>
  <si>
    <t>Add: Dividend eliminated upon assumed conversion of Convertible Preference Shares / Or Dilution effect on earnings arising from option plans operated by a subsidiary and equity investees</t>
  </si>
  <si>
    <t>17-20CAGR</t>
  </si>
  <si>
    <t>n.a.</t>
  </si>
  <si>
    <t>Free cash flow per share</t>
  </si>
  <si>
    <t>Free cash flow yield</t>
  </si>
  <si>
    <t>Non-GAAP Diluted P/E</t>
  </si>
  <si>
    <t>Non-GAAP PEG ratio</t>
  </si>
  <si>
    <t>Non-GAAP EV / EBITDA</t>
  </si>
  <si>
    <t>Price / Sales</t>
  </si>
  <si>
    <t>Total revenue, US$mn</t>
  </si>
  <si>
    <t>GMV CAGR 2017-20e</t>
  </si>
  <si>
    <t>Revenue CAGR 2017-20e</t>
  </si>
  <si>
    <t>Annual active consumer (mn)</t>
  </si>
  <si>
    <t>Total consumer (mn)</t>
  </si>
  <si>
    <t>Average spending per consumer (Rmb)</t>
  </si>
  <si>
    <t>Int'l retail GMV - estimate non-reporting (Rmb bn)</t>
  </si>
  <si>
    <t>Per share value</t>
  </si>
  <si>
    <t>(US$ bn)</t>
  </si>
  <si>
    <t>% hold</t>
  </si>
  <si>
    <t>Value hold</t>
  </si>
  <si>
    <t>Other equity investees - Public traded</t>
  </si>
  <si>
    <t>Other equity investees - Private</t>
  </si>
  <si>
    <t>Content Cost</t>
  </si>
  <si>
    <t>plus 4432</t>
  </si>
  <si>
    <t>Bandwidth costs</t>
  </si>
  <si>
    <t>plus 6986</t>
  </si>
  <si>
    <t>plus 3239</t>
  </si>
  <si>
    <t>Inventory costs</t>
  </si>
  <si>
    <t>WACC Calculation</t>
  </si>
  <si>
    <t>63% of debt is fixed rate, 37% is floating rate</t>
  </si>
  <si>
    <t>WACC= % debt * cost of debt * (1-t) + % equity * required reate of return on equity</t>
  </si>
  <si>
    <t>% debt</t>
  </si>
  <si>
    <t>cost of debt</t>
  </si>
  <si>
    <t>(1-tax rate)</t>
  </si>
  <si>
    <t>% equity</t>
  </si>
  <si>
    <t>Alibaba beta</t>
  </si>
  <si>
    <t>Required rate of return = risk free return + beta * (Market rate of return - risk free return)</t>
  </si>
  <si>
    <t>Required rate of return</t>
  </si>
  <si>
    <t>WACC</t>
  </si>
  <si>
    <t>In aggregate 8bn unsecured senior notes; 4bn 5-yr term loan facility dawn down in FY17; 5.15bn revolving credit facility.</t>
  </si>
  <si>
    <t>Unsecured senior notes: 3-month LIBOR + 0.52% per annual</t>
  </si>
  <si>
    <t>effective interest rate</t>
  </si>
  <si>
    <t>(US$mn)</t>
  </si>
  <si>
    <t>% weight</t>
  </si>
  <si>
    <t>Risk free rate of return (10-yr US treasury)</t>
  </si>
  <si>
    <t>Market rate of return (S&amp;P long-term average)</t>
  </si>
  <si>
    <t>Non-GAAP Core business P/E</t>
  </si>
  <si>
    <t>Non-GAAP core business net profit</t>
  </si>
  <si>
    <t>Non-GAAP core business net profit, US$mn</t>
  </si>
  <si>
    <t>Non-GAAP Core business PEG ratio</t>
  </si>
  <si>
    <t>% Non-GAAP core business profit growth</t>
  </si>
  <si>
    <t>Ex-Cloud DCF</t>
  </si>
  <si>
    <t>Cashflow Statement</t>
  </si>
  <si>
    <t>Current Basic Shares Outstanding (mn)</t>
  </si>
  <si>
    <t>Period End Shares Outstanding (mn)</t>
  </si>
  <si>
    <t>Current Diluted Shares Outstanding (mn)</t>
  </si>
  <si>
    <t>Change in restricted cash</t>
  </si>
  <si>
    <t>1Q19E</t>
  </si>
  <si>
    <t>2Q19E</t>
  </si>
  <si>
    <t>3Q19E</t>
  </si>
  <si>
    <t>4Q19E</t>
  </si>
  <si>
    <t>&gt;&gt; new segment reporting started</t>
  </si>
  <si>
    <t>Cash conversion ratio</t>
  </si>
  <si>
    <t>Customer number</t>
  </si>
  <si>
    <t>ADS price, US$ - Current trading</t>
  </si>
  <si>
    <t>Statutory Tax Rate</t>
  </si>
  <si>
    <t>Unrecorded Goodwill</t>
  </si>
  <si>
    <t>Changes in shareholders' equity</t>
  </si>
  <si>
    <t>BOP</t>
  </si>
  <si>
    <t>Net Issuance</t>
  </si>
  <si>
    <t>NI</t>
  </si>
  <si>
    <t>Dividends</t>
  </si>
  <si>
    <t>Changes in AOCI</t>
  </si>
  <si>
    <t>EOP</t>
  </si>
  <si>
    <t>ND</t>
  </si>
  <si>
    <t>Hong Kong</t>
  </si>
  <si>
    <t>Annual Active Consumer (mn)</t>
  </si>
  <si>
    <t>Consumer management - as of Total China retail GMV</t>
  </si>
  <si>
    <t>Consumer management</t>
  </si>
  <si>
    <t>Mobile revenue per mobile MAU from China commerce retail – Annualized</t>
  </si>
  <si>
    <t>Others (Intime + Hema)</t>
  </si>
  <si>
    <t>2Q18</t>
  </si>
  <si>
    <t>3Q18</t>
  </si>
  <si>
    <t>Cainiao revenue China Retail</t>
  </si>
  <si>
    <t>Calendarized</t>
  </si>
  <si>
    <t>Core China eCommerce</t>
  </si>
  <si>
    <t>Rev_Cloud</t>
  </si>
  <si>
    <t>Rev_Adv_1</t>
  </si>
  <si>
    <t>Rev_Adv_2</t>
  </si>
  <si>
    <t>'15-'18 Rev</t>
  </si>
  <si>
    <t>2017 EBITDA</t>
  </si>
  <si>
    <t>AWS Comp Group</t>
  </si>
  <si>
    <t>EV/Revenue</t>
  </si>
  <si>
    <t>CAGR</t>
  </si>
  <si>
    <t>Margin</t>
  </si>
  <si>
    <t>Citrix Systems</t>
  </si>
  <si>
    <t>Oracle</t>
  </si>
  <si>
    <t>Salesforce.com</t>
  </si>
  <si>
    <t>SAP</t>
  </si>
  <si>
    <t>VMware</t>
  </si>
  <si>
    <t>Akamai</t>
  </si>
  <si>
    <t>Red Hat</t>
  </si>
  <si>
    <t>Average</t>
  </si>
  <si>
    <t>Median</t>
  </si>
  <si>
    <t>AWS</t>
  </si>
  <si>
    <t>Premium to Comp Average</t>
  </si>
  <si>
    <t>AWS Valuation</t>
  </si>
  <si>
    <t>AWS Revenue (2019E)</t>
  </si>
  <si>
    <t>EV/Revenue Multiple</t>
  </si>
  <si>
    <t>Implied EV</t>
  </si>
  <si>
    <t>Implied Market Cap</t>
  </si>
  <si>
    <t>Shares Out.</t>
  </si>
  <si>
    <t>Per Share Value</t>
  </si>
  <si>
    <t>Update: 29 Jan 2018</t>
  </si>
  <si>
    <t>AliCloud Valuation</t>
  </si>
  <si>
    <t>in US$ millions</t>
  </si>
  <si>
    <t>AliCloud</t>
  </si>
  <si>
    <t>AliCloud Revenue (FY2025E)</t>
  </si>
  <si>
    <t>Total DCF</t>
  </si>
  <si>
    <t>(US$ mn)</t>
  </si>
  <si>
    <t>Per Share Value by FY2019E</t>
  </si>
  <si>
    <t>Per Share Value by FY2025E</t>
  </si>
  <si>
    <t>Equity Investees</t>
  </si>
  <si>
    <t>DCF Valuation of Core Business ex-Cloud</t>
  </si>
  <si>
    <t>Shares Outstanding by FY2025E</t>
  </si>
  <si>
    <t>Implied current valuation</t>
  </si>
  <si>
    <t>Investments &amp; Profit Stream</t>
  </si>
  <si>
    <t>Other equity investees</t>
  </si>
  <si>
    <t>Customer management - Tmall/Taobao</t>
  </si>
  <si>
    <t>Cainiao logistics services</t>
  </si>
  <si>
    <t>Others (Intime + Tmall Import + Hema)</t>
  </si>
  <si>
    <t>Hema and Others</t>
  </si>
  <si>
    <t>Unicorn list published by gov in Mar-18 cite it by US$39bn</t>
  </si>
  <si>
    <t>Tax Rate</t>
  </si>
  <si>
    <t xml:space="preserve">COGS </t>
  </si>
  <si>
    <t>Total OPEX</t>
  </si>
  <si>
    <t>Total SBC</t>
  </si>
  <si>
    <t>as% of Revenue - assumptions</t>
  </si>
  <si>
    <t>CoGS</t>
  </si>
  <si>
    <t xml:space="preserve">  Product development</t>
  </si>
  <si>
    <t xml:space="preserve">  Sales &amp; marketing</t>
  </si>
  <si>
    <t xml:space="preserve">  G&amp;A</t>
  </si>
  <si>
    <t xml:space="preserve">  Amortization of intangible assets</t>
  </si>
  <si>
    <t xml:space="preserve">  Impairment of goodwill and intangible assets</t>
  </si>
  <si>
    <t xml:space="preserve">  Yahoo TIPLA amendment payment</t>
  </si>
  <si>
    <t xml:space="preserve">  Total OPEX</t>
  </si>
  <si>
    <t xml:space="preserve">  Koubei</t>
  </si>
  <si>
    <t xml:space="preserve">  Youku Tudou</t>
  </si>
  <si>
    <t xml:space="preserve">  Other equity investees</t>
  </si>
  <si>
    <t>Depreication</t>
  </si>
  <si>
    <t>as % of Revenue - GAAP</t>
  </si>
  <si>
    <t>as % of Revenue - Non GAAP</t>
  </si>
  <si>
    <t xml:space="preserve"> Amortization of intangible assets</t>
  </si>
  <si>
    <t>Non-GAAP Operating Profits</t>
  </si>
  <si>
    <t>Deprciation</t>
  </si>
  <si>
    <t>Revenue - QoQ %</t>
  </si>
  <si>
    <t>Revenue - Mix %</t>
  </si>
  <si>
    <t>Revenue - YoY %</t>
  </si>
  <si>
    <t>Non-GAAP EBITA - Mix %</t>
  </si>
  <si>
    <t>Non-GAAP EBITA - QoQ %</t>
  </si>
  <si>
    <t>Non-GAAP EBITA - YoY %</t>
  </si>
  <si>
    <t>Annual China Retail Revenue/Annual Active Customers</t>
  </si>
  <si>
    <t>Annual China Retail Mobile Revenue/Mobile MAU</t>
  </si>
  <si>
    <t>250</t>
  </si>
  <si>
    <t>Financial Arm</t>
  </si>
  <si>
    <t>Logistic Services</t>
  </si>
  <si>
    <t>Others (Logistic Services)</t>
  </si>
  <si>
    <t>Core Commerce: Logistics services</t>
  </si>
  <si>
    <t>Logistics services revenue</t>
  </si>
  <si>
    <t>Logistic costs</t>
  </si>
  <si>
    <t>- Logistic Services</t>
  </si>
  <si>
    <t xml:space="preserve">  Logistic Services</t>
  </si>
  <si>
    <t>Financial Arm (SMF) - As Reported</t>
  </si>
  <si>
    <t>SME Loan fee from Financial Arm (since FY16)</t>
  </si>
  <si>
    <t>- Financial Arm</t>
  </si>
  <si>
    <t xml:space="preserve">  Financial Arm</t>
  </si>
  <si>
    <t>Royalty fees and software technology service fees from Financial Arm</t>
  </si>
  <si>
    <t>Research</t>
  </si>
  <si>
    <t>e = Morgan Stanley Research estimates unless otherwise noted</t>
  </si>
  <si>
    <t>Source: Morgan Stanley Research unless otherwise noted</t>
  </si>
  <si>
    <t>Stocks ratings are relative to the analyst's industry coverage universe.</t>
  </si>
  <si>
    <t>1 Austin Road West</t>
  </si>
  <si>
    <t>Kowloon</t>
  </si>
  <si>
    <t>Tel: +852 2848 5200</t>
  </si>
  <si>
    <t>Authors: Grace Chen, Alex Ko, Elaine Zhang</t>
  </si>
  <si>
    <t>Date: 04 Apr 2018</t>
  </si>
  <si>
    <t>Ticker: BABA.N</t>
  </si>
  <si>
    <t>Stock Rating: Overweight</t>
  </si>
  <si>
    <t>Industry: China Internet and Other Services</t>
  </si>
  <si>
    <t>Industry View: In-Line</t>
  </si>
  <si>
    <t>Price as of 04 Apr 2018: 174.67</t>
  </si>
  <si>
    <t>Target Price: 230</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</si>
  <si>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</si>
  <si>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</si>
  <si>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</si>
  <si>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</si>
  <si>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Alibaba Group Holding.</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</si>
  <si>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</si>
  <si>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</si>
  <si>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</si>
  <si>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</si>
  <si>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</si>
  <si>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</si>
  <si>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</si>
  <si>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</si>
  <si>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</si>
  <si>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</si>
  <si>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</si>
  <si>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</si>
  <si>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</si>
  <si>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</si>
  <si>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</si>
  <si>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</si>
  <si>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</si>
  <si>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</si>
  <si>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</si>
  <si>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</si>
  <si>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</si>
  <si>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</si>
  <si>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</si>
  <si>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</si>
  <si>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</si>
  <si>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</si>
  <si>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</si>
  <si>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</si>
  <si>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</si>
  <si>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</si>
  <si>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</si>
  <si>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</si>
  <si>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</si>
  <si>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</si>
  <si>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</si>
  <si>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</si>
  <si>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</si>
  <si>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</si>
  <si>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</si>
  <si>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</si>
  <si>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</si>
  <si>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</si>
  <si>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</si>
  <si>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M憖ico, Casa de Bolsa, S.A. de C.V which is regulated by Comision Nacional Bancaria y de Valores.</t>
  </si>
  <si>
    <t>Paseo de los Tamarindos 90, Torre 1, Col. Bosques de las Lomas Floor 29, 05120 Mexico City; in Japan by</t>
  </si>
  <si>
    <t>Morgan Stanley MUFG Securities Co., Ltd. and, for Commodities related research reports only, Morgan</t>
  </si>
  <si>
    <t>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</si>
  <si>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</si>
  <si>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</si>
  <si>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</si>
  <si>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</si>
  <si>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</si>
  <si>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</si>
  <si>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</si>
  <si>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</si>
  <si>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</si>
  <si>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</si>
  <si>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</si>
  <si>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</si>
  <si>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</si>
  <si>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</si>
  <si>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</si>
  <si>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</si>
  <si>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</si>
  <si>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</si>
  <si>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</si>
  <si>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</si>
  <si>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</si>
  <si>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</si>
  <si>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</si>
  <si>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</si>
  <si>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</si>
  <si>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</si>
  <si>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</si>
  <si>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</si>
  <si>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</si>
  <si>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</si>
  <si>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</si>
  <si>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</si>
  <si>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</si>
  <si>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</si>
  <si>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</si>
  <si>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</si>
  <si>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</si>
  <si>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</si>
  <si>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Certain information in Morgan Stanley Research was sourced by employees of the Shanghai Representative</t>
  </si>
  <si>
    <t>Office of Morgan Stanley Asia Limited for the use of Morgan Stanley Asia Limited.</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</si>
  <si>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</si>
  <si>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</si>
  <si>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</si>
  <si>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</si>
  <si>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</si>
  <si>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</si>
  <si>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</si>
  <si>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</si>
  <si>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</si>
  <si>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</si>
  <si>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</si>
  <si>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</si>
  <si>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</si>
  <si>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</si>
  <si>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</si>
  <si>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</si>
  <si>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</si>
  <si>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</si>
  <si>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</si>
  <si>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</si>
  <si>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</si>
  <si>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</si>
  <si>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</si>
  <si>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</si>
  <si>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</si>
  <si>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</si>
  <si>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</si>
  <si>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</si>
  <si>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</si>
  <si>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</si>
  <si>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</si>
  <si>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</si>
  <si>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</si>
  <si>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</si>
  <si>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</si>
  <si>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</si>
  <si>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</si>
  <si>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</si>
  <si>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</si>
  <si>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</si>
  <si>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</si>
  <si>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</si>
  <si>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</si>
  <si>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</si>
  <si>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</si>
  <si>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</si>
  <si>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</si>
  <si>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</si>
  <si>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</si>
  <si>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</si>
  <si>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</si>
  <si>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</si>
  <si>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</si>
  <si>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</si>
  <si>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</si>
  <si>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</si>
  <si>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</si>
  <si>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</si>
  <si>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</si>
  <si>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</si>
  <si>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</si>
  <si>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</si>
  <si>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</si>
  <si>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</si>
  <si>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</si>
  <si>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</si>
  <si>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</si>
  <si>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</si>
  <si>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</si>
  <si>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</si>
  <si>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</si>
  <si>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</si>
  <si>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</si>
  <si>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</si>
  <si>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</si>
  <si>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</si>
  <si>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</si>
  <si>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</si>
  <si>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</si>
  <si>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</si>
  <si>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</si>
  <si>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</si>
  <si>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</si>
  <si>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</si>
  <si>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</si>
  <si>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</si>
  <si>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</si>
  <si>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</si>
  <si>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</si>
  <si>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</si>
  <si>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</si>
  <si>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Alibaba Group Holding.</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</si>
  <si>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</si>
  <si>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</si>
  <si>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</si>
  <si>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</si>
  <si>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</si>
  <si>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</si>
  <si>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</si>
  <si>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</si>
  <si>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</si>
  <si>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</si>
  <si>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</si>
  <si>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</si>
  <si>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</si>
  <si>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</si>
  <si>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</si>
  <si>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</si>
  <si>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</si>
  <si>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</si>
  <si>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</si>
  <si>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</si>
  <si>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</si>
  <si>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</si>
  <si>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</si>
  <si>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</si>
  <si>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</si>
  <si>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</si>
  <si>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</si>
  <si>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</si>
  <si>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</si>
  <si>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</si>
  <si>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</si>
  <si>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</si>
  <si>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</si>
  <si>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</si>
  <si>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</si>
  <si>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</si>
  <si>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</si>
  <si>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</si>
  <si>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</si>
  <si>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</si>
  <si>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</si>
  <si>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</si>
  <si>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</si>
  <si>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</si>
  <si>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</si>
  <si>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</si>
  <si>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</si>
  <si>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</si>
  <si>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</si>
  <si>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</si>
  <si>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</si>
  <si>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</si>
  <si>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</si>
  <si>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</si>
  <si>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</si>
  <si>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</si>
  <si>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</si>
  <si>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</si>
  <si>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</si>
  <si>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</si>
  <si>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</si>
  <si>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</si>
  <si>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</si>
  <si>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</si>
  <si>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</si>
  <si>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</si>
  <si>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</si>
  <si>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</si>
  <si>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Alibaba Group Holding.</t>
  </si>
  <si>
    <t>Within the last 12 months, Morgan Stanley has provided or is providing investment banking services to,</t>
  </si>
  <si>
    <t>or has an investment banking client relationship with, the following company: Alibaba Group Holding.</t>
  </si>
  <si>
    <t>Within the last 12 months, Morgan Stanley has received compensation for products and services other than</t>
  </si>
  <si>
    <t>investment banking services from Alibaba Group Holding.</t>
  </si>
  <si>
    <t>In the next 3 months, Morgan Stanley expects to receive or intends to seek compensation for investment</t>
  </si>
  <si>
    <t>banking services from Alibaba Group Holding.</t>
  </si>
  <si>
    <t>Within the last 12 months, Morgan Stanley has received compensation for investment banking services from</t>
  </si>
  <si>
    <t>Alibaba Group Holding.</t>
  </si>
  <si>
    <t>Within the last 12 months, Morgan Stanley managed or co-managed a public offering (or 144A offering) of</t>
  </si>
  <si>
    <t>securities of Alibaba Group Holding.</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</si>
  <si>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</si>
  <si>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</si>
  <si>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</si>
  <si>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</si>
  <si>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</si>
  <si>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Grace Chen.</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</si>
  <si>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</si>
  <si>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</si>
  <si>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</si>
  <si>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</si>
  <si>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</si>
  <si>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</si>
  <si>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</si>
  <si>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</si>
  <si>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</si>
  <si>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</si>
  <si>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or are disseminated by Morgan</t>
  </si>
  <si>
    <t>Stanley Asia Limited (which accepts the responsibility for its contents) and/or Morgan Stanley Asia</t>
  </si>
  <si>
    <t>(Singapore) Pte. (Registration number 199206298Z) and/or Morgan Stanley Asia (Singapore) Securities Pte</t>
  </si>
  <si>
    <t>Ltd (Registration number 200008434H), regulated by the Monetary Authority of Singapore (which accepts</t>
  </si>
  <si>
    <t>legal responsibility for its contents and should be contacted with respect to any matters arising from,</t>
  </si>
  <si>
    <t>or in connection with, Morgan Stanley Research), and/or Morgan Stanley Taiwan Limited and/or Morgan</t>
  </si>
  <si>
    <t>Stanley &amp; Co International plc, Seoul Branch, and/or Morgan Stanley Australia Limited (A.B.N. 67 003 734</t>
  </si>
  <si>
    <t>576, holder of Australian financial services license No. 233742, which accepts responsibility for its</t>
  </si>
  <si>
    <t>contents), and/or Morgan Stanley Wealth Management Australia Pty Ltd (A.B.N. 19 009 145 555, holder of</t>
  </si>
  <si>
    <t>Australian financial services license No. 240813, which accepts responsibility for its contents), and/or</t>
  </si>
  <si>
    <t>Morgan Stanley India Company Private Limited, regulated by the Securities and Exchange Board of India</t>
  </si>
  <si>
    <t>(EBI? and holder of licenses as a Research Analyst (SEBI Registration No. INH000001105); Stock Broker</t>
  </si>
  <si>
    <t>(BSE Registration No. INB011054237 and NSE Registration No. INB/INF231054231), Merchant Banker (SEBI</t>
  </si>
  <si>
    <t>Registration No. INM000011203), and depository participant with National Securities Depository Limited</t>
  </si>
  <si>
    <t>(SEBI Registration No. IN-DP-NSDL-372-2014) which accepts the responsibility for its contents and should</t>
  </si>
  <si>
    <t>be contacted with respect to any matters arising from, or in connection with, Morgan Stanley Research,</t>
  </si>
  <si>
    <t>and/or PT. Morgan Stanley Sekuritas Indonesia and their affiliates (collectively, "Morgan Stanley").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</si>
  <si>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</si>
  <si>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</si>
  <si>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</si>
  <si>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</si>
  <si>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</si>
  <si>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</si>
  <si>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</si>
  <si>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</si>
  <si>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</si>
  <si>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</si>
  <si>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</si>
  <si>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</si>
  <si>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</si>
  <si>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</si>
  <si>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</si>
  <si>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</si>
  <si>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</si>
  <si>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</si>
  <si>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</si>
  <si>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</si>
  <si>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</si>
  <si>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</si>
  <si>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</si>
  <si>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</si>
  <si>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</si>
  <si>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</si>
  <si>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</si>
  <si>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</si>
  <si>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</si>
  <si>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</si>
  <si>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</si>
  <si>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</si>
  <si>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</si>
  <si>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</si>
  <si>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</si>
  <si>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</si>
  <si>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</si>
  <si>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</si>
  <si>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</si>
  <si>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</si>
  <si>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</si>
  <si>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</si>
  <si>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</si>
  <si>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</si>
  <si>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</si>
  <si>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</si>
  <si>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</si>
  <si>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</si>
  <si>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</si>
  <si>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</si>
  <si>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</si>
  <si>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</si>
  <si>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</si>
  <si>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Overweight / In-Line</t>
  </si>
  <si>
    <t>Regular Update</t>
  </si>
  <si>
    <t>AsiaPacific</t>
  </si>
  <si>
    <t>koale</t>
  </si>
  <si>
    <t>MSA12330, MSA79LJP, MSA80NLN</t>
  </si>
  <si>
    <t>01609W102</t>
  </si>
  <si>
    <t>L:\China Internet\1. Company\BABA\Model\Copy of Alibaba_Model_20180403_Grace_CG.xlsm</t>
  </si>
  <si>
    <t>[BRO MSA]</t>
  </si>
  <si>
    <t>[PRODUCT MODEL]</t>
  </si>
  <si>
    <t>[EMAIL_ALERT YES]</t>
  </si>
  <si>
    <t>[DISCIPLINE Company]</t>
  </si>
  <si>
    <t>[SUPPRESSED NO]</t>
  </si>
  <si>
    <t>[DOCDAT 2018-04-03]</t>
  </si>
  <si>
    <t>[DOCTIME 21:23]</t>
  </si>
  <si>
    <t>[PSYM BABA.N(Reuters) (None)]</t>
  </si>
  <si>
    <t>[COU 40]</t>
  </si>
  <si>
    <t>[ANA MSA79LJP MSA80NLN]</t>
  </si>
  <si>
    <t>[HL BABA.N Model]</t>
  </si>
  <si>
    <t>[IND ]</t>
  </si>
  <si>
    <t>[PANA MSA12330]</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</si>
</sst>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6" formatCode="&quot;$&quot;#,##0_);[Red]\(&quot;$&quot;#,##0\)"/>
    <numFmt numFmtId="41" formatCode="_(* #,##0_);_(* \(#,##0\);_(* &quot;-&quot;_);_(@_)"/>
    <numFmt numFmtId="44" formatCode="_(&quot;$&quot;* #,##0.00_);_(&quot;$&quot;* \(#,##0.00\);_(&quot;$&quot;* &quot;-&quot;??_);_(@_)"/>
    <numFmt numFmtId="43" formatCode="_(* #,##0.00_);_(* \(#,##0.00\);_(* &quot;-&quot;??_);_(@_)"/>
    <numFmt numFmtId="164" formatCode="#,##0.0_);\(#,##0.0\)"/>
    <numFmt numFmtId="165" formatCode="_(* #,##0.0_);_(* \(#,##0.0\);_(* &quot;-&quot;??_);_(@_)"/>
    <numFmt numFmtId="166" formatCode="_(* #,##0_);_(* \(#,##0\);_(* &quot;-&quot;??_);_(@_)"/>
    <numFmt numFmtId="167" formatCode="0.0%"/>
    <numFmt numFmtId="169" formatCode="#,##0.000_);\(#,##0.000\)"/>
    <numFmt numFmtId="170" formatCode="&quot;C&quot;\ &quot;´&quot;&quot;´&quot;&quot;´&quot;&quot;´&quot;\ &quot;≫&quot;&quot;≫&quot;&quot;≫&quot;&quot;≫&quot;"/>
    <numFmt numFmtId="171" formatCode="0_)"/>
    <numFmt numFmtId="172" formatCode="_ * #,##0.00_ ;_ * \-#,##0.00_ ;_ * &quot;-&quot;??_ ;_ @_ "/>
    <numFmt numFmtId="173" formatCode="_-&quot;$&quot;* #,##0_-;\-&quot;$&quot;* #,##0_-;_-&quot;$&quot;* &quot;-&quot;_-;_-@_-"/>
    <numFmt numFmtId="174" formatCode="_-&quot;$&quot;* #,##0.00_-;\-&quot;$&quot;* #,##0.00_-;_-&quot;$&quot;* &quot;-&quot;??_-;_-@_-"/>
    <numFmt numFmtId="175" formatCode="_ &quot;$&quot;* #,##0.00_ ;_ &quot;$&quot;* \-#,##0.00_ ;_ &quot;$&quot;* &quot;-&quot;??_ ;_ @_ "/>
    <numFmt numFmtId="176" formatCode="0.0"/>
    <numFmt numFmtId="177" formatCode="#,##0.0000_);\(#,##0.0000\)"/>
    <numFmt numFmtId="179" formatCode="_(* #,##0.0000000000_);_(* \(#,##0.0000000000\);_(* &quot;-&quot;??_);_(@_)"/>
    <numFmt numFmtId="188" formatCode="0.000%"/>
    <numFmt numFmtId="190" formatCode="#,##0_);\(#,##0\);\-\-_);@_)"/>
    <numFmt numFmtId="196" formatCode="#,##0.0"/>
    <numFmt numFmtId="198" formatCode="_-* #,##0_-;\-* #,##0_-;_-* &quot;-&quot;_-;_-@_-"/>
    <numFmt numFmtId="199" formatCode="_-&quot;£&quot;* #,##0.00_-;\-&quot;£&quot;* #,##0.00_-;_-&quot;£&quot;* &quot;-&quot;??_-;_-@_-"/>
    <numFmt numFmtId="200" formatCode="_ &quot;\&quot;* #,##0.00_ ;_ &quot;\&quot;* \-#,##0.00_ ;_ &quot;\&quot;* &quot;-&quot;??_ ;_ @_ "/>
    <numFmt numFmtId="201" formatCode="_ &quot;\&quot;* #,##0_ ;_ &quot;\&quot;* \-#,##0_ ;_ &quot;\&quot;* &quot;-&quot;_ ;_ @_ "/>
    <numFmt numFmtId="202" formatCode="\(0.0%\)"/>
    <numFmt numFmtId="203" formatCode="#,##0.0&quot;x&quot;"/>
    <numFmt numFmtId="204" formatCode="_(* #,##0.0000_);_(* \(#,##0.0000\);_(* &quot;-&quot;??_);_(@_)"/>
    <numFmt numFmtId="210" formatCode="mm/dd/yy\ hh:mm"/>
  </numFmts>
  <fonts count="147">
    <font>
      <sz val="10"/>
      <color theme="1"/>
      <name val="Arial"/>
      <family val="2"/>
    </font>
    <font>
      <sz val="11"/>
      <color theme="1"/>
      <name val="Arial"/>
      <family val="2"/>
      <scheme val="minor"/>
    </font>
    <font>
      <sz val="11"/>
      <color theme="1"/>
      <name val="Arial"/>
      <family val="2"/>
      <scheme val="minor"/>
    </font>
    <font>
      <sz val="8"/>
      <color theme="1"/>
      <name val="Arial"/>
      <family val="2"/>
    </font>
    <font>
      <sz val="10"/>
      <color indexed="8"/>
      <name val="Arial"/>
      <family val="2"/>
    </font>
    <font>
      <b/>
      <sz val="8"/>
      <name val="Arial"/>
      <family val="2"/>
    </font>
    <font>
      <b/>
      <sz val="10"/>
      <name val="Arial"/>
      <family val="2"/>
    </font>
    <font>
      <sz val="10"/>
      <name val="Arial"/>
      <family val="2"/>
    </font>
    <font>
      <sz val="8"/>
      <name val="Arial"/>
      <family val="2"/>
    </font>
    <font>
      <sz val="9"/>
      <color indexed="81"/>
      <name val="Tahoma"/>
      <family val="2"/>
    </font>
    <font>
      <b/>
      <sz val="9"/>
      <color indexed="81"/>
      <name val="Tahoma"/>
      <family val="2"/>
    </font>
    <font>
      <sz val="10"/>
      <name val="Helvetica"/>
      <family val="2"/>
    </font>
    <font>
      <sz val="8"/>
      <name val="Times"/>
      <family val="1"/>
    </font>
    <font>
      <sz val="10"/>
      <name val="Helv"/>
      <family val="2"/>
    </font>
    <font>
      <sz val="10"/>
      <name val="Times New Roman"/>
      <family val="1"/>
    </font>
    <font>
      <sz val="10"/>
      <color indexed="8"/>
      <name val="Arial"/>
      <family val="2"/>
    </font>
    <font>
      <sz val="10"/>
      <name val="Helvetica"/>
      <family val="2"/>
    </font>
    <font>
      <sz val="10"/>
      <name val="MS Sans Serif"/>
      <family val="2"/>
    </font>
    <font>
      <sz val="10"/>
      <name val="Geneva"/>
      <family val="2"/>
    </font>
    <font>
      <sz val="12"/>
      <name val="新細明體"/>
      <family val="1"/>
      <charset val="136"/>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宋体"/>
      <charset val="134"/>
    </font>
    <font>
      <sz val="8"/>
      <color indexed="8"/>
      <name val="Arial"/>
      <family val="2"/>
    </font>
    <font>
      <b/>
      <sz val="8"/>
      <color indexed="8"/>
      <name val="Arial"/>
      <family val="2"/>
    </font>
    <font>
      <sz val="10"/>
      <color indexed="12"/>
      <name val="Arial"/>
      <family val="2"/>
    </font>
    <font>
      <i/>
      <sz val="10"/>
      <name val="Arial"/>
      <family val="2"/>
    </font>
    <font>
      <b/>
      <sz val="8"/>
      <color indexed="81"/>
      <name val="Tahoma"/>
      <family val="2"/>
    </font>
    <font>
      <sz val="8"/>
      <color indexed="81"/>
      <name val="Tahoma"/>
      <family val="2"/>
    </font>
    <font>
      <sz val="11"/>
      <name val="Arial"/>
      <family val="2"/>
    </font>
    <font>
      <sz val="10"/>
      <name val="Arial"/>
      <family val="2"/>
    </font>
    <font>
      <sz val="8"/>
      <name val="Arial"/>
      <family val="2"/>
    </font>
    <font>
      <sz val="10"/>
      <color indexed="8"/>
      <name val="Arial"/>
      <family val="2"/>
    </font>
    <font>
      <sz val="10"/>
      <color indexed="9"/>
      <name val="Arial"/>
      <family val="2"/>
    </font>
    <font>
      <b/>
      <sz val="10"/>
      <color indexed="9"/>
      <name val="Arial"/>
      <family val="2"/>
    </font>
    <font>
      <b/>
      <sz val="10"/>
      <color indexed="8"/>
      <name val="Arial"/>
      <family val="2"/>
    </font>
    <font>
      <b/>
      <sz val="12"/>
      <name val="Arial"/>
      <family val="2"/>
    </font>
    <font>
      <sz val="11"/>
      <color indexed="8"/>
      <name val="Arial"/>
      <family val="2"/>
    </font>
    <font>
      <sz val="11"/>
      <color indexed="8"/>
      <name val="Arial"/>
      <family val="2"/>
    </font>
    <font>
      <b/>
      <sz val="8"/>
      <color indexed="9"/>
      <name val="Arial"/>
      <family val="2"/>
    </font>
    <font>
      <sz val="10"/>
      <color indexed="16"/>
      <name val="Credit Suisse Type Roman"/>
      <family val="2"/>
    </font>
    <font>
      <sz val="11"/>
      <color theme="1"/>
      <name val="Arial"/>
      <family val="2"/>
    </font>
    <font>
      <b/>
      <sz val="10"/>
      <color theme="1"/>
      <name val="Arial"/>
      <family val="2"/>
    </font>
    <font>
      <sz val="9"/>
      <color theme="1"/>
      <name val="Arial"/>
      <family val="2"/>
    </font>
    <font>
      <b/>
      <sz val="8"/>
      <color theme="0"/>
      <name val="Arial"/>
      <family val="2"/>
    </font>
    <font>
      <sz val="10"/>
      <color rgb="FFFF0000"/>
      <name val="Arial"/>
      <family val="2"/>
    </font>
    <font>
      <sz val="10"/>
      <color theme="1"/>
      <name val="Arial"/>
      <family val="2"/>
    </font>
    <font>
      <sz val="10"/>
      <color theme="4"/>
      <name val="Arial"/>
      <family val="2"/>
    </font>
    <font>
      <sz val="8"/>
      <color theme="4"/>
      <name val="Arial"/>
      <family val="2"/>
    </font>
    <font>
      <b/>
      <sz val="8"/>
      <color theme="4"/>
      <name val="Arial"/>
      <family val="2"/>
    </font>
    <font>
      <u/>
      <sz val="10"/>
      <color theme="10"/>
      <name val="Arial"/>
      <family val="2"/>
    </font>
    <font>
      <sz val="8"/>
      <color rgb="FFFF0000"/>
      <name val="Arial"/>
      <family val="2"/>
    </font>
    <font>
      <b/>
      <sz val="8"/>
      <color theme="1"/>
      <name val="Arial"/>
      <family val="2"/>
    </font>
    <font>
      <sz val="11"/>
      <color theme="1"/>
      <name val="Century Gothic"/>
      <family val="2"/>
      <charset val="136"/>
    </font>
    <font>
      <sz val="10"/>
      <name val="Arial"/>
      <family val="2"/>
    </font>
    <font>
      <b/>
      <sz val="10"/>
      <color theme="0"/>
      <name val="Arial"/>
      <family val="2"/>
    </font>
    <font>
      <sz val="10"/>
      <color theme="0"/>
      <name val="Arial"/>
      <family val="2"/>
    </font>
    <font>
      <sz val="10"/>
      <color theme="0" tint="-0.34998626667073579"/>
      <name val="Arial"/>
      <family val="2"/>
    </font>
    <font>
      <sz val="10"/>
      <color indexed="10"/>
      <name val="Arial"/>
      <family val="2"/>
    </font>
    <font>
      <b/>
      <sz val="10"/>
      <color indexed="23"/>
      <name val="Arial"/>
      <family val="2"/>
    </font>
    <font>
      <sz val="10"/>
      <color indexed="23"/>
      <name val="Arial"/>
      <family val="2"/>
    </font>
    <font>
      <b/>
      <sz val="10"/>
      <color rgb="FF7030A0"/>
      <name val="Arial"/>
      <family val="2"/>
    </font>
    <font>
      <b/>
      <sz val="10"/>
      <color rgb="FF0070C0"/>
      <name val="Arial"/>
      <family val="2"/>
    </font>
    <font>
      <b/>
      <sz val="10"/>
      <color indexed="10"/>
      <name val="Arial"/>
      <family val="2"/>
    </font>
    <font>
      <b/>
      <sz val="10"/>
      <color rgb="FFFF0000"/>
      <name val="Arial"/>
      <family val="2"/>
    </font>
    <font>
      <sz val="10"/>
      <color rgb="FF7030A0"/>
      <name val="Arial"/>
      <family val="2"/>
    </font>
    <font>
      <sz val="10"/>
      <color rgb="FFC00000"/>
      <name val="Arial"/>
      <family val="2"/>
    </font>
    <font>
      <sz val="10"/>
      <color theme="8" tint="-0.499984740745262"/>
      <name val="Arial"/>
      <family val="2"/>
    </font>
    <font>
      <sz val="10"/>
      <color theme="6" tint="-0.249977111117893"/>
      <name val="Arial"/>
      <family val="2"/>
    </font>
    <font>
      <b/>
      <sz val="10"/>
      <color theme="6" tint="-0.249977111117893"/>
      <name val="Arial"/>
      <family val="2"/>
    </font>
    <font>
      <i/>
      <sz val="10"/>
      <color theme="1"/>
      <name val="Arial"/>
      <family val="2"/>
    </font>
    <font>
      <i/>
      <sz val="10"/>
      <color indexed="10"/>
      <name val="Arial"/>
      <family val="2"/>
    </font>
    <font>
      <i/>
      <sz val="10"/>
      <color rgb="FFFF0000"/>
      <name val="Arial"/>
      <family val="2"/>
    </font>
    <font>
      <b/>
      <i/>
      <sz val="10"/>
      <color theme="1"/>
      <name val="Arial"/>
      <family val="2"/>
    </font>
    <font>
      <b/>
      <u/>
      <sz val="10"/>
      <name val="Arial"/>
      <family val="2"/>
    </font>
    <font>
      <i/>
      <sz val="10"/>
      <color indexed="8"/>
      <name val="Arial"/>
      <family val="2"/>
    </font>
    <font>
      <b/>
      <sz val="10"/>
      <color theme="8" tint="-0.499984740745262"/>
      <name val="Arial"/>
      <family val="2"/>
    </font>
    <font>
      <b/>
      <sz val="10"/>
      <color indexed="12"/>
      <name val="Arial"/>
      <family val="2"/>
    </font>
    <font>
      <b/>
      <i/>
      <u/>
      <sz val="10"/>
      <color indexed="8"/>
      <name val="Arial"/>
      <family val="2"/>
    </font>
    <font>
      <sz val="10"/>
      <color rgb="FF0070C0"/>
      <name val="Arial"/>
      <family val="2"/>
    </font>
    <font>
      <b/>
      <sz val="10"/>
      <color theme="4"/>
      <name val="Arial"/>
      <family val="2"/>
    </font>
    <font>
      <b/>
      <sz val="10"/>
      <color indexed="24"/>
      <name val="Arial"/>
      <family val="2"/>
    </font>
    <font>
      <sz val="10"/>
      <color indexed="24"/>
      <name val="Arial"/>
      <family val="2"/>
    </font>
    <font>
      <b/>
      <i/>
      <sz val="10"/>
      <color indexed="8"/>
      <name val="Arial"/>
      <family val="2"/>
    </font>
    <font>
      <i/>
      <sz val="10"/>
      <color indexed="53"/>
      <name val="Arial"/>
      <family val="2"/>
    </font>
    <font>
      <sz val="10"/>
      <color indexed="53"/>
      <name val="Arial"/>
      <family val="2"/>
    </font>
    <font>
      <b/>
      <i/>
      <sz val="10"/>
      <name val="Arial"/>
      <family val="2"/>
    </font>
    <font>
      <b/>
      <i/>
      <sz val="10"/>
      <color indexed="10"/>
      <name val="Arial"/>
      <family val="2"/>
    </font>
    <font>
      <sz val="10"/>
      <color theme="6"/>
      <name val="Arial"/>
      <family val="2"/>
    </font>
    <font>
      <i/>
      <sz val="10"/>
      <color indexed="55"/>
      <name val="Arial"/>
      <family val="2"/>
    </font>
    <font>
      <sz val="10"/>
      <color theme="4" tint="-0.249977111117893"/>
      <name val="Arial"/>
      <family val="2"/>
    </font>
    <font>
      <i/>
      <sz val="10"/>
      <color indexed="12"/>
      <name val="Arial"/>
      <family val="2"/>
    </font>
    <font>
      <b/>
      <sz val="12"/>
      <color theme="1"/>
      <name val="Arial"/>
      <family val="2"/>
    </font>
    <font>
      <sz val="10"/>
      <color indexed="58"/>
      <name val="Arial"/>
      <family val="2"/>
    </font>
    <font>
      <sz val="10"/>
      <color indexed="55"/>
      <name val="Arial"/>
      <family val="2"/>
    </font>
    <font>
      <sz val="10"/>
      <color theme="1" tint="0.499984740745262"/>
      <name val="Arial"/>
      <family val="2"/>
    </font>
    <font>
      <sz val="10"/>
      <color indexed="59"/>
      <name val="Arial"/>
      <family val="2"/>
    </font>
    <font>
      <b/>
      <sz val="10"/>
      <color rgb="FFC00000"/>
      <name val="Arial"/>
      <family val="2"/>
    </font>
    <font>
      <sz val="10"/>
      <color theme="0" tint="-0.499984740745262"/>
      <name val="Arial"/>
      <family val="2"/>
    </font>
    <font>
      <b/>
      <sz val="10"/>
      <color rgb="FF00B05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1"/>
      <color indexed="56"/>
      <name val="Calibri"/>
      <family val="2"/>
    </font>
    <font>
      <sz val="11"/>
      <color indexed="52"/>
      <name val="Calibri"/>
      <family val="2"/>
    </font>
    <font>
      <sz val="11"/>
      <color indexed="60"/>
      <name val="Calibri"/>
      <family val="2"/>
    </font>
    <font>
      <sz val="11"/>
      <color indexed="10"/>
      <name val="Calibri"/>
      <family val="2"/>
    </font>
    <font>
      <b/>
      <sz val="10"/>
      <name val="MS Sans Serif"/>
      <family val="2"/>
    </font>
    <font>
      <sz val="8"/>
      <color indexed="12"/>
      <name val="Times New Roman"/>
      <family val="1"/>
    </font>
    <font>
      <b/>
      <sz val="18"/>
      <name val="Arial"/>
      <family val="2"/>
    </font>
    <font>
      <sz val="12"/>
      <name val="바탕체"/>
      <family val="3"/>
      <charset val="255"/>
    </font>
    <font>
      <b/>
      <sz val="8"/>
      <color indexed="8"/>
      <name val="Times New Roman"/>
      <family val="1"/>
    </font>
    <font>
      <sz val="12"/>
      <name val="굴림체"/>
      <family val="3"/>
      <charset val="255"/>
    </font>
    <font>
      <sz val="11"/>
      <name val="돋움"/>
      <family val="2"/>
    </font>
    <font>
      <sz val="12"/>
      <name val="바탕체"/>
      <family val="3"/>
    </font>
    <font>
      <sz val="12"/>
      <name val="ⓒoUAAA¨u"/>
      <family val="1"/>
      <charset val="129"/>
    </font>
    <font>
      <sz val="12"/>
      <name val="¹UAAA¼"/>
      <family val="3"/>
      <charset val="129"/>
    </font>
    <font>
      <sz val="12"/>
      <name val="¹ÙÅÁÃ¼"/>
      <family val="1"/>
      <charset val="129"/>
    </font>
    <font>
      <sz val="12"/>
      <name val="바탕체"/>
      <family val="3"/>
      <charset val="129"/>
    </font>
    <font>
      <sz val="8"/>
      <color indexed="12"/>
      <name val="Tms Rmn"/>
      <family val="1"/>
    </font>
    <font>
      <sz val="12"/>
      <name val="System"/>
      <family val="2"/>
    </font>
    <font>
      <sz val="8"/>
      <name val="¹UAAA¼"/>
      <family val="1"/>
      <charset val="129"/>
    </font>
    <font>
      <sz val="10"/>
      <name val="±¼¸²Ã¼"/>
      <family val="3"/>
      <charset val="129"/>
    </font>
    <font>
      <b/>
      <sz val="8"/>
      <color indexed="10"/>
      <name val="Helvetica"/>
      <family val="2"/>
    </font>
    <font>
      <b/>
      <sz val="8"/>
      <color indexed="12"/>
      <name val="FrankfurtGothicHeavy"/>
      <family val="2"/>
    </font>
    <font>
      <sz val="12"/>
      <name val="뼻뮝"/>
      <family val="1"/>
      <charset val="129"/>
    </font>
    <font>
      <u/>
      <sz val="11"/>
      <color theme="10"/>
      <name val="Arial"/>
      <family val="2"/>
      <scheme val="minor"/>
    </font>
    <font>
      <sz val="8"/>
      <color rgb="FF0070C0"/>
      <name val="Arial"/>
      <family val="2"/>
    </font>
    <font>
      <b/>
      <sz val="8"/>
      <color rgb="FF0070C0"/>
      <name val="Arial"/>
      <family val="2"/>
    </font>
    <font>
      <sz val="8"/>
      <color theme="8" tint="-0.249977111117893"/>
      <name val="Arial"/>
      <family val="2"/>
    </font>
    <font>
      <sz val="8"/>
      <color indexed="59"/>
      <name val="Arial"/>
      <family val="2"/>
    </font>
    <font>
      <b/>
      <sz val="8"/>
      <color indexed="59"/>
      <name val="Arial"/>
      <family val="2"/>
    </font>
    <font>
      <b/>
      <sz val="8"/>
      <color rgb="FF0000FF"/>
      <name val="Arial"/>
      <family val="2"/>
    </font>
    <font>
      <sz val="8"/>
      <color indexed="24"/>
      <name val="Arial"/>
      <family val="2"/>
    </font>
    <font>
      <b/>
      <sz val="9"/>
      <color indexed="9"/>
      <name val="Arial"/>
      <family val="2"/>
    </font>
    <font>
      <b/>
      <sz val="10"/>
      <color theme="0" tint="-0.499984740745262"/>
      <name val="Arial"/>
      <family val="2"/>
    </font>
    <font>
      <i/>
      <sz val="10"/>
      <color theme="0" tint="-0.499984740745262"/>
      <name val="Arial"/>
      <family val="2"/>
    </font>
    <font>
      <b/>
      <i/>
      <sz val="10"/>
      <color theme="0" tint="-0.499984740745262"/>
      <name val="Arial"/>
      <family val="2"/>
    </font>
    <font>
      <sz val="10"/>
      <name val="Courier"/>
      <family val="3"/>
    </font>
    <font>
      <sz val="10"/>
      <color rgb="FF000000"/>
      <name val="Arial"/>
      <family val="2"/>
    </font>
    <font>
      <b/>
      <sz val="12"/>
      <color rgb="FF000080"/>
      <name val="Arial"/>
      <family val="2"/>
    </font>
  </fonts>
  <fills count="55">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indexed="22"/>
        <bgColor indexed="64"/>
      </patternFill>
    </fill>
    <fill>
      <patternFill patternType="solid">
        <fgColor indexed="41"/>
        <bgColor indexed="64"/>
      </patternFill>
    </fill>
    <fill>
      <patternFill patternType="solid">
        <fgColor indexed="60"/>
        <bgColor indexed="64"/>
      </patternFill>
    </fill>
    <fill>
      <patternFill patternType="solid">
        <fgColor theme="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5"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3"/>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4" tint="0.59999389629810485"/>
        <bgColor indexed="64"/>
      </patternFill>
    </fill>
    <fill>
      <patternFill patternType="solid">
        <fgColor rgb="FFCC9B22"/>
        <bgColor indexed="64"/>
      </patternFill>
    </fill>
    <fill>
      <patternFill patternType="solid">
        <fgColor theme="0" tint="-0.34998626667073579"/>
        <bgColor indexed="64"/>
      </patternFill>
    </fill>
    <fill>
      <patternFill patternType="solid">
        <fgColor rgb="FFFAFD73"/>
        <bgColor indexed="64"/>
      </patternFill>
    </fill>
    <fill>
      <patternFill patternType="solid">
        <fgColor rgb="FF002060"/>
        <bgColor indexed="64"/>
      </patternFill>
    </fill>
    <fill>
      <patternFill patternType="solid">
        <fgColor rgb="FFFCEEEA"/>
        <bgColor indexed="64"/>
      </patternFill>
    </fill>
    <fill>
      <patternFill patternType="solid">
        <fgColor theme="2" tint="-0.499984740745262"/>
        <bgColor indexed="64"/>
      </patternFill>
    </fill>
    <fill>
      <patternFill patternType="solid">
        <fgColor rgb="FFFAF9BD"/>
        <bgColor indexed="64"/>
      </patternFill>
    </fill>
    <fill>
      <patternFill patternType="solid">
        <fgColor rgb="FFC5D9F1"/>
        <bgColor indexed="64"/>
      </patternFill>
    </fill>
    <fill>
      <patternFill patternType="solid">
        <fgColor indexed="27"/>
      </patternFill>
    </fill>
    <fill>
      <patternFill patternType="solid">
        <fgColor indexed="31"/>
      </patternFill>
    </fill>
    <fill>
      <patternFill patternType="solid">
        <fgColor indexed="26"/>
      </patternFill>
    </fill>
    <fill>
      <patternFill patternType="solid">
        <fgColor indexed="45"/>
      </patternFill>
    </fill>
    <fill>
      <patternFill patternType="solid">
        <fgColor indexed="42"/>
      </patternFill>
    </fill>
    <fill>
      <patternFill patternType="solid">
        <fgColor indexed="46"/>
      </patternFill>
    </fill>
    <fill>
      <patternFill patternType="solid">
        <fgColor indexed="47"/>
      </patternFill>
    </fill>
    <fill>
      <patternFill patternType="solid">
        <fgColor indexed="44"/>
      </patternFill>
    </fill>
    <fill>
      <patternFill patternType="solid">
        <fgColor indexed="29"/>
      </patternFill>
    </fill>
    <fill>
      <patternFill patternType="solid">
        <fgColor indexed="4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43"/>
      </patternFill>
    </fill>
    <fill>
      <patternFill patternType="solid">
        <fgColor indexed="53"/>
      </patternFill>
    </fill>
    <fill>
      <patternFill patternType="solid">
        <fgColor indexed="22"/>
      </patternFill>
    </fill>
    <fill>
      <patternFill patternType="solid">
        <fgColor indexed="55"/>
      </patternFill>
    </fill>
    <fill>
      <patternFill patternType="solid">
        <fgColor indexed="11"/>
        <bgColor indexed="64"/>
      </patternFill>
    </fill>
    <fill>
      <patternFill patternType="solid">
        <fgColor indexed="8"/>
      </patternFill>
    </fill>
    <fill>
      <patternFill patternType="solid">
        <fgColor indexed="56"/>
        <bgColor indexed="64"/>
      </patternFill>
    </fill>
    <fill>
      <patternFill patternType="solid">
        <fgColor theme="8" tint="0.39997558519241921"/>
        <bgColor indexed="64"/>
      </patternFill>
    </fill>
    <fill>
      <patternFill patternType="solid">
        <fgColor indexed="65"/>
        <bgColor indexed="64"/>
      </patternFill>
    </fill>
  </fills>
  <borders count="37">
    <border>
      <left/>
      <right/>
      <top/>
      <bottom/>
      <diagonal/>
    </border>
    <border>
      <left/>
      <right/>
      <top style="thin">
        <color indexed="64"/>
      </top>
      <bottom style="thin">
        <color indexed="64"/>
      </bottom>
      <diagonal/>
    </border>
    <border>
      <left/>
      <right/>
      <top/>
      <bottom style="thin">
        <color indexed="8"/>
      </bottom>
      <diagonal/>
    </border>
    <border>
      <left/>
      <right/>
      <top/>
      <bottom style="medium">
        <color indexed="64"/>
      </bottom>
      <diagonal/>
    </border>
    <border>
      <left/>
      <right/>
      <top style="medium">
        <color indexed="64"/>
      </top>
      <bottom/>
      <diagonal/>
    </border>
    <border>
      <left/>
      <right/>
      <top/>
      <bottom style="thin">
        <color indexed="64"/>
      </bottom>
      <diagonal/>
    </border>
    <border>
      <left/>
      <right style="medium">
        <color indexed="64"/>
      </right>
      <top style="medium">
        <color indexed="64"/>
      </top>
      <bottom/>
      <diagonal/>
    </border>
    <border>
      <left/>
      <right/>
      <top style="hair">
        <color indexed="64"/>
      </top>
      <bottom style="hair">
        <color indexed="64"/>
      </bottom>
      <diagonal/>
    </border>
    <border>
      <left/>
      <right/>
      <top style="hair">
        <color indexed="64"/>
      </top>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style="dashDot">
        <color indexed="64"/>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top style="hair">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indexed="55"/>
      </left>
      <right style="thin">
        <color indexed="55"/>
      </right>
      <top style="thin">
        <color indexed="55"/>
      </top>
      <bottom style="thin">
        <color indexed="55"/>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356">
    <xf numFmtId="0" fontId="0" fillId="0" borderId="0"/>
    <xf numFmtId="0" fontId="13" fillId="0" borderId="0"/>
    <xf numFmtId="0" fontId="6" fillId="0" borderId="1" applyNumberFormat="0" applyBorder="0" applyAlignment="0">
      <alignment horizontal="left"/>
    </xf>
    <xf numFmtId="170" fontId="11"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49" fontId="14" fillId="0" borderId="0" applyProtection="0">
      <alignment horizontal="left"/>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xf numFmtId="0" fontId="15" fillId="0" borderId="0">
      <alignment vertical="top"/>
    </xf>
    <xf numFmtId="0" fontId="11" fillId="0" borderId="0"/>
    <xf numFmtId="0" fontId="11" fillId="0" borderId="0"/>
    <xf numFmtId="0" fontId="11" fillId="0" borderId="0"/>
    <xf numFmtId="0" fontId="11" fillId="0" borderId="0"/>
    <xf numFmtId="0" fontId="7" fillId="0" borderId="0" applyNumberFormat="0" applyFill="0" applyBorder="0" applyAlignment="0" applyProtection="0"/>
    <xf numFmtId="0" fontId="7" fillId="0" borderId="0"/>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7" fillId="0" borderId="0">
      <protection locked="0"/>
    </xf>
    <xf numFmtId="0" fontId="17" fillId="0" borderId="0"/>
    <xf numFmtId="171" fontId="17" fillId="0" borderId="0"/>
    <xf numFmtId="0" fontId="17" fillId="0" borderId="0"/>
    <xf numFmtId="0" fontId="18" fillId="0" borderId="0"/>
    <xf numFmtId="0" fontId="18" fillId="0" borderId="0"/>
    <xf numFmtId="0" fontId="18" fillId="0" borderId="0"/>
    <xf numFmtId="0" fontId="18" fillId="0" borderId="0"/>
    <xf numFmtId="0" fontId="18" fillId="0" borderId="0"/>
    <xf numFmtId="0" fontId="19" fillId="0" borderId="0" applyFont="0" applyFill="0" applyBorder="0" applyAlignment="0" applyProtection="0"/>
    <xf numFmtId="0" fontId="19" fillId="0" borderId="0" applyFont="0" applyFill="0" applyBorder="0" applyAlignment="0" applyProtection="0"/>
    <xf numFmtId="0" fontId="12" fillId="0" borderId="0"/>
    <xf numFmtId="0" fontId="19" fillId="0" borderId="0"/>
    <xf numFmtId="0" fontId="20" fillId="0" borderId="0"/>
    <xf numFmtId="43" fontId="34" fillId="0" borderId="0" applyFont="0" applyFill="0" applyBorder="0" applyAlignment="0" applyProtection="0"/>
    <xf numFmtId="43" fontId="7" fillId="0" borderId="0" applyFont="0" applyFill="0" applyBorder="0" applyAlignment="0" applyProtection="0"/>
    <xf numFmtId="43" fontId="40" fillId="0" borderId="0" applyFont="0" applyFill="0" applyBorder="0" applyAlignment="0" applyProtection="0"/>
    <xf numFmtId="43" fontId="4" fillId="0" borderId="0" applyFont="0" applyFill="0" applyBorder="0" applyAlignment="0" applyProtection="0"/>
    <xf numFmtId="0" fontId="7" fillId="0" borderId="0"/>
    <xf numFmtId="0" fontId="43" fillId="0" borderId="0"/>
    <xf numFmtId="0" fontId="42" fillId="0" borderId="0"/>
    <xf numFmtId="0" fontId="7" fillId="0" borderId="0"/>
    <xf numFmtId="0" fontId="11" fillId="0" borderId="0"/>
    <xf numFmtId="0" fontId="7" fillId="0" borderId="0"/>
    <xf numFmtId="0" fontId="21" fillId="0" borderId="0">
      <alignment vertical="center"/>
    </xf>
    <xf numFmtId="9" fontId="34" fillId="0" borderId="0" applyFont="0" applyFill="0" applyBorder="0" applyAlignment="0" applyProtection="0"/>
    <xf numFmtId="9" fontId="7" fillId="0" borderId="0" applyFont="0" applyFill="0" applyBorder="0" applyAlignment="0" applyProtection="0"/>
    <xf numFmtId="9" fontId="4" fillId="0" borderId="0" applyFont="0" applyFill="0" applyBorder="0" applyAlignment="0" applyProtection="0"/>
    <xf numFmtId="9" fontId="40" fillId="0" borderId="0" applyFont="0" applyFill="0" applyBorder="0" applyAlignment="0" applyProtection="0"/>
    <xf numFmtId="0" fontId="14" fillId="0" borderId="0">
      <alignment vertical="top"/>
    </xf>
    <xf numFmtId="0" fontId="22" fillId="0" borderId="0"/>
    <xf numFmtId="0" fontId="22" fillId="0" borderId="2">
      <alignment horizontal="centerContinuous"/>
    </xf>
    <xf numFmtId="167" fontId="23" fillId="0" borderId="2"/>
    <xf numFmtId="173" fontId="7" fillId="0" borderId="0" applyFont="0" applyFill="0" applyBorder="0" applyAlignment="0" applyProtection="0"/>
    <xf numFmtId="174" fontId="7" fillId="0" borderId="0" applyFont="0" applyFill="0" applyBorder="0" applyAlignment="0" applyProtection="0"/>
    <xf numFmtId="175" fontId="24" fillId="0" borderId="0" applyFont="0" applyFill="0" applyBorder="0" applyAlignment="0" applyProtection="0"/>
    <xf numFmtId="0" fontId="55" fillId="0" borderId="0">
      <alignment vertical="center"/>
    </xf>
    <xf numFmtId="9" fontId="55" fillId="0" borderId="0" applyFont="0" applyFill="0" applyBorder="0" applyAlignment="0" applyProtection="0"/>
    <xf numFmtId="43" fontId="55" fillId="0" borderId="0" applyFont="0" applyFill="0" applyBorder="0" applyAlignment="0" applyProtection="0"/>
    <xf numFmtId="0" fontId="56" fillId="0" borderId="0"/>
    <xf numFmtId="0" fontId="7" fillId="2" borderId="0" applyNumberFormat="0" applyFont="0" applyBorder="0" applyAlignment="0" applyProtection="0"/>
    <xf numFmtId="44" fontId="56" fillId="0" borderId="0" applyFont="0" applyFill="0" applyBorder="0" applyAlignment="0" applyProtection="0"/>
    <xf numFmtId="0" fontId="7" fillId="0" borderId="0">
      <alignment vertical="top"/>
    </xf>
    <xf numFmtId="0" fontId="4" fillId="0" borderId="0">
      <alignment vertical="top"/>
    </xf>
    <xf numFmtId="43" fontId="39" fillId="0" borderId="0" applyFont="0" applyFill="0" applyBorder="0" applyAlignment="0" applyProtection="0"/>
    <xf numFmtId="9" fontId="39" fillId="0" borderId="0" applyFont="0" applyFill="0" applyBorder="0" applyAlignment="0" applyProtection="0"/>
    <xf numFmtId="0" fontId="7" fillId="0" borderId="0"/>
    <xf numFmtId="44" fontId="7" fillId="0" borderId="0" applyFont="0" applyFill="0" applyBorder="0" applyAlignment="0" applyProtection="0"/>
    <xf numFmtId="0" fontId="2" fillId="0" borderId="0"/>
    <xf numFmtId="0" fontId="48" fillId="0" borderId="0"/>
    <xf numFmtId="43" fontId="4" fillId="0" borderId="0" applyFont="0" applyFill="0" applyBorder="0" applyAlignment="0" applyProtection="0"/>
    <xf numFmtId="9" fontId="4" fillId="0" borderId="0" applyFont="0" applyFill="0" applyBorder="0" applyAlignment="0" applyProtection="0"/>
    <xf numFmtId="0" fontId="1" fillId="0" borderId="0"/>
    <xf numFmtId="0" fontId="7" fillId="0" borderId="0"/>
    <xf numFmtId="0" fontId="7" fillId="0" borderId="0" applyNumberFormat="0" applyFill="0" applyBorder="0" applyAlignment="0" applyProtection="0"/>
    <xf numFmtId="0" fontId="7" fillId="0" borderId="0" applyNumberFormat="0" applyFill="0" applyBorder="0" applyAlignment="0" applyProtection="0"/>
    <xf numFmtId="0" fontId="7" fillId="0" borderId="0"/>
    <xf numFmtId="0" fontId="120" fillId="0" borderId="0"/>
    <xf numFmtId="0" fontId="7" fillId="0" borderId="0"/>
    <xf numFmtId="0" fontId="7" fillId="0" borderId="0"/>
    <xf numFmtId="0" fontId="13" fillId="0" borderId="0"/>
    <xf numFmtId="0" fontId="7" fillId="0" borderId="0"/>
    <xf numFmtId="0" fontId="7" fillId="0" borderId="0"/>
    <xf numFmtId="0" fontId="7" fillId="0" borderId="0"/>
    <xf numFmtId="0" fontId="7" fillId="0" borderId="0"/>
    <xf numFmtId="0" fontId="17" fillId="0" borderId="0"/>
    <xf numFmtId="0" fontId="17" fillId="0" borderId="0"/>
    <xf numFmtId="0" fontId="102" fillId="29" borderId="0" applyNumberFormat="0" applyBorder="0" applyAlignment="0" applyProtection="0"/>
    <xf numFmtId="0" fontId="102" fillId="31" borderId="0" applyNumberFormat="0" applyBorder="0" applyAlignment="0" applyProtection="0"/>
    <xf numFmtId="0" fontId="102" fillId="32" borderId="0" applyNumberFormat="0" applyBorder="0" applyAlignment="0" applyProtection="0"/>
    <xf numFmtId="0" fontId="102" fillId="33" borderId="0" applyNumberFormat="0" applyBorder="0" applyAlignment="0" applyProtection="0"/>
    <xf numFmtId="0" fontId="102" fillId="28" borderId="0" applyNumberFormat="0" applyBorder="0" applyAlignment="0" applyProtection="0"/>
    <xf numFmtId="0" fontId="102" fillId="34" borderId="0" applyNumberFormat="0" applyBorder="0" applyAlignment="0" applyProtection="0"/>
    <xf numFmtId="0" fontId="102" fillId="35" borderId="0" applyNumberFormat="0" applyBorder="0" applyAlignment="0" applyProtection="0"/>
    <xf numFmtId="0" fontId="102" fillId="36" borderId="0" applyNumberFormat="0" applyBorder="0" applyAlignment="0" applyProtection="0"/>
    <xf numFmtId="0" fontId="102" fillId="38" borderId="0" applyNumberFormat="0" applyBorder="0" applyAlignment="0" applyProtection="0"/>
    <xf numFmtId="0" fontId="102" fillId="33" borderId="0" applyNumberFormat="0" applyBorder="0" applyAlignment="0" applyProtection="0"/>
    <xf numFmtId="0" fontId="102" fillId="35" borderId="0" applyNumberFormat="0" applyBorder="0" applyAlignment="0" applyProtection="0"/>
    <xf numFmtId="0" fontId="102" fillId="39" borderId="0" applyNumberFormat="0" applyBorder="0" applyAlignment="0" applyProtection="0"/>
    <xf numFmtId="0" fontId="103" fillId="40" borderId="0" applyNumberFormat="0" applyBorder="0" applyAlignment="0" applyProtection="0"/>
    <xf numFmtId="0" fontId="103" fillId="36" borderId="0" applyNumberFormat="0" applyBorder="0" applyAlignment="0" applyProtection="0"/>
    <xf numFmtId="0" fontId="103" fillId="38" borderId="0" applyNumberFormat="0" applyBorder="0" applyAlignment="0" applyProtection="0"/>
    <xf numFmtId="0" fontId="103" fillId="41" borderId="0" applyNumberFormat="0" applyBorder="0" applyAlignment="0" applyProtection="0"/>
    <xf numFmtId="0" fontId="103" fillId="37" borderId="0" applyNumberFormat="0" applyBorder="0" applyAlignment="0" applyProtection="0"/>
    <xf numFmtId="0" fontId="103" fillId="42" borderId="0" applyNumberFormat="0" applyBorder="0" applyAlignment="0" applyProtection="0"/>
    <xf numFmtId="0" fontId="121" fillId="0" borderId="0" applyFont="0" applyFill="0" applyBorder="0" applyAlignment="0" applyProtection="0"/>
    <xf numFmtId="0" fontId="121" fillId="0" borderId="0" applyFont="0" applyFill="0" applyBorder="0" applyAlignment="0" applyProtection="0"/>
    <xf numFmtId="0" fontId="103" fillId="43" borderId="0" applyNumberFormat="0" applyBorder="0" applyAlignment="0" applyProtection="0"/>
    <xf numFmtId="0" fontId="103" fillId="44" borderId="0" applyNumberFormat="0" applyBorder="0" applyAlignment="0" applyProtection="0"/>
    <xf numFmtId="0" fontId="103" fillId="45" borderId="0" applyNumberFormat="0" applyBorder="0" applyAlignment="0" applyProtection="0"/>
    <xf numFmtId="0" fontId="103" fillId="41" borderId="0" applyNumberFormat="0" applyBorder="0" applyAlignment="0" applyProtection="0"/>
    <xf numFmtId="0" fontId="103" fillId="37" borderId="0" applyNumberFormat="0" applyBorder="0" applyAlignment="0" applyProtection="0"/>
    <xf numFmtId="0" fontId="103" fillId="47" borderId="0" applyNumberFormat="0" applyBorder="0" applyAlignment="0" applyProtection="0"/>
    <xf numFmtId="0" fontId="122" fillId="0" borderId="0" applyFont="0" applyFill="0" applyBorder="0" applyAlignment="0" applyProtection="0"/>
    <xf numFmtId="0" fontId="123" fillId="0" borderId="0" applyFont="0" applyFill="0" applyBorder="0" applyAlignment="0" applyProtection="0"/>
    <xf numFmtId="0" fontId="122" fillId="0" borderId="0" applyFont="0" applyFill="0" applyBorder="0" applyAlignment="0" applyProtection="0"/>
    <xf numFmtId="0" fontId="123" fillId="0" borderId="0" applyFont="0" applyFill="0" applyBorder="0" applyAlignment="0" applyProtection="0"/>
    <xf numFmtId="0" fontId="121" fillId="0" borderId="0" applyFont="0" applyFill="0" applyBorder="0" applyAlignment="0" applyProtection="0"/>
    <xf numFmtId="0" fontId="121" fillId="0" borderId="0" applyFont="0" applyFill="0" applyBorder="0" applyAlignment="0" applyProtection="0"/>
    <xf numFmtId="0" fontId="7" fillId="0" borderId="0"/>
    <xf numFmtId="0" fontId="122" fillId="0" borderId="0" applyFont="0" applyFill="0" applyBorder="0" applyAlignment="0" applyProtection="0"/>
    <xf numFmtId="0" fontId="123" fillId="0" borderId="0" applyFont="0" applyFill="0" applyBorder="0" applyAlignment="0" applyProtection="0"/>
    <xf numFmtId="0" fontId="7" fillId="0" borderId="0" applyFont="0" applyFill="0" applyBorder="0" applyAlignment="0" applyProtection="0"/>
    <xf numFmtId="0" fontId="122" fillId="0" borderId="0" applyFont="0" applyFill="0" applyBorder="0" applyAlignment="0" applyProtection="0"/>
    <xf numFmtId="0" fontId="124" fillId="0" borderId="0" applyFont="0" applyFill="0" applyBorder="0" applyAlignment="0" applyProtection="0"/>
    <xf numFmtId="0" fontId="7" fillId="0" borderId="0" applyFont="0" applyFill="0" applyBorder="0" applyAlignment="0" applyProtection="0"/>
    <xf numFmtId="167" fontId="19" fillId="0" borderId="0" applyFont="0" applyFill="0" applyBorder="0" applyAlignment="0" applyProtection="0"/>
    <xf numFmtId="0" fontId="104" fillId="31" borderId="0" applyNumberFormat="0" applyBorder="0" applyAlignment="0" applyProtection="0"/>
    <xf numFmtId="0" fontId="125" fillId="0" borderId="0" applyNumberFormat="0" applyFill="0" applyBorder="0" applyAlignment="0" applyProtection="0">
      <alignment vertical="center"/>
    </xf>
    <xf numFmtId="0" fontId="20" fillId="0" borderId="0"/>
    <xf numFmtId="0" fontId="126" fillId="0" borderId="0"/>
    <xf numFmtId="0" fontId="127" fillId="0" borderId="0"/>
    <xf numFmtId="0" fontId="126" fillId="0" borderId="0"/>
    <xf numFmtId="0" fontId="126" fillId="0" borderId="0"/>
    <xf numFmtId="0" fontId="123" fillId="0" borderId="0"/>
    <xf numFmtId="0" fontId="122" fillId="0" borderId="0"/>
    <xf numFmtId="0" fontId="123" fillId="0" borderId="0"/>
    <xf numFmtId="0" fontId="122" fillId="0" borderId="0"/>
    <xf numFmtId="0" fontId="123" fillId="0" borderId="0"/>
    <xf numFmtId="0" fontId="122" fillId="0" borderId="0"/>
    <xf numFmtId="0" fontId="128" fillId="0" borderId="0"/>
    <xf numFmtId="0" fontId="105" fillId="48" borderId="26" applyNumberFormat="0" applyAlignment="0" applyProtection="0"/>
    <xf numFmtId="0" fontId="106" fillId="49" borderId="27" applyNumberFormat="0" applyAlignment="0" applyProtection="0"/>
    <xf numFmtId="43" fontId="1" fillId="0" borderId="0" applyFont="0" applyFill="0" applyBorder="0" applyAlignment="0" applyProtection="0"/>
    <xf numFmtId="41" fontId="7" fillId="0" borderId="0" applyFont="0" applyFill="0" applyBorder="0" applyAlignment="0" applyProtection="0">
      <alignment vertical="center"/>
    </xf>
    <xf numFmtId="43" fontId="45" fillId="0" borderId="0" applyFont="0" applyFill="0" applyBorder="0" applyAlignment="0" applyProtection="0"/>
    <xf numFmtId="43" fontId="7" fillId="0" borderId="0" applyFont="0" applyFill="0" applyBorder="0" applyAlignment="0" applyProtection="0">
      <alignment vertical="center"/>
    </xf>
    <xf numFmtId="199" fontId="7" fillId="0" borderId="0" applyFont="0" applyFill="0" applyBorder="0" applyAlignment="0" applyProtection="0"/>
    <xf numFmtId="44" fontId="7" fillId="0" borderId="0" applyFont="0" applyFill="0" applyBorder="0" applyAlignment="0" applyProtection="0"/>
    <xf numFmtId="44" fontId="7" fillId="0" borderId="0" applyFont="0" applyFill="0" applyBorder="0" applyAlignment="0" applyProtection="0"/>
    <xf numFmtId="0" fontId="107" fillId="0" borderId="0" applyNumberFormat="0" applyFill="0" applyBorder="0" applyAlignment="0" applyProtection="0"/>
    <xf numFmtId="0" fontId="108" fillId="32" borderId="0" applyNumberFormat="0" applyBorder="0" applyAlignment="0" applyProtection="0"/>
    <xf numFmtId="0" fontId="129" fillId="50" borderId="0">
      <alignment horizontal="left"/>
    </xf>
    <xf numFmtId="0" fontId="115" fillId="0" borderId="0"/>
    <xf numFmtId="0" fontId="38" fillId="0" borderId="0"/>
    <xf numFmtId="0" fontId="6" fillId="0" borderId="0"/>
    <xf numFmtId="0" fontId="109" fillId="0" borderId="0" applyNumberFormat="0" applyFill="0" applyBorder="0" applyAlignment="0" applyProtection="0"/>
    <xf numFmtId="0" fontId="132" fillId="0" borderId="0" applyNumberFormat="0" applyFill="0" applyBorder="0" applyAlignment="0" applyProtection="0"/>
    <xf numFmtId="0" fontId="52" fillId="0" borderId="0" applyNumberFormat="0" applyFill="0" applyBorder="0" applyAlignment="0" applyProtection="0"/>
    <xf numFmtId="200" fontId="116" fillId="0" borderId="0" applyFont="0" applyFill="0" applyBorder="0" applyAlignment="0" applyProtection="0"/>
    <xf numFmtId="0" fontId="27" fillId="4" borderId="28">
      <protection locked="0"/>
    </xf>
    <xf numFmtId="201" fontId="116" fillId="0" borderId="0" applyFont="0" applyFill="0" applyBorder="0" applyAlignment="0" applyProtection="0"/>
    <xf numFmtId="0" fontId="110" fillId="0" borderId="29" applyNumberFormat="0" applyFill="0" applyAlignment="0" applyProtection="0"/>
    <xf numFmtId="0" fontId="111" fillId="46" borderId="0" applyNumberFormat="0" applyBorder="0" applyAlignment="0" applyProtection="0"/>
    <xf numFmtId="0" fontId="45" fillId="0" borderId="0"/>
    <xf numFmtId="0" fontId="7" fillId="0" borderId="0"/>
    <xf numFmtId="0" fontId="7" fillId="0" borderId="0"/>
    <xf numFmtId="0" fontId="48" fillId="0" borderId="0"/>
    <xf numFmtId="0" fontId="7" fillId="0" borderId="0"/>
    <xf numFmtId="0" fontId="1" fillId="0" borderId="0"/>
    <xf numFmtId="0" fontId="7" fillId="0" borderId="0"/>
    <xf numFmtId="0" fontId="1" fillId="0" borderId="0" applyNumberFormat="0" applyFont="0" applyFill="0" applyBorder="0" applyAlignment="0" applyProtection="0"/>
    <xf numFmtId="0" fontId="1" fillId="0" borderId="0"/>
    <xf numFmtId="0" fontId="1" fillId="0" borderId="0" applyNumberFormat="0" applyFont="0" applyFill="0" applyBorder="0" applyAlignment="0" applyProtection="0"/>
    <xf numFmtId="0" fontId="7" fillId="30" borderId="30" applyNumberFormat="0" applyFont="0" applyAlignment="0" applyProtection="0"/>
    <xf numFmtId="176" fontId="7" fillId="0" borderId="0"/>
    <xf numFmtId="37" fontId="114" fillId="0" borderId="0" applyFill="0" applyBorder="0" applyAlignment="0" applyProtection="0"/>
    <xf numFmtId="9" fontId="1" fillId="0" borderId="0" applyFont="0" applyFill="0" applyBorder="0" applyAlignment="0" applyProtection="0"/>
    <xf numFmtId="9" fontId="7" fillId="0" borderId="0" applyFont="0" applyFill="0" applyBorder="0" applyAlignment="0" applyProtection="0">
      <alignment vertical="center"/>
    </xf>
    <xf numFmtId="172" fontId="116" fillId="0" borderId="0" applyFont="0" applyFill="0" applyBorder="0" applyAlignment="0" applyProtection="0"/>
    <xf numFmtId="0" fontId="22" fillId="0" borderId="0"/>
    <xf numFmtId="0" fontId="22" fillId="0" borderId="2">
      <alignment horizontal="centerContinuous"/>
    </xf>
    <xf numFmtId="201" fontId="118" fillId="0" borderId="0" applyFont="0" applyFill="0" applyBorder="0" applyAlignment="0" applyProtection="0"/>
    <xf numFmtId="0" fontId="23" fillId="0" borderId="2"/>
    <xf numFmtId="0" fontId="7" fillId="0" borderId="0" applyNumberFormat="0" applyFill="0" applyBorder="0" applyAlignment="0" applyProtection="0">
      <alignment vertical="center"/>
    </xf>
    <xf numFmtId="0" fontId="7" fillId="0" borderId="0"/>
    <xf numFmtId="0" fontId="113" fillId="0" borderId="0" applyNumberFormat="0" applyFill="0" applyBorder="0" applyAlignment="0" applyProtection="0"/>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113" fillId="0" borderId="0" applyNumberFormat="0" applyFill="0" applyBorder="0" applyAlignment="0" applyProtection="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alignment vertical="top"/>
    </xf>
    <xf numFmtId="0" fontId="7" fillId="0" borderId="0"/>
    <xf numFmtId="0" fontId="7" fillId="0" borderId="0"/>
    <xf numFmtId="0" fontId="7" fillId="0" borderId="0"/>
    <xf numFmtId="0" fontId="113" fillId="0" borderId="0" applyNumberFormat="0" applyFill="0" applyBorder="0" applyAlignment="0" applyProtection="0"/>
    <xf numFmtId="0" fontId="113" fillId="0" borderId="0" applyNumberFormat="0" applyFill="0" applyBorder="0" applyAlignment="0" applyProtection="0"/>
    <xf numFmtId="0" fontId="7" fillId="0" borderId="0"/>
    <xf numFmtId="198" fontId="7" fillId="0" borderId="0" applyFont="0" applyFill="0" applyBorder="0" applyAlignment="0" applyProtection="0"/>
    <xf numFmtId="0" fontId="7" fillId="0" borderId="0"/>
    <xf numFmtId="202" fontId="7" fillId="51" borderId="0"/>
    <xf numFmtId="0" fontId="117" fillId="0" borderId="22" applyFont="0" applyFill="0" applyBorder="0" applyAlignment="0" applyProtection="0"/>
    <xf numFmtId="0" fontId="112" fillId="0" borderId="0" applyNumberFormat="0" applyFill="0" applyBorder="0" applyAlignment="0" applyProtection="0"/>
    <xf numFmtId="200" fontId="116" fillId="0" borderId="0" applyFont="0" applyFill="0" applyBorder="0" applyAlignment="0" applyProtection="0"/>
    <xf numFmtId="1" fontId="130" fillId="0" borderId="0" applyFont="0">
      <alignment horizontal="right"/>
    </xf>
    <xf numFmtId="0" fontId="131" fillId="0" borderId="0"/>
    <xf numFmtId="0" fontId="119" fillId="0" borderId="0" applyFont="0" applyFill="0" applyBorder="0" applyAlignment="0" applyProtection="0"/>
    <xf numFmtId="0" fontId="124" fillId="0" borderId="0" applyFont="0" applyFill="0" applyBorder="0" applyAlignment="0" applyProtection="0"/>
    <xf numFmtId="172" fontId="118" fillId="0" borderId="0" applyFont="0" applyFill="0" applyBorder="0" applyAlignment="0" applyProtection="0"/>
    <xf numFmtId="0" fontId="124" fillId="0" borderId="0" applyFont="0" applyFill="0" applyBorder="0" applyAlignment="0" applyProtection="0"/>
    <xf numFmtId="0" fontId="7" fillId="0" borderId="0"/>
    <xf numFmtId="0" fontId="144" fillId="0" borderId="0"/>
  </cellStyleXfs>
  <cellXfs count="1621">
    <xf numFmtId="0" fontId="0" fillId="0" borderId="0" xfId="0"/>
    <xf numFmtId="0" fontId="57" fillId="7" borderId="0" xfId="0" applyFont="1" applyFill="1" applyBorder="1" applyAlignment="1">
      <alignment horizontal="center"/>
    </xf>
    <xf numFmtId="49" fontId="0" fillId="0" borderId="0" xfId="0" applyNumberFormat="1"/>
    <xf numFmtId="0" fontId="4" fillId="0" borderId="0" xfId="0" applyFont="1" applyFill="1" applyBorder="1" applyAlignment="1"/>
    <xf numFmtId="0" fontId="37" fillId="0" borderId="0" xfId="0" applyFont="1" applyFill="1" applyBorder="1"/>
    <xf numFmtId="0" fontId="4" fillId="0" borderId="0" xfId="0" applyFont="1" applyFill="1" applyBorder="1"/>
    <xf numFmtId="9" fontId="4" fillId="0" borderId="0" xfId="164" applyFont="1" applyFill="1" applyBorder="1"/>
    <xf numFmtId="9" fontId="4" fillId="3" borderId="0" xfId="164" applyFont="1" applyFill="1" applyBorder="1"/>
    <xf numFmtId="0" fontId="0" fillId="7" borderId="0" xfId="0" applyFill="1"/>
    <xf numFmtId="0" fontId="0" fillId="7" borderId="0" xfId="0" applyFont="1" applyFill="1" applyBorder="1"/>
    <xf numFmtId="0" fontId="4" fillId="7" borderId="0" xfId="0" applyFont="1" applyFill="1" applyBorder="1" applyAlignment="1">
      <alignment horizontal="left"/>
    </xf>
    <xf numFmtId="0" fontId="4" fillId="7" borderId="0" xfId="0" applyFont="1" applyFill="1" applyBorder="1" applyAlignment="1"/>
    <xf numFmtId="0" fontId="37" fillId="7" borderId="0" xfId="0" applyFont="1" applyFill="1" applyBorder="1" applyAlignment="1"/>
    <xf numFmtId="0" fontId="37" fillId="7" borderId="0" xfId="0" applyFont="1" applyFill="1" applyBorder="1"/>
    <xf numFmtId="9" fontId="37" fillId="7" borderId="0" xfId="164" applyFont="1" applyFill="1" applyBorder="1"/>
    <xf numFmtId="9" fontId="4" fillId="7" borderId="0" xfId="164" applyFont="1" applyFill="1" applyBorder="1"/>
    <xf numFmtId="167" fontId="4" fillId="3" borderId="0" xfId="164" applyNumberFormat="1" applyFont="1" applyFill="1" applyBorder="1"/>
    <xf numFmtId="0" fontId="44" fillId="7" borderId="0" xfId="0" applyFont="1" applyFill="1" applyBorder="1"/>
    <xf numFmtId="0" fontId="3" fillId="7" borderId="0" xfId="0" applyFont="1" applyFill="1" applyBorder="1"/>
    <xf numFmtId="166" fontId="8" fillId="0" borderId="0" xfId="153" applyNumberFormat="1" applyFont="1" applyBorder="1"/>
    <xf numFmtId="37" fontId="37" fillId="7" borderId="0" xfId="0" applyNumberFormat="1" applyFont="1" applyFill="1" applyBorder="1"/>
    <xf numFmtId="0" fontId="3" fillId="0" borderId="0" xfId="0" applyFont="1"/>
    <xf numFmtId="0" fontId="3" fillId="0" borderId="0" xfId="0" applyFont="1" applyAlignment="1">
      <alignment horizontal="left" indent="1"/>
    </xf>
    <xf numFmtId="9" fontId="3" fillId="0" borderId="0" xfId="0" applyNumberFormat="1" applyFont="1"/>
    <xf numFmtId="43" fontId="3" fillId="0" borderId="0" xfId="153" applyFont="1"/>
    <xf numFmtId="166" fontId="3" fillId="0" borderId="0" xfId="153" applyNumberFormat="1" applyFont="1"/>
    <xf numFmtId="0" fontId="54" fillId="0" borderId="0" xfId="0" applyFont="1"/>
    <xf numFmtId="0" fontId="7" fillId="0" borderId="0" xfId="157" applyFont="1" applyFill="1" applyBorder="1"/>
    <xf numFmtId="0" fontId="8" fillId="0" borderId="0" xfId="0" applyFont="1" applyBorder="1"/>
    <xf numFmtId="0" fontId="0" fillId="0" borderId="0" xfId="0"/>
    <xf numFmtId="166" fontId="4" fillId="3" borderId="0" xfId="153" applyNumberFormat="1" applyFont="1" applyFill="1" applyBorder="1"/>
    <xf numFmtId="166" fontId="53" fillId="0" borderId="0" xfId="153" applyNumberFormat="1" applyFont="1" applyBorder="1"/>
    <xf numFmtId="166" fontId="50" fillId="7" borderId="0" xfId="153" applyNumberFormat="1" applyFont="1" applyFill="1" applyBorder="1"/>
    <xf numFmtId="0" fontId="50" fillId="7" borderId="0" xfId="0" applyFont="1" applyFill="1" applyBorder="1"/>
    <xf numFmtId="166" fontId="51" fillId="7" borderId="0" xfId="153" applyNumberFormat="1" applyFont="1" applyFill="1" applyBorder="1"/>
    <xf numFmtId="166" fontId="50" fillId="7" borderId="0" xfId="153" applyNumberFormat="1" applyFont="1" applyFill="1" applyBorder="1" applyAlignment="1"/>
    <xf numFmtId="166" fontId="51" fillId="7" borderId="0" xfId="153" applyNumberFormat="1" applyFont="1" applyFill="1" applyBorder="1" applyAlignment="1"/>
    <xf numFmtId="166" fontId="26" fillId="7" borderId="0" xfId="153" applyNumberFormat="1" applyFont="1" applyFill="1" applyBorder="1" applyAlignment="1"/>
    <xf numFmtId="3" fontId="5" fillId="7" borderId="0" xfId="0" applyNumberFormat="1" applyFont="1" applyFill="1" applyBorder="1"/>
    <xf numFmtId="37" fontId="51" fillId="7" borderId="0" xfId="0" applyNumberFormat="1" applyFont="1" applyFill="1" applyBorder="1"/>
    <xf numFmtId="9" fontId="8" fillId="7" borderId="0" xfId="0" applyNumberFormat="1" applyFont="1" applyFill="1" applyBorder="1"/>
    <xf numFmtId="166" fontId="4" fillId="7" borderId="0" xfId="153" applyNumberFormat="1" applyFont="1" applyFill="1" applyBorder="1" applyAlignment="1"/>
    <xf numFmtId="0" fontId="54" fillId="17" borderId="0" xfId="0" applyFont="1" applyFill="1"/>
    <xf numFmtId="0" fontId="54" fillId="7" borderId="0" xfId="0" applyFont="1" applyFill="1"/>
    <xf numFmtId="0" fontId="3" fillId="7" borderId="0" xfId="0" applyFont="1" applyFill="1"/>
    <xf numFmtId="0" fontId="3" fillId="7" borderId="0" xfId="0" applyFont="1" applyFill="1" applyAlignment="1">
      <alignment horizontal="left" indent="1"/>
    </xf>
    <xf numFmtId="166" fontId="50" fillId="0" borderId="0" xfId="153" applyNumberFormat="1" applyFont="1" applyBorder="1"/>
    <xf numFmtId="0" fontId="3" fillId="0" borderId="0" xfId="0" applyFont="1" applyBorder="1"/>
    <xf numFmtId="0" fontId="46" fillId="13" borderId="0" xfId="0" applyFont="1" applyFill="1"/>
    <xf numFmtId="17" fontId="46" fillId="13" borderId="0" xfId="0" applyNumberFormat="1" applyFont="1" applyFill="1" applyBorder="1" applyAlignment="1">
      <alignment horizontal="right"/>
    </xf>
    <xf numFmtId="17" fontId="46" fillId="13" borderId="0" xfId="0" quotePrefix="1" applyNumberFormat="1" applyFont="1" applyFill="1" applyBorder="1" applyAlignment="1">
      <alignment horizontal="right"/>
    </xf>
    <xf numFmtId="0" fontId="46" fillId="13" borderId="0" xfId="0" applyFont="1" applyFill="1" applyAlignment="1">
      <alignment horizontal="right"/>
    </xf>
    <xf numFmtId="3" fontId="3" fillId="0" borderId="0" xfId="0" applyNumberFormat="1" applyFont="1" applyBorder="1"/>
    <xf numFmtId="9" fontId="3" fillId="0" borderId="0" xfId="164" applyFont="1" applyBorder="1"/>
    <xf numFmtId="0" fontId="3" fillId="0" borderId="0" xfId="0" quotePrefix="1" applyFont="1" applyAlignment="1">
      <alignment horizontal="left" indent="1"/>
    </xf>
    <xf numFmtId="9" fontId="50" fillId="0" borderId="0" xfId="0" applyNumberFormat="1" applyFont="1"/>
    <xf numFmtId="0" fontId="50" fillId="0" borderId="0" xfId="0" applyFont="1" applyBorder="1"/>
    <xf numFmtId="166" fontId="3" fillId="0" borderId="0" xfId="164" applyNumberFormat="1" applyFont="1"/>
    <xf numFmtId="3" fontId="3" fillId="0" borderId="0" xfId="0" applyNumberFormat="1" applyFont="1"/>
    <xf numFmtId="9" fontId="3" fillId="0" borderId="0" xfId="164" applyFont="1"/>
    <xf numFmtId="0" fontId="3" fillId="0" borderId="0" xfId="0" applyFont="1" applyFill="1"/>
    <xf numFmtId="9" fontId="3" fillId="0" borderId="0" xfId="0" applyNumberFormat="1" applyFont="1" applyFill="1"/>
    <xf numFmtId="167" fontId="3" fillId="0" borderId="0" xfId="164" applyNumberFormat="1" applyFont="1" applyFill="1"/>
    <xf numFmtId="0" fontId="3" fillId="0" borderId="0" xfId="0" applyFont="1" applyFill="1" applyBorder="1"/>
    <xf numFmtId="9" fontId="3" fillId="0" borderId="0" xfId="0" applyNumberFormat="1" applyFont="1" applyFill="1" applyBorder="1"/>
    <xf numFmtId="43" fontId="3" fillId="0" borderId="0" xfId="0" applyNumberFormat="1" applyFont="1"/>
    <xf numFmtId="10" fontId="50" fillId="0" borderId="0" xfId="164" applyNumberFormat="1" applyFont="1"/>
    <xf numFmtId="10" fontId="50" fillId="0" borderId="0" xfId="166" applyNumberFormat="1" applyFont="1"/>
    <xf numFmtId="10" fontId="3" fillId="0" borderId="0" xfId="164" applyNumberFormat="1" applyFont="1"/>
    <xf numFmtId="10" fontId="8" fillId="0" borderId="0" xfId="166" applyNumberFormat="1" applyFont="1"/>
    <xf numFmtId="0" fontId="54" fillId="0" borderId="0" xfId="0" applyFont="1" applyBorder="1"/>
    <xf numFmtId="0" fontId="3" fillId="0" borderId="0" xfId="0" applyFont="1" applyBorder="1" applyAlignment="1">
      <alignment horizontal="left" indent="1"/>
    </xf>
    <xf numFmtId="166" fontId="3" fillId="0" borderId="0" xfId="153" applyNumberFormat="1" applyFont="1" applyBorder="1"/>
    <xf numFmtId="166" fontId="3" fillId="0" borderId="0" xfId="156" applyNumberFormat="1" applyFont="1" applyBorder="1"/>
    <xf numFmtId="0" fontId="53" fillId="0" borderId="0" xfId="0" applyFont="1" applyBorder="1" applyAlignment="1">
      <alignment horizontal="left" indent="1"/>
    </xf>
    <xf numFmtId="1" fontId="53" fillId="0" borderId="0" xfId="0" applyNumberFormat="1" applyFont="1"/>
    <xf numFmtId="0" fontId="53" fillId="0" borderId="0" xfId="0" applyFont="1" applyBorder="1"/>
    <xf numFmtId="9" fontId="53" fillId="0" borderId="0" xfId="164" applyFont="1" applyBorder="1"/>
    <xf numFmtId="166" fontId="53" fillId="0" borderId="0" xfId="156" applyNumberFormat="1" applyFont="1" applyBorder="1"/>
    <xf numFmtId="9" fontId="53" fillId="0" borderId="0" xfId="164" applyFont="1"/>
    <xf numFmtId="9" fontId="53" fillId="0" borderId="0" xfId="164" applyNumberFormat="1" applyFont="1"/>
    <xf numFmtId="0" fontId="3" fillId="0" borderId="0" xfId="0" applyFont="1" applyBorder="1" applyAlignment="1">
      <alignment horizontal="left"/>
    </xf>
    <xf numFmtId="9" fontId="50" fillId="0" borderId="0" xfId="0" applyNumberFormat="1" applyFont="1" applyBorder="1"/>
    <xf numFmtId="0" fontId="53" fillId="0" borderId="0" xfId="0" applyFont="1" applyBorder="1" applyAlignment="1">
      <alignment horizontal="left"/>
    </xf>
    <xf numFmtId="9" fontId="8" fillId="0" borderId="0" xfId="0" applyNumberFormat="1" applyFont="1" applyBorder="1"/>
    <xf numFmtId="0" fontId="3" fillId="0" borderId="0" xfId="0" quotePrefix="1" applyFont="1" applyBorder="1" applyAlignment="1">
      <alignment horizontal="left" indent="1"/>
    </xf>
    <xf numFmtId="3" fontId="50" fillId="0" borderId="0" xfId="0" applyNumberFormat="1" applyFont="1" applyBorder="1"/>
    <xf numFmtId="43" fontId="3" fillId="0" borderId="0" xfId="0" applyNumberFormat="1" applyFont="1" applyBorder="1"/>
    <xf numFmtId="0" fontId="51" fillId="0" borderId="0" xfId="0" applyFont="1"/>
    <xf numFmtId="166" fontId="51" fillId="0" borderId="0" xfId="153" applyNumberFormat="1" applyFont="1"/>
    <xf numFmtId="3" fontId="54" fillId="0" borderId="0" xfId="0" applyNumberFormat="1" applyFont="1" applyBorder="1"/>
    <xf numFmtId="0" fontId="3" fillId="11" borderId="0" xfId="0" applyFont="1" applyFill="1"/>
    <xf numFmtId="37" fontId="54" fillId="7" borderId="0" xfId="0" applyNumberFormat="1" applyFont="1" applyFill="1" applyAlignment="1">
      <alignment horizontal="right"/>
    </xf>
    <xf numFmtId="37" fontId="54" fillId="7" borderId="0" xfId="0" applyNumberFormat="1" applyFont="1" applyFill="1" applyBorder="1" applyAlignment="1">
      <alignment horizontal="right"/>
    </xf>
    <xf numFmtId="3" fontId="3" fillId="7" borderId="0" xfId="0" applyNumberFormat="1" applyFont="1" applyFill="1"/>
    <xf numFmtId="37" fontId="3" fillId="7" borderId="0" xfId="0" applyNumberFormat="1" applyFont="1" applyFill="1" applyAlignment="1">
      <alignment horizontal="right"/>
    </xf>
    <xf numFmtId="37" fontId="3" fillId="7" borderId="0" xfId="0" applyNumberFormat="1" applyFont="1" applyFill="1" applyBorder="1" applyAlignment="1">
      <alignment horizontal="right"/>
    </xf>
    <xf numFmtId="37" fontId="3" fillId="0" borderId="0" xfId="0" applyNumberFormat="1" applyFont="1" applyAlignment="1">
      <alignment horizontal="right"/>
    </xf>
    <xf numFmtId="0" fontId="54" fillId="7" borderId="0" xfId="0" applyFont="1" applyFill="1" applyBorder="1"/>
    <xf numFmtId="37" fontId="50" fillId="7" borderId="0" xfId="0" applyNumberFormat="1" applyFont="1" applyFill="1" applyAlignment="1">
      <alignment horizontal="right"/>
    </xf>
    <xf numFmtId="37" fontId="51" fillId="7" borderId="0" xfId="0" applyNumberFormat="1" applyFont="1" applyFill="1" applyAlignment="1">
      <alignment horizontal="right"/>
    </xf>
    <xf numFmtId="0" fontId="3" fillId="0" borderId="0" xfId="0" applyFont="1" applyAlignment="1">
      <alignment horizontal="right"/>
    </xf>
    <xf numFmtId="0" fontId="3" fillId="0" borderId="0" xfId="0" applyFont="1" applyBorder="1" applyAlignment="1">
      <alignment horizontal="right"/>
    </xf>
    <xf numFmtId="3" fontId="3" fillId="0" borderId="0" xfId="0" applyNumberFormat="1" applyFont="1" applyAlignment="1">
      <alignment horizontal="right"/>
    </xf>
    <xf numFmtId="3" fontId="3" fillId="0" borderId="0" xfId="0" applyNumberFormat="1" applyFont="1" applyBorder="1" applyAlignment="1">
      <alignment horizontal="right"/>
    </xf>
    <xf numFmtId="3" fontId="54" fillId="0" borderId="0" xfId="0" applyNumberFormat="1" applyFont="1"/>
    <xf numFmtId="166" fontId="54" fillId="0" borderId="0" xfId="153" applyNumberFormat="1" applyFont="1"/>
    <xf numFmtId="3" fontId="54" fillId="0" borderId="0" xfId="0" applyNumberFormat="1" applyFont="1" applyAlignment="1">
      <alignment horizontal="right"/>
    </xf>
    <xf numFmtId="166" fontId="54" fillId="0" borderId="0" xfId="0" applyNumberFormat="1" applyFont="1" applyBorder="1"/>
    <xf numFmtId="43" fontId="54" fillId="0" borderId="0" xfId="0" applyNumberFormat="1" applyFont="1"/>
    <xf numFmtId="0" fontId="3" fillId="17" borderId="0" xfId="0" applyFont="1" applyFill="1"/>
    <xf numFmtId="0" fontId="3" fillId="7" borderId="0" xfId="0" applyFont="1" applyFill="1" applyAlignment="1">
      <alignment horizontal="left"/>
    </xf>
    <xf numFmtId="166" fontId="3" fillId="7" borderId="0" xfId="153" applyNumberFormat="1" applyFont="1" applyFill="1"/>
    <xf numFmtId="166" fontId="54" fillId="7" borderId="0" xfId="153" applyNumberFormat="1" applyFont="1" applyFill="1"/>
    <xf numFmtId="9" fontId="3" fillId="7" borderId="0" xfId="164" applyFont="1" applyFill="1"/>
    <xf numFmtId="9" fontId="54" fillId="7" borderId="0" xfId="164" applyFont="1" applyFill="1"/>
    <xf numFmtId="166" fontId="3" fillId="17" borderId="0" xfId="153" applyNumberFormat="1" applyFont="1" applyFill="1"/>
    <xf numFmtId="0" fontId="3" fillId="7" borderId="0" xfId="0" quotePrefix="1" applyFont="1" applyFill="1"/>
    <xf numFmtId="17" fontId="46" fillId="7" borderId="0" xfId="0" quotePrefix="1" applyNumberFormat="1" applyFont="1" applyFill="1" applyBorder="1" applyAlignment="1">
      <alignment horizontal="right"/>
    </xf>
    <xf numFmtId="0" fontId="46" fillId="7" borderId="0" xfId="0" applyFont="1" applyFill="1" applyAlignment="1">
      <alignment horizontal="right"/>
    </xf>
    <xf numFmtId="166" fontId="3" fillId="7" borderId="0" xfId="156" applyNumberFormat="1" applyFont="1" applyFill="1"/>
    <xf numFmtId="9" fontId="50" fillId="7" borderId="0" xfId="0" applyNumberFormat="1" applyFont="1" applyFill="1"/>
    <xf numFmtId="37" fontId="3" fillId="7" borderId="0" xfId="0" applyNumberFormat="1" applyFont="1" applyFill="1"/>
    <xf numFmtId="9" fontId="3" fillId="7" borderId="0" xfId="166" applyFont="1" applyFill="1"/>
    <xf numFmtId="9" fontId="3" fillId="7" borderId="0" xfId="0" applyNumberFormat="1" applyFont="1" applyFill="1" applyBorder="1"/>
    <xf numFmtId="3" fontId="3" fillId="7" borderId="0" xfId="0" applyNumberFormat="1" applyFont="1" applyFill="1" applyBorder="1"/>
    <xf numFmtId="10" fontId="50" fillId="7" borderId="0" xfId="0" applyNumberFormat="1" applyFont="1" applyFill="1"/>
    <xf numFmtId="10" fontId="50" fillId="7" borderId="0" xfId="166" applyNumberFormat="1" applyFont="1" applyFill="1"/>
    <xf numFmtId="166" fontId="54" fillId="7" borderId="0" xfId="156" applyNumberFormat="1" applyFont="1" applyFill="1" applyBorder="1"/>
    <xf numFmtId="166" fontId="3" fillId="7" borderId="0" xfId="156" applyNumberFormat="1" applyFont="1" applyFill="1" applyBorder="1"/>
    <xf numFmtId="166" fontId="53" fillId="7" borderId="0" xfId="156" applyNumberFormat="1" applyFont="1" applyFill="1" applyBorder="1"/>
    <xf numFmtId="9" fontId="50" fillId="7" borderId="0" xfId="0" applyNumberFormat="1" applyFont="1" applyFill="1" applyBorder="1"/>
    <xf numFmtId="37" fontId="54" fillId="7" borderId="0" xfId="0" applyNumberFormat="1" applyFont="1" applyFill="1" applyBorder="1"/>
    <xf numFmtId="3" fontId="50" fillId="7" borderId="0" xfId="0" applyNumberFormat="1" applyFont="1" applyFill="1" applyBorder="1"/>
    <xf numFmtId="9" fontId="50" fillId="7" borderId="0" xfId="164" applyFont="1" applyFill="1" applyBorder="1"/>
    <xf numFmtId="3" fontId="54" fillId="7" borderId="0" xfId="0" applyNumberFormat="1" applyFont="1" applyFill="1" applyBorder="1"/>
    <xf numFmtId="0" fontId="3" fillId="7" borderId="0" xfId="0" applyFont="1" applyFill="1" applyBorder="1" applyAlignment="1">
      <alignment horizontal="right"/>
    </xf>
    <xf numFmtId="3" fontId="3" fillId="7" borderId="0" xfId="0" applyNumberFormat="1" applyFont="1" applyFill="1" applyBorder="1" applyAlignment="1">
      <alignment horizontal="right"/>
    </xf>
    <xf numFmtId="0" fontId="58" fillId="23" borderId="0" xfId="0" applyFont="1" applyFill="1" applyBorder="1"/>
    <xf numFmtId="167" fontId="37" fillId="7" borderId="0" xfId="164" applyNumberFormat="1" applyFont="1" applyFill="1" applyBorder="1" applyAlignment="1"/>
    <xf numFmtId="9" fontId="37" fillId="7" borderId="0" xfId="164" applyFont="1" applyFill="1" applyBorder="1" applyAlignment="1">
      <alignment horizontal="right"/>
    </xf>
    <xf numFmtId="0" fontId="4" fillId="7" borderId="0" xfId="0" applyFont="1" applyFill="1" applyBorder="1"/>
    <xf numFmtId="9" fontId="4" fillId="7" borderId="0" xfId="164" applyFont="1" applyFill="1" applyBorder="1" applyAlignment="1"/>
    <xf numFmtId="9" fontId="4" fillId="7" borderId="0" xfId="164" applyFont="1" applyFill="1" applyBorder="1" applyAlignment="1">
      <alignment horizontal="right"/>
    </xf>
    <xf numFmtId="0" fontId="37" fillId="7" borderId="0" xfId="0" applyFont="1" applyFill="1" applyBorder="1" applyAlignment="1">
      <alignment horizontal="left" indent="1"/>
    </xf>
    <xf numFmtId="166" fontId="37" fillId="3" borderId="0" xfId="153" applyNumberFormat="1" applyFont="1" applyFill="1" applyBorder="1"/>
    <xf numFmtId="0" fontId="25" fillId="7" borderId="0" xfId="0" applyFont="1" applyFill="1" applyBorder="1"/>
    <xf numFmtId="3" fontId="3" fillId="7" borderId="0" xfId="0" applyNumberFormat="1" applyFont="1" applyFill="1" applyAlignment="1">
      <alignment horizontal="right"/>
    </xf>
    <xf numFmtId="0" fontId="3" fillId="7" borderId="0" xfId="0" applyFont="1" applyFill="1" applyAlignment="1">
      <alignment horizontal="right"/>
    </xf>
    <xf numFmtId="3" fontId="8" fillId="0" borderId="0" xfId="0" applyNumberFormat="1" applyFont="1" applyBorder="1"/>
    <xf numFmtId="166" fontId="50" fillId="0" borderId="0" xfId="156" applyNumberFormat="1" applyFont="1"/>
    <xf numFmtId="0" fontId="50" fillId="0" borderId="0" xfId="0" applyFont="1"/>
    <xf numFmtId="166" fontId="50" fillId="0" borderId="0" xfId="153" applyNumberFormat="1" applyFont="1"/>
    <xf numFmtId="9" fontId="8" fillId="0" borderId="0" xfId="0" applyNumberFormat="1" applyFont="1"/>
    <xf numFmtId="166" fontId="50" fillId="0" borderId="0" xfId="0" applyNumberFormat="1" applyFont="1"/>
    <xf numFmtId="37" fontId="50" fillId="0" borderId="0" xfId="0" applyNumberFormat="1" applyFont="1"/>
    <xf numFmtId="9" fontId="50" fillId="0" borderId="0" xfId="166" applyFont="1"/>
    <xf numFmtId="3" fontId="50" fillId="0" borderId="0" xfId="0" applyNumberFormat="1" applyFont="1"/>
    <xf numFmtId="9" fontId="50" fillId="0" borderId="0" xfId="164" applyFont="1"/>
    <xf numFmtId="166" fontId="50" fillId="0" borderId="0" xfId="153" applyNumberFormat="1" applyFont="1" applyFill="1"/>
    <xf numFmtId="167" fontId="50" fillId="0" borderId="0" xfId="164" applyNumberFormat="1" applyFont="1" applyFill="1"/>
    <xf numFmtId="9" fontId="50" fillId="0" borderId="0" xfId="0" applyNumberFormat="1" applyFont="1" applyFill="1"/>
    <xf numFmtId="43" fontId="50" fillId="0" borderId="0" xfId="153" applyFont="1"/>
    <xf numFmtId="43" fontId="50" fillId="0" borderId="0" xfId="153" applyNumberFormat="1" applyFont="1"/>
    <xf numFmtId="10" fontId="8" fillId="0" borderId="0" xfId="164" applyNumberFormat="1" applyFont="1"/>
    <xf numFmtId="43" fontId="50" fillId="0" borderId="0" xfId="153" applyFont="1" applyBorder="1"/>
    <xf numFmtId="166" fontId="50" fillId="0" borderId="0" xfId="156" applyNumberFormat="1" applyFont="1" applyBorder="1"/>
    <xf numFmtId="1" fontId="8" fillId="0" borderId="0" xfId="0" applyNumberFormat="1" applyFont="1"/>
    <xf numFmtId="166" fontId="50" fillId="0" borderId="0" xfId="153" applyNumberFormat="1" applyFont="1" applyBorder="1" applyAlignment="1">
      <alignment horizontal="left" indent="1"/>
    </xf>
    <xf numFmtId="166" fontId="8" fillId="0" borderId="0" xfId="0" applyNumberFormat="1" applyFont="1" applyBorder="1"/>
    <xf numFmtId="166" fontId="8" fillId="0" borderId="0" xfId="156" applyNumberFormat="1" applyFont="1" applyBorder="1"/>
    <xf numFmtId="9" fontId="8" fillId="0" borderId="0" xfId="164" applyFont="1" applyBorder="1"/>
    <xf numFmtId="3" fontId="51" fillId="0" borderId="0" xfId="0" applyNumberFormat="1" applyFont="1" applyBorder="1"/>
    <xf numFmtId="166" fontId="5" fillId="0" borderId="0" xfId="153" applyNumberFormat="1" applyFont="1"/>
    <xf numFmtId="0" fontId="5" fillId="0" borderId="0" xfId="0" applyFont="1"/>
    <xf numFmtId="37" fontId="51" fillId="7" borderId="0" xfId="0" applyNumberFormat="1" applyFont="1" applyFill="1" applyBorder="1" applyAlignment="1">
      <alignment horizontal="right"/>
    </xf>
    <xf numFmtId="37" fontId="50" fillId="7" borderId="0" xfId="0" applyNumberFormat="1" applyFont="1" applyFill="1" applyBorder="1" applyAlignment="1">
      <alignment horizontal="right"/>
    </xf>
    <xf numFmtId="39" fontId="50" fillId="7" borderId="0" xfId="0" applyNumberFormat="1" applyFont="1" applyFill="1" applyBorder="1" applyAlignment="1">
      <alignment horizontal="right"/>
    </xf>
    <xf numFmtId="3" fontId="50" fillId="7" borderId="0" xfId="0" applyNumberFormat="1" applyFont="1" applyFill="1"/>
    <xf numFmtId="0" fontId="50" fillId="7" borderId="0" xfId="0" applyFont="1" applyFill="1"/>
    <xf numFmtId="39" fontId="50" fillId="7" borderId="0" xfId="0" applyNumberFormat="1" applyFont="1" applyFill="1" applyAlignment="1">
      <alignment horizontal="right"/>
    </xf>
    <xf numFmtId="43" fontId="50" fillId="7" borderId="0" xfId="153" applyFont="1" applyFill="1" applyAlignment="1">
      <alignment horizontal="right"/>
    </xf>
    <xf numFmtId="37" fontId="8" fillId="7" borderId="0" xfId="0" applyNumberFormat="1" applyFont="1" applyFill="1" applyAlignment="1">
      <alignment horizontal="right"/>
    </xf>
    <xf numFmtId="37" fontId="5" fillId="7" borderId="0" xfId="0" applyNumberFormat="1" applyFont="1" applyFill="1" applyAlignment="1">
      <alignment horizontal="right"/>
    </xf>
    <xf numFmtId="39" fontId="51" fillId="7" borderId="0" xfId="0" applyNumberFormat="1" applyFont="1" applyFill="1" applyAlignment="1">
      <alignment horizontal="right"/>
    </xf>
    <xf numFmtId="43" fontId="51" fillId="7" borderId="0" xfId="153" applyFont="1" applyFill="1" applyAlignment="1">
      <alignment horizontal="right"/>
    </xf>
    <xf numFmtId="43" fontId="51" fillId="7" borderId="0" xfId="153" applyNumberFormat="1" applyFont="1" applyFill="1" applyAlignment="1">
      <alignment horizontal="right"/>
    </xf>
    <xf numFmtId="3" fontId="50" fillId="0" borderId="0" xfId="0" applyNumberFormat="1" applyFont="1" applyBorder="1" applyAlignment="1">
      <alignment horizontal="right"/>
    </xf>
    <xf numFmtId="3" fontId="50" fillId="0" borderId="0" xfId="0" applyNumberFormat="1" applyFont="1" applyAlignment="1">
      <alignment horizontal="right"/>
    </xf>
    <xf numFmtId="3" fontId="51" fillId="0" borderId="0" xfId="0" applyNumberFormat="1" applyFont="1"/>
    <xf numFmtId="166" fontId="50" fillId="0" borderId="0" xfId="153" applyNumberFormat="1" applyFont="1" applyAlignment="1">
      <alignment horizontal="right"/>
    </xf>
    <xf numFmtId="0" fontId="50" fillId="0" borderId="0" xfId="0" applyFont="1" applyAlignment="1">
      <alignment horizontal="right"/>
    </xf>
    <xf numFmtId="3" fontId="8" fillId="0" borderId="0" xfId="0" applyNumberFormat="1" applyFont="1" applyBorder="1" applyAlignment="1">
      <alignment horizontal="right"/>
    </xf>
    <xf numFmtId="3" fontId="50" fillId="7" borderId="0" xfId="0" applyNumberFormat="1" applyFont="1" applyFill="1" applyAlignment="1">
      <alignment horizontal="right"/>
    </xf>
    <xf numFmtId="0" fontId="50" fillId="7" borderId="0" xfId="0" applyFont="1" applyFill="1" applyAlignment="1">
      <alignment horizontal="right"/>
    </xf>
    <xf numFmtId="3" fontId="51" fillId="0" borderId="0" xfId="0" applyNumberFormat="1" applyFont="1" applyAlignment="1">
      <alignment horizontal="right"/>
    </xf>
    <xf numFmtId="166" fontId="51" fillId="0" borderId="0" xfId="153" applyNumberFormat="1" applyFont="1" applyBorder="1"/>
    <xf numFmtId="3" fontId="8" fillId="7" borderId="0" xfId="0" applyNumberFormat="1" applyFont="1" applyFill="1" applyBorder="1"/>
    <xf numFmtId="166" fontId="50" fillId="7" borderId="0" xfId="153" applyNumberFormat="1" applyFont="1" applyFill="1"/>
    <xf numFmtId="166" fontId="51" fillId="7" borderId="0" xfId="153" applyNumberFormat="1" applyFont="1" applyFill="1"/>
    <xf numFmtId="0" fontId="50" fillId="7" borderId="0" xfId="153" applyNumberFormat="1" applyFont="1" applyFill="1"/>
    <xf numFmtId="0" fontId="51" fillId="7" borderId="0" xfId="153" applyNumberFormat="1" applyFont="1" applyFill="1"/>
    <xf numFmtId="0" fontId="50" fillId="7" borderId="0" xfId="153" applyNumberFormat="1" applyFont="1" applyFill="1" applyBorder="1" applyAlignment="1"/>
    <xf numFmtId="0" fontId="51" fillId="7" borderId="0" xfId="153" applyNumberFormat="1" applyFont="1" applyFill="1" applyBorder="1" applyAlignment="1"/>
    <xf numFmtId="9" fontId="3" fillId="7" borderId="0" xfId="0" applyNumberFormat="1" applyFont="1" applyFill="1"/>
    <xf numFmtId="167" fontId="50" fillId="7" borderId="0" xfId="164" applyNumberFormat="1" applyFont="1" applyFill="1"/>
    <xf numFmtId="167" fontId="3" fillId="7" borderId="0" xfId="164" applyNumberFormat="1" applyFont="1" applyFill="1"/>
    <xf numFmtId="10" fontId="3" fillId="7" borderId="0" xfId="0" applyNumberFormat="1" applyFont="1" applyFill="1" applyBorder="1"/>
    <xf numFmtId="10" fontId="8" fillId="7" borderId="0" xfId="0" applyNumberFormat="1" applyFont="1" applyFill="1"/>
    <xf numFmtId="10" fontId="50" fillId="7" borderId="0" xfId="164" applyNumberFormat="1" applyFont="1" applyFill="1"/>
    <xf numFmtId="10" fontId="3" fillId="7" borderId="0" xfId="164" applyNumberFormat="1" applyFont="1" applyFill="1"/>
    <xf numFmtId="0" fontId="3" fillId="16" borderId="0" xfId="0" applyFont="1" applyFill="1"/>
    <xf numFmtId="0" fontId="3" fillId="16" borderId="0" xfId="0" applyFont="1" applyFill="1" applyBorder="1"/>
    <xf numFmtId="166" fontId="51" fillId="7" borderId="0" xfId="156" applyNumberFormat="1" applyFont="1" applyFill="1" applyBorder="1"/>
    <xf numFmtId="1" fontId="5" fillId="7" borderId="0" xfId="0" applyNumberFormat="1" applyFont="1" applyFill="1" applyBorder="1"/>
    <xf numFmtId="0" fontId="3" fillId="16" borderId="0" xfId="0" applyFont="1" applyFill="1" applyBorder="1" applyAlignment="1">
      <alignment horizontal="left" indent="1"/>
    </xf>
    <xf numFmtId="9" fontId="50" fillId="16" borderId="0" xfId="0" applyNumberFormat="1" applyFont="1" applyFill="1" applyBorder="1"/>
    <xf numFmtId="0" fontId="4" fillId="7" borderId="17" xfId="0" applyFont="1" applyFill="1" applyBorder="1" applyAlignment="1"/>
    <xf numFmtId="0" fontId="7" fillId="7" borderId="0" xfId="0" applyFont="1" applyFill="1" applyBorder="1" applyAlignment="1"/>
    <xf numFmtId="0" fontId="44" fillId="7" borderId="0" xfId="0" applyFont="1" applyFill="1" applyBorder="1" applyAlignment="1">
      <alignment horizontal="left"/>
    </xf>
    <xf numFmtId="0" fontId="58" fillId="7" borderId="0" xfId="0" applyFont="1" applyFill="1" applyBorder="1"/>
    <xf numFmtId="166" fontId="60" fillId="7" borderId="0" xfId="0" applyNumberFormat="1" applyFont="1" applyFill="1" applyBorder="1" applyAlignment="1"/>
    <xf numFmtId="166" fontId="4" fillId="7" borderId="0" xfId="0" applyNumberFormat="1" applyFont="1" applyFill="1" applyBorder="1" applyAlignment="1"/>
    <xf numFmtId="166" fontId="4" fillId="7" borderId="17" xfId="0" applyNumberFormat="1" applyFont="1" applyFill="1" applyBorder="1" applyAlignment="1"/>
    <xf numFmtId="9" fontId="4" fillId="7" borderId="0" xfId="0" applyNumberFormat="1" applyFont="1" applyFill="1" applyBorder="1" applyAlignment="1"/>
    <xf numFmtId="0" fontId="7" fillId="7" borderId="0" xfId="0" applyFont="1" applyFill="1" applyBorder="1"/>
    <xf numFmtId="0" fontId="6" fillId="7" borderId="0" xfId="0" applyFont="1" applyFill="1" applyBorder="1"/>
    <xf numFmtId="0" fontId="44" fillId="27" borderId="0" xfId="0" applyFont="1" applyFill="1" applyBorder="1"/>
    <xf numFmtId="17" fontId="44" fillId="27" borderId="0" xfId="0" quotePrefix="1" applyNumberFormat="1" applyFont="1" applyFill="1" applyBorder="1" applyAlignment="1">
      <alignment horizontal="right"/>
    </xf>
    <xf numFmtId="17" fontId="6" fillId="7" borderId="0" xfId="0" applyNumberFormat="1" applyFont="1" applyFill="1" applyBorder="1" applyAlignment="1">
      <alignment horizontal="right"/>
    </xf>
    <xf numFmtId="17" fontId="44" fillId="27" borderId="0" xfId="0" applyNumberFormat="1" applyFont="1" applyFill="1" applyBorder="1" applyAlignment="1"/>
    <xf numFmtId="17" fontId="44" fillId="27" borderId="17" xfId="0" applyNumberFormat="1" applyFont="1" applyFill="1" applyBorder="1" applyAlignment="1"/>
    <xf numFmtId="0" fontId="44" fillId="27" borderId="0" xfId="0" applyFont="1" applyFill="1" applyBorder="1" applyAlignment="1">
      <alignment horizontal="right"/>
    </xf>
    <xf numFmtId="0" fontId="44" fillId="27" borderId="17" xfId="0" applyFont="1" applyFill="1" applyBorder="1" applyAlignment="1">
      <alignment horizontal="right"/>
    </xf>
    <xf numFmtId="0" fontId="58" fillId="25" borderId="0" xfId="0" applyFont="1" applyFill="1" applyBorder="1"/>
    <xf numFmtId="0" fontId="58" fillId="25" borderId="7" xfId="0" applyFont="1" applyFill="1" applyBorder="1"/>
    <xf numFmtId="0" fontId="6" fillId="18" borderId="0" xfId="0" applyFont="1" applyFill="1" applyBorder="1" applyAlignment="1">
      <alignment vertical="center"/>
    </xf>
    <xf numFmtId="0" fontId="4" fillId="18" borderId="0" xfId="0" applyFont="1" applyFill="1" applyBorder="1"/>
    <xf numFmtId="0" fontId="4" fillId="18" borderId="0" xfId="0" applyFont="1" applyFill="1" applyBorder="1" applyAlignment="1"/>
    <xf numFmtId="0" fontId="4" fillId="18" borderId="17" xfId="0" applyFont="1" applyFill="1" applyBorder="1" applyAlignment="1"/>
    <xf numFmtId="0" fontId="7" fillId="18" borderId="0" xfId="0" applyFont="1" applyFill="1" applyBorder="1" applyAlignment="1"/>
    <xf numFmtId="166" fontId="4" fillId="0" borderId="0" xfId="153" applyNumberFormat="1" applyFont="1" applyFill="1" applyBorder="1"/>
    <xf numFmtId="166" fontId="37" fillId="7" borderId="0" xfId="153" applyNumberFormat="1" applyFont="1" applyFill="1" applyBorder="1" applyAlignment="1">
      <alignment horizontal="right"/>
    </xf>
    <xf numFmtId="167" fontId="61" fillId="7" borderId="0" xfId="164" applyNumberFormat="1" applyFont="1" applyFill="1" applyBorder="1" applyAlignment="1"/>
    <xf numFmtId="167" fontId="61" fillId="7" borderId="17" xfId="164" applyNumberFormat="1" applyFont="1" applyFill="1" applyBorder="1" applyAlignment="1"/>
    <xf numFmtId="167" fontId="37" fillId="7" borderId="17" xfId="164" applyNumberFormat="1" applyFont="1" applyFill="1" applyBorder="1" applyAlignment="1"/>
    <xf numFmtId="166" fontId="37" fillId="7" borderId="17" xfId="153" applyNumberFormat="1" applyFont="1" applyFill="1" applyBorder="1" applyAlignment="1">
      <alignment horizontal="right"/>
    </xf>
    <xf numFmtId="166" fontId="37" fillId="0" borderId="0" xfId="153" applyNumberFormat="1" applyFont="1" applyFill="1" applyBorder="1"/>
    <xf numFmtId="0" fontId="4" fillId="7" borderId="0" xfId="0" applyFont="1" applyFill="1" applyBorder="1" applyAlignment="1">
      <alignment horizontal="left" indent="3"/>
    </xf>
    <xf numFmtId="166" fontId="4" fillId="7" borderId="0" xfId="153" applyNumberFormat="1" applyFont="1" applyFill="1" applyBorder="1" applyAlignment="1">
      <alignment horizontal="right"/>
    </xf>
    <xf numFmtId="167" fontId="62" fillId="7" borderId="0" xfId="164" applyNumberFormat="1" applyFont="1" applyFill="1" applyBorder="1" applyAlignment="1"/>
    <xf numFmtId="167" fontId="62" fillId="7" borderId="17" xfId="164" applyNumberFormat="1" applyFont="1" applyFill="1" applyBorder="1" applyAlignment="1"/>
    <xf numFmtId="167" fontId="4" fillId="7" borderId="0" xfId="164" applyNumberFormat="1" applyFont="1" applyFill="1" applyBorder="1" applyAlignment="1"/>
    <xf numFmtId="167" fontId="4" fillId="7" borderId="17" xfId="164" applyNumberFormat="1" applyFont="1" applyFill="1" applyBorder="1" applyAlignment="1"/>
    <xf numFmtId="166" fontId="4" fillId="7" borderId="17" xfId="153" applyNumberFormat="1" applyFont="1" applyFill="1" applyBorder="1" applyAlignment="1">
      <alignment horizontal="right"/>
    </xf>
    <xf numFmtId="166" fontId="63" fillId="7" borderId="0" xfId="153" applyNumberFormat="1" applyFont="1" applyFill="1" applyBorder="1" applyAlignment="1">
      <alignment horizontal="right"/>
    </xf>
    <xf numFmtId="166" fontId="37" fillId="7" borderId="0" xfId="164" applyNumberFormat="1" applyFont="1" applyFill="1" applyBorder="1" applyAlignment="1">
      <alignment horizontal="right"/>
    </xf>
    <xf numFmtId="166" fontId="37" fillId="7" borderId="17" xfId="164" applyNumberFormat="1" applyFont="1" applyFill="1" applyBorder="1" applyAlignment="1">
      <alignment horizontal="right"/>
    </xf>
    <xf numFmtId="166" fontId="6" fillId="7" borderId="0" xfId="164" applyNumberFormat="1" applyFont="1" applyFill="1" applyBorder="1" applyAlignment="1">
      <alignment horizontal="right"/>
    </xf>
    <xf numFmtId="166" fontId="37" fillId="7" borderId="0" xfId="153" applyNumberFormat="1" applyFont="1" applyFill="1" applyBorder="1" applyAlignment="1"/>
    <xf numFmtId="166" fontId="37" fillId="7" borderId="17" xfId="153" applyNumberFormat="1" applyFont="1" applyFill="1" applyBorder="1" applyAlignment="1"/>
    <xf numFmtId="166" fontId="64" fillId="7" borderId="0" xfId="153" applyNumberFormat="1" applyFont="1" applyFill="1" applyBorder="1" applyAlignment="1"/>
    <xf numFmtId="166" fontId="64" fillId="7" borderId="17" xfId="153" applyNumberFormat="1" applyFont="1" applyFill="1" applyBorder="1" applyAlignment="1"/>
    <xf numFmtId="166" fontId="6" fillId="7" borderId="17" xfId="164" applyNumberFormat="1" applyFont="1" applyFill="1" applyBorder="1" applyAlignment="1">
      <alignment horizontal="right"/>
    </xf>
    <xf numFmtId="0" fontId="28" fillId="7" borderId="0" xfId="0" applyFont="1" applyFill="1" applyBorder="1"/>
    <xf numFmtId="166" fontId="7" fillId="7" borderId="0" xfId="164" applyNumberFormat="1" applyFont="1" applyFill="1" applyBorder="1" applyAlignment="1">
      <alignment horizontal="right"/>
    </xf>
    <xf numFmtId="166" fontId="7" fillId="7" borderId="0" xfId="153" applyNumberFormat="1" applyFont="1" applyFill="1" applyBorder="1" applyAlignment="1"/>
    <xf numFmtId="166" fontId="7" fillId="7" borderId="17" xfId="153" applyNumberFormat="1" applyFont="1" applyFill="1" applyBorder="1" applyAlignment="1"/>
    <xf numFmtId="0" fontId="4" fillId="7" borderId="0" xfId="0" applyFont="1" applyFill="1" applyBorder="1" applyAlignment="1">
      <alignment horizontal="left" indent="1"/>
    </xf>
    <xf numFmtId="166" fontId="47" fillId="7" borderId="0" xfId="153" applyNumberFormat="1" applyFont="1" applyFill="1" applyBorder="1" applyAlignment="1">
      <alignment horizontal="right"/>
    </xf>
    <xf numFmtId="167" fontId="7" fillId="7" borderId="0" xfId="164" applyNumberFormat="1" applyFont="1" applyFill="1" applyBorder="1" applyAlignment="1"/>
    <xf numFmtId="0" fontId="37" fillId="7" borderId="0" xfId="0" applyFont="1" applyFill="1" applyBorder="1" applyAlignment="1">
      <alignment horizontal="left"/>
    </xf>
    <xf numFmtId="167" fontId="4" fillId="7" borderId="0" xfId="164" applyNumberFormat="1" applyFont="1" applyFill="1" applyBorder="1" applyAlignment="1">
      <alignment horizontal="right"/>
    </xf>
    <xf numFmtId="0" fontId="44" fillId="7" borderId="0" xfId="0" applyFont="1" applyFill="1"/>
    <xf numFmtId="0" fontId="60" fillId="7" borderId="0" xfId="0" applyFont="1" applyFill="1" applyBorder="1"/>
    <xf numFmtId="37" fontId="60" fillId="7" borderId="0" xfId="0" applyNumberFormat="1" applyFont="1" applyFill="1" applyBorder="1"/>
    <xf numFmtId="166" fontId="47" fillId="7" borderId="0" xfId="153" applyNumberFormat="1" applyFont="1" applyFill="1" applyBorder="1"/>
    <xf numFmtId="0" fontId="7" fillId="7" borderId="17" xfId="0" applyFont="1" applyFill="1" applyBorder="1" applyAlignment="1"/>
    <xf numFmtId="0" fontId="7" fillId="7" borderId="17" xfId="0" applyFont="1" applyFill="1" applyBorder="1"/>
    <xf numFmtId="0" fontId="60" fillId="7" borderId="17" xfId="0" applyFont="1" applyFill="1" applyBorder="1"/>
    <xf numFmtId="37" fontId="60" fillId="7" borderId="0" xfId="0" applyNumberFormat="1" applyFont="1" applyFill="1" applyBorder="1" applyAlignment="1"/>
    <xf numFmtId="9" fontId="60" fillId="7" borderId="0" xfId="164" applyFont="1" applyFill="1" applyBorder="1" applyAlignment="1"/>
    <xf numFmtId="37" fontId="60" fillId="7" borderId="17" xfId="0" applyNumberFormat="1" applyFont="1" applyFill="1" applyBorder="1" applyAlignment="1"/>
    <xf numFmtId="166" fontId="47" fillId="7" borderId="0" xfId="153" applyNumberFormat="1" applyFont="1" applyFill="1" applyBorder="1" applyAlignment="1"/>
    <xf numFmtId="166" fontId="47" fillId="7" borderId="17" xfId="153" applyNumberFormat="1" applyFont="1" applyFill="1" applyBorder="1" applyAlignment="1"/>
    <xf numFmtId="165" fontId="47" fillId="7" borderId="0" xfId="153" applyNumberFormat="1" applyFont="1" applyFill="1" applyBorder="1" applyAlignment="1"/>
    <xf numFmtId="9" fontId="7" fillId="7" borderId="0" xfId="164" applyFont="1" applyFill="1" applyBorder="1" applyAlignment="1"/>
    <xf numFmtId="9" fontId="7" fillId="7" borderId="17" xfId="164" applyFont="1" applyFill="1" applyBorder="1" applyAlignment="1"/>
    <xf numFmtId="0" fontId="65" fillId="7" borderId="0" xfId="0" applyFont="1" applyFill="1" applyBorder="1"/>
    <xf numFmtId="37" fontId="65" fillId="7" borderId="0" xfId="0" applyNumberFormat="1" applyFont="1" applyFill="1" applyBorder="1"/>
    <xf numFmtId="166" fontId="66" fillId="7" borderId="0" xfId="153" applyNumberFormat="1" applyFont="1" applyFill="1" applyBorder="1"/>
    <xf numFmtId="0" fontId="6" fillId="7" borderId="0" xfId="0" applyFont="1" applyFill="1" applyBorder="1" applyAlignment="1"/>
    <xf numFmtId="0" fontId="6" fillId="7" borderId="17" xfId="0" applyFont="1" applyFill="1" applyBorder="1" applyAlignment="1"/>
    <xf numFmtId="0" fontId="6" fillId="7" borderId="17" xfId="0" applyFont="1" applyFill="1" applyBorder="1"/>
    <xf numFmtId="0" fontId="65" fillId="7" borderId="17" xfId="0" applyFont="1" applyFill="1" applyBorder="1"/>
    <xf numFmtId="37" fontId="65" fillId="7" borderId="0" xfId="0" applyNumberFormat="1" applyFont="1" applyFill="1" applyBorder="1" applyAlignment="1"/>
    <xf numFmtId="9" fontId="65" fillId="7" borderId="0" xfId="164" applyFont="1" applyFill="1" applyBorder="1" applyAlignment="1"/>
    <xf numFmtId="37" fontId="65" fillId="7" borderId="17" xfId="0" applyNumberFormat="1" applyFont="1" applyFill="1" applyBorder="1" applyAlignment="1"/>
    <xf numFmtId="9" fontId="6" fillId="7" borderId="0" xfId="164" applyFont="1" applyFill="1" applyBorder="1" applyAlignment="1"/>
    <xf numFmtId="9" fontId="6" fillId="7" borderId="17" xfId="164" applyFont="1" applyFill="1" applyBorder="1" applyAlignment="1"/>
    <xf numFmtId="165" fontId="7" fillId="7" borderId="0" xfId="153" applyNumberFormat="1" applyFont="1" applyFill="1" applyBorder="1" applyAlignment="1"/>
    <xf numFmtId="9" fontId="7" fillId="7" borderId="0" xfId="164" applyFont="1" applyFill="1" applyBorder="1"/>
    <xf numFmtId="9" fontId="6" fillId="7" borderId="0" xfId="164" applyFont="1" applyFill="1" applyBorder="1"/>
    <xf numFmtId="167" fontId="6" fillId="7" borderId="0" xfId="164" applyNumberFormat="1" applyFont="1" applyFill="1" applyBorder="1"/>
    <xf numFmtId="166" fontId="66" fillId="7" borderId="0" xfId="153" applyNumberFormat="1" applyFont="1" applyFill="1" applyBorder="1" applyAlignment="1"/>
    <xf numFmtId="0" fontId="0" fillId="7" borderId="0" xfId="0" applyFont="1" applyFill="1"/>
    <xf numFmtId="0" fontId="0" fillId="7" borderId="0" xfId="0" applyFont="1" applyFill="1" applyAlignment="1">
      <alignment horizontal="left" indent="1"/>
    </xf>
    <xf numFmtId="166" fontId="67" fillId="7" borderId="0" xfId="153" applyNumberFormat="1" applyFont="1" applyFill="1" applyBorder="1"/>
    <xf numFmtId="166" fontId="68" fillId="7" borderId="0" xfId="153" applyNumberFormat="1" applyFont="1" applyFill="1" applyBorder="1"/>
    <xf numFmtId="166" fontId="67" fillId="7" borderId="0" xfId="153" applyNumberFormat="1" applyFont="1" applyFill="1" applyBorder="1" applyAlignment="1"/>
    <xf numFmtId="166" fontId="67" fillId="7" borderId="17" xfId="153" applyNumberFormat="1" applyFont="1" applyFill="1" applyBorder="1" applyAlignment="1"/>
    <xf numFmtId="166" fontId="69" fillId="7" borderId="0" xfId="153" applyNumberFormat="1" applyFont="1" applyFill="1" applyBorder="1"/>
    <xf numFmtId="166" fontId="70" fillId="7" borderId="0" xfId="153" applyNumberFormat="1" applyFont="1" applyFill="1" applyBorder="1"/>
    <xf numFmtId="166" fontId="63" fillId="7" borderId="0" xfId="153" applyNumberFormat="1" applyFont="1" applyFill="1" applyBorder="1"/>
    <xf numFmtId="166" fontId="6" fillId="7" borderId="0" xfId="153" applyNumberFormat="1" applyFont="1" applyFill="1" applyBorder="1"/>
    <xf numFmtId="166" fontId="6" fillId="7" borderId="0" xfId="153" applyNumberFormat="1" applyFont="1" applyFill="1" applyBorder="1" applyAlignment="1"/>
    <xf numFmtId="166" fontId="6" fillId="7" borderId="17" xfId="153" applyNumberFormat="1" applyFont="1" applyFill="1" applyBorder="1" applyAlignment="1"/>
    <xf numFmtId="166" fontId="71" fillId="7" borderId="0" xfId="153" applyNumberFormat="1" applyFont="1" applyFill="1" applyBorder="1"/>
    <xf numFmtId="0" fontId="72" fillId="7" borderId="0" xfId="0" applyFont="1" applyFill="1" applyAlignment="1">
      <alignment horizontal="left" indent="1"/>
    </xf>
    <xf numFmtId="0" fontId="73" fillId="7" borderId="0" xfId="0" applyFont="1" applyFill="1" applyBorder="1"/>
    <xf numFmtId="37" fontId="73" fillId="7" borderId="0" xfId="0" applyNumberFormat="1" applyFont="1" applyFill="1" applyBorder="1"/>
    <xf numFmtId="166" fontId="28" fillId="7" borderId="0" xfId="153" applyNumberFormat="1" applyFont="1" applyFill="1" applyBorder="1"/>
    <xf numFmtId="0" fontId="28" fillId="7" borderId="0" xfId="0" applyFont="1" applyFill="1" applyBorder="1" applyAlignment="1"/>
    <xf numFmtId="0" fontId="28" fillId="7" borderId="17" xfId="0" applyFont="1" applyFill="1" applyBorder="1" applyAlignment="1"/>
    <xf numFmtId="0" fontId="28" fillId="7" borderId="17" xfId="0" applyFont="1" applyFill="1" applyBorder="1"/>
    <xf numFmtId="0" fontId="73" fillId="7" borderId="17" xfId="0" applyFont="1" applyFill="1" applyBorder="1"/>
    <xf numFmtId="37" fontId="73" fillId="7" borderId="0" xfId="0" applyNumberFormat="1" applyFont="1" applyFill="1" applyBorder="1" applyAlignment="1"/>
    <xf numFmtId="9" fontId="73" fillId="7" borderId="0" xfId="164" applyFont="1" applyFill="1" applyBorder="1" applyAlignment="1"/>
    <xf numFmtId="37" fontId="73" fillId="7" borderId="17" xfId="0" applyNumberFormat="1" applyFont="1" applyFill="1" applyBorder="1" applyAlignment="1"/>
    <xf numFmtId="166" fontId="28" fillId="7" borderId="17" xfId="153" applyNumberFormat="1" applyFont="1" applyFill="1" applyBorder="1"/>
    <xf numFmtId="0" fontId="75" fillId="7" borderId="0" xfId="0" applyFont="1" applyFill="1"/>
    <xf numFmtId="9" fontId="47" fillId="7" borderId="0" xfId="164" applyFont="1" applyFill="1" applyBorder="1"/>
    <xf numFmtId="167" fontId="7" fillId="7" borderId="0" xfId="164" applyNumberFormat="1" applyFont="1" applyFill="1" applyBorder="1"/>
    <xf numFmtId="167" fontId="7" fillId="26" borderId="0" xfId="164" applyNumberFormat="1" applyFont="1" applyFill="1" applyBorder="1"/>
    <xf numFmtId="9" fontId="7" fillId="26" borderId="0" xfId="164" applyFont="1" applyFill="1" applyBorder="1"/>
    <xf numFmtId="9" fontId="7" fillId="7" borderId="17" xfId="164" applyFont="1" applyFill="1" applyBorder="1"/>
    <xf numFmtId="167" fontId="7" fillId="7" borderId="17" xfId="164" applyNumberFormat="1" applyFont="1" applyFill="1" applyBorder="1"/>
    <xf numFmtId="0" fontId="44" fillId="7" borderId="0" xfId="0" applyFont="1" applyFill="1" applyAlignment="1">
      <alignment horizontal="left" indent="1"/>
    </xf>
    <xf numFmtId="167" fontId="6" fillId="7" borderId="17" xfId="164" applyNumberFormat="1" applyFont="1" applyFill="1" applyBorder="1"/>
    <xf numFmtId="0" fontId="76" fillId="10" borderId="0" xfId="0" applyFont="1" applyFill="1" applyBorder="1"/>
    <xf numFmtId="0" fontId="4" fillId="10" borderId="0" xfId="0" applyFont="1" applyFill="1" applyBorder="1"/>
    <xf numFmtId="166" fontId="47" fillId="10" borderId="0" xfId="153" applyNumberFormat="1" applyFont="1" applyFill="1" applyBorder="1"/>
    <xf numFmtId="0" fontId="4" fillId="10" borderId="0" xfId="0" applyFont="1" applyFill="1" applyBorder="1" applyAlignment="1"/>
    <xf numFmtId="0" fontId="4" fillId="10" borderId="17" xfId="0" applyFont="1" applyFill="1" applyBorder="1" applyAlignment="1"/>
    <xf numFmtId="43" fontId="4" fillId="10" borderId="0" xfId="0" applyNumberFormat="1" applyFont="1" applyFill="1" applyBorder="1" applyAlignment="1"/>
    <xf numFmtId="166" fontId="47" fillId="10" borderId="0" xfId="153" applyNumberFormat="1" applyFont="1" applyFill="1" applyBorder="1" applyAlignment="1"/>
    <xf numFmtId="166" fontId="47" fillId="10" borderId="17" xfId="153" applyNumberFormat="1" applyFont="1" applyFill="1" applyBorder="1" applyAlignment="1"/>
    <xf numFmtId="166" fontId="7" fillId="10" borderId="0" xfId="153" applyNumberFormat="1" applyFont="1" applyFill="1" applyBorder="1" applyAlignment="1"/>
    <xf numFmtId="0" fontId="77" fillId="7" borderId="0" xfId="0" applyFont="1" applyFill="1" applyBorder="1" applyAlignment="1"/>
    <xf numFmtId="37" fontId="7" fillId="7" borderId="0" xfId="0" applyNumberFormat="1" applyFont="1" applyFill="1" applyBorder="1" applyAlignment="1"/>
    <xf numFmtId="37" fontId="4" fillId="7" borderId="0" xfId="0" applyNumberFormat="1" applyFont="1" applyFill="1" applyBorder="1"/>
    <xf numFmtId="37" fontId="69" fillId="7" borderId="0" xfId="0" applyNumberFormat="1" applyFont="1" applyFill="1" applyBorder="1"/>
    <xf numFmtId="0" fontId="27" fillId="7" borderId="0" xfId="0" applyFont="1" applyFill="1" applyBorder="1" applyAlignment="1"/>
    <xf numFmtId="0" fontId="27" fillId="7" borderId="17" xfId="0" applyFont="1" applyFill="1" applyBorder="1" applyAlignment="1"/>
    <xf numFmtId="166" fontId="49" fillId="7" borderId="0" xfId="153" applyNumberFormat="1" applyFont="1" applyFill="1" applyBorder="1" applyAlignment="1"/>
    <xf numFmtId="166" fontId="49" fillId="7" borderId="17" xfId="153" applyNumberFormat="1" applyFont="1" applyFill="1" applyBorder="1" applyAlignment="1"/>
    <xf numFmtId="166" fontId="69" fillId="7" borderId="0" xfId="153" applyNumberFormat="1" applyFont="1" applyFill="1" applyBorder="1" applyAlignment="1"/>
    <xf numFmtId="0" fontId="7" fillId="7" borderId="0" xfId="0" applyFont="1" applyFill="1" applyBorder="1" applyAlignment="1">
      <alignment horizontal="left" indent="3"/>
    </xf>
    <xf numFmtId="167" fontId="4" fillId="15" borderId="0" xfId="164" applyNumberFormat="1" applyFont="1" applyFill="1" applyBorder="1"/>
    <xf numFmtId="9" fontId="4" fillId="7" borderId="17" xfId="164" applyFont="1" applyFill="1" applyBorder="1" applyAlignment="1"/>
    <xf numFmtId="166" fontId="4" fillId="7" borderId="0" xfId="0" applyNumberFormat="1" applyFont="1" applyFill="1" applyBorder="1"/>
    <xf numFmtId="10" fontId="7" fillId="26" borderId="0" xfId="164" applyNumberFormat="1" applyFont="1" applyFill="1" applyBorder="1" applyAlignment="1"/>
    <xf numFmtId="10" fontId="7" fillId="7" borderId="0" xfId="164" applyNumberFormat="1" applyFont="1" applyFill="1" applyBorder="1" applyAlignment="1"/>
    <xf numFmtId="166" fontId="4" fillId="7" borderId="17" xfId="153" applyNumberFormat="1" applyFont="1" applyFill="1" applyBorder="1" applyAlignment="1"/>
    <xf numFmtId="166" fontId="63" fillId="7" borderId="0" xfId="0" applyNumberFormat="1" applyFont="1" applyFill="1" applyBorder="1" applyAlignment="1"/>
    <xf numFmtId="166" fontId="37" fillId="7" borderId="0" xfId="0" applyNumberFormat="1" applyFont="1" applyFill="1" applyBorder="1" applyAlignment="1"/>
    <xf numFmtId="166" fontId="78" fillId="7" borderId="0" xfId="0" applyNumberFormat="1" applyFont="1" applyFill="1" applyBorder="1" applyAlignment="1"/>
    <xf numFmtId="166" fontId="61" fillId="7" borderId="0" xfId="153" applyNumberFormat="1" applyFont="1" applyFill="1" applyBorder="1" applyAlignment="1"/>
    <xf numFmtId="166" fontId="61" fillId="7" borderId="17" xfId="0" applyNumberFormat="1" applyFont="1" applyFill="1" applyBorder="1" applyAlignment="1"/>
    <xf numFmtId="166" fontId="79" fillId="7" borderId="0" xfId="153" applyNumberFormat="1" applyFont="1" applyFill="1" applyBorder="1" applyAlignment="1"/>
    <xf numFmtId="166" fontId="79" fillId="7" borderId="17" xfId="153" applyNumberFormat="1" applyFont="1" applyFill="1" applyBorder="1" applyAlignment="1"/>
    <xf numFmtId="166" fontId="37" fillId="7" borderId="17" xfId="0" applyNumberFormat="1" applyFont="1" applyFill="1" applyBorder="1" applyAlignment="1"/>
    <xf numFmtId="166" fontId="78" fillId="7" borderId="0" xfId="153" applyNumberFormat="1" applyFont="1" applyFill="1" applyBorder="1" applyAlignment="1"/>
    <xf numFmtId="166" fontId="71" fillId="7" borderId="0" xfId="0" applyNumberFormat="1" applyFont="1" applyFill="1" applyBorder="1" applyAlignment="1"/>
    <xf numFmtId="0" fontId="7" fillId="7" borderId="0" xfId="0" applyFont="1" applyFill="1" applyBorder="1" applyAlignment="1">
      <alignment horizontal="left" indent="1"/>
    </xf>
    <xf numFmtId="9" fontId="4" fillId="7" borderId="0" xfId="164" applyNumberFormat="1" applyFont="1" applyFill="1" applyBorder="1"/>
    <xf numFmtId="0" fontId="4" fillId="0" borderId="0" xfId="0" applyFont="1" applyBorder="1"/>
    <xf numFmtId="0" fontId="4" fillId="0" borderId="17" xfId="0" applyFont="1" applyBorder="1"/>
    <xf numFmtId="167" fontId="4" fillId="8" borderId="0" xfId="164" applyNumberFormat="1" applyFont="1" applyFill="1" applyBorder="1" applyAlignment="1"/>
    <xf numFmtId="9" fontId="7" fillId="7" borderId="17" xfId="164" applyNumberFormat="1" applyFont="1" applyFill="1" applyBorder="1" applyAlignment="1"/>
    <xf numFmtId="9" fontId="7" fillId="7" borderId="0" xfId="164" applyNumberFormat="1" applyFont="1" applyFill="1" applyBorder="1" applyAlignment="1"/>
    <xf numFmtId="167" fontId="7" fillId="26" borderId="0" xfId="164" applyNumberFormat="1" applyFont="1" applyFill="1" applyBorder="1" applyAlignment="1"/>
    <xf numFmtId="167" fontId="4" fillId="0" borderId="0" xfId="164" applyNumberFormat="1" applyFont="1" applyFill="1" applyBorder="1"/>
    <xf numFmtId="0" fontId="80" fillId="7" borderId="0" xfId="0" applyFont="1" applyFill="1" applyBorder="1" applyAlignment="1">
      <alignment horizontal="left" indent="1"/>
    </xf>
    <xf numFmtId="9" fontId="62" fillId="7" borderId="0" xfId="164" applyFont="1" applyFill="1" applyBorder="1" applyAlignment="1"/>
    <xf numFmtId="9" fontId="62" fillId="7" borderId="17" xfId="164" applyFont="1" applyFill="1" applyBorder="1" applyAlignment="1"/>
    <xf numFmtId="0" fontId="6" fillId="7" borderId="0" xfId="0" applyFont="1" applyFill="1" applyBorder="1" applyAlignment="1">
      <alignment horizontal="left" indent="2"/>
    </xf>
    <xf numFmtId="166" fontId="79" fillId="7" borderId="0" xfId="153" applyNumberFormat="1" applyFont="1" applyFill="1" applyBorder="1"/>
    <xf numFmtId="166" fontId="78" fillId="7" borderId="0" xfId="153" applyNumberFormat="1" applyFont="1" applyFill="1" applyBorder="1"/>
    <xf numFmtId="166" fontId="37" fillId="7" borderId="0" xfId="153" applyNumberFormat="1" applyFont="1" applyFill="1" applyBorder="1"/>
    <xf numFmtId="166" fontId="79" fillId="7" borderId="0" xfId="0" applyNumberFormat="1" applyFont="1" applyFill="1" applyBorder="1" applyAlignment="1"/>
    <xf numFmtId="166" fontId="63" fillId="7" borderId="17" xfId="153" applyNumberFormat="1" applyFont="1" applyFill="1" applyBorder="1"/>
    <xf numFmtId="166" fontId="6" fillId="3" borderId="0" xfId="153" applyNumberFormat="1" applyFont="1" applyFill="1" applyBorder="1" applyAlignment="1">
      <alignment horizontal="left" indent="2"/>
    </xf>
    <xf numFmtId="166" fontId="6" fillId="3" borderId="17" xfId="153" applyNumberFormat="1" applyFont="1" applyFill="1" applyBorder="1" applyAlignment="1">
      <alignment horizontal="left" indent="2"/>
    </xf>
    <xf numFmtId="166" fontId="63" fillId="3" borderId="0" xfId="153" applyNumberFormat="1" applyFont="1" applyFill="1" applyBorder="1" applyAlignment="1">
      <alignment horizontal="left" indent="2"/>
    </xf>
    <xf numFmtId="166" fontId="63" fillId="3" borderId="17" xfId="153" applyNumberFormat="1" applyFont="1" applyFill="1" applyBorder="1" applyAlignment="1">
      <alignment horizontal="left" indent="2"/>
    </xf>
    <xf numFmtId="9" fontId="81" fillId="7" borderId="0" xfId="164" applyFont="1" applyFill="1" applyBorder="1"/>
    <xf numFmtId="9" fontId="7" fillId="26" borderId="0" xfId="164" applyNumberFormat="1" applyFont="1" applyFill="1" applyBorder="1"/>
    <xf numFmtId="0" fontId="4" fillId="7" borderId="17" xfId="0" applyFont="1" applyFill="1" applyBorder="1"/>
    <xf numFmtId="0" fontId="7" fillId="3" borderId="0" xfId="0" applyFont="1" applyFill="1" applyBorder="1" applyAlignment="1">
      <alignment horizontal="left" indent="2"/>
    </xf>
    <xf numFmtId="9" fontId="81" fillId="0" borderId="0" xfId="164" applyFont="1" applyFill="1" applyBorder="1"/>
    <xf numFmtId="0" fontId="7" fillId="7" borderId="0" xfId="0" applyFont="1" applyFill="1" applyBorder="1" applyAlignment="1">
      <alignment horizontal="left" indent="2"/>
    </xf>
    <xf numFmtId="43" fontId="4" fillId="7" borderId="0" xfId="0" applyNumberFormat="1" applyFont="1" applyFill="1" applyBorder="1"/>
    <xf numFmtId="165" fontId="4" fillId="7" borderId="0" xfId="153" applyNumberFormat="1" applyFont="1" applyFill="1" applyBorder="1" applyAlignment="1"/>
    <xf numFmtId="165" fontId="4" fillId="7" borderId="17" xfId="153" applyNumberFormat="1" applyFont="1" applyFill="1" applyBorder="1" applyAlignment="1"/>
    <xf numFmtId="0" fontId="6" fillId="3" borderId="0" xfId="0" applyFont="1" applyFill="1" applyBorder="1" applyAlignment="1">
      <alignment horizontal="left" indent="2"/>
    </xf>
    <xf numFmtId="0" fontId="6" fillId="7" borderId="0" xfId="0" applyFont="1" applyFill="1" applyBorder="1" applyAlignment="1">
      <alignment horizontal="left" indent="1"/>
    </xf>
    <xf numFmtId="166" fontId="63" fillId="7" borderId="0" xfId="0" applyNumberFormat="1" applyFont="1" applyFill="1" applyBorder="1"/>
    <xf numFmtId="0" fontId="37" fillId="7" borderId="17" xfId="0" applyFont="1" applyFill="1" applyBorder="1" applyAlignment="1"/>
    <xf numFmtId="166" fontId="6" fillId="7" borderId="17" xfId="153" applyNumberFormat="1" applyFont="1" applyFill="1" applyBorder="1"/>
    <xf numFmtId="166" fontId="82" fillId="7" borderId="0" xfId="153" applyNumberFormat="1" applyFont="1" applyFill="1" applyBorder="1"/>
    <xf numFmtId="9" fontId="4" fillId="7" borderId="0" xfId="0" applyNumberFormat="1" applyFont="1" applyFill="1" applyBorder="1"/>
    <xf numFmtId="9" fontId="7" fillId="7" borderId="0" xfId="164" applyNumberFormat="1" applyFont="1" applyFill="1" applyBorder="1"/>
    <xf numFmtId="167" fontId="4" fillId="7" borderId="0" xfId="0" applyNumberFormat="1" applyFont="1" applyFill="1" applyBorder="1"/>
    <xf numFmtId="167" fontId="4" fillId="7" borderId="0" xfId="0" applyNumberFormat="1" applyFont="1" applyFill="1" applyBorder="1" applyAlignment="1"/>
    <xf numFmtId="167" fontId="4" fillId="7" borderId="17" xfId="0" applyNumberFormat="1" applyFont="1" applyFill="1" applyBorder="1" applyAlignment="1"/>
    <xf numFmtId="167" fontId="4" fillId="7" borderId="0" xfId="153" applyNumberFormat="1" applyFont="1" applyFill="1" applyBorder="1" applyAlignment="1"/>
    <xf numFmtId="167" fontId="4" fillId="7" borderId="17" xfId="153" applyNumberFormat="1" applyFont="1" applyFill="1" applyBorder="1" applyAlignment="1"/>
    <xf numFmtId="0" fontId="7" fillId="3" borderId="0" xfId="0" applyFont="1" applyFill="1" applyBorder="1" applyAlignment="1">
      <alignment horizontal="left" indent="3"/>
    </xf>
    <xf numFmtId="167" fontId="27" fillId="7" borderId="0" xfId="153" applyNumberFormat="1" applyFont="1" applyFill="1" applyBorder="1"/>
    <xf numFmtId="167" fontId="27" fillId="7" borderId="17" xfId="153" applyNumberFormat="1" applyFont="1" applyFill="1" applyBorder="1"/>
    <xf numFmtId="167" fontId="4" fillId="7" borderId="17" xfId="0" applyNumberFormat="1" applyFont="1" applyFill="1" applyBorder="1"/>
    <xf numFmtId="10" fontId="4" fillId="8" borderId="0" xfId="164" applyNumberFormat="1" applyFont="1" applyFill="1" applyBorder="1" applyAlignment="1"/>
    <xf numFmtId="167" fontId="7" fillId="7" borderId="0" xfId="0" applyNumberFormat="1" applyFont="1" applyFill="1" applyBorder="1"/>
    <xf numFmtId="167" fontId="4" fillId="0" borderId="0" xfId="0" applyNumberFormat="1" applyFont="1" applyFill="1" applyBorder="1"/>
    <xf numFmtId="9" fontId="4" fillId="7" borderId="0" xfId="153" applyNumberFormat="1" applyFont="1" applyFill="1" applyBorder="1" applyAlignment="1"/>
    <xf numFmtId="0" fontId="67" fillId="7" borderId="0" xfId="0" applyFont="1" applyFill="1" applyBorder="1" applyAlignment="1"/>
    <xf numFmtId="0" fontId="67" fillId="7" borderId="17" xfId="0" applyFont="1" applyFill="1" applyBorder="1" applyAlignment="1"/>
    <xf numFmtId="9" fontId="4" fillId="26" borderId="0" xfId="164" applyNumberFormat="1" applyFont="1" applyFill="1" applyBorder="1" applyAlignment="1"/>
    <xf numFmtId="9" fontId="4" fillId="7" borderId="17" xfId="0" applyNumberFormat="1" applyFont="1" applyFill="1" applyBorder="1" applyAlignment="1"/>
    <xf numFmtId="9" fontId="4" fillId="7" borderId="17" xfId="153" applyNumberFormat="1" applyFont="1" applyFill="1" applyBorder="1" applyAlignment="1"/>
    <xf numFmtId="9" fontId="4" fillId="7" borderId="17" xfId="164" applyNumberFormat="1" applyFont="1" applyFill="1" applyBorder="1"/>
    <xf numFmtId="9" fontId="7" fillId="26" borderId="0" xfId="164" applyNumberFormat="1" applyFont="1" applyFill="1" applyBorder="1" applyAlignment="1"/>
    <xf numFmtId="0" fontId="7" fillId="7" borderId="0" xfId="0" applyFont="1" applyFill="1" applyBorder="1" applyAlignment="1">
      <alignment horizontal="left" indent="4"/>
    </xf>
    <xf numFmtId="37" fontId="4" fillId="7" borderId="0" xfId="153" applyNumberFormat="1" applyFont="1" applyFill="1" applyBorder="1" applyAlignment="1"/>
    <xf numFmtId="9" fontId="4" fillId="7" borderId="17" xfId="164" applyFont="1" applyFill="1" applyBorder="1"/>
    <xf numFmtId="10" fontId="4" fillId="7" borderId="0" xfId="164" applyNumberFormat="1" applyFont="1" applyFill="1" applyBorder="1" applyAlignment="1"/>
    <xf numFmtId="10" fontId="4" fillId="7" borderId="17" xfId="164" applyNumberFormat="1" applyFont="1" applyFill="1" applyBorder="1" applyAlignment="1"/>
    <xf numFmtId="166" fontId="6" fillId="8" borderId="0" xfId="153" applyNumberFormat="1" applyFont="1" applyFill="1" applyBorder="1"/>
    <xf numFmtId="37" fontId="82" fillId="7" borderId="0" xfId="0" applyNumberFormat="1" applyFont="1" applyFill="1" applyBorder="1"/>
    <xf numFmtId="37" fontId="6" fillId="7" borderId="0" xfId="0" applyNumberFormat="1" applyFont="1" applyFill="1" applyBorder="1"/>
    <xf numFmtId="37" fontId="78" fillId="7" borderId="0" xfId="0" applyNumberFormat="1" applyFont="1" applyFill="1" applyBorder="1"/>
    <xf numFmtId="166" fontId="61" fillId="7" borderId="0" xfId="0" applyNumberFormat="1" applyFont="1" applyFill="1" applyBorder="1" applyAlignment="1"/>
    <xf numFmtId="3" fontId="83" fillId="7" borderId="0" xfId="0" applyNumberFormat="1" applyFont="1" applyFill="1" applyBorder="1" applyAlignment="1"/>
    <xf numFmtId="3" fontId="83" fillId="7" borderId="17" xfId="0" applyNumberFormat="1" applyFont="1" applyFill="1" applyBorder="1" applyAlignment="1"/>
    <xf numFmtId="3" fontId="6" fillId="7" borderId="17" xfId="0" applyNumberFormat="1" applyFont="1" applyFill="1" applyBorder="1" applyAlignment="1"/>
    <xf numFmtId="37" fontId="63" fillId="7" borderId="0" xfId="0" applyNumberFormat="1" applyFont="1" applyFill="1" applyBorder="1"/>
    <xf numFmtId="37" fontId="63" fillId="7" borderId="17" xfId="0" applyNumberFormat="1" applyFont="1" applyFill="1" applyBorder="1"/>
    <xf numFmtId="0" fontId="7" fillId="3" borderId="0" xfId="0" applyFont="1" applyFill="1" applyBorder="1" applyAlignment="1">
      <alignment horizontal="left" indent="1"/>
    </xf>
    <xf numFmtId="9" fontId="60" fillId="7" borderId="0" xfId="164" applyFont="1" applyFill="1" applyBorder="1"/>
    <xf numFmtId="167" fontId="4" fillId="7" borderId="0" xfId="164" applyNumberFormat="1" applyFont="1" applyFill="1" applyBorder="1"/>
    <xf numFmtId="166" fontId="4" fillId="7" borderId="17" xfId="0" applyNumberFormat="1" applyFont="1" applyFill="1" applyBorder="1"/>
    <xf numFmtId="166" fontId="7" fillId="7" borderId="0" xfId="0" applyNumberFormat="1" applyFont="1" applyFill="1" applyBorder="1"/>
    <xf numFmtId="0" fontId="37" fillId="7" borderId="0" xfId="0" applyFont="1" applyFill="1" applyBorder="1" applyAlignment="1">
      <alignment horizontal="left" indent="2"/>
    </xf>
    <xf numFmtId="166" fontId="4" fillId="7" borderId="0" xfId="153" applyNumberFormat="1" applyFont="1" applyFill="1" applyBorder="1"/>
    <xf numFmtId="37" fontId="4" fillId="7" borderId="0" xfId="164" applyNumberFormat="1" applyFont="1" applyFill="1" applyBorder="1"/>
    <xf numFmtId="166" fontId="4" fillId="7" borderId="0" xfId="164" applyNumberFormat="1" applyFont="1" applyFill="1" applyBorder="1"/>
    <xf numFmtId="166" fontId="4" fillId="7" borderId="17" xfId="164" applyNumberFormat="1" applyFont="1" applyFill="1" applyBorder="1"/>
    <xf numFmtId="166" fontId="7" fillId="7" borderId="0" xfId="164" applyNumberFormat="1" applyFont="1" applyFill="1" applyBorder="1"/>
    <xf numFmtId="166" fontId="7" fillId="7" borderId="17" xfId="164" applyNumberFormat="1" applyFont="1" applyFill="1" applyBorder="1"/>
    <xf numFmtId="37" fontId="49" fillId="7" borderId="0" xfId="164" applyNumberFormat="1" applyFont="1" applyFill="1" applyBorder="1"/>
    <xf numFmtId="166" fontId="49" fillId="7" borderId="0" xfId="153" applyNumberFormat="1" applyFont="1" applyFill="1" applyBorder="1"/>
    <xf numFmtId="37" fontId="69" fillId="7" borderId="0" xfId="164" applyNumberFormat="1" applyFont="1" applyFill="1" applyBorder="1"/>
    <xf numFmtId="166" fontId="67" fillId="7" borderId="0" xfId="164" applyNumberFormat="1" applyFont="1" applyFill="1" applyBorder="1"/>
    <xf numFmtId="166" fontId="84" fillId="7" borderId="0" xfId="164" applyNumberFormat="1" applyFont="1" applyFill="1" applyBorder="1"/>
    <xf numFmtId="166" fontId="49" fillId="7" borderId="0" xfId="164" applyNumberFormat="1" applyFont="1" applyFill="1" applyBorder="1"/>
    <xf numFmtId="166" fontId="49" fillId="7" borderId="17" xfId="164" applyNumberFormat="1" applyFont="1" applyFill="1" applyBorder="1"/>
    <xf numFmtId="166" fontId="67" fillId="7" borderId="17" xfId="164" applyNumberFormat="1" applyFont="1" applyFill="1" applyBorder="1"/>
    <xf numFmtId="166" fontId="69" fillId="7" borderId="0" xfId="164" applyNumberFormat="1" applyFont="1" applyFill="1" applyBorder="1"/>
    <xf numFmtId="166" fontId="70" fillId="7" borderId="0" xfId="0" applyNumberFormat="1" applyFont="1" applyFill="1" applyBorder="1" applyAlignment="1"/>
    <xf numFmtId="166" fontId="37" fillId="7" borderId="0" xfId="164" applyNumberFormat="1" applyFont="1" applyFill="1" applyBorder="1" applyAlignment="1"/>
    <xf numFmtId="166" fontId="37" fillId="7" borderId="17" xfId="164" applyNumberFormat="1" applyFont="1" applyFill="1" applyBorder="1" applyAlignment="1"/>
    <xf numFmtId="166" fontId="6" fillId="7" borderId="0" xfId="164" applyNumberFormat="1" applyFont="1" applyFill="1" applyBorder="1" applyAlignment="1"/>
    <xf numFmtId="10" fontId="4" fillId="7" borderId="0" xfId="164" applyNumberFormat="1" applyFont="1" applyFill="1" applyBorder="1"/>
    <xf numFmtId="10" fontId="4" fillId="7" borderId="17" xfId="164" applyNumberFormat="1" applyFont="1" applyFill="1" applyBorder="1"/>
    <xf numFmtId="10" fontId="4" fillId="0" borderId="0" xfId="164" applyNumberFormat="1" applyFont="1" applyFill="1" applyBorder="1"/>
    <xf numFmtId="0" fontId="4" fillId="7" borderId="0" xfId="0" applyFont="1" applyFill="1" applyBorder="1" applyAlignment="1">
      <alignment horizontal="left" indent="2"/>
    </xf>
    <xf numFmtId="10" fontId="4" fillId="26" borderId="0" xfId="164" applyNumberFormat="1" applyFont="1" applyFill="1" applyBorder="1"/>
    <xf numFmtId="10" fontId="7" fillId="8" borderId="0" xfId="164" applyNumberFormat="1" applyFont="1" applyFill="1" applyBorder="1" applyAlignment="1"/>
    <xf numFmtId="10" fontId="7" fillId="7" borderId="17" xfId="164" applyNumberFormat="1" applyFont="1" applyFill="1" applyBorder="1" applyAlignment="1"/>
    <xf numFmtId="9" fontId="4" fillId="8" borderId="0" xfId="164" applyNumberFormat="1" applyFont="1" applyFill="1" applyBorder="1"/>
    <xf numFmtId="9" fontId="49" fillId="7" borderId="0" xfId="164" applyNumberFormat="1" applyFont="1" applyFill="1" applyBorder="1"/>
    <xf numFmtId="9" fontId="49" fillId="7" borderId="17" xfId="164" applyNumberFormat="1" applyFont="1" applyFill="1" applyBorder="1"/>
    <xf numFmtId="9" fontId="67" fillId="7" borderId="0" xfId="164" applyFont="1" applyFill="1" applyBorder="1" applyAlignment="1"/>
    <xf numFmtId="9" fontId="67" fillId="7" borderId="17" xfId="164" applyFont="1" applyFill="1" applyBorder="1" applyAlignment="1"/>
    <xf numFmtId="166" fontId="60" fillId="7" borderId="0" xfId="153" applyNumberFormat="1" applyFont="1" applyFill="1" applyBorder="1"/>
    <xf numFmtId="166" fontId="4" fillId="7" borderId="0" xfId="164" applyNumberFormat="1" applyFont="1" applyFill="1" applyBorder="1" applyAlignment="1"/>
    <xf numFmtId="166" fontId="4" fillId="7" borderId="17" xfId="164" applyNumberFormat="1" applyFont="1" applyFill="1" applyBorder="1" applyAlignment="1"/>
    <xf numFmtId="166" fontId="60" fillId="7" borderId="17" xfId="153" applyNumberFormat="1" applyFont="1" applyFill="1" applyBorder="1"/>
    <xf numFmtId="166" fontId="7" fillId="7" borderId="0" xfId="153" applyNumberFormat="1" applyFont="1" applyFill="1" applyBorder="1"/>
    <xf numFmtId="166" fontId="27" fillId="7" borderId="0" xfId="153" applyNumberFormat="1" applyFont="1" applyFill="1" applyBorder="1"/>
    <xf numFmtId="166" fontId="27" fillId="7" borderId="17" xfId="153" applyNumberFormat="1" applyFont="1" applyFill="1" applyBorder="1"/>
    <xf numFmtId="166" fontId="49" fillId="7" borderId="17" xfId="153" applyNumberFormat="1" applyFont="1" applyFill="1" applyBorder="1"/>
    <xf numFmtId="166" fontId="67" fillId="7" borderId="17" xfId="153" applyNumberFormat="1" applyFont="1" applyFill="1" applyBorder="1"/>
    <xf numFmtId="165" fontId="4" fillId="7" borderId="0" xfId="0" applyNumberFormat="1" applyFont="1" applyFill="1" applyBorder="1"/>
    <xf numFmtId="0" fontId="37" fillId="0" borderId="0" xfId="0" applyFont="1" applyFill="1" applyBorder="1" applyAlignment="1">
      <alignment horizontal="left" indent="2"/>
    </xf>
    <xf numFmtId="0" fontId="85" fillId="7" borderId="0" xfId="0" applyFont="1" applyFill="1" applyBorder="1" applyAlignment="1"/>
    <xf numFmtId="166" fontId="37" fillId="7" borderId="0" xfId="0" applyNumberFormat="1" applyFont="1" applyFill="1" applyBorder="1"/>
    <xf numFmtId="166" fontId="7" fillId="7" borderId="0" xfId="0" applyNumberFormat="1" applyFont="1" applyFill="1" applyBorder="1" applyAlignment="1"/>
    <xf numFmtId="10" fontId="4" fillId="7" borderId="0" xfId="0" applyNumberFormat="1" applyFont="1" applyFill="1" applyBorder="1"/>
    <xf numFmtId="10" fontId="4" fillId="15" borderId="0" xfId="164" applyNumberFormat="1" applyFont="1" applyFill="1" applyBorder="1"/>
    <xf numFmtId="10" fontId="4" fillId="7" borderId="17" xfId="0" applyNumberFormat="1" applyFont="1" applyFill="1" applyBorder="1"/>
    <xf numFmtId="10" fontId="67" fillId="7" borderId="0" xfId="164" applyNumberFormat="1" applyFont="1" applyFill="1" applyBorder="1" applyAlignment="1"/>
    <xf numFmtId="10" fontId="67" fillId="7" borderId="17" xfId="164" applyNumberFormat="1" applyFont="1" applyFill="1" applyBorder="1" applyAlignment="1"/>
    <xf numFmtId="10" fontId="7" fillId="7" borderId="0" xfId="164" applyNumberFormat="1" applyFont="1" applyFill="1" applyBorder="1"/>
    <xf numFmtId="10" fontId="37" fillId="8" borderId="0" xfId="164" applyNumberFormat="1" applyFont="1" applyFill="1" applyBorder="1"/>
    <xf numFmtId="10" fontId="37" fillId="7" borderId="0" xfId="164" applyNumberFormat="1" applyFont="1" applyFill="1" applyBorder="1"/>
    <xf numFmtId="167" fontId="37" fillId="8" borderId="0" xfId="164" applyNumberFormat="1" applyFont="1" applyFill="1" applyBorder="1" applyAlignment="1"/>
    <xf numFmtId="10" fontId="37" fillId="7" borderId="17" xfId="164" applyNumberFormat="1" applyFont="1" applyFill="1" applyBorder="1" applyAlignment="1"/>
    <xf numFmtId="10" fontId="37" fillId="7" borderId="0" xfId="164" applyNumberFormat="1" applyFont="1" applyFill="1" applyBorder="1" applyAlignment="1"/>
    <xf numFmtId="10" fontId="63" fillId="7" borderId="0" xfId="164" applyNumberFormat="1" applyFont="1" applyFill="1" applyBorder="1" applyAlignment="1"/>
    <xf numFmtId="10" fontId="63" fillId="7" borderId="17" xfId="164" applyNumberFormat="1" applyFont="1" applyFill="1" applyBorder="1" applyAlignment="1"/>
    <xf numFmtId="10" fontId="6" fillId="7" borderId="0" xfId="164" applyNumberFormat="1" applyFont="1" applyFill="1" applyBorder="1" applyAlignment="1"/>
    <xf numFmtId="10" fontId="6" fillId="7" borderId="17" xfId="164" applyNumberFormat="1" applyFont="1" applyFill="1" applyBorder="1" applyAlignment="1"/>
    <xf numFmtId="9" fontId="7" fillId="7" borderId="0" xfId="153" applyNumberFormat="1" applyFont="1" applyFill="1" applyBorder="1" applyAlignment="1"/>
    <xf numFmtId="167" fontId="7" fillId="7" borderId="0" xfId="153" applyNumberFormat="1" applyFont="1" applyFill="1" applyBorder="1" applyAlignment="1"/>
    <xf numFmtId="166" fontId="63" fillId="7" borderId="0" xfId="153" applyNumberFormat="1" applyFont="1" applyFill="1" applyBorder="1" applyAlignment="1"/>
    <xf numFmtId="0" fontId="63" fillId="7" borderId="0" xfId="0" applyFont="1" applyFill="1" applyBorder="1"/>
    <xf numFmtId="166" fontId="63" fillId="7" borderId="17" xfId="153" applyNumberFormat="1" applyFont="1" applyFill="1" applyBorder="1" applyAlignment="1"/>
    <xf numFmtId="0" fontId="63" fillId="7" borderId="0" xfId="0" applyFont="1" applyFill="1" applyBorder="1" applyAlignment="1"/>
    <xf numFmtId="0" fontId="63" fillId="7" borderId="17" xfId="0" applyFont="1" applyFill="1" applyBorder="1" applyAlignment="1"/>
    <xf numFmtId="166" fontId="63" fillId="7" borderId="17" xfId="0" applyNumberFormat="1" applyFont="1" applyFill="1" applyBorder="1" applyAlignment="1"/>
    <xf numFmtId="166" fontId="6" fillId="7" borderId="0" xfId="0" applyNumberFormat="1" applyFont="1" applyFill="1" applyBorder="1" applyAlignment="1"/>
    <xf numFmtId="9" fontId="4" fillId="7" borderId="17" xfId="0" applyNumberFormat="1" applyFont="1" applyFill="1" applyBorder="1"/>
    <xf numFmtId="9" fontId="7" fillId="7" borderId="0" xfId="0" applyNumberFormat="1" applyFont="1" applyFill="1" applyBorder="1"/>
    <xf numFmtId="9" fontId="4" fillId="0" borderId="0" xfId="0" applyNumberFormat="1" applyFont="1" applyFill="1" applyBorder="1"/>
    <xf numFmtId="166" fontId="64" fillId="7" borderId="0" xfId="0" applyNumberFormat="1" applyFont="1" applyFill="1" applyBorder="1" applyAlignment="1"/>
    <xf numFmtId="166" fontId="6" fillId="7" borderId="17" xfId="0" applyNumberFormat="1" applyFont="1" applyFill="1" applyBorder="1" applyAlignment="1"/>
    <xf numFmtId="3" fontId="6" fillId="7" borderId="0" xfId="0" applyNumberFormat="1" applyFont="1" applyFill="1" applyBorder="1" applyAlignment="1"/>
    <xf numFmtId="9" fontId="7" fillId="26" borderId="0" xfId="0" applyNumberFormat="1" applyFont="1" applyFill="1" applyBorder="1" applyAlignment="1"/>
    <xf numFmtId="0" fontId="77" fillId="7" borderId="17" xfId="0" applyFont="1" applyFill="1" applyBorder="1" applyAlignment="1"/>
    <xf numFmtId="9" fontId="77" fillId="7" borderId="0" xfId="164" applyFont="1" applyFill="1" applyBorder="1" applyAlignment="1"/>
    <xf numFmtId="9" fontId="77" fillId="7" borderId="17" xfId="164" applyFont="1" applyFill="1" applyBorder="1" applyAlignment="1"/>
    <xf numFmtId="9" fontId="28" fillId="26" borderId="0" xfId="164" applyFont="1" applyFill="1" applyBorder="1" applyAlignment="1"/>
    <xf numFmtId="9" fontId="28" fillId="7" borderId="0" xfId="164" applyFont="1" applyFill="1" applyBorder="1" applyAlignment="1"/>
    <xf numFmtId="167" fontId="7" fillId="7" borderId="17" xfId="164" applyNumberFormat="1" applyFont="1" applyFill="1" applyBorder="1" applyAlignment="1"/>
    <xf numFmtId="0" fontId="60" fillId="7" borderId="0" xfId="0" applyFont="1" applyFill="1" applyBorder="1" applyAlignment="1"/>
    <xf numFmtId="166" fontId="64" fillId="7" borderId="0" xfId="153" applyNumberFormat="1" applyFont="1" applyFill="1" applyBorder="1"/>
    <xf numFmtId="37" fontId="64" fillId="7" borderId="0" xfId="0" applyNumberFormat="1" applyFont="1" applyFill="1" applyBorder="1"/>
    <xf numFmtId="3" fontId="63" fillId="7" borderId="0" xfId="0" applyNumberFormat="1" applyFont="1" applyFill="1" applyBorder="1" applyAlignment="1"/>
    <xf numFmtId="37" fontId="82" fillId="7" borderId="17" xfId="0" applyNumberFormat="1" applyFont="1" applyFill="1" applyBorder="1"/>
    <xf numFmtId="10" fontId="4" fillId="7" borderId="0" xfId="0" applyNumberFormat="1" applyFont="1" applyFill="1" applyBorder="1" applyAlignment="1"/>
    <xf numFmtId="9" fontId="4" fillId="7" borderId="0" xfId="164" applyNumberFormat="1" applyFont="1" applyFill="1" applyBorder="1" applyAlignment="1"/>
    <xf numFmtId="9" fontId="4" fillId="8" borderId="0" xfId="0" applyNumberFormat="1" applyFont="1" applyFill="1" applyBorder="1" applyAlignment="1"/>
    <xf numFmtId="0" fontId="37" fillId="0" borderId="0" xfId="0" applyFont="1" applyBorder="1" applyAlignment="1">
      <alignment horizontal="left" indent="1"/>
    </xf>
    <xf numFmtId="166" fontId="67" fillId="7" borderId="0" xfId="0" applyNumberFormat="1" applyFont="1" applyFill="1" applyBorder="1"/>
    <xf numFmtId="166" fontId="37" fillId="7" borderId="17" xfId="0" applyNumberFormat="1" applyFont="1" applyFill="1" applyBorder="1"/>
    <xf numFmtId="165" fontId="37" fillId="0" borderId="0" xfId="0" applyNumberFormat="1" applyFont="1" applyFill="1" applyBorder="1"/>
    <xf numFmtId="167" fontId="4" fillId="8" borderId="0" xfId="0" applyNumberFormat="1" applyFont="1" applyFill="1" applyBorder="1" applyAlignment="1"/>
    <xf numFmtId="0" fontId="6" fillId="7" borderId="0" xfId="0" applyFont="1" applyFill="1" applyBorder="1" applyAlignment="1">
      <alignment horizontal="left" indent="3"/>
    </xf>
    <xf numFmtId="37" fontId="81" fillId="7" borderId="0" xfId="0" applyNumberFormat="1" applyFont="1" applyFill="1" applyBorder="1"/>
    <xf numFmtId="166" fontId="78" fillId="7" borderId="0" xfId="0" applyNumberFormat="1" applyFont="1" applyFill="1" applyBorder="1"/>
    <xf numFmtId="165" fontId="37" fillId="7" borderId="0" xfId="0" applyNumberFormat="1" applyFont="1" applyFill="1" applyBorder="1"/>
    <xf numFmtId="165" fontId="37" fillId="7" borderId="17" xfId="0" applyNumberFormat="1" applyFont="1" applyFill="1" applyBorder="1"/>
    <xf numFmtId="166" fontId="63" fillId="7" borderId="17" xfId="0" applyNumberFormat="1" applyFont="1" applyFill="1" applyBorder="1"/>
    <xf numFmtId="167" fontId="4" fillId="26" borderId="0" xfId="0" applyNumberFormat="1" applyFont="1" applyFill="1" applyBorder="1" applyAlignment="1"/>
    <xf numFmtId="0" fontId="37" fillId="7" borderId="17" xfId="0" applyFont="1" applyFill="1" applyBorder="1"/>
    <xf numFmtId="9" fontId="7" fillId="26" borderId="0" xfId="164" applyFont="1" applyFill="1" applyBorder="1" applyAlignment="1"/>
    <xf numFmtId="167" fontId="7" fillId="7" borderId="0" xfId="0" applyNumberFormat="1" applyFont="1" applyFill="1" applyBorder="1" applyAlignment="1"/>
    <xf numFmtId="167" fontId="4" fillId="8" borderId="17" xfId="0" applyNumberFormat="1" applyFont="1" applyFill="1" applyBorder="1" applyAlignment="1"/>
    <xf numFmtId="0" fontId="6" fillId="7" borderId="0" xfId="0" applyFont="1" applyFill="1" applyBorder="1" applyAlignment="1">
      <alignment horizontal="left"/>
    </xf>
    <xf numFmtId="43" fontId="4" fillId="7" borderId="17" xfId="0" applyNumberFormat="1" applyFont="1" applyFill="1" applyBorder="1" applyAlignment="1"/>
    <xf numFmtId="9" fontId="7" fillId="3" borderId="0" xfId="164" applyFont="1" applyFill="1" applyBorder="1" applyAlignment="1">
      <alignment horizontal="left" indent="2"/>
    </xf>
    <xf numFmtId="9" fontId="7" fillId="7" borderId="0" xfId="164" applyFont="1" applyFill="1" applyBorder="1" applyAlignment="1">
      <alignment horizontal="left" indent="1"/>
    </xf>
    <xf numFmtId="9" fontId="4" fillId="8" borderId="0" xfId="164" applyFont="1" applyFill="1" applyBorder="1" applyAlignment="1"/>
    <xf numFmtId="37" fontId="7" fillId="7" borderId="0" xfId="153" applyNumberFormat="1" applyFont="1" applyFill="1" applyBorder="1" applyAlignment="1"/>
    <xf numFmtId="37" fontId="6" fillId="7" borderId="17" xfId="0" applyNumberFormat="1" applyFont="1" applyFill="1" applyBorder="1"/>
    <xf numFmtId="0" fontId="86" fillId="7" borderId="0" xfId="0" applyFont="1" applyFill="1" applyBorder="1" applyAlignment="1"/>
    <xf numFmtId="37" fontId="84" fillId="7" borderId="0" xfId="0" applyNumberFormat="1" applyFont="1" applyFill="1" applyBorder="1" applyAlignment="1"/>
    <xf numFmtId="37" fontId="4" fillId="7" borderId="0" xfId="0" applyNumberFormat="1" applyFont="1" applyFill="1" applyBorder="1" applyAlignment="1"/>
    <xf numFmtId="9" fontId="7" fillId="7" borderId="0" xfId="0" applyNumberFormat="1" applyFont="1" applyFill="1" applyBorder="1" applyAlignment="1"/>
    <xf numFmtId="0" fontId="87" fillId="7" borderId="0" xfId="0" applyFont="1" applyFill="1" applyBorder="1"/>
    <xf numFmtId="166" fontId="7" fillId="3" borderId="0" xfId="153" applyNumberFormat="1" applyFont="1" applyFill="1" applyBorder="1" applyAlignment="1">
      <alignment horizontal="left" indent="3"/>
    </xf>
    <xf numFmtId="166" fontId="81" fillId="7" borderId="0" xfId="153" applyNumberFormat="1" applyFont="1" applyFill="1" applyBorder="1" applyAlignment="1"/>
    <xf numFmtId="166" fontId="81" fillId="7" borderId="17" xfId="153" applyNumberFormat="1" applyFont="1" applyFill="1" applyBorder="1" applyAlignment="1"/>
    <xf numFmtId="0" fontId="7" fillId="3" borderId="0" xfId="0" applyFont="1" applyFill="1" applyBorder="1" applyAlignment="1">
      <alignment horizontal="left" indent="4"/>
    </xf>
    <xf numFmtId="9" fontId="60" fillId="7" borderId="0" xfId="0" applyNumberFormat="1" applyFont="1" applyFill="1" applyBorder="1"/>
    <xf numFmtId="9" fontId="4" fillId="26" borderId="0" xfId="164" applyNumberFormat="1" applyFont="1" applyFill="1" applyBorder="1"/>
    <xf numFmtId="9" fontId="4" fillId="8" borderId="0" xfId="0" applyNumberFormat="1" applyFont="1" applyFill="1" applyBorder="1"/>
    <xf numFmtId="9" fontId="4" fillId="26" borderId="0" xfId="0" applyNumberFormat="1" applyFont="1" applyFill="1" applyBorder="1"/>
    <xf numFmtId="0" fontId="60" fillId="3" borderId="0" xfId="0" applyFont="1" applyFill="1" applyBorder="1" applyAlignment="1">
      <alignment horizontal="left" indent="1"/>
    </xf>
    <xf numFmtId="0" fontId="60" fillId="7" borderId="0" xfId="0" applyFont="1" applyFill="1" applyBorder="1" applyAlignment="1">
      <alignment horizontal="left" indent="3"/>
    </xf>
    <xf numFmtId="0" fontId="37" fillId="0" borderId="0" xfId="0" applyFont="1" applyFill="1" applyBorder="1" applyAlignment="1">
      <alignment horizontal="left" indent="1"/>
    </xf>
    <xf numFmtId="37" fontId="7" fillId="7" borderId="0" xfId="0" applyNumberFormat="1" applyFont="1" applyFill="1" applyBorder="1"/>
    <xf numFmtId="37" fontId="67" fillId="7" borderId="0" xfId="0" applyNumberFormat="1" applyFont="1" applyFill="1" applyBorder="1"/>
    <xf numFmtId="37" fontId="67" fillId="7" borderId="17" xfId="0" applyNumberFormat="1" applyFont="1" applyFill="1" applyBorder="1"/>
    <xf numFmtId="9" fontId="4" fillId="8" borderId="17" xfId="0" applyNumberFormat="1" applyFont="1" applyFill="1" applyBorder="1" applyAlignment="1"/>
    <xf numFmtId="9" fontId="7" fillId="8" borderId="0" xfId="0" applyNumberFormat="1" applyFont="1" applyFill="1" applyBorder="1" applyAlignment="1"/>
    <xf numFmtId="37" fontId="82" fillId="7" borderId="0" xfId="153" applyNumberFormat="1" applyFont="1" applyFill="1" applyBorder="1"/>
    <xf numFmtId="37" fontId="78" fillId="7" borderId="0" xfId="153" applyNumberFormat="1" applyFont="1" applyFill="1" applyBorder="1"/>
    <xf numFmtId="1" fontId="63" fillId="7" borderId="17" xfId="0" applyNumberFormat="1" applyFont="1" applyFill="1" applyBorder="1" applyAlignment="1"/>
    <xf numFmtId="1" fontId="63" fillId="7" borderId="0" xfId="0" applyNumberFormat="1" applyFont="1" applyFill="1" applyBorder="1" applyAlignment="1"/>
    <xf numFmtId="166" fontId="37" fillId="7" borderId="17" xfId="153" applyNumberFormat="1" applyFont="1" applyFill="1" applyBorder="1"/>
    <xf numFmtId="37" fontId="7" fillId="7" borderId="17" xfId="0" applyNumberFormat="1" applyFont="1" applyFill="1" applyBorder="1"/>
    <xf numFmtId="37" fontId="4" fillId="7" borderId="17" xfId="0" applyNumberFormat="1" applyFont="1" applyFill="1" applyBorder="1" applyAlignment="1"/>
    <xf numFmtId="37" fontId="81" fillId="7" borderId="0" xfId="0" applyNumberFormat="1" applyFont="1" applyFill="1" applyBorder="1" applyAlignment="1"/>
    <xf numFmtId="37" fontId="81" fillId="7" borderId="17" xfId="0" applyNumberFormat="1" applyFont="1" applyFill="1" applyBorder="1" applyAlignment="1"/>
    <xf numFmtId="196" fontId="81" fillId="7" borderId="17" xfId="0" applyNumberFormat="1" applyFont="1" applyFill="1" applyBorder="1" applyAlignment="1"/>
    <xf numFmtId="196" fontId="81" fillId="7" borderId="0" xfId="0" applyNumberFormat="1" applyFont="1" applyFill="1" applyBorder="1" applyAlignment="1"/>
    <xf numFmtId="37" fontId="67" fillId="7" borderId="0" xfId="0" applyNumberFormat="1" applyFont="1" applyFill="1" applyBorder="1" applyAlignment="1">
      <alignment horizontal="right"/>
    </xf>
    <xf numFmtId="37" fontId="67" fillId="7" borderId="17" xfId="0" applyNumberFormat="1" applyFont="1" applyFill="1" applyBorder="1" applyAlignment="1">
      <alignment horizontal="right"/>
    </xf>
    <xf numFmtId="37" fontId="7" fillId="7" borderId="17" xfId="0" applyNumberFormat="1" applyFont="1" applyFill="1" applyBorder="1" applyAlignment="1"/>
    <xf numFmtId="37" fontId="69" fillId="7" borderId="0" xfId="0" applyNumberFormat="1" applyFont="1" applyFill="1" applyBorder="1" applyAlignment="1">
      <alignment horizontal="right"/>
    </xf>
    <xf numFmtId="9" fontId="4" fillId="7" borderId="17" xfId="164" applyNumberFormat="1" applyFont="1" applyFill="1" applyBorder="1" applyAlignment="1"/>
    <xf numFmtId="9" fontId="4" fillId="8" borderId="0" xfId="164" applyNumberFormat="1" applyFont="1" applyFill="1" applyBorder="1" applyAlignment="1"/>
    <xf numFmtId="9" fontId="4" fillId="8" borderId="17" xfId="164" applyNumberFormat="1" applyFont="1" applyFill="1" applyBorder="1" applyAlignment="1"/>
    <xf numFmtId="37" fontId="67" fillId="7" borderId="0" xfId="0" applyNumberFormat="1" applyFont="1" applyFill="1" applyBorder="1" applyAlignment="1"/>
    <xf numFmtId="37" fontId="67" fillId="7" borderId="17" xfId="0" applyNumberFormat="1" applyFont="1" applyFill="1" applyBorder="1" applyAlignment="1"/>
    <xf numFmtId="166" fontId="81" fillId="7" borderId="0" xfId="0" applyNumberFormat="1" applyFont="1" applyFill="1" applyBorder="1"/>
    <xf numFmtId="167" fontId="81" fillId="7" borderId="0" xfId="164" applyNumberFormat="1" applyFont="1" applyFill="1" applyBorder="1"/>
    <xf numFmtId="167" fontId="7" fillId="8" borderId="0" xfId="164" applyNumberFormat="1" applyFont="1" applyFill="1" applyBorder="1"/>
    <xf numFmtId="167" fontId="4" fillId="8" borderId="0" xfId="164" applyNumberFormat="1" applyFont="1" applyFill="1" applyBorder="1"/>
    <xf numFmtId="0" fontId="84" fillId="7" borderId="0" xfId="0" applyFont="1" applyFill="1" applyBorder="1" applyAlignment="1"/>
    <xf numFmtId="0" fontId="84" fillId="7" borderId="17" xfId="0" applyFont="1" applyFill="1" applyBorder="1" applyAlignment="1"/>
    <xf numFmtId="166" fontId="49" fillId="7" borderId="17" xfId="0" applyNumberFormat="1" applyFont="1" applyFill="1" applyBorder="1" applyAlignment="1"/>
    <xf numFmtId="9" fontId="4" fillId="8" borderId="0" xfId="164" applyFont="1" applyFill="1" applyBorder="1"/>
    <xf numFmtId="0" fontId="44" fillId="27" borderId="0" xfId="0" applyFont="1" applyFill="1" applyBorder="1" applyAlignment="1">
      <alignment vertical="center"/>
    </xf>
    <xf numFmtId="0" fontId="0" fillId="27" borderId="0" xfId="0" applyFont="1" applyFill="1" applyBorder="1"/>
    <xf numFmtId="0" fontId="58" fillId="27" borderId="0" xfId="0" applyFont="1" applyFill="1" applyBorder="1"/>
    <xf numFmtId="0" fontId="58" fillId="23" borderId="0" xfId="0" applyFont="1" applyFill="1" applyBorder="1" applyAlignment="1"/>
    <xf numFmtId="0" fontId="58" fillId="23" borderId="17" xfId="0" applyFont="1" applyFill="1" applyBorder="1" applyAlignment="1"/>
    <xf numFmtId="43" fontId="58" fillId="23" borderId="0" xfId="0" applyNumberFormat="1" applyFont="1" applyFill="1" applyBorder="1" applyAlignment="1"/>
    <xf numFmtId="9" fontId="58" fillId="23" borderId="17" xfId="164" applyFont="1" applyFill="1" applyBorder="1" applyAlignment="1"/>
    <xf numFmtId="0" fontId="58" fillId="27" borderId="0" xfId="0" applyFont="1" applyFill="1" applyBorder="1" applyAlignment="1"/>
    <xf numFmtId="0" fontId="58" fillId="27" borderId="17" xfId="0" applyFont="1" applyFill="1" applyBorder="1" applyAlignment="1"/>
    <xf numFmtId="0" fontId="44" fillId="17" borderId="0" xfId="0" applyFont="1" applyFill="1"/>
    <xf numFmtId="0" fontId="7" fillId="17" borderId="0" xfId="0" applyFont="1" applyFill="1" applyBorder="1"/>
    <xf numFmtId="0" fontId="60" fillId="17" borderId="0" xfId="0" applyFont="1" applyFill="1" applyBorder="1"/>
    <xf numFmtId="37" fontId="60" fillId="17" borderId="0" xfId="0" applyNumberFormat="1" applyFont="1" applyFill="1" applyBorder="1"/>
    <xf numFmtId="166" fontId="47" fillId="17" borderId="0" xfId="153" applyNumberFormat="1" applyFont="1" applyFill="1" applyBorder="1"/>
    <xf numFmtId="0" fontId="7" fillId="17" borderId="0" xfId="0" applyFont="1" applyFill="1" applyBorder="1" applyAlignment="1"/>
    <xf numFmtId="0" fontId="7" fillId="17" borderId="17" xfId="0" applyFont="1" applyFill="1" applyBorder="1" applyAlignment="1"/>
    <xf numFmtId="0" fontId="7" fillId="17" borderId="17" xfId="0" applyFont="1" applyFill="1" applyBorder="1"/>
    <xf numFmtId="0" fontId="60" fillId="17" borderId="17" xfId="0" applyFont="1" applyFill="1" applyBorder="1"/>
    <xf numFmtId="37" fontId="60" fillId="17" borderId="0" xfId="0" applyNumberFormat="1" applyFont="1" applyFill="1" applyBorder="1" applyAlignment="1"/>
    <xf numFmtId="9" fontId="60" fillId="17" borderId="0" xfId="164" applyFont="1" applyFill="1" applyBorder="1" applyAlignment="1"/>
    <xf numFmtId="37" fontId="60" fillId="17" borderId="17" xfId="0" applyNumberFormat="1" applyFont="1" applyFill="1" applyBorder="1" applyAlignment="1"/>
    <xf numFmtId="166" fontId="47" fillId="17" borderId="0" xfId="153" applyNumberFormat="1" applyFont="1" applyFill="1" applyBorder="1" applyAlignment="1"/>
    <xf numFmtId="166" fontId="47" fillId="17" borderId="17" xfId="153" applyNumberFormat="1" applyFont="1" applyFill="1" applyBorder="1" applyAlignment="1"/>
    <xf numFmtId="165" fontId="47" fillId="17" borderId="0" xfId="153" applyNumberFormat="1" applyFont="1" applyFill="1" applyBorder="1" applyAlignment="1"/>
    <xf numFmtId="43" fontId="47" fillId="17" borderId="17" xfId="153" applyNumberFormat="1" applyFont="1" applyFill="1" applyBorder="1" applyAlignment="1"/>
    <xf numFmtId="165" fontId="7" fillId="17" borderId="0" xfId="153" applyNumberFormat="1" applyFont="1" applyFill="1" applyBorder="1" applyAlignment="1"/>
    <xf numFmtId="166" fontId="7" fillId="17" borderId="0" xfId="153" applyNumberFormat="1" applyFont="1" applyFill="1" applyBorder="1" applyAlignment="1"/>
    <xf numFmtId="166" fontId="6" fillId="7" borderId="0" xfId="0" applyNumberFormat="1" applyFont="1" applyFill="1" applyBorder="1"/>
    <xf numFmtId="166" fontId="6" fillId="7" borderId="17" xfId="0" applyNumberFormat="1" applyFont="1" applyFill="1" applyBorder="1"/>
    <xf numFmtId="37" fontId="27" fillId="7" borderId="0" xfId="0" applyNumberFormat="1" applyFont="1" applyFill="1" applyBorder="1"/>
    <xf numFmtId="37" fontId="67" fillId="7" borderId="0" xfId="153" applyNumberFormat="1" applyFont="1" applyFill="1" applyBorder="1"/>
    <xf numFmtId="37" fontId="69" fillId="7" borderId="0" xfId="153" applyNumberFormat="1" applyFont="1" applyFill="1" applyBorder="1"/>
    <xf numFmtId="37" fontId="4" fillId="7" borderId="0" xfId="153" applyNumberFormat="1" applyFont="1" applyFill="1" applyBorder="1"/>
    <xf numFmtId="37" fontId="4" fillId="7" borderId="17" xfId="153" applyNumberFormat="1" applyFont="1" applyFill="1" applyBorder="1"/>
    <xf numFmtId="37" fontId="27" fillId="7" borderId="0" xfId="153" applyNumberFormat="1" applyFont="1" applyFill="1" applyBorder="1"/>
    <xf numFmtId="37" fontId="27" fillId="7" borderId="17" xfId="153" applyNumberFormat="1" applyFont="1" applyFill="1" applyBorder="1"/>
    <xf numFmtId="0" fontId="4" fillId="7" borderId="7" xfId="0" applyFont="1" applyFill="1" applyBorder="1"/>
    <xf numFmtId="166" fontId="4" fillId="7" borderId="0" xfId="156" applyNumberFormat="1" applyFont="1" applyFill="1" applyBorder="1"/>
    <xf numFmtId="37" fontId="6" fillId="7" borderId="0" xfId="153" applyNumberFormat="1" applyFont="1" applyFill="1" applyBorder="1"/>
    <xf numFmtId="37" fontId="6" fillId="7" borderId="17" xfId="153" applyNumberFormat="1" applyFont="1" applyFill="1" applyBorder="1"/>
    <xf numFmtId="0" fontId="37" fillId="7" borderId="7" xfId="0" applyFont="1" applyFill="1" applyBorder="1"/>
    <xf numFmtId="37" fontId="6" fillId="7" borderId="0" xfId="156" applyNumberFormat="1" applyFont="1" applyFill="1" applyBorder="1"/>
    <xf numFmtId="167" fontId="37" fillId="7" borderId="0" xfId="164" applyNumberFormat="1" applyFont="1" applyFill="1" applyBorder="1"/>
    <xf numFmtId="37" fontId="49" fillId="7" borderId="0" xfId="0" applyNumberFormat="1" applyFont="1" applyFill="1" applyBorder="1"/>
    <xf numFmtId="37" fontId="49" fillId="7" borderId="17" xfId="0" applyNumberFormat="1" applyFont="1" applyFill="1" applyBorder="1"/>
    <xf numFmtId="37" fontId="7" fillId="7" borderId="0" xfId="153" applyNumberFormat="1" applyFont="1" applyFill="1" applyBorder="1"/>
    <xf numFmtId="0" fontId="77" fillId="7" borderId="0" xfId="0" applyFont="1" applyFill="1" applyBorder="1" applyAlignment="1">
      <alignment horizontal="left" indent="1"/>
    </xf>
    <xf numFmtId="3" fontId="77" fillId="7" borderId="0" xfId="0" applyNumberFormat="1" applyFont="1" applyFill="1" applyBorder="1"/>
    <xf numFmtId="9" fontId="77" fillId="7" borderId="0" xfId="164" applyFont="1" applyFill="1" applyBorder="1"/>
    <xf numFmtId="9" fontId="4" fillId="7" borderId="0" xfId="166" applyFont="1" applyFill="1" applyBorder="1"/>
    <xf numFmtId="37" fontId="81" fillId="7" borderId="0" xfId="153" applyNumberFormat="1" applyFont="1" applyFill="1" applyBorder="1"/>
    <xf numFmtId="37" fontId="81" fillId="7" borderId="17" xfId="153" applyNumberFormat="1" applyFont="1" applyFill="1" applyBorder="1"/>
    <xf numFmtId="37" fontId="81" fillId="7" borderId="17" xfId="0" applyNumberFormat="1" applyFont="1" applyFill="1" applyBorder="1"/>
    <xf numFmtId="166" fontId="84" fillId="7" borderId="0" xfId="153" applyNumberFormat="1" applyFont="1" applyFill="1" applyBorder="1"/>
    <xf numFmtId="37" fontId="4" fillId="7" borderId="17" xfId="0" applyNumberFormat="1" applyFont="1" applyFill="1" applyBorder="1"/>
    <xf numFmtId="37" fontId="83" fillId="7" borderId="0" xfId="153" applyNumberFormat="1" applyFont="1" applyFill="1" applyBorder="1"/>
    <xf numFmtId="37" fontId="83" fillId="7" borderId="17" xfId="153" applyNumberFormat="1" applyFont="1" applyFill="1" applyBorder="1"/>
    <xf numFmtId="37" fontId="37" fillId="7" borderId="17" xfId="0" applyNumberFormat="1" applyFont="1" applyFill="1" applyBorder="1"/>
    <xf numFmtId="166" fontId="81" fillId="7" borderId="0" xfId="153" applyNumberFormat="1" applyFont="1" applyFill="1" applyBorder="1"/>
    <xf numFmtId="166" fontId="81" fillId="7" borderId="17" xfId="0" applyNumberFormat="1" applyFont="1" applyFill="1" applyBorder="1"/>
    <xf numFmtId="166" fontId="81" fillId="7" borderId="17" xfId="0" applyNumberFormat="1" applyFont="1" applyFill="1" applyBorder="1" applyAlignment="1"/>
    <xf numFmtId="0" fontId="0" fillId="7" borderId="0" xfId="0" quotePrefix="1" applyFont="1" applyFill="1"/>
    <xf numFmtId="37" fontId="4" fillId="26" borderId="0" xfId="0" applyNumberFormat="1" applyFont="1" applyFill="1" applyBorder="1"/>
    <xf numFmtId="166" fontId="7" fillId="26" borderId="0" xfId="153" applyNumberFormat="1" applyFont="1" applyFill="1" applyBorder="1"/>
    <xf numFmtId="166" fontId="81" fillId="7" borderId="17" xfId="153" applyNumberFormat="1" applyFont="1" applyFill="1" applyBorder="1"/>
    <xf numFmtId="0" fontId="77" fillId="7" borderId="0" xfId="0" applyFont="1" applyFill="1" applyBorder="1"/>
    <xf numFmtId="37" fontId="77" fillId="7" borderId="0" xfId="0" applyNumberFormat="1" applyFont="1" applyFill="1" applyBorder="1"/>
    <xf numFmtId="37" fontId="77" fillId="7" borderId="17" xfId="0" applyNumberFormat="1" applyFont="1" applyFill="1" applyBorder="1"/>
    <xf numFmtId="37" fontId="28" fillId="7" borderId="0" xfId="0" applyNumberFormat="1" applyFont="1" applyFill="1" applyBorder="1"/>
    <xf numFmtId="167" fontId="77" fillId="7" borderId="0" xfId="164" applyNumberFormat="1" applyFont="1" applyFill="1" applyBorder="1"/>
    <xf numFmtId="37" fontId="84" fillId="7" borderId="0" xfId="0" applyNumberFormat="1" applyFont="1" applyFill="1" applyBorder="1"/>
    <xf numFmtId="37" fontId="84" fillId="7" borderId="17" xfId="0" applyNumberFormat="1" applyFont="1" applyFill="1" applyBorder="1"/>
    <xf numFmtId="167" fontId="4" fillId="26" borderId="0" xfId="164" applyNumberFormat="1" applyFont="1" applyFill="1" applyBorder="1"/>
    <xf numFmtId="9" fontId="67" fillId="7" borderId="0" xfId="164" applyFont="1" applyFill="1" applyBorder="1"/>
    <xf numFmtId="9" fontId="67" fillId="7" borderId="17" xfId="164" applyFont="1" applyFill="1" applyBorder="1"/>
    <xf numFmtId="167" fontId="77" fillId="26" borderId="0" xfId="164" applyNumberFormat="1" applyFont="1" applyFill="1" applyBorder="1"/>
    <xf numFmtId="37" fontId="60" fillId="7" borderId="0" xfId="153" applyNumberFormat="1" applyFont="1" applyFill="1" applyBorder="1"/>
    <xf numFmtId="0" fontId="49" fillId="7" borderId="0" xfId="0" applyFont="1" applyFill="1" applyBorder="1"/>
    <xf numFmtId="43" fontId="37" fillId="7" borderId="0" xfId="0" applyNumberFormat="1" applyFont="1" applyFill="1" applyBorder="1"/>
    <xf numFmtId="37" fontId="83" fillId="7" borderId="0" xfId="0" applyNumberFormat="1" applyFont="1" applyFill="1" applyBorder="1"/>
    <xf numFmtId="37" fontId="83" fillId="7" borderId="17" xfId="0" applyNumberFormat="1" applyFont="1" applyFill="1" applyBorder="1"/>
    <xf numFmtId="37" fontId="64" fillId="7" borderId="17" xfId="0" applyNumberFormat="1" applyFont="1" applyFill="1" applyBorder="1"/>
    <xf numFmtId="43" fontId="6" fillId="7" borderId="0" xfId="153" applyFont="1" applyFill="1" applyBorder="1"/>
    <xf numFmtId="43" fontId="79" fillId="7" borderId="0" xfId="153" applyFont="1" applyFill="1" applyBorder="1"/>
    <xf numFmtId="43" fontId="63" fillId="7" borderId="0" xfId="153" applyNumberFormat="1" applyFont="1" applyFill="1" applyBorder="1"/>
    <xf numFmtId="43" fontId="37" fillId="7" borderId="0" xfId="153" applyNumberFormat="1" applyFont="1" applyFill="1" applyBorder="1"/>
    <xf numFmtId="0" fontId="83" fillId="7" borderId="0" xfId="0" applyFont="1" applyFill="1" applyBorder="1"/>
    <xf numFmtId="0" fontId="83" fillId="7" borderId="17" xfId="0" applyFont="1" applyFill="1" applyBorder="1"/>
    <xf numFmtId="43" fontId="37" fillId="7" borderId="0" xfId="153" applyFont="1" applyFill="1" applyBorder="1"/>
    <xf numFmtId="43" fontId="37" fillId="7" borderId="17" xfId="153" applyFont="1" applyFill="1" applyBorder="1"/>
    <xf numFmtId="43" fontId="7" fillId="7" borderId="0" xfId="0" applyNumberFormat="1" applyFont="1" applyFill="1" applyBorder="1"/>
    <xf numFmtId="43" fontId="6" fillId="7" borderId="0" xfId="0" applyNumberFormat="1" applyFont="1" applyFill="1" applyBorder="1"/>
    <xf numFmtId="166" fontId="7" fillId="26" borderId="0" xfId="0" applyNumberFormat="1" applyFont="1" applyFill="1" applyBorder="1"/>
    <xf numFmtId="166" fontId="67" fillId="7" borderId="17" xfId="0" applyNumberFormat="1" applyFont="1" applyFill="1" applyBorder="1"/>
    <xf numFmtId="0" fontId="85" fillId="7" borderId="0" xfId="0" applyFont="1" applyFill="1" applyBorder="1" applyAlignment="1">
      <alignment horizontal="left" indent="1"/>
    </xf>
    <xf numFmtId="0" fontId="77" fillId="7" borderId="0" xfId="0" applyFont="1" applyFill="1" applyBorder="1" applyAlignment="1">
      <alignment horizontal="left" indent="3"/>
    </xf>
    <xf numFmtId="167" fontId="77" fillId="7" borderId="0" xfId="164" applyNumberFormat="1" applyFont="1" applyFill="1" applyBorder="1" applyAlignment="1">
      <alignment horizontal="left" indent="1"/>
    </xf>
    <xf numFmtId="9" fontId="85" fillId="7" borderId="0" xfId="164" applyFont="1" applyFill="1" applyBorder="1" applyAlignment="1">
      <alignment horizontal="left" indent="1"/>
    </xf>
    <xf numFmtId="166" fontId="88" fillId="7" borderId="0" xfId="153" applyNumberFormat="1" applyFont="1" applyFill="1" applyBorder="1" applyAlignment="1">
      <alignment horizontal="left" indent="1"/>
    </xf>
    <xf numFmtId="37" fontId="85" fillId="7" borderId="0" xfId="0" applyNumberFormat="1" applyFont="1" applyFill="1" applyBorder="1" applyAlignment="1">
      <alignment horizontal="left" indent="1"/>
    </xf>
    <xf numFmtId="37" fontId="85" fillId="7" borderId="17" xfId="0" applyNumberFormat="1" applyFont="1" applyFill="1" applyBorder="1" applyAlignment="1">
      <alignment horizontal="left" indent="1"/>
    </xf>
    <xf numFmtId="9" fontId="77" fillId="7" borderId="0" xfId="164" applyFont="1" applyFill="1" applyBorder="1" applyAlignment="1">
      <alignment horizontal="left" indent="1"/>
    </xf>
    <xf numFmtId="9" fontId="77" fillId="7" borderId="17" xfId="164" applyFont="1" applyFill="1" applyBorder="1" applyAlignment="1">
      <alignment horizontal="left" indent="1"/>
    </xf>
    <xf numFmtId="37" fontId="89" fillId="7" borderId="0" xfId="0" applyNumberFormat="1" applyFont="1" applyFill="1" applyBorder="1" applyAlignment="1">
      <alignment horizontal="left" indent="1"/>
    </xf>
    <xf numFmtId="167" fontId="85" fillId="7" borderId="0" xfId="164" applyNumberFormat="1" applyFont="1" applyFill="1" applyBorder="1" applyAlignment="1">
      <alignment horizontal="left" indent="1"/>
    </xf>
    <xf numFmtId="9" fontId="4" fillId="26" borderId="0" xfId="164" applyFont="1" applyFill="1" applyBorder="1"/>
    <xf numFmtId="166" fontId="60" fillId="7" borderId="0" xfId="0" applyNumberFormat="1" applyFont="1" applyFill="1" applyBorder="1"/>
    <xf numFmtId="167" fontId="7" fillId="7" borderId="0" xfId="164" applyNumberFormat="1" applyFont="1" applyFill="1" applyBorder="1" applyAlignment="1">
      <alignment horizontal="right"/>
    </xf>
    <xf numFmtId="167" fontId="7" fillId="7" borderId="0" xfId="0" applyNumberFormat="1" applyFont="1" applyFill="1" applyBorder="1" applyAlignment="1">
      <alignment horizontal="right"/>
    </xf>
    <xf numFmtId="166" fontId="4" fillId="7" borderId="17" xfId="153" applyNumberFormat="1" applyFont="1" applyFill="1" applyBorder="1"/>
    <xf numFmtId="167" fontId="7" fillId="7" borderId="17" xfId="0" applyNumberFormat="1" applyFont="1" applyFill="1" applyBorder="1" applyAlignment="1">
      <alignment horizontal="right"/>
    </xf>
    <xf numFmtId="166" fontId="27" fillId="7" borderId="0" xfId="0" applyNumberFormat="1" applyFont="1" applyFill="1" applyBorder="1"/>
    <xf numFmtId="43" fontId="27" fillId="7" borderId="0" xfId="153" applyFont="1" applyFill="1" applyBorder="1"/>
    <xf numFmtId="43" fontId="60" fillId="7" borderId="0" xfId="0" applyNumberFormat="1" applyFont="1" applyFill="1" applyBorder="1"/>
    <xf numFmtId="166" fontId="4" fillId="26" borderId="0" xfId="153" applyNumberFormat="1" applyFont="1" applyFill="1" applyBorder="1"/>
    <xf numFmtId="0" fontId="6" fillId="10" borderId="0" xfId="0" applyFont="1" applyFill="1" applyBorder="1"/>
    <xf numFmtId="37" fontId="79" fillId="10" borderId="0" xfId="0" applyNumberFormat="1" applyFont="1" applyFill="1" applyBorder="1"/>
    <xf numFmtId="37" fontId="37" fillId="10" borderId="0" xfId="153" applyNumberFormat="1" applyFont="1" applyFill="1" applyBorder="1"/>
    <xf numFmtId="37" fontId="37" fillId="10" borderId="0" xfId="0" applyNumberFormat="1" applyFont="1" applyFill="1" applyBorder="1"/>
    <xf numFmtId="37" fontId="37" fillId="10" borderId="17" xfId="0" applyNumberFormat="1" applyFont="1" applyFill="1" applyBorder="1"/>
    <xf numFmtId="166" fontId="64" fillId="10" borderId="0" xfId="0" applyNumberFormat="1" applyFont="1" applyFill="1" applyBorder="1"/>
    <xf numFmtId="166" fontId="64" fillId="10" borderId="17" xfId="0" applyNumberFormat="1" applyFont="1" applyFill="1" applyBorder="1"/>
    <xf numFmtId="166" fontId="71" fillId="10" borderId="0" xfId="153" applyNumberFormat="1" applyFont="1" applyFill="1" applyBorder="1"/>
    <xf numFmtId="0" fontId="4" fillId="10" borderId="7" xfId="0" applyFont="1" applyFill="1" applyBorder="1"/>
    <xf numFmtId="0" fontId="76" fillId="7" borderId="0" xfId="0" applyFont="1" applyFill="1" applyBorder="1"/>
    <xf numFmtId="37" fontId="79" fillId="7" borderId="0" xfId="0" applyNumberFormat="1" applyFont="1" applyFill="1" applyBorder="1"/>
    <xf numFmtId="37" fontId="37" fillId="7" borderId="0" xfId="153" applyNumberFormat="1" applyFont="1" applyFill="1" applyBorder="1"/>
    <xf numFmtId="9" fontId="7" fillId="7" borderId="0" xfId="164" applyFont="1" applyFill="1" applyBorder="1" applyAlignment="1">
      <alignment horizontal="right"/>
    </xf>
    <xf numFmtId="9" fontId="4" fillId="26" borderId="0" xfId="0" applyNumberFormat="1" applyFont="1" applyFill="1" applyBorder="1" applyAlignment="1">
      <alignment horizontal="right"/>
    </xf>
    <xf numFmtId="9" fontId="7" fillId="26" borderId="0" xfId="0" applyNumberFormat="1" applyFont="1" applyFill="1" applyBorder="1" applyAlignment="1">
      <alignment horizontal="right"/>
    </xf>
    <xf numFmtId="0" fontId="90" fillId="7" borderId="17" xfId="0" applyFont="1" applyFill="1" applyBorder="1"/>
    <xf numFmtId="166" fontId="7" fillId="7" borderId="17" xfId="153" applyNumberFormat="1" applyFont="1" applyFill="1" applyBorder="1"/>
    <xf numFmtId="166" fontId="7" fillId="7" borderId="17" xfId="0" applyNumberFormat="1" applyFont="1" applyFill="1" applyBorder="1"/>
    <xf numFmtId="166" fontId="7" fillId="8" borderId="0" xfId="153" applyNumberFormat="1" applyFont="1" applyFill="1" applyBorder="1" applyAlignment="1"/>
    <xf numFmtId="166" fontId="7" fillId="8" borderId="17" xfId="153" applyNumberFormat="1" applyFont="1" applyFill="1" applyBorder="1" applyAlignment="1"/>
    <xf numFmtId="166" fontId="7" fillId="8" borderId="0" xfId="153" applyNumberFormat="1" applyFont="1" applyFill="1" applyBorder="1"/>
    <xf numFmtId="166" fontId="7" fillId="8" borderId="17" xfId="153" applyNumberFormat="1" applyFont="1" applyFill="1" applyBorder="1"/>
    <xf numFmtId="166" fontId="7" fillId="26" borderId="0" xfId="153" applyNumberFormat="1" applyFont="1" applyFill="1" applyBorder="1" applyAlignment="1"/>
    <xf numFmtId="37" fontId="7" fillId="26" borderId="0" xfId="0" applyNumberFormat="1" applyFont="1" applyFill="1" applyBorder="1"/>
    <xf numFmtId="2" fontId="4" fillId="7" borderId="0" xfId="0" applyNumberFormat="1" applyFont="1" applyFill="1" applyBorder="1"/>
    <xf numFmtId="2" fontId="4" fillId="7" borderId="17" xfId="0" applyNumberFormat="1" applyFont="1" applyFill="1" applyBorder="1"/>
    <xf numFmtId="2" fontId="67" fillId="7" borderId="0" xfId="0" applyNumberFormat="1" applyFont="1" applyFill="1" applyBorder="1"/>
    <xf numFmtId="2" fontId="67" fillId="7" borderId="17" xfId="0" applyNumberFormat="1" applyFont="1" applyFill="1" applyBorder="1"/>
    <xf numFmtId="43" fontId="64" fillId="7" borderId="0" xfId="153" applyNumberFormat="1" applyFont="1" applyFill="1" applyBorder="1"/>
    <xf numFmtId="43" fontId="7" fillId="7" borderId="0" xfId="153" applyNumberFormat="1" applyFont="1" applyFill="1" applyBorder="1"/>
    <xf numFmtId="39" fontId="63" fillId="7" borderId="0" xfId="0" applyNumberFormat="1" applyFont="1" applyFill="1" applyBorder="1"/>
    <xf numFmtId="43" fontId="7" fillId="7" borderId="17" xfId="153" applyNumberFormat="1" applyFont="1" applyFill="1" applyBorder="1"/>
    <xf numFmtId="43" fontId="4" fillId="7" borderId="0" xfId="153" applyNumberFormat="1" applyFont="1" applyFill="1" applyBorder="1"/>
    <xf numFmtId="43" fontId="4" fillId="7" borderId="17" xfId="153" applyNumberFormat="1" applyFont="1" applyFill="1" applyBorder="1"/>
    <xf numFmtId="0" fontId="6" fillId="8" borderId="0" xfId="0" applyFont="1" applyFill="1" applyBorder="1"/>
    <xf numFmtId="37" fontId="6" fillId="8" borderId="0" xfId="0" applyNumberFormat="1" applyFont="1" applyFill="1" applyBorder="1"/>
    <xf numFmtId="9" fontId="60" fillId="8" borderId="0" xfId="164" applyFont="1" applyFill="1" applyBorder="1"/>
    <xf numFmtId="166" fontId="61" fillId="8" borderId="0" xfId="0" applyNumberFormat="1" applyFont="1" applyFill="1" applyBorder="1" applyAlignment="1"/>
    <xf numFmtId="166" fontId="61" fillId="8" borderId="17" xfId="0" applyNumberFormat="1" applyFont="1" applyFill="1" applyBorder="1" applyAlignment="1"/>
    <xf numFmtId="37" fontId="6" fillId="8" borderId="17" xfId="0" applyNumberFormat="1" applyFont="1" applyFill="1" applyBorder="1"/>
    <xf numFmtId="37" fontId="81" fillId="7" borderId="0" xfId="153" applyNumberFormat="1" applyFont="1" applyFill="1" applyBorder="1" applyAlignment="1"/>
    <xf numFmtId="37" fontId="67" fillId="7" borderId="0" xfId="153" applyNumberFormat="1" applyFont="1" applyFill="1" applyBorder="1" applyAlignment="1"/>
    <xf numFmtId="166" fontId="81" fillId="7" borderId="0" xfId="153" applyNumberFormat="1" applyFont="1" applyFill="1" applyBorder="1" applyAlignment="1">
      <alignment horizontal="right"/>
    </xf>
    <xf numFmtId="166" fontId="81" fillId="7" borderId="17" xfId="153" applyNumberFormat="1" applyFont="1" applyFill="1" applyBorder="1" applyAlignment="1">
      <alignment horizontal="right"/>
    </xf>
    <xf numFmtId="37" fontId="27" fillId="7" borderId="0" xfId="0" applyNumberFormat="1" applyFont="1" applyFill="1" applyBorder="1" applyAlignment="1"/>
    <xf numFmtId="37" fontId="27" fillId="7" borderId="0" xfId="153" applyNumberFormat="1" applyFont="1" applyFill="1" applyBorder="1" applyAlignment="1"/>
    <xf numFmtId="166" fontId="62" fillId="7" borderId="0" xfId="153" applyNumberFormat="1" applyFont="1" applyFill="1" applyBorder="1"/>
    <xf numFmtId="166" fontId="62" fillId="7" borderId="0" xfId="153" applyNumberFormat="1" applyFont="1" applyFill="1" applyBorder="1" applyAlignment="1"/>
    <xf numFmtId="166" fontId="62" fillId="7" borderId="17" xfId="153" applyNumberFormat="1" applyFont="1" applyFill="1" applyBorder="1" applyAlignment="1"/>
    <xf numFmtId="166" fontId="27" fillId="7" borderId="0" xfId="153" applyNumberFormat="1" applyFont="1" applyFill="1" applyBorder="1" applyAlignment="1">
      <alignment horizontal="right"/>
    </xf>
    <xf numFmtId="166" fontId="27" fillId="7" borderId="17" xfId="153" applyNumberFormat="1" applyFont="1" applyFill="1" applyBorder="1" applyAlignment="1">
      <alignment horizontal="right"/>
    </xf>
    <xf numFmtId="166" fontId="27" fillId="7" borderId="17" xfId="153" applyNumberFormat="1" applyFont="1" applyFill="1" applyBorder="1" applyAlignment="1"/>
    <xf numFmtId="166" fontId="62" fillId="7" borderId="17" xfId="153" applyNumberFormat="1" applyFont="1" applyFill="1" applyBorder="1"/>
    <xf numFmtId="0" fontId="73" fillId="7" borderId="0" xfId="0" applyFont="1" applyFill="1" applyBorder="1" applyAlignment="1">
      <alignment horizontal="left" indent="1"/>
    </xf>
    <xf numFmtId="166" fontId="73" fillId="7" borderId="0" xfId="153" applyNumberFormat="1" applyFont="1" applyFill="1" applyBorder="1"/>
    <xf numFmtId="166" fontId="60" fillId="7" borderId="0" xfId="153" applyNumberFormat="1" applyFont="1" applyFill="1" applyBorder="1" applyAlignment="1"/>
    <xf numFmtId="166" fontId="60" fillId="7" borderId="17" xfId="153" applyNumberFormat="1" applyFont="1" applyFill="1" applyBorder="1" applyAlignment="1"/>
    <xf numFmtId="166" fontId="73" fillId="7" borderId="17" xfId="153" applyNumberFormat="1" applyFont="1" applyFill="1" applyBorder="1"/>
    <xf numFmtId="0" fontId="60" fillId="0" borderId="0" xfId="0" applyFont="1" applyFill="1" applyBorder="1"/>
    <xf numFmtId="0" fontId="91" fillId="7" borderId="0" xfId="0" applyFont="1" applyFill="1" applyBorder="1"/>
    <xf numFmtId="9" fontId="91" fillId="7" borderId="0" xfId="0" applyNumberFormat="1" applyFont="1" applyFill="1" applyBorder="1"/>
    <xf numFmtId="166" fontId="91" fillId="7" borderId="0" xfId="153" applyNumberFormat="1" applyFont="1" applyFill="1" applyBorder="1"/>
    <xf numFmtId="9" fontId="91" fillId="7" borderId="0" xfId="164" applyFont="1" applyFill="1" applyBorder="1"/>
    <xf numFmtId="0" fontId="91" fillId="7" borderId="0" xfId="0" applyFont="1" applyFill="1" applyBorder="1" applyAlignment="1"/>
    <xf numFmtId="0" fontId="91" fillId="7" borderId="17" xfId="0" applyFont="1" applyFill="1" applyBorder="1" applyAlignment="1"/>
    <xf numFmtId="166" fontId="82" fillId="7" borderId="0" xfId="153" applyNumberFormat="1" applyFont="1" applyFill="1" applyBorder="1" applyAlignment="1"/>
    <xf numFmtId="166" fontId="82" fillId="7" borderId="17" xfId="153" applyNumberFormat="1" applyFont="1" applyFill="1" applyBorder="1" applyAlignment="1"/>
    <xf numFmtId="166" fontId="7" fillId="7" borderId="0" xfId="153" applyNumberFormat="1" applyFont="1" applyFill="1" applyBorder="1" applyAlignment="1">
      <alignment horizontal="left" indent="1"/>
    </xf>
    <xf numFmtId="166" fontId="7" fillId="7" borderId="0" xfId="153" applyNumberFormat="1" applyFont="1" applyFill="1" applyBorder="1" applyAlignment="1">
      <alignment horizontal="left" indent="3"/>
    </xf>
    <xf numFmtId="37" fontId="6" fillId="7" borderId="17" xfId="153" applyNumberFormat="1" applyFont="1" applyFill="1" applyBorder="1" applyAlignment="1"/>
    <xf numFmtId="43" fontId="4" fillId="7" borderId="0" xfId="153" applyNumberFormat="1" applyFont="1" applyFill="1" applyBorder="1" applyAlignment="1"/>
    <xf numFmtId="43" fontId="7" fillId="7" borderId="0" xfId="153" applyNumberFormat="1" applyFont="1" applyFill="1" applyBorder="1" applyAlignment="1"/>
    <xf numFmtId="43" fontId="7" fillId="7" borderId="0" xfId="0" applyNumberFormat="1" applyFont="1" applyFill="1" applyBorder="1" applyAlignment="1"/>
    <xf numFmtId="166" fontId="83" fillId="7" borderId="0" xfId="153" applyNumberFormat="1" applyFont="1" applyFill="1" applyBorder="1" applyAlignment="1"/>
    <xf numFmtId="166" fontId="83" fillId="7" borderId="17" xfId="153" applyNumberFormat="1" applyFont="1" applyFill="1" applyBorder="1" applyAlignment="1"/>
    <xf numFmtId="188" fontId="4" fillId="7" borderId="0" xfId="164" applyNumberFormat="1" applyFont="1" applyFill="1" applyBorder="1" applyAlignment="1"/>
    <xf numFmtId="188" fontId="4" fillId="7" borderId="17" xfId="164" applyNumberFormat="1" applyFont="1" applyFill="1" applyBorder="1" applyAlignment="1"/>
    <xf numFmtId="3" fontId="6" fillId="7" borderId="0" xfId="0" applyNumberFormat="1" applyFont="1" applyFill="1" applyBorder="1"/>
    <xf numFmtId="37" fontId="37" fillId="7" borderId="0" xfId="0" applyNumberFormat="1" applyFont="1" applyFill="1" applyBorder="1" applyAlignment="1">
      <alignment horizontal="right"/>
    </xf>
    <xf numFmtId="0" fontId="49" fillId="7" borderId="0" xfId="0" applyFont="1" applyFill="1" applyBorder="1" applyAlignment="1"/>
    <xf numFmtId="0" fontId="81" fillId="7" borderId="0" xfId="0" applyFont="1" applyFill="1" applyBorder="1" applyAlignment="1"/>
    <xf numFmtId="166" fontId="84" fillId="7" borderId="0" xfId="0" applyNumberFormat="1" applyFont="1" applyFill="1" applyBorder="1"/>
    <xf numFmtId="10" fontId="49" fillId="7" borderId="0" xfId="0" applyNumberFormat="1" applyFont="1" applyFill="1" applyBorder="1" applyAlignment="1"/>
    <xf numFmtId="0" fontId="6" fillId="7" borderId="0" xfId="0" applyFont="1" applyFill="1" applyBorder="1" applyAlignment="1">
      <alignment horizontal="right"/>
    </xf>
    <xf numFmtId="0" fontId="6" fillId="27" borderId="0" xfId="0" applyFont="1" applyFill="1" applyBorder="1" applyAlignment="1">
      <alignment horizontal="right"/>
    </xf>
    <xf numFmtId="0" fontId="6" fillId="23" borderId="0" xfId="0" applyFont="1" applyFill="1" applyBorder="1"/>
    <xf numFmtId="0" fontId="6" fillId="23" borderId="17" xfId="0" applyFont="1" applyFill="1" applyBorder="1"/>
    <xf numFmtId="0" fontId="6" fillId="27" borderId="0" xfId="0" applyFont="1" applyFill="1" applyBorder="1"/>
    <xf numFmtId="0" fontId="6" fillId="27" borderId="17" xfId="0" applyFont="1" applyFill="1" applyBorder="1"/>
    <xf numFmtId="0" fontId="7" fillId="7" borderId="0" xfId="157" applyFont="1" applyFill="1" applyBorder="1"/>
    <xf numFmtId="0" fontId="7" fillId="3" borderId="0" xfId="157" applyFont="1" applyFill="1" applyBorder="1"/>
    <xf numFmtId="164" fontId="4" fillId="3" borderId="0" xfId="157" applyNumberFormat="1" applyFont="1" applyFill="1" applyBorder="1"/>
    <xf numFmtId="166" fontId="67" fillId="3" borderId="0" xfId="156" applyNumberFormat="1" applyFont="1" applyFill="1" applyBorder="1"/>
    <xf numFmtId="176" fontId="7" fillId="7" borderId="0" xfId="157" applyNumberFormat="1" applyFont="1" applyFill="1" applyBorder="1"/>
    <xf numFmtId="0" fontId="7" fillId="7" borderId="17" xfId="157" applyFont="1" applyFill="1" applyBorder="1"/>
    <xf numFmtId="0" fontId="7" fillId="6" borderId="0" xfId="157" applyFont="1" applyFill="1" applyBorder="1"/>
    <xf numFmtId="166" fontId="7" fillId="6" borderId="0" xfId="153" applyNumberFormat="1" applyFont="1" applyFill="1" applyBorder="1"/>
    <xf numFmtId="166" fontId="69" fillId="3" borderId="0" xfId="153" applyNumberFormat="1" applyFont="1" applyFill="1" applyBorder="1"/>
    <xf numFmtId="166" fontId="7" fillId="7" borderId="0" xfId="157" applyNumberFormat="1" applyFont="1" applyFill="1" applyBorder="1"/>
    <xf numFmtId="166" fontId="67" fillId="7" borderId="0" xfId="156" applyNumberFormat="1" applyFont="1" applyFill="1" applyBorder="1"/>
    <xf numFmtId="0" fontId="6" fillId="7" borderId="0" xfId="157" applyFont="1" applyFill="1" applyBorder="1"/>
    <xf numFmtId="164" fontId="37" fillId="7" borderId="0" xfId="157" applyNumberFormat="1" applyFont="1" applyFill="1" applyBorder="1"/>
    <xf numFmtId="166" fontId="37" fillId="7" borderId="0" xfId="156" applyNumberFormat="1" applyFont="1" applyFill="1" applyBorder="1"/>
    <xf numFmtId="0" fontId="6" fillId="7" borderId="17" xfId="157" applyFont="1" applyFill="1" applyBorder="1"/>
    <xf numFmtId="164" fontId="4" fillId="7" borderId="0" xfId="157" applyNumberFormat="1" applyFont="1" applyFill="1" applyBorder="1"/>
    <xf numFmtId="37" fontId="81" fillId="7" borderId="0" xfId="157" applyNumberFormat="1" applyFont="1" applyFill="1" applyBorder="1"/>
    <xf numFmtId="0" fontId="6" fillId="18" borderId="0" xfId="157" applyFont="1" applyFill="1" applyBorder="1"/>
    <xf numFmtId="164" fontId="37" fillId="18" borderId="0" xfId="157" applyNumberFormat="1" applyFont="1" applyFill="1" applyBorder="1"/>
    <xf numFmtId="37" fontId="37" fillId="18" borderId="0" xfId="157" applyNumberFormat="1" applyFont="1" applyFill="1" applyBorder="1"/>
    <xf numFmtId="166" fontId="37" fillId="18" borderId="0" xfId="153" applyNumberFormat="1" applyFont="1" applyFill="1" applyBorder="1"/>
    <xf numFmtId="0" fontId="6" fillId="18" borderId="17" xfId="157" applyFont="1" applyFill="1" applyBorder="1"/>
    <xf numFmtId="37" fontId="37" fillId="7" borderId="0" xfId="157" applyNumberFormat="1" applyFont="1" applyFill="1" applyBorder="1"/>
    <xf numFmtId="37" fontId="81" fillId="3" borderId="0" xfId="157" applyNumberFormat="1" applyFont="1" applyFill="1" applyBorder="1"/>
    <xf numFmtId="166" fontId="81" fillId="3" borderId="0" xfId="153" applyNumberFormat="1" applyFont="1" applyFill="1" applyBorder="1"/>
    <xf numFmtId="37" fontId="67" fillId="3" borderId="0" xfId="157" applyNumberFormat="1" applyFont="1" applyFill="1" applyBorder="1"/>
    <xf numFmtId="37" fontId="4" fillId="3" borderId="0" xfId="157" applyNumberFormat="1" applyFont="1" applyFill="1" applyBorder="1"/>
    <xf numFmtId="37" fontId="4" fillId="7" borderId="0" xfId="157" applyNumberFormat="1" applyFont="1" applyFill="1" applyBorder="1"/>
    <xf numFmtId="0" fontId="7" fillId="3" borderId="17" xfId="157" applyFont="1" applyFill="1" applyBorder="1"/>
    <xf numFmtId="37" fontId="78" fillId="3" borderId="0" xfId="157" applyNumberFormat="1" applyFont="1" applyFill="1" applyBorder="1"/>
    <xf numFmtId="37" fontId="37" fillId="3" borderId="0" xfId="157" applyNumberFormat="1" applyFont="1" applyFill="1" applyBorder="1"/>
    <xf numFmtId="37" fontId="69" fillId="3" borderId="0" xfId="157" applyNumberFormat="1" applyFont="1" applyFill="1" applyBorder="1"/>
    <xf numFmtId="37" fontId="67" fillId="7" borderId="0" xfId="157" applyNumberFormat="1" applyFont="1" applyFill="1" applyBorder="1"/>
    <xf numFmtId="164" fontId="47" fillId="7" borderId="0" xfId="157" applyNumberFormat="1" applyFont="1" applyFill="1" applyBorder="1"/>
    <xf numFmtId="0" fontId="47" fillId="7" borderId="0" xfId="157" applyFont="1" applyFill="1" applyBorder="1"/>
    <xf numFmtId="166" fontId="37" fillId="18" borderId="0" xfId="156" applyNumberFormat="1" applyFont="1" applyFill="1" applyBorder="1"/>
    <xf numFmtId="0" fontId="4" fillId="7" borderId="0" xfId="157" applyFont="1" applyFill="1" applyBorder="1"/>
    <xf numFmtId="179" fontId="4" fillId="7" borderId="0" xfId="157" applyNumberFormat="1" applyFont="1" applyFill="1" applyBorder="1"/>
    <xf numFmtId="0" fontId="73" fillId="7" borderId="0" xfId="157" applyFont="1" applyFill="1" applyBorder="1"/>
    <xf numFmtId="0" fontId="73" fillId="3" borderId="0" xfId="157" applyFont="1" applyFill="1" applyBorder="1"/>
    <xf numFmtId="177" fontId="73" fillId="3" borderId="0" xfId="154" applyNumberFormat="1" applyFont="1" applyFill="1" applyBorder="1"/>
    <xf numFmtId="39" fontId="73" fillId="3" borderId="0" xfId="157" applyNumberFormat="1" applyFont="1" applyFill="1" applyBorder="1"/>
    <xf numFmtId="169" fontId="73" fillId="3" borderId="0" xfId="157" applyNumberFormat="1" applyFont="1" applyFill="1" applyBorder="1"/>
    <xf numFmtId="39" fontId="73" fillId="7" borderId="0" xfId="157" applyNumberFormat="1" applyFont="1" applyFill="1" applyBorder="1"/>
    <xf numFmtId="0" fontId="73" fillId="3" borderId="17" xfId="157" applyFont="1" applyFill="1" applyBorder="1"/>
    <xf numFmtId="0" fontId="73" fillId="6" borderId="0" xfId="157" applyFont="1" applyFill="1" applyBorder="1"/>
    <xf numFmtId="166" fontId="4" fillId="3" borderId="0" xfId="154" applyNumberFormat="1" applyFont="1" applyFill="1" applyBorder="1"/>
    <xf numFmtId="166" fontId="4" fillId="7" borderId="0" xfId="154" applyNumberFormat="1" applyFont="1" applyFill="1" applyBorder="1"/>
    <xf numFmtId="0" fontId="6" fillId="3" borderId="0" xfId="157" applyFont="1" applyFill="1" applyBorder="1"/>
    <xf numFmtId="0" fontId="7" fillId="3" borderId="0" xfId="157" applyFont="1" applyFill="1" applyBorder="1" applyAlignment="1">
      <alignment horizontal="left" indent="1"/>
    </xf>
    <xf numFmtId="0" fontId="7" fillId="7" borderId="0" xfId="157" applyFont="1" applyFill="1" applyBorder="1" applyAlignment="1">
      <alignment horizontal="left" indent="1"/>
    </xf>
    <xf numFmtId="0" fontId="4" fillId="3" borderId="0" xfId="157" applyFont="1" applyFill="1" applyBorder="1"/>
    <xf numFmtId="166" fontId="27" fillId="3" borderId="0" xfId="153" applyNumberFormat="1" applyFont="1" applyFill="1" applyBorder="1"/>
    <xf numFmtId="37" fontId="4" fillId="3" borderId="0" xfId="153" applyNumberFormat="1" applyFont="1" applyFill="1" applyBorder="1"/>
    <xf numFmtId="37" fontId="7" fillId="3" borderId="0" xfId="153" applyNumberFormat="1" applyFont="1" applyFill="1" applyBorder="1"/>
    <xf numFmtId="37" fontId="4" fillId="7" borderId="0" xfId="156" applyNumberFormat="1" applyFont="1" applyFill="1" applyBorder="1"/>
    <xf numFmtId="0" fontId="7" fillId="3" borderId="0" xfId="157" applyFont="1" applyFill="1" applyBorder="1" applyAlignment="1">
      <alignment horizontal="left" indent="2"/>
    </xf>
    <xf numFmtId="167" fontId="4" fillId="3" borderId="0" xfId="157" applyNumberFormat="1" applyFont="1" applyFill="1" applyBorder="1"/>
    <xf numFmtId="167" fontId="4" fillId="7" borderId="0" xfId="157" applyNumberFormat="1" applyFont="1" applyFill="1" applyBorder="1"/>
    <xf numFmtId="165" fontId="4" fillId="3" borderId="0" xfId="153" applyNumberFormat="1" applyFont="1" applyFill="1" applyBorder="1"/>
    <xf numFmtId="9" fontId="4" fillId="3" borderId="0" xfId="157" applyNumberFormat="1" applyFont="1" applyFill="1" applyBorder="1"/>
    <xf numFmtId="0" fontId="6" fillId="24" borderId="0" xfId="157" applyFont="1" applyFill="1" applyBorder="1"/>
    <xf numFmtId="164" fontId="37" fillId="24" borderId="0" xfId="157" applyNumberFormat="1" applyFont="1" applyFill="1" applyBorder="1"/>
    <xf numFmtId="37" fontId="37" fillId="24" borderId="0" xfId="157" applyNumberFormat="1" applyFont="1" applyFill="1" applyBorder="1"/>
    <xf numFmtId="0" fontId="6" fillId="24" borderId="17" xfId="157" applyFont="1" applyFill="1" applyBorder="1"/>
    <xf numFmtId="0" fontId="7" fillId="3" borderId="0" xfId="160" applyFont="1" applyFill="1" applyBorder="1" applyAlignment="1">
      <alignment horizontal="left" indent="1"/>
    </xf>
    <xf numFmtId="43" fontId="4" fillId="3" borderId="0" xfId="153" applyFont="1" applyFill="1" applyBorder="1"/>
    <xf numFmtId="164" fontId="60" fillId="3" borderId="0" xfId="157" applyNumberFormat="1" applyFont="1" applyFill="1" applyBorder="1"/>
    <xf numFmtId="164" fontId="37" fillId="3" borderId="0" xfId="157" applyNumberFormat="1" applyFont="1" applyFill="1" applyBorder="1"/>
    <xf numFmtId="166" fontId="6" fillId="3" borderId="0" xfId="153" applyNumberFormat="1" applyFont="1" applyFill="1" applyBorder="1"/>
    <xf numFmtId="166" fontId="6" fillId="3" borderId="0" xfId="153" applyNumberFormat="1" applyFont="1" applyFill="1" applyBorder="1" applyAlignment="1">
      <alignment horizontal="right"/>
    </xf>
    <xf numFmtId="166" fontId="6" fillId="7" borderId="0" xfId="156" applyNumberFormat="1" applyFont="1" applyFill="1" applyBorder="1" applyAlignment="1">
      <alignment horizontal="right"/>
    </xf>
    <xf numFmtId="0" fontId="6" fillId="3" borderId="17" xfId="157" applyFont="1" applyFill="1" applyBorder="1"/>
    <xf numFmtId="0" fontId="6" fillId="6" borderId="0" xfId="157" applyFont="1" applyFill="1" applyBorder="1"/>
    <xf numFmtId="43" fontId="7" fillId="3" borderId="0" xfId="153" applyNumberFormat="1" applyFont="1" applyFill="1" applyBorder="1" applyAlignment="1">
      <alignment horizontal="left" indent="1"/>
    </xf>
    <xf numFmtId="166" fontId="49" fillId="3" borderId="0" xfId="153" applyNumberFormat="1" applyFont="1" applyFill="1" applyBorder="1"/>
    <xf numFmtId="164" fontId="4" fillId="3" borderId="0" xfId="157" applyNumberFormat="1" applyFont="1" applyFill="1" applyBorder="1" applyAlignment="1">
      <alignment horizontal="right"/>
    </xf>
    <xf numFmtId="164" fontId="4" fillId="7" borderId="0" xfId="157" applyNumberFormat="1" applyFont="1" applyFill="1" applyBorder="1" applyAlignment="1">
      <alignment horizontal="right"/>
    </xf>
    <xf numFmtId="164" fontId="47" fillId="3" borderId="0" xfId="157" applyNumberFormat="1" applyFont="1" applyFill="1" applyBorder="1"/>
    <xf numFmtId="0" fontId="6" fillId="3" borderId="0" xfId="160" applyFont="1" applyFill="1" applyBorder="1" applyAlignment="1"/>
    <xf numFmtId="9" fontId="4" fillId="7" borderId="0" xfId="157" applyNumberFormat="1" applyFont="1" applyFill="1" applyBorder="1"/>
    <xf numFmtId="0" fontId="76" fillId="3" borderId="0" xfId="160" applyFont="1" applyFill="1" applyBorder="1" applyAlignment="1">
      <alignment horizontal="left" indent="1"/>
    </xf>
    <xf numFmtId="166" fontId="67" fillId="3" borderId="0" xfId="153" applyNumberFormat="1" applyFont="1" applyFill="1" applyBorder="1"/>
    <xf numFmtId="0" fontId="7" fillId="3" borderId="0" xfId="160" applyFont="1" applyFill="1" applyBorder="1" applyAlignment="1">
      <alignment horizontal="left" indent="2"/>
    </xf>
    <xf numFmtId="167" fontId="4" fillId="26" borderId="0" xfId="157" applyNumberFormat="1" applyFont="1" applyFill="1" applyBorder="1"/>
    <xf numFmtId="166" fontId="4" fillId="3" borderId="0" xfId="157" applyNumberFormat="1" applyFont="1" applyFill="1" applyBorder="1"/>
    <xf numFmtId="166" fontId="4" fillId="3" borderId="0" xfId="153" applyNumberFormat="1" applyFont="1" applyFill="1" applyBorder="1" applyAlignment="1">
      <alignment horizontal="right"/>
    </xf>
    <xf numFmtId="166" fontId="4" fillId="7" borderId="0" xfId="156" applyNumberFormat="1" applyFont="1" applyFill="1" applyBorder="1" applyAlignment="1">
      <alignment horizontal="right"/>
    </xf>
    <xf numFmtId="10" fontId="4" fillId="22" borderId="0" xfId="157" applyNumberFormat="1" applyFont="1" applyFill="1" applyBorder="1"/>
    <xf numFmtId="10" fontId="4" fillId="26" borderId="0" xfId="157" applyNumberFormat="1" applyFont="1" applyFill="1" applyBorder="1"/>
    <xf numFmtId="10" fontId="4" fillId="7" borderId="0" xfId="157" applyNumberFormat="1" applyFont="1" applyFill="1" applyBorder="1" applyAlignment="1">
      <alignment horizontal="right"/>
    </xf>
    <xf numFmtId="0" fontId="7" fillId="3" borderId="0" xfId="160" applyFont="1" applyFill="1" applyBorder="1" applyAlignment="1"/>
    <xf numFmtId="166" fontId="64" fillId="3" borderId="0" xfId="153" applyNumberFormat="1" applyFont="1" applyFill="1" applyBorder="1"/>
    <xf numFmtId="37" fontId="64" fillId="7" borderId="0" xfId="157" applyNumberFormat="1" applyFont="1" applyFill="1" applyBorder="1"/>
    <xf numFmtId="37" fontId="64" fillId="3" borderId="0" xfId="157" applyNumberFormat="1" applyFont="1" applyFill="1" applyBorder="1"/>
    <xf numFmtId="37" fontId="49" fillId="7" borderId="0" xfId="157" applyNumberFormat="1" applyFont="1" applyFill="1" applyBorder="1"/>
    <xf numFmtId="37" fontId="7" fillId="3" borderId="0" xfId="157" applyNumberFormat="1" applyFont="1" applyFill="1" applyBorder="1"/>
    <xf numFmtId="37" fontId="7" fillId="7" borderId="0" xfId="157" applyNumberFormat="1" applyFont="1" applyFill="1" applyBorder="1"/>
    <xf numFmtId="9" fontId="4" fillId="8" borderId="0" xfId="157" applyNumberFormat="1" applyFont="1" applyFill="1" applyBorder="1"/>
    <xf numFmtId="167" fontId="4" fillId="8" borderId="0" xfId="157" applyNumberFormat="1" applyFont="1" applyFill="1" applyBorder="1"/>
    <xf numFmtId="0" fontId="7" fillId="7" borderId="0" xfId="160" applyFont="1" applyFill="1" applyBorder="1" applyAlignment="1">
      <alignment horizontal="left" indent="1"/>
    </xf>
    <xf numFmtId="166" fontId="4" fillId="7" borderId="0" xfId="157" applyNumberFormat="1" applyFont="1" applyFill="1" applyBorder="1"/>
    <xf numFmtId="0" fontId="7" fillId="7" borderId="0" xfId="160" quotePrefix="1" applyFont="1" applyFill="1" applyBorder="1" applyAlignment="1">
      <alignment horizontal="left" indent="1"/>
    </xf>
    <xf numFmtId="0" fontId="7" fillId="7" borderId="0" xfId="160" applyFont="1" applyFill="1" applyBorder="1" applyAlignment="1"/>
    <xf numFmtId="0" fontId="37" fillId="3" borderId="0" xfId="157" applyFont="1" applyFill="1" applyBorder="1"/>
    <xf numFmtId="166" fontId="37" fillId="26" borderId="0" xfId="153" applyNumberFormat="1" applyFont="1" applyFill="1" applyBorder="1"/>
    <xf numFmtId="43" fontId="37" fillId="7" borderId="0" xfId="156" applyNumberFormat="1" applyFont="1" applyFill="1" applyBorder="1"/>
    <xf numFmtId="166" fontId="7" fillId="0" borderId="0" xfId="153" applyNumberFormat="1" applyFont="1" applyFill="1" applyBorder="1" applyAlignment="1">
      <alignment horizontal="left"/>
    </xf>
    <xf numFmtId="166" fontId="7" fillId="3" borderId="0" xfId="153" applyNumberFormat="1" applyFont="1" applyFill="1" applyBorder="1"/>
    <xf numFmtId="166" fontId="7" fillId="3" borderId="17" xfId="153" applyNumberFormat="1" applyFont="1" applyFill="1" applyBorder="1"/>
    <xf numFmtId="166" fontId="7" fillId="3" borderId="0" xfId="153" applyNumberFormat="1" applyFont="1" applyFill="1" applyBorder="1" applyAlignment="1">
      <alignment horizontal="left" indent="1"/>
    </xf>
    <xf numFmtId="166" fontId="7" fillId="3" borderId="0" xfId="153" applyNumberFormat="1" applyFont="1" applyFill="1" applyBorder="1" applyAlignment="1">
      <alignment horizontal="left"/>
    </xf>
    <xf numFmtId="167" fontId="4" fillId="7" borderId="0" xfId="166" applyNumberFormat="1" applyFont="1" applyFill="1" applyBorder="1"/>
    <xf numFmtId="166" fontId="67" fillId="7" borderId="0" xfId="153" applyNumberFormat="1" applyFont="1" applyFill="1" applyBorder="1" applyAlignment="1">
      <alignment horizontal="left" indent="1"/>
    </xf>
    <xf numFmtId="167" fontId="67" fillId="7" borderId="0" xfId="164" applyNumberFormat="1" applyFont="1" applyFill="1" applyBorder="1"/>
    <xf numFmtId="167" fontId="67" fillId="7" borderId="0" xfId="166" applyNumberFormat="1" applyFont="1" applyFill="1" applyBorder="1"/>
    <xf numFmtId="166" fontId="67" fillId="3" borderId="0" xfId="157" applyNumberFormat="1" applyFont="1" applyFill="1" applyBorder="1"/>
    <xf numFmtId="0" fontId="7" fillId="3" borderId="0" xfId="160" quotePrefix="1" applyFont="1" applyFill="1" applyBorder="1" applyAlignment="1">
      <alignment horizontal="left" indent="1"/>
    </xf>
    <xf numFmtId="167" fontId="4" fillId="26" borderId="0" xfId="0" applyNumberFormat="1" applyFont="1" applyFill="1" applyBorder="1" applyAlignment="1">
      <alignment horizontal="right"/>
    </xf>
    <xf numFmtId="166" fontId="4" fillId="3" borderId="0" xfId="164" applyNumberFormat="1" applyFont="1" applyFill="1" applyBorder="1"/>
    <xf numFmtId="166" fontId="4" fillId="7" borderId="0" xfId="166" applyNumberFormat="1" applyFont="1" applyFill="1" applyBorder="1"/>
    <xf numFmtId="164" fontId="6" fillId="7" borderId="0" xfId="0" applyNumberFormat="1" applyFont="1" applyFill="1" applyBorder="1"/>
    <xf numFmtId="0" fontId="6" fillId="0" borderId="17" xfId="0" applyFont="1" applyFill="1" applyBorder="1"/>
    <xf numFmtId="164" fontId="6" fillId="7" borderId="17" xfId="0" applyNumberFormat="1" applyFont="1" applyFill="1" applyBorder="1" applyAlignment="1"/>
    <xf numFmtId="164" fontId="6" fillId="7" borderId="0" xfId="0" applyNumberFormat="1" applyFont="1" applyFill="1" applyBorder="1" applyAlignment="1"/>
    <xf numFmtId="43" fontId="63" fillId="7" borderId="0" xfId="153" applyFont="1" applyFill="1" applyBorder="1"/>
    <xf numFmtId="164" fontId="6" fillId="5" borderId="0" xfId="0" applyNumberFormat="1" applyFont="1" applyFill="1" applyBorder="1"/>
    <xf numFmtId="37" fontId="83" fillId="5" borderId="0" xfId="0" applyNumberFormat="1" applyFont="1" applyFill="1" applyBorder="1"/>
    <xf numFmtId="167" fontId="7" fillId="7" borderId="0" xfId="164" applyNumberFormat="1" applyFont="1" applyFill="1" applyBorder="1" applyAlignment="1">
      <alignment horizontal="left" indent="3"/>
    </xf>
    <xf numFmtId="0" fontId="4" fillId="0" borderId="17" xfId="0" applyFont="1" applyFill="1" applyBorder="1"/>
    <xf numFmtId="167" fontId="7" fillId="3" borderId="0" xfId="164" applyNumberFormat="1" applyFont="1" applyFill="1" applyBorder="1" applyAlignment="1">
      <alignment horizontal="right"/>
    </xf>
    <xf numFmtId="167" fontId="7" fillId="3" borderId="17" xfId="164" applyNumberFormat="1" applyFont="1" applyFill="1" applyBorder="1" applyAlignment="1">
      <alignment horizontal="right"/>
    </xf>
    <xf numFmtId="167" fontId="7" fillId="7" borderId="17" xfId="164" applyNumberFormat="1" applyFont="1" applyFill="1" applyBorder="1" applyAlignment="1">
      <alignment horizontal="right"/>
    </xf>
    <xf numFmtId="9" fontId="4" fillId="2" borderId="0" xfId="0" applyNumberFormat="1" applyFont="1" applyFill="1" applyBorder="1" applyAlignment="1"/>
    <xf numFmtId="9" fontId="7" fillId="7" borderId="0" xfId="164" applyFont="1" applyFill="1" applyBorder="1" applyAlignment="1">
      <alignment horizontal="left" indent="3"/>
    </xf>
    <xf numFmtId="43" fontId="4" fillId="7" borderId="0" xfId="153" applyFont="1" applyFill="1" applyBorder="1" applyAlignment="1">
      <alignment horizontal="right"/>
    </xf>
    <xf numFmtId="10" fontId="4" fillId="7" borderId="0" xfId="0" applyNumberFormat="1" applyFont="1" applyFill="1" applyBorder="1" applyAlignment="1">
      <alignment horizontal="right"/>
    </xf>
    <xf numFmtId="164" fontId="27" fillId="3" borderId="0" xfId="157" applyNumberFormat="1" applyFont="1" applyFill="1" applyBorder="1"/>
    <xf numFmtId="0" fontId="57" fillId="7" borderId="0" xfId="157" applyFont="1" applyFill="1" applyBorder="1"/>
    <xf numFmtId="0" fontId="57" fillId="7" borderId="0" xfId="0" applyFont="1" applyFill="1" applyBorder="1" applyAlignment="1">
      <alignment horizontal="right"/>
    </xf>
    <xf numFmtId="0" fontId="57" fillId="23" borderId="0" xfId="157" applyFont="1" applyFill="1" applyBorder="1"/>
    <xf numFmtId="0" fontId="57" fillId="23" borderId="17" xfId="157" applyFont="1" applyFill="1" applyBorder="1"/>
    <xf numFmtId="37" fontId="7" fillId="3" borderId="0" xfId="154" applyNumberFormat="1" applyFont="1" applyFill="1" applyBorder="1"/>
    <xf numFmtId="37" fontId="4" fillId="3" borderId="0" xfId="154" applyNumberFormat="1" applyFont="1" applyFill="1" applyBorder="1"/>
    <xf numFmtId="37" fontId="27" fillId="3" borderId="0" xfId="154" applyNumberFormat="1" applyFont="1" applyFill="1" applyBorder="1"/>
    <xf numFmtId="37" fontId="27" fillId="7" borderId="0" xfId="154" applyNumberFormat="1" applyFont="1" applyFill="1" applyBorder="1"/>
    <xf numFmtId="37" fontId="49" fillId="3" borderId="0" xfId="154" applyNumberFormat="1" applyFont="1" applyFill="1" applyBorder="1"/>
    <xf numFmtId="37" fontId="49" fillId="0" borderId="0" xfId="154" applyNumberFormat="1" applyFont="1" applyFill="1" applyBorder="1"/>
    <xf numFmtId="37" fontId="81" fillId="3" borderId="0" xfId="154" applyNumberFormat="1" applyFont="1" applyFill="1" applyBorder="1"/>
    <xf numFmtId="37" fontId="92" fillId="3" borderId="0" xfId="154" applyNumberFormat="1" applyFont="1" applyFill="1" applyBorder="1"/>
    <xf numFmtId="37" fontId="7" fillId="7" borderId="0" xfId="154" applyNumberFormat="1" applyFont="1" applyFill="1" applyBorder="1"/>
    <xf numFmtId="37" fontId="4" fillId="7" borderId="0" xfId="154" applyNumberFormat="1" applyFont="1" applyFill="1" applyBorder="1"/>
    <xf numFmtId="37" fontId="49" fillId="7" borderId="0" xfId="154" applyNumberFormat="1" applyFont="1" applyFill="1" applyBorder="1"/>
    <xf numFmtId="37" fontId="67" fillId="3" borderId="0" xfId="154" applyNumberFormat="1" applyFont="1" applyFill="1" applyBorder="1"/>
    <xf numFmtId="37" fontId="79" fillId="18" borderId="0" xfId="154" applyNumberFormat="1" applyFont="1" applyFill="1" applyBorder="1"/>
    <xf numFmtId="37" fontId="37" fillId="18" borderId="0" xfId="154" applyNumberFormat="1" applyFont="1" applyFill="1" applyBorder="1"/>
    <xf numFmtId="37" fontId="37" fillId="7" borderId="0" xfId="154" applyNumberFormat="1" applyFont="1" applyFill="1" applyBorder="1"/>
    <xf numFmtId="0" fontId="28" fillId="7" borderId="0" xfId="157" applyFont="1" applyFill="1" applyBorder="1"/>
    <xf numFmtId="0" fontId="28" fillId="3" borderId="0" xfId="157" applyFont="1" applyFill="1" applyBorder="1"/>
    <xf numFmtId="37" fontId="93" fillId="3" borderId="0" xfId="154" applyNumberFormat="1" applyFont="1" applyFill="1" applyBorder="1"/>
    <xf numFmtId="9" fontId="77" fillId="3" borderId="0" xfId="164" applyFont="1" applyFill="1" applyBorder="1"/>
    <xf numFmtId="0" fontId="28" fillId="3" borderId="17" xfId="157" applyFont="1" applyFill="1" applyBorder="1"/>
    <xf numFmtId="37" fontId="27" fillId="3" borderId="0" xfId="153" applyNumberFormat="1" applyFont="1" applyFill="1" applyBorder="1"/>
    <xf numFmtId="165" fontId="27" fillId="3" borderId="0" xfId="154" applyNumberFormat="1" applyFont="1" applyFill="1" applyBorder="1"/>
    <xf numFmtId="165" fontId="27" fillId="7" borderId="0" xfId="154" applyNumberFormat="1" applyFont="1" applyFill="1" applyBorder="1"/>
    <xf numFmtId="166" fontId="27" fillId="0" borderId="0" xfId="153" applyNumberFormat="1" applyFont="1" applyFill="1" applyBorder="1"/>
    <xf numFmtId="166" fontId="49" fillId="3" borderId="0" xfId="154" applyNumberFormat="1" applyFont="1" applyFill="1" applyBorder="1"/>
    <xf numFmtId="166" fontId="79" fillId="3" borderId="0" xfId="153" applyNumberFormat="1" applyFont="1" applyFill="1" applyBorder="1"/>
    <xf numFmtId="166" fontId="82" fillId="3" borderId="0" xfId="156" applyNumberFormat="1" applyFont="1" applyFill="1" applyBorder="1"/>
    <xf numFmtId="166" fontId="4" fillId="3" borderId="0" xfId="156" applyNumberFormat="1" applyFont="1" applyFill="1" applyBorder="1"/>
    <xf numFmtId="166" fontId="79" fillId="18" borderId="0" xfId="153" applyNumberFormat="1" applyFont="1" applyFill="1" applyBorder="1"/>
    <xf numFmtId="0" fontId="60" fillId="7" borderId="0" xfId="157" applyFont="1" applyFill="1" applyBorder="1"/>
    <xf numFmtId="0" fontId="60" fillId="3" borderId="0" xfId="157" applyFont="1" applyFill="1" applyBorder="1"/>
    <xf numFmtId="164" fontId="60" fillId="7" borderId="0" xfId="157" applyNumberFormat="1" applyFont="1" applyFill="1" applyBorder="1"/>
    <xf numFmtId="0" fontId="60" fillId="3" borderId="17" xfId="157" applyFont="1" applyFill="1" applyBorder="1"/>
    <xf numFmtId="0" fontId="60" fillId="6" borderId="0" xfId="157" applyFont="1" applyFill="1" applyBorder="1"/>
    <xf numFmtId="164" fontId="27" fillId="7" borderId="0" xfId="157" applyNumberFormat="1" applyFont="1" applyFill="1" applyBorder="1"/>
    <xf numFmtId="0" fontId="27" fillId="3" borderId="0" xfId="157" applyFont="1" applyFill="1" applyBorder="1"/>
    <xf numFmtId="0" fontId="27" fillId="7" borderId="0" xfId="157" applyFont="1" applyFill="1" applyBorder="1"/>
    <xf numFmtId="0" fontId="7" fillId="24" borderId="0" xfId="157" applyFont="1" applyFill="1" applyBorder="1"/>
    <xf numFmtId="0" fontId="27" fillId="24" borderId="0" xfId="157" applyFont="1" applyFill="1" applyBorder="1"/>
    <xf numFmtId="166" fontId="4" fillId="24" borderId="0" xfId="153" applyNumberFormat="1" applyFont="1" applyFill="1" applyBorder="1"/>
    <xf numFmtId="0" fontId="4" fillId="24" borderId="0" xfId="157" applyFont="1" applyFill="1" applyBorder="1"/>
    <xf numFmtId="0" fontId="7" fillId="24" borderId="17" xfId="157" applyFont="1" applyFill="1" applyBorder="1"/>
    <xf numFmtId="0" fontId="47" fillId="7" borderId="0" xfId="0" applyFont="1" applyFill="1" applyBorder="1"/>
    <xf numFmtId="0" fontId="47" fillId="7" borderId="0" xfId="0" applyFont="1" applyFill="1" applyBorder="1" applyAlignment="1"/>
    <xf numFmtId="0" fontId="47" fillId="7" borderId="17" xfId="0" applyFont="1" applyFill="1" applyBorder="1" applyAlignment="1"/>
    <xf numFmtId="0" fontId="4" fillId="0" borderId="0" xfId="0" applyFont="1" applyBorder="1" applyAlignment="1"/>
    <xf numFmtId="0" fontId="4" fillId="0" borderId="17" xfId="0" applyFont="1" applyBorder="1" applyAlignment="1"/>
    <xf numFmtId="0" fontId="7" fillId="0" borderId="0" xfId="0" applyFont="1" applyBorder="1" applyAlignment="1"/>
    <xf numFmtId="0" fontId="7" fillId="0" borderId="0" xfId="0" applyFont="1" applyBorder="1"/>
    <xf numFmtId="0" fontId="94" fillId="7" borderId="0" xfId="0" applyFont="1" applyFill="1" applyBorder="1"/>
    <xf numFmtId="0" fontId="44" fillId="17" borderId="0" xfId="0" applyFont="1" applyFill="1" applyBorder="1"/>
    <xf numFmtId="0" fontId="44" fillId="12" borderId="0" xfId="0" applyFont="1" applyFill="1" applyBorder="1"/>
    <xf numFmtId="43" fontId="0" fillId="12" borderId="0" xfId="0" applyNumberFormat="1" applyFont="1" applyFill="1" applyBorder="1"/>
    <xf numFmtId="43" fontId="0" fillId="12" borderId="17" xfId="0" applyNumberFormat="1" applyFont="1" applyFill="1" applyBorder="1"/>
    <xf numFmtId="0" fontId="7" fillId="27" borderId="0" xfId="0" applyFont="1" applyFill="1" applyBorder="1"/>
    <xf numFmtId="0" fontId="7" fillId="27" borderId="0" xfId="0" applyFont="1" applyFill="1" applyBorder="1" applyAlignment="1">
      <alignment horizontal="right"/>
    </xf>
    <xf numFmtId="0" fontId="6" fillId="27" borderId="0" xfId="0" applyFont="1" applyFill="1" applyBorder="1" applyAlignment="1">
      <alignment horizontal="right" wrapText="1"/>
    </xf>
    <xf numFmtId="15" fontId="4" fillId="0" borderId="0" xfId="0" applyNumberFormat="1" applyFont="1" applyBorder="1"/>
    <xf numFmtId="0" fontId="4" fillId="0" borderId="0" xfId="0" applyFont="1" applyBorder="1" applyAlignment="1">
      <alignment horizontal="right"/>
    </xf>
    <xf numFmtId="0" fontId="6" fillId="15" borderId="0" xfId="157" applyFont="1" applyFill="1" applyBorder="1"/>
    <xf numFmtId="0" fontId="4" fillId="15" borderId="0" xfId="0" applyFont="1" applyFill="1" applyBorder="1"/>
    <xf numFmtId="9" fontId="4" fillId="15" borderId="0" xfId="164" applyFont="1" applyFill="1" applyBorder="1" applyAlignment="1">
      <alignment horizontal="right"/>
    </xf>
    <xf numFmtId="166" fontId="4" fillId="0" borderId="0" xfId="153" applyNumberFormat="1" applyFont="1" applyBorder="1"/>
    <xf numFmtId="166" fontId="4" fillId="7" borderId="0" xfId="154" applyNumberFormat="1" applyFont="1" applyFill="1"/>
    <xf numFmtId="166" fontId="67" fillId="7" borderId="0" xfId="154" applyNumberFormat="1" applyFont="1" applyFill="1"/>
    <xf numFmtId="9" fontId="4" fillId="0" borderId="0" xfId="164" applyFont="1" applyBorder="1"/>
    <xf numFmtId="167" fontId="4" fillId="0" borderId="0" xfId="164" applyNumberFormat="1" applyFont="1" applyBorder="1" applyAlignment="1">
      <alignment horizontal="left" indent="1"/>
    </xf>
    <xf numFmtId="167" fontId="4" fillId="0" borderId="0" xfId="164" applyNumberFormat="1" applyFont="1" applyBorder="1"/>
    <xf numFmtId="9" fontId="4" fillId="0" borderId="0" xfId="164" applyNumberFormat="1" applyFont="1" applyFill="1" applyBorder="1"/>
    <xf numFmtId="9" fontId="4" fillId="22" borderId="0" xfId="164" applyFont="1" applyFill="1" applyBorder="1"/>
    <xf numFmtId="167" fontId="4" fillId="0" borderId="0" xfId="164" applyNumberFormat="1" applyFont="1" applyBorder="1" applyAlignment="1"/>
    <xf numFmtId="167" fontId="4" fillId="0" borderId="0" xfId="164" applyNumberFormat="1" applyFont="1" applyBorder="1" applyAlignment="1">
      <alignment horizontal="left"/>
    </xf>
    <xf numFmtId="166" fontId="7" fillId="0" borderId="0" xfId="153" applyNumberFormat="1" applyFont="1" applyBorder="1"/>
    <xf numFmtId="166" fontId="95" fillId="0" borderId="0" xfId="153" applyNumberFormat="1" applyFont="1" applyBorder="1"/>
    <xf numFmtId="0" fontId="4" fillId="0" borderId="0" xfId="0" applyFont="1" applyBorder="1" applyAlignment="1">
      <alignment horizontal="left" indent="1"/>
    </xf>
    <xf numFmtId="0" fontId="37" fillId="0" borderId="0" xfId="0" applyFont="1" applyBorder="1"/>
    <xf numFmtId="165" fontId="4" fillId="0" borderId="0" xfId="153" applyNumberFormat="1" applyFont="1" applyBorder="1"/>
    <xf numFmtId="167" fontId="37" fillId="0" borderId="0" xfId="164" applyNumberFormat="1" applyFont="1" applyBorder="1"/>
    <xf numFmtId="0" fontId="0" fillId="0" borderId="0" xfId="0" applyFont="1" applyBorder="1"/>
    <xf numFmtId="0" fontId="6" fillId="19" borderId="0" xfId="157" applyFont="1" applyFill="1" applyBorder="1"/>
    <xf numFmtId="0" fontId="4" fillId="19" borderId="0" xfId="0" applyFont="1" applyFill="1" applyBorder="1"/>
    <xf numFmtId="9" fontId="4" fillId="19" borderId="0" xfId="0" applyNumberFormat="1" applyFont="1" applyFill="1" applyBorder="1"/>
    <xf numFmtId="9" fontId="37" fillId="19" borderId="0" xfId="164" applyFont="1" applyFill="1" applyBorder="1" applyAlignment="1">
      <alignment horizontal="right"/>
    </xf>
    <xf numFmtId="0" fontId="4" fillId="0" borderId="0" xfId="0" applyFont="1" applyBorder="1" applyAlignment="1">
      <alignment horizontal="left" indent="2"/>
    </xf>
    <xf numFmtId="9" fontId="37" fillId="0" borderId="0" xfId="164" applyFont="1" applyBorder="1" applyAlignment="1">
      <alignment horizontal="right"/>
    </xf>
    <xf numFmtId="37" fontId="37" fillId="0" borderId="0" xfId="0" applyNumberFormat="1" applyFont="1" applyBorder="1"/>
    <xf numFmtId="166" fontId="37" fillId="0" borderId="0" xfId="153" applyNumberFormat="1" applyFont="1" applyBorder="1"/>
    <xf numFmtId="37" fontId="37" fillId="0" borderId="0" xfId="0" applyNumberFormat="1" applyFont="1" applyFill="1" applyBorder="1"/>
    <xf numFmtId="9" fontId="37" fillId="0" borderId="0" xfId="164" applyFont="1" applyBorder="1"/>
    <xf numFmtId="167" fontId="4" fillId="0" borderId="0" xfId="0" applyNumberFormat="1" applyFont="1" applyBorder="1"/>
    <xf numFmtId="37" fontId="4" fillId="0" borderId="0" xfId="0" applyNumberFormat="1" applyFont="1" applyBorder="1"/>
    <xf numFmtId="37" fontId="4" fillId="0" borderId="0" xfId="0" applyNumberFormat="1" applyFont="1" applyFill="1" applyBorder="1"/>
    <xf numFmtId="167" fontId="27" fillId="16" borderId="0" xfId="0" applyNumberFormat="1" applyFont="1" applyFill="1" applyBorder="1"/>
    <xf numFmtId="9" fontId="4" fillId="0" borderId="0" xfId="164" applyFont="1" applyBorder="1" applyAlignment="1">
      <alignment horizontal="right"/>
    </xf>
    <xf numFmtId="167" fontId="7" fillId="0" borderId="0" xfId="0" applyNumberFormat="1" applyFont="1" applyBorder="1"/>
    <xf numFmtId="0" fontId="60" fillId="0" borderId="0" xfId="0" applyFont="1" applyBorder="1"/>
    <xf numFmtId="167" fontId="60" fillId="0" borderId="0" xfId="164" applyNumberFormat="1" applyFont="1" applyFill="1" applyBorder="1"/>
    <xf numFmtId="167" fontId="60" fillId="0" borderId="0" xfId="164" applyNumberFormat="1" applyFont="1" applyBorder="1"/>
    <xf numFmtId="10" fontId="37" fillId="0" borderId="0" xfId="0" applyNumberFormat="1" applyFont="1" applyBorder="1"/>
    <xf numFmtId="10" fontId="37" fillId="0" borderId="0" xfId="164" applyNumberFormat="1" applyFont="1" applyBorder="1"/>
    <xf numFmtId="10" fontId="37" fillId="0" borderId="0" xfId="164" applyNumberFormat="1" applyFont="1" applyFill="1" applyBorder="1"/>
    <xf numFmtId="10" fontId="37" fillId="0" borderId="0" xfId="0" applyNumberFormat="1" applyFont="1" applyFill="1" applyBorder="1"/>
    <xf numFmtId="10" fontId="4" fillId="0" borderId="0" xfId="0" applyNumberFormat="1" applyFont="1" applyBorder="1"/>
    <xf numFmtId="10" fontId="4" fillId="0" borderId="0" xfId="0" applyNumberFormat="1" applyFont="1" applyFill="1" applyBorder="1"/>
    <xf numFmtId="10" fontId="27" fillId="16" borderId="0" xfId="0" applyNumberFormat="1" applyFont="1" applyFill="1" applyBorder="1"/>
    <xf numFmtId="0" fontId="7" fillId="0" borderId="0" xfId="0" applyFont="1" applyBorder="1" applyAlignment="1">
      <alignment horizontal="left" indent="1"/>
    </xf>
    <xf numFmtId="10" fontId="7" fillId="0" borderId="0" xfId="0" applyNumberFormat="1" applyFont="1" applyBorder="1"/>
    <xf numFmtId="167" fontId="7" fillId="0" borderId="0" xfId="164" applyNumberFormat="1" applyFont="1" applyBorder="1"/>
    <xf numFmtId="9" fontId="4" fillId="19" borderId="0" xfId="164" applyFont="1" applyFill="1" applyBorder="1" applyAlignment="1">
      <alignment horizontal="right"/>
    </xf>
    <xf numFmtId="37" fontId="60" fillId="0" borderId="0" xfId="0" applyNumberFormat="1" applyFont="1" applyBorder="1"/>
    <xf numFmtId="9" fontId="0" fillId="0" borderId="0" xfId="0" applyNumberFormat="1" applyFont="1" applyBorder="1"/>
    <xf numFmtId="9" fontId="4" fillId="0" borderId="0" xfId="0" applyNumberFormat="1" applyFont="1" applyBorder="1"/>
    <xf numFmtId="9" fontId="4" fillId="0" borderId="0" xfId="164" applyNumberFormat="1" applyFont="1" applyBorder="1" applyAlignment="1">
      <alignment horizontal="right"/>
    </xf>
    <xf numFmtId="9" fontId="60" fillId="0" borderId="0" xfId="0" applyNumberFormat="1" applyFont="1" applyFill="1" applyBorder="1"/>
    <xf numFmtId="9" fontId="60" fillId="0" borderId="0" xfId="0" applyNumberFormat="1" applyFont="1" applyBorder="1"/>
    <xf numFmtId="37" fontId="60" fillId="0" borderId="0" xfId="0" applyNumberFormat="1" applyFont="1" applyFill="1" applyBorder="1"/>
    <xf numFmtId="0" fontId="4" fillId="0" borderId="0" xfId="0" applyFont="1" applyFill="1" applyBorder="1" applyAlignment="1">
      <alignment horizontal="left" indent="1"/>
    </xf>
    <xf numFmtId="43" fontId="4" fillId="0" borderId="0" xfId="153" applyFont="1" applyBorder="1"/>
    <xf numFmtId="37" fontId="96" fillId="0" borderId="0" xfId="0" applyNumberFormat="1" applyFont="1" applyFill="1" applyBorder="1"/>
    <xf numFmtId="37" fontId="96" fillId="0" borderId="0" xfId="0" applyNumberFormat="1" applyFont="1" applyBorder="1"/>
    <xf numFmtId="166" fontId="84" fillId="0" borderId="0" xfId="153" applyNumberFormat="1" applyFont="1" applyFill="1" applyBorder="1"/>
    <xf numFmtId="166" fontId="84" fillId="0" borderId="0" xfId="153" applyNumberFormat="1" applyFont="1" applyBorder="1"/>
    <xf numFmtId="9" fontId="84" fillId="0" borderId="0" xfId="153" applyNumberFormat="1" applyFont="1" applyBorder="1"/>
    <xf numFmtId="167" fontId="4" fillId="22" borderId="0" xfId="164" applyNumberFormat="1" applyFont="1" applyFill="1" applyBorder="1"/>
    <xf numFmtId="0" fontId="4" fillId="0" borderId="0" xfId="0" applyFont="1" applyBorder="1" applyAlignment="1">
      <alignment horizontal="left" indent="3"/>
    </xf>
    <xf numFmtId="167" fontId="0" fillId="0" borderId="0" xfId="0" applyNumberFormat="1" applyFont="1" applyBorder="1"/>
    <xf numFmtId="0" fontId="4" fillId="0" borderId="0" xfId="0" applyFont="1" applyFill="1" applyBorder="1" applyAlignment="1">
      <alignment horizontal="left" indent="2"/>
    </xf>
    <xf numFmtId="167" fontId="60" fillId="0" borderId="0" xfId="0" applyNumberFormat="1" applyFont="1" applyBorder="1"/>
    <xf numFmtId="188" fontId="60" fillId="0" borderId="0" xfId="0" applyNumberFormat="1" applyFont="1" applyBorder="1"/>
    <xf numFmtId="10" fontId="37" fillId="7" borderId="0" xfId="0" applyNumberFormat="1" applyFont="1" applyFill="1" applyBorder="1"/>
    <xf numFmtId="10" fontId="4" fillId="22" borderId="0" xfId="164" applyNumberFormat="1" applyFont="1" applyFill="1" applyBorder="1"/>
    <xf numFmtId="0" fontId="6" fillId="9" borderId="0" xfId="157" applyFont="1" applyFill="1" applyBorder="1"/>
    <xf numFmtId="0" fontId="4" fillId="9" borderId="0" xfId="0" applyFont="1" applyFill="1" applyBorder="1"/>
    <xf numFmtId="9" fontId="4" fillId="9" borderId="0" xfId="164" applyFont="1" applyFill="1" applyBorder="1" applyAlignment="1">
      <alignment horizontal="right"/>
    </xf>
    <xf numFmtId="9" fontId="4" fillId="22" borderId="0" xfId="164" applyNumberFormat="1" applyFont="1" applyFill="1" applyBorder="1"/>
    <xf numFmtId="0" fontId="4" fillId="0" borderId="0" xfId="0" applyFont="1" applyFill="1" applyBorder="1" applyAlignment="1">
      <alignment horizontal="left" indent="3"/>
    </xf>
    <xf numFmtId="0" fontId="6" fillId="20" borderId="0" xfId="157" applyFont="1" applyFill="1" applyBorder="1"/>
    <xf numFmtId="0" fontId="4" fillId="20" borderId="0" xfId="0" applyFont="1" applyFill="1" applyBorder="1"/>
    <xf numFmtId="9" fontId="4" fillId="20" borderId="0" xfId="164" applyFont="1" applyFill="1" applyBorder="1" applyAlignment="1">
      <alignment horizontal="right"/>
    </xf>
    <xf numFmtId="0" fontId="6" fillId="21" borderId="0" xfId="157" applyFont="1" applyFill="1" applyBorder="1"/>
    <xf numFmtId="0" fontId="4" fillId="21" borderId="0" xfId="0" applyFont="1" applyFill="1" applyBorder="1"/>
    <xf numFmtId="9" fontId="4" fillId="21" borderId="0" xfId="164" applyFont="1" applyFill="1" applyBorder="1" applyAlignment="1">
      <alignment horizontal="right"/>
    </xf>
    <xf numFmtId="9" fontId="7" fillId="15" borderId="0" xfId="0" applyNumberFormat="1" applyFont="1" applyFill="1" applyBorder="1"/>
    <xf numFmtId="165" fontId="37" fillId="11" borderId="0" xfId="0" applyNumberFormat="1" applyFont="1" applyFill="1" applyBorder="1"/>
    <xf numFmtId="0" fontId="4" fillId="0" borderId="0" xfId="0" applyNumberFormat="1" applyFont="1" applyBorder="1" applyAlignment="1">
      <alignment horizontal="right" wrapText="1"/>
    </xf>
    <xf numFmtId="0" fontId="37" fillId="7" borderId="0" xfId="0" applyFont="1" applyFill="1" applyBorder="1" applyAlignment="1">
      <alignment horizontal="right"/>
    </xf>
    <xf numFmtId="9" fontId="6" fillId="7" borderId="0" xfId="164" applyNumberFormat="1" applyFont="1" applyFill="1" applyBorder="1" applyAlignment="1">
      <alignment horizontal="right"/>
    </xf>
    <xf numFmtId="166" fontId="49" fillId="0" borderId="0" xfId="153" applyNumberFormat="1" applyFont="1" applyBorder="1"/>
    <xf numFmtId="165" fontId="49" fillId="0" borderId="0" xfId="153" applyNumberFormat="1" applyFont="1" applyBorder="1"/>
    <xf numFmtId="165" fontId="27" fillId="0" borderId="0" xfId="153" applyNumberFormat="1" applyFont="1" applyFill="1" applyBorder="1" applyAlignment="1"/>
    <xf numFmtId="165" fontId="37" fillId="0" borderId="0" xfId="153" applyNumberFormat="1" applyFont="1" applyBorder="1"/>
    <xf numFmtId="9" fontId="4" fillId="0" borderId="0" xfId="164" applyNumberFormat="1" applyFont="1" applyBorder="1"/>
    <xf numFmtId="165" fontId="37" fillId="7" borderId="0" xfId="153" applyNumberFormat="1" applyFont="1" applyFill="1" applyBorder="1"/>
    <xf numFmtId="165" fontId="6" fillId="7" borderId="0" xfId="153" applyNumberFormat="1" applyFont="1" applyFill="1" applyBorder="1" applyAlignment="1">
      <alignment horizontal="right"/>
    </xf>
    <xf numFmtId="165" fontId="7" fillId="0" borderId="0" xfId="153" applyNumberFormat="1" applyFont="1" applyFill="1" applyBorder="1" applyAlignment="1"/>
    <xf numFmtId="0" fontId="97" fillId="7" borderId="0" xfId="0" applyFont="1" applyFill="1" applyBorder="1" applyAlignment="1">
      <alignment horizontal="left" indent="1"/>
    </xf>
    <xf numFmtId="165" fontId="97" fillId="7" borderId="0" xfId="153" applyNumberFormat="1" applyFont="1" applyFill="1" applyBorder="1"/>
    <xf numFmtId="43" fontId="4" fillId="0" borderId="0" xfId="0" applyNumberFormat="1" applyFont="1" applyBorder="1"/>
    <xf numFmtId="165" fontId="4" fillId="0" borderId="0" xfId="0" applyNumberFormat="1" applyFont="1" applyBorder="1" applyAlignment="1">
      <alignment horizontal="right"/>
    </xf>
    <xf numFmtId="0" fontId="96" fillId="0" borderId="0" xfId="0" applyFont="1" applyBorder="1"/>
    <xf numFmtId="0" fontId="48" fillId="7" borderId="0" xfId="157" applyFont="1" applyFill="1" applyBorder="1"/>
    <xf numFmtId="9" fontId="48" fillId="27" borderId="0" xfId="165" applyFont="1" applyFill="1" applyBorder="1"/>
    <xf numFmtId="0" fontId="48" fillId="27" borderId="0" xfId="157" applyFont="1" applyFill="1" applyBorder="1"/>
    <xf numFmtId="0" fontId="44" fillId="7" borderId="0" xfId="157" applyFont="1" applyFill="1" applyBorder="1"/>
    <xf numFmtId="0" fontId="44" fillId="27" borderId="0" xfId="157" applyFont="1" applyFill="1" applyBorder="1"/>
    <xf numFmtId="0" fontId="44" fillId="27" borderId="0" xfId="157" applyFont="1" applyFill="1" applyBorder="1" applyAlignment="1">
      <alignment horizontal="right"/>
    </xf>
    <xf numFmtId="0" fontId="48" fillId="7" borderId="0" xfId="0" applyFont="1" applyFill="1" applyBorder="1"/>
    <xf numFmtId="39" fontId="48" fillId="17" borderId="7" xfId="0" applyNumberFormat="1" applyFont="1" applyFill="1" applyBorder="1"/>
    <xf numFmtId="39" fontId="48" fillId="17" borderId="0" xfId="0" applyNumberFormat="1" applyFont="1" applyFill="1" applyBorder="1"/>
    <xf numFmtId="43" fontId="48" fillId="17" borderId="0" xfId="0" applyNumberFormat="1" applyFont="1" applyFill="1" applyBorder="1"/>
    <xf numFmtId="0" fontId="48" fillId="17" borderId="0" xfId="0" applyFont="1" applyFill="1" applyBorder="1"/>
    <xf numFmtId="0" fontId="48" fillId="17" borderId="7" xfId="0" applyFont="1" applyFill="1" applyBorder="1"/>
    <xf numFmtId="0" fontId="6" fillId="3" borderId="0" xfId="161" applyFont="1" applyFill="1" applyBorder="1" applyAlignment="1">
      <alignment horizontal="left"/>
    </xf>
    <xf numFmtId="9" fontId="7" fillId="3" borderId="0" xfId="164" applyFont="1" applyFill="1" applyBorder="1"/>
    <xf numFmtId="0" fontId="6" fillId="3" borderId="14" xfId="0" applyFont="1" applyFill="1" applyBorder="1" applyAlignment="1">
      <alignment horizontal="centerContinuous" vertical="center"/>
    </xf>
    <xf numFmtId="0" fontId="6" fillId="3" borderId="4" xfId="0" applyFont="1" applyFill="1" applyBorder="1" applyAlignment="1">
      <alignment horizontal="centerContinuous" vertical="center"/>
    </xf>
    <xf numFmtId="0" fontId="6" fillId="3" borderId="6" xfId="0" applyFont="1" applyFill="1" applyBorder="1" applyAlignment="1">
      <alignment horizontal="centerContinuous" vertical="center"/>
    </xf>
    <xf numFmtId="0" fontId="37" fillId="8" borderId="8" xfId="0" applyFont="1" applyFill="1" applyBorder="1"/>
    <xf numFmtId="9" fontId="37" fillId="8" borderId="8" xfId="0" applyNumberFormat="1" applyFont="1" applyFill="1" applyBorder="1" applyAlignment="1">
      <alignment horizontal="right"/>
    </xf>
    <xf numFmtId="0" fontId="6" fillId="8" borderId="20" xfId="0" applyFont="1" applyFill="1" applyBorder="1" applyAlignment="1">
      <alignment horizontal="right"/>
    </xf>
    <xf numFmtId="9" fontId="6" fillId="8" borderId="8" xfId="166" applyNumberFormat="1" applyFont="1" applyFill="1" applyBorder="1" applyAlignment="1">
      <alignment horizontal="right"/>
    </xf>
    <xf numFmtId="0" fontId="6" fillId="8" borderId="8" xfId="0" applyFont="1" applyFill="1" applyBorder="1" applyAlignment="1">
      <alignment horizontal="right"/>
    </xf>
    <xf numFmtId="164" fontId="6" fillId="3" borderId="0" xfId="157" applyNumberFormat="1" applyFont="1" applyFill="1" applyBorder="1"/>
    <xf numFmtId="190" fontId="98" fillId="3" borderId="12" xfId="0" applyNumberFormat="1" applyFont="1" applyFill="1" applyBorder="1" applyAlignment="1">
      <alignment vertical="center"/>
    </xf>
    <xf numFmtId="190" fontId="6" fillId="3" borderId="0" xfId="0" applyNumberFormat="1" applyFont="1" applyFill="1" applyBorder="1" applyAlignment="1">
      <alignment horizontal="right" vertical="center"/>
    </xf>
    <xf numFmtId="190" fontId="6" fillId="3" borderId="18" xfId="0" applyNumberFormat="1" applyFont="1" applyFill="1" applyBorder="1" applyAlignment="1">
      <alignment horizontal="right" vertical="center"/>
    </xf>
    <xf numFmtId="166" fontId="6" fillId="7" borderId="11" xfId="156" applyNumberFormat="1" applyFont="1" applyFill="1" applyBorder="1" applyAlignment="1">
      <alignment horizontal="right"/>
    </xf>
    <xf numFmtId="166" fontId="6" fillId="18" borderId="0" xfId="156" applyNumberFormat="1" applyFont="1" applyFill="1" applyBorder="1" applyAlignment="1">
      <alignment horizontal="right"/>
    </xf>
    <xf numFmtId="0" fontId="7" fillId="3" borderId="12" xfId="0" applyFont="1" applyFill="1" applyBorder="1"/>
    <xf numFmtId="164" fontId="7" fillId="3" borderId="0" xfId="161" applyNumberFormat="1" applyFont="1" applyFill="1" applyBorder="1" applyAlignment="1">
      <alignment horizontal="right"/>
    </xf>
    <xf numFmtId="164" fontId="7" fillId="3" borderId="18" xfId="161" applyNumberFormat="1" applyFont="1" applyFill="1" applyBorder="1" applyAlignment="1">
      <alignment horizontal="right"/>
    </xf>
    <xf numFmtId="166" fontId="97" fillId="7" borderId="0" xfId="156" applyNumberFormat="1" applyFont="1" applyFill="1" applyBorder="1"/>
    <xf numFmtId="166" fontId="97" fillId="7" borderId="11" xfId="156" applyNumberFormat="1" applyFont="1" applyFill="1" applyBorder="1"/>
    <xf numFmtId="166" fontId="97" fillId="18" borderId="0" xfId="156" applyNumberFormat="1" applyFont="1" applyFill="1" applyBorder="1"/>
    <xf numFmtId="165" fontId="7" fillId="3" borderId="0" xfId="154" applyNumberFormat="1" applyFont="1" applyFill="1" applyBorder="1" applyAlignment="1">
      <alignment horizontal="right"/>
    </xf>
    <xf numFmtId="165" fontId="7" fillId="3" borderId="18" xfId="154" applyNumberFormat="1" applyFont="1" applyFill="1" applyBorder="1" applyAlignment="1">
      <alignment horizontal="right"/>
    </xf>
    <xf numFmtId="37" fontId="7" fillId="22" borderId="0" xfId="157" applyNumberFormat="1" applyFont="1" applyFill="1" applyBorder="1"/>
    <xf numFmtId="0" fontId="37" fillId="7" borderId="1" xfId="0" applyFont="1" applyFill="1" applyBorder="1"/>
    <xf numFmtId="166" fontId="37" fillId="7" borderId="1" xfId="156" applyNumberFormat="1" applyFont="1" applyFill="1" applyBorder="1"/>
    <xf numFmtId="166" fontId="37" fillId="7" borderId="19" xfId="156" applyNumberFormat="1" applyFont="1" applyFill="1" applyBorder="1"/>
    <xf numFmtId="166" fontId="37" fillId="18" borderId="1" xfId="156" applyNumberFormat="1" applyFont="1" applyFill="1" applyBorder="1"/>
    <xf numFmtId="0" fontId="7" fillId="3" borderId="13" xfId="0" applyFont="1" applyFill="1" applyBorder="1"/>
    <xf numFmtId="167" fontId="7" fillId="3" borderId="3" xfId="165" applyNumberFormat="1" applyFont="1" applyFill="1" applyBorder="1" applyAlignment="1">
      <alignment horizontal="right"/>
    </xf>
    <xf numFmtId="167" fontId="7" fillId="3" borderId="16" xfId="165" applyNumberFormat="1" applyFont="1" applyFill="1" applyBorder="1" applyAlignment="1">
      <alignment horizontal="right"/>
    </xf>
    <xf numFmtId="9" fontId="4" fillId="7" borderId="11" xfId="166" applyNumberFormat="1" applyFont="1" applyFill="1" applyBorder="1"/>
    <xf numFmtId="9" fontId="4" fillId="18" borderId="0" xfId="166" applyNumberFormat="1" applyFont="1" applyFill="1" applyBorder="1"/>
    <xf numFmtId="9" fontId="4" fillId="7" borderId="0" xfId="166" applyNumberFormat="1" applyFont="1" applyFill="1" applyBorder="1"/>
    <xf numFmtId="10" fontId="4" fillId="7" borderId="11" xfId="166" applyNumberFormat="1" applyFont="1" applyFill="1" applyBorder="1"/>
    <xf numFmtId="10" fontId="4" fillId="18" borderId="0" xfId="166" applyNumberFormat="1" applyFont="1" applyFill="1" applyBorder="1"/>
    <xf numFmtId="10" fontId="4" fillId="7" borderId="0" xfId="166" applyNumberFormat="1" applyFont="1" applyFill="1" applyBorder="1"/>
    <xf numFmtId="0" fontId="6" fillId="27" borderId="0" xfId="157" applyFont="1" applyFill="1" applyBorder="1"/>
    <xf numFmtId="0" fontId="7" fillId="27" borderId="0" xfId="157" applyFont="1" applyFill="1" applyBorder="1"/>
    <xf numFmtId="0" fontId="6" fillId="27" borderId="0" xfId="157" applyFont="1" applyFill="1" applyBorder="1" applyAlignment="1">
      <alignment horizontal="right"/>
    </xf>
    <xf numFmtId="0" fontId="7" fillId="3" borderId="0" xfId="162" applyFont="1" applyFill="1" applyBorder="1"/>
    <xf numFmtId="37" fontId="6" fillId="18" borderId="0" xfId="157" applyNumberFormat="1" applyFont="1" applyFill="1" applyBorder="1"/>
    <xf numFmtId="9" fontId="7" fillId="3" borderId="0" xfId="157" applyNumberFormat="1" applyFont="1" applyFill="1" applyBorder="1"/>
    <xf numFmtId="9" fontId="58" fillId="3" borderId="0" xfId="164" applyFont="1" applyFill="1" applyBorder="1"/>
    <xf numFmtId="164" fontId="7" fillId="3" borderId="0" xfId="157" applyNumberFormat="1" applyFont="1" applyFill="1" applyBorder="1"/>
    <xf numFmtId="166" fontId="47" fillId="3" borderId="0" xfId="153" applyNumberFormat="1" applyFont="1" applyFill="1" applyBorder="1"/>
    <xf numFmtId="9" fontId="6" fillId="18" borderId="0" xfId="157" applyNumberFormat="1" applyFont="1" applyFill="1" applyBorder="1"/>
    <xf numFmtId="0" fontId="67" fillId="3" borderId="0" xfId="157" applyFont="1" applyFill="1" applyBorder="1"/>
    <xf numFmtId="9" fontId="7" fillId="7" borderId="0" xfId="157" applyNumberFormat="1" applyFont="1" applyFill="1" applyBorder="1"/>
    <xf numFmtId="37" fontId="63" fillId="7" borderId="0" xfId="157" applyNumberFormat="1" applyFont="1" applyFill="1" applyBorder="1"/>
    <xf numFmtId="37" fontId="6" fillId="7" borderId="0" xfId="157" applyNumberFormat="1" applyFont="1" applyFill="1" applyBorder="1"/>
    <xf numFmtId="0" fontId="67" fillId="7" borderId="0" xfId="157" applyFont="1" applyFill="1" applyBorder="1"/>
    <xf numFmtId="37" fontId="6" fillId="3" borderId="0" xfId="157" applyNumberFormat="1" applyFont="1" applyFill="1" applyBorder="1"/>
    <xf numFmtId="0" fontId="6" fillId="3" borderId="0" xfId="157" applyFont="1" applyFill="1" applyBorder="1" applyAlignment="1">
      <alignment horizontal="left"/>
    </xf>
    <xf numFmtId="0" fontId="7" fillId="3" borderId="0" xfId="157" applyFont="1" applyFill="1" applyBorder="1" applyAlignment="1">
      <alignment horizontal="right"/>
    </xf>
    <xf numFmtId="37" fontId="6" fillId="3" borderId="15" xfId="157" applyNumberFormat="1" applyFont="1" applyFill="1" applyBorder="1"/>
    <xf numFmtId="0" fontId="67" fillId="27" borderId="0" xfId="157" applyFont="1" applyFill="1" applyBorder="1"/>
    <xf numFmtId="165" fontId="6" fillId="18" borderId="0" xfId="153" applyNumberFormat="1" applyFont="1" applyFill="1" applyBorder="1"/>
    <xf numFmtId="164" fontId="6" fillId="18" borderId="0" xfId="157" applyNumberFormat="1" applyFont="1" applyFill="1" applyBorder="1"/>
    <xf numFmtId="0" fontId="7" fillId="3" borderId="0" xfId="157" applyFont="1" applyFill="1" applyBorder="1" applyAlignment="1">
      <alignment horizontal="left"/>
    </xf>
    <xf numFmtId="39" fontId="7" fillId="3" borderId="0" xfId="157" applyNumberFormat="1" applyFont="1" applyFill="1" applyBorder="1"/>
    <xf numFmtId="165" fontId="6" fillId="18" borderId="0" xfId="157" applyNumberFormat="1" applyFont="1" applyFill="1" applyBorder="1"/>
    <xf numFmtId="165" fontId="7" fillId="3" borderId="0" xfId="157" applyNumberFormat="1" applyFont="1" applyFill="1" applyBorder="1"/>
    <xf numFmtId="176" fontId="7" fillId="3" borderId="0" xfId="157" applyNumberFormat="1" applyFont="1" applyFill="1" applyBorder="1"/>
    <xf numFmtId="0" fontId="6" fillId="4" borderId="0" xfId="157" applyFont="1" applyFill="1" applyBorder="1"/>
    <xf numFmtId="9" fontId="6" fillId="4" borderId="0" xfId="157" applyNumberFormat="1" applyFont="1" applyFill="1" applyBorder="1"/>
    <xf numFmtId="0" fontId="6" fillId="3" borderId="21" xfId="157" applyFont="1" applyFill="1" applyBorder="1"/>
    <xf numFmtId="0" fontId="7" fillId="3" borderId="22" xfId="157" applyFont="1" applyFill="1" applyBorder="1"/>
    <xf numFmtId="0" fontId="7" fillId="3" borderId="23" xfId="157" applyFont="1" applyFill="1" applyBorder="1"/>
    <xf numFmtId="167" fontId="6" fillId="19" borderId="0" xfId="157" applyNumberFormat="1" applyFont="1" applyFill="1" applyBorder="1"/>
    <xf numFmtId="167" fontId="6" fillId="19" borderId="9" xfId="157" applyNumberFormat="1" applyFont="1" applyFill="1" applyBorder="1"/>
    <xf numFmtId="0" fontId="7" fillId="3" borderId="0" xfId="157" applyFont="1" applyFill="1" applyBorder="1" applyAlignment="1">
      <alignment horizontal="center"/>
    </xf>
    <xf numFmtId="167" fontId="6" fillId="19" borderId="0" xfId="157" applyNumberFormat="1" applyFont="1" applyFill="1" applyBorder="1" applyAlignment="1">
      <alignment horizontal="center"/>
    </xf>
    <xf numFmtId="37" fontId="7" fillId="3" borderId="9" xfId="157" applyNumberFormat="1" applyFont="1" applyFill="1" applyBorder="1"/>
    <xf numFmtId="37" fontId="7" fillId="2" borderId="0" xfId="157" applyNumberFormat="1" applyFont="1" applyFill="1" applyBorder="1"/>
    <xf numFmtId="167" fontId="6" fillId="19" borderId="5" xfId="157" applyNumberFormat="1" applyFont="1" applyFill="1" applyBorder="1" applyAlignment="1">
      <alignment horizontal="center"/>
    </xf>
    <xf numFmtId="37" fontId="7" fillId="3" borderId="5" xfId="157" applyNumberFormat="1" applyFont="1" applyFill="1" applyBorder="1"/>
    <xf numFmtId="37" fontId="7" fillId="3" borderId="25" xfId="157" applyNumberFormat="1" applyFont="1" applyFill="1" applyBorder="1"/>
    <xf numFmtId="0" fontId="7" fillId="3" borderId="21" xfId="157" applyFont="1" applyFill="1" applyBorder="1"/>
    <xf numFmtId="166" fontId="7" fillId="3" borderId="0" xfId="153" applyNumberFormat="1" applyFont="1" applyFill="1" applyBorder="1" applyAlignment="1">
      <alignment horizontal="center"/>
    </xf>
    <xf numFmtId="9" fontId="7" fillId="3" borderId="0" xfId="164" applyFont="1" applyFill="1" applyBorder="1" applyAlignment="1">
      <alignment horizontal="center"/>
    </xf>
    <xf numFmtId="0" fontId="7" fillId="19" borderId="0" xfId="157" applyFont="1" applyFill="1" applyBorder="1"/>
    <xf numFmtId="10" fontId="7" fillId="22" borderId="0" xfId="157" applyNumberFormat="1" applyFont="1" applyFill="1" applyBorder="1"/>
    <xf numFmtId="0" fontId="7" fillId="22" borderId="0" xfId="157" applyFont="1" applyFill="1" applyBorder="1"/>
    <xf numFmtId="10" fontId="7" fillId="3" borderId="0" xfId="157" applyNumberFormat="1" applyFont="1" applyFill="1" applyBorder="1"/>
    <xf numFmtId="0" fontId="6" fillId="0" borderId="0" xfId="157" applyFont="1" applyFill="1" applyBorder="1"/>
    <xf numFmtId="167" fontId="7" fillId="3" borderId="0" xfId="164" applyNumberFormat="1" applyFont="1" applyFill="1" applyBorder="1"/>
    <xf numFmtId="167" fontId="6" fillId="3" borderId="0" xfId="164" applyNumberFormat="1" applyFont="1" applyFill="1" applyBorder="1"/>
    <xf numFmtId="167" fontId="28" fillId="7" borderId="0" xfId="164" applyNumberFormat="1" applyFont="1" applyFill="1" applyBorder="1"/>
    <xf numFmtId="167" fontId="6" fillId="7" borderId="0" xfId="164" applyNumberFormat="1" applyFont="1" applyFill="1" applyBorder="1" applyAlignment="1"/>
    <xf numFmtId="167" fontId="6" fillId="7" borderId="17" xfId="164" applyNumberFormat="1" applyFont="1" applyFill="1" applyBorder="1" applyAlignment="1"/>
    <xf numFmtId="167" fontId="28" fillId="7" borderId="17" xfId="164" applyNumberFormat="1" applyFont="1" applyFill="1" applyBorder="1"/>
    <xf numFmtId="166" fontId="99" fillId="7" borderId="0" xfId="153" applyNumberFormat="1" applyFont="1" applyFill="1" applyBorder="1"/>
    <xf numFmtId="1" fontId="6" fillId="0" borderId="0" xfId="0" applyNumberFormat="1" applyFont="1" applyBorder="1" applyAlignment="1"/>
    <xf numFmtId="3" fontId="49" fillId="3" borderId="17" xfId="157" applyNumberFormat="1" applyFont="1" applyFill="1" applyBorder="1"/>
    <xf numFmtId="3" fontId="49" fillId="3" borderId="0" xfId="157" applyNumberFormat="1" applyFont="1" applyFill="1" applyBorder="1"/>
    <xf numFmtId="3" fontId="7" fillId="3" borderId="0" xfId="157" applyNumberFormat="1" applyFont="1" applyFill="1" applyBorder="1"/>
    <xf numFmtId="3" fontId="7" fillId="3" borderId="17" xfId="157" applyNumberFormat="1" applyFont="1" applyFill="1" applyBorder="1"/>
    <xf numFmtId="37" fontId="101" fillId="7" borderId="0" xfId="0" applyNumberFormat="1" applyFont="1" applyFill="1" applyBorder="1" applyAlignment="1"/>
    <xf numFmtId="1" fontId="6" fillId="7" borderId="0" xfId="0" applyNumberFormat="1" applyFont="1" applyFill="1" applyBorder="1" applyAlignment="1"/>
    <xf numFmtId="10" fontId="7" fillId="7" borderId="0" xfId="0" applyNumberFormat="1" applyFont="1" applyFill="1" applyBorder="1" applyAlignment="1">
      <alignment horizontal="right"/>
    </xf>
    <xf numFmtId="10" fontId="7" fillId="7" borderId="0" xfId="0" applyNumberFormat="1" applyFont="1" applyFill="1" applyBorder="1"/>
    <xf numFmtId="0" fontId="26" fillId="7" borderId="0" xfId="0" applyFont="1" applyFill="1" applyBorder="1"/>
    <xf numFmtId="0" fontId="53" fillId="7" borderId="0" xfId="0" applyFont="1" applyFill="1" applyBorder="1"/>
    <xf numFmtId="9" fontId="25" fillId="7" borderId="0" xfId="166" applyFont="1" applyFill="1" applyBorder="1"/>
    <xf numFmtId="0" fontId="25" fillId="7" borderId="0" xfId="0" applyFont="1" applyFill="1" applyBorder="1" applyAlignment="1">
      <alignment horizontal="right"/>
    </xf>
    <xf numFmtId="9" fontId="25" fillId="7" borderId="0" xfId="164" applyFont="1" applyFill="1" applyBorder="1"/>
    <xf numFmtId="166" fontId="26" fillId="7" borderId="0" xfId="0" applyNumberFormat="1" applyFont="1" applyFill="1" applyBorder="1"/>
    <xf numFmtId="166" fontId="53" fillId="7" borderId="0" xfId="0" applyNumberFormat="1" applyFont="1" applyFill="1" applyBorder="1"/>
    <xf numFmtId="166" fontId="25" fillId="7" borderId="0" xfId="0" applyNumberFormat="1" applyFont="1" applyFill="1" applyBorder="1"/>
    <xf numFmtId="10" fontId="47" fillId="10" borderId="0" xfId="164" applyNumberFormat="1" applyFont="1" applyFill="1" applyBorder="1"/>
    <xf numFmtId="176" fontId="4" fillId="7" borderId="0" xfId="0" applyNumberFormat="1" applyFont="1" applyFill="1" applyBorder="1"/>
    <xf numFmtId="37" fontId="68" fillId="7" borderId="0" xfId="0" applyNumberFormat="1" applyFont="1" applyFill="1" applyBorder="1"/>
    <xf numFmtId="37" fontId="7" fillId="10" borderId="0" xfId="153" applyNumberFormat="1" applyFont="1" applyFill="1" applyBorder="1" applyAlignment="1"/>
    <xf numFmtId="167" fontId="7" fillId="8" borderId="0" xfId="164" applyNumberFormat="1" applyFont="1" applyFill="1" applyBorder="1" applyAlignment="1"/>
    <xf numFmtId="0" fontId="133" fillId="0" borderId="0" xfId="0" applyFont="1" applyBorder="1"/>
    <xf numFmtId="9" fontId="133" fillId="0" borderId="0" xfId="0" applyNumberFormat="1" applyFont="1" applyBorder="1"/>
    <xf numFmtId="3" fontId="133" fillId="7" borderId="0" xfId="0" applyNumberFormat="1" applyFont="1" applyFill="1" applyBorder="1"/>
    <xf numFmtId="0" fontId="134" fillId="0" borderId="0" xfId="0" applyFont="1" applyBorder="1"/>
    <xf numFmtId="3" fontId="133" fillId="0" borderId="0" xfId="0" applyNumberFormat="1" applyFont="1" applyBorder="1"/>
    <xf numFmtId="3" fontId="135" fillId="0" borderId="0" xfId="0" applyNumberFormat="1" applyFont="1" applyBorder="1"/>
    <xf numFmtId="0" fontId="4" fillId="7" borderId="0" xfId="0" applyFont="1" applyFill="1" applyBorder="1" applyAlignment="1">
      <alignment horizontal="left" indent="4"/>
    </xf>
    <xf numFmtId="166" fontId="7" fillId="26" borderId="0" xfId="164" applyNumberFormat="1" applyFont="1" applyFill="1" applyBorder="1"/>
    <xf numFmtId="37" fontId="47" fillId="10" borderId="0" xfId="153" applyNumberFormat="1" applyFont="1" applyFill="1" applyBorder="1"/>
    <xf numFmtId="166" fontId="7" fillId="18" borderId="0" xfId="0" applyNumberFormat="1" applyFont="1" applyFill="1" applyBorder="1" applyAlignment="1"/>
    <xf numFmtId="0" fontId="4" fillId="26" borderId="0" xfId="0" applyFont="1" applyFill="1" applyBorder="1"/>
    <xf numFmtId="0" fontId="7" fillId="23" borderId="0" xfId="157" applyFont="1" applyFill="1" applyBorder="1"/>
    <xf numFmtId="0" fontId="57" fillId="23" borderId="0" xfId="157" applyFont="1" applyFill="1" applyBorder="1" applyAlignment="1">
      <alignment horizontal="right"/>
    </xf>
    <xf numFmtId="166" fontId="6" fillId="22" borderId="0" xfId="153" applyNumberFormat="1" applyFont="1" applyFill="1" applyBorder="1"/>
    <xf numFmtId="166" fontId="7" fillId="9" borderId="0" xfId="157" applyNumberFormat="1" applyFont="1" applyFill="1" applyBorder="1"/>
    <xf numFmtId="0" fontId="59" fillId="3" borderId="0" xfId="157" applyFont="1" applyFill="1" applyBorder="1"/>
    <xf numFmtId="165" fontId="4" fillId="7" borderId="0" xfId="153" applyNumberFormat="1" applyFont="1" applyFill="1" applyBorder="1"/>
    <xf numFmtId="165" fontId="4" fillId="7" borderId="0" xfId="0" applyNumberFormat="1" applyFont="1" applyFill="1" applyBorder="1" applyAlignment="1"/>
    <xf numFmtId="165" fontId="4" fillId="7" borderId="17" xfId="0" applyNumberFormat="1" applyFont="1" applyFill="1" applyBorder="1" applyAlignment="1"/>
    <xf numFmtId="165" fontId="81" fillId="7" borderId="0" xfId="0" applyNumberFormat="1" applyFont="1" applyFill="1" applyBorder="1" applyAlignment="1"/>
    <xf numFmtId="165" fontId="7" fillId="7" borderId="17" xfId="153" applyNumberFormat="1" applyFont="1" applyFill="1" applyBorder="1" applyAlignment="1"/>
    <xf numFmtId="167" fontId="4" fillId="12" borderId="0" xfId="0" applyNumberFormat="1" applyFont="1" applyFill="1" applyBorder="1" applyAlignment="1"/>
    <xf numFmtId="167" fontId="4" fillId="12" borderId="17" xfId="0" applyNumberFormat="1" applyFont="1" applyFill="1" applyBorder="1" applyAlignment="1"/>
    <xf numFmtId="167" fontId="7" fillId="12" borderId="0" xfId="0" applyNumberFormat="1" applyFont="1" applyFill="1" applyBorder="1" applyAlignment="1"/>
    <xf numFmtId="165" fontId="7" fillId="7" borderId="0" xfId="153" applyNumberFormat="1" applyFont="1" applyFill="1" applyBorder="1"/>
    <xf numFmtId="9" fontId="7" fillId="8" borderId="0" xfId="164" applyNumberFormat="1" applyFont="1" applyFill="1" applyBorder="1" applyAlignment="1"/>
    <xf numFmtId="17" fontId="6" fillId="7" borderId="0" xfId="0" applyNumberFormat="1" applyFont="1" applyFill="1" applyBorder="1" applyAlignment="1"/>
    <xf numFmtId="17" fontId="6" fillId="7" borderId="0" xfId="0" quotePrefix="1" applyNumberFormat="1" applyFont="1" applyFill="1" applyBorder="1" applyAlignment="1">
      <alignment horizontal="right"/>
    </xf>
    <xf numFmtId="0" fontId="6" fillId="7" borderId="0" xfId="0" quotePrefix="1" applyFont="1" applyFill="1" applyBorder="1" applyAlignment="1">
      <alignment horizontal="right"/>
    </xf>
    <xf numFmtId="0" fontId="58" fillId="7" borderId="11" xfId="0" applyFont="1" applyFill="1" applyBorder="1"/>
    <xf numFmtId="166" fontId="74" fillId="7" borderId="0" xfId="153" applyNumberFormat="1" applyFont="1" applyFill="1" applyBorder="1" applyAlignment="1"/>
    <xf numFmtId="166" fontId="6" fillId="7" borderId="0" xfId="153" applyNumberFormat="1" applyFont="1" applyFill="1" applyBorder="1" applyAlignment="1">
      <alignment horizontal="left" indent="2"/>
    </xf>
    <xf numFmtId="165" fontId="82" fillId="7" borderId="0" xfId="0" applyNumberFormat="1" applyFont="1" applyFill="1" applyBorder="1"/>
    <xf numFmtId="37" fontId="47" fillId="7" borderId="0" xfId="0" applyNumberFormat="1" applyFont="1" applyFill="1" applyBorder="1" applyAlignment="1"/>
    <xf numFmtId="0" fontId="58" fillId="7" borderId="0" xfId="0" applyFont="1" applyFill="1" applyBorder="1" applyAlignment="1"/>
    <xf numFmtId="9" fontId="58" fillId="7" borderId="0" xfId="164" applyFont="1" applyFill="1" applyBorder="1"/>
    <xf numFmtId="166" fontId="58" fillId="7" borderId="0" xfId="153" applyNumberFormat="1" applyFont="1" applyFill="1" applyBorder="1"/>
    <xf numFmtId="9" fontId="6" fillId="7" borderId="0" xfId="0" applyNumberFormat="1" applyFont="1" applyFill="1" applyBorder="1"/>
    <xf numFmtId="43" fontId="37" fillId="7" borderId="0" xfId="0" applyNumberFormat="1" applyFont="1" applyFill="1" applyBorder="1" applyAlignment="1"/>
    <xf numFmtId="0" fontId="51" fillId="7" borderId="0" xfId="0" applyFont="1" applyFill="1" applyBorder="1"/>
    <xf numFmtId="9" fontId="7" fillId="8" borderId="0" xfId="164" applyFont="1" applyFill="1" applyBorder="1" applyAlignment="1"/>
    <xf numFmtId="9" fontId="6" fillId="7" borderId="0" xfId="164" applyNumberFormat="1" applyFont="1" applyFill="1" applyBorder="1"/>
    <xf numFmtId="3" fontId="53" fillId="0" borderId="0" xfId="0" applyNumberFormat="1" applyFont="1"/>
    <xf numFmtId="3" fontId="53" fillId="7" borderId="0" xfId="0" applyNumberFormat="1" applyFont="1" applyFill="1"/>
    <xf numFmtId="0" fontId="67" fillId="7" borderId="0" xfId="0" applyFont="1" applyFill="1" applyBorder="1"/>
    <xf numFmtId="0" fontId="37" fillId="7" borderId="0" xfId="0" applyFont="1" applyFill="1" applyBorder="1" applyAlignment="1">
      <alignment horizontal="left" indent="3"/>
    </xf>
    <xf numFmtId="0" fontId="81" fillId="7" borderId="17" xfId="0" applyFont="1" applyFill="1" applyBorder="1" applyAlignment="1"/>
    <xf numFmtId="0" fontId="41" fillId="52" borderId="0" xfId="0" applyFont="1" applyFill="1"/>
    <xf numFmtId="0" fontId="41" fillId="52" borderId="0" xfId="0" applyFont="1" applyFill="1" applyAlignment="1">
      <alignment horizontal="right"/>
    </xf>
    <xf numFmtId="0" fontId="5" fillId="5" borderId="19" xfId="0" applyFont="1" applyFill="1" applyBorder="1"/>
    <xf numFmtId="6" fontId="5" fillId="5" borderId="10" xfId="0" applyNumberFormat="1" applyFont="1" applyFill="1" applyBorder="1"/>
    <xf numFmtId="0" fontId="5" fillId="7" borderId="0" xfId="0" applyFont="1" applyFill="1"/>
    <xf numFmtId="3" fontId="137" fillId="7" borderId="0" xfId="0" applyNumberFormat="1" applyFont="1" applyFill="1" applyAlignment="1">
      <alignment horizontal="right"/>
    </xf>
    <xf numFmtId="203" fontId="138" fillId="7" borderId="0" xfId="0" applyNumberFormat="1" applyFont="1" applyFill="1" applyAlignment="1">
      <alignment horizontal="right"/>
    </xf>
    <xf numFmtId="3" fontId="0" fillId="7" borderId="0" xfId="0" applyNumberFormat="1" applyFill="1" applyAlignment="1">
      <alignment horizontal="right"/>
    </xf>
    <xf numFmtId="196" fontId="139" fillId="7" borderId="0" xfId="0" applyNumberFormat="1" applyFont="1" applyFill="1" applyAlignment="1">
      <alignment horizontal="right"/>
    </xf>
    <xf numFmtId="167" fontId="136" fillId="7" borderId="0" xfId="0" applyNumberFormat="1" applyFont="1" applyFill="1" applyAlignment="1">
      <alignment horizontal="right"/>
    </xf>
    <xf numFmtId="0" fontId="136" fillId="7" borderId="0" xfId="0" applyFont="1" applyFill="1" applyAlignment="1">
      <alignment horizontal="right"/>
    </xf>
    <xf numFmtId="0" fontId="35" fillId="52" borderId="0" xfId="0" applyFont="1" applyFill="1"/>
    <xf numFmtId="0" fontId="36" fillId="52" borderId="0" xfId="0" applyFont="1" applyFill="1" applyAlignment="1">
      <alignment horizontal="center"/>
    </xf>
    <xf numFmtId="0" fontId="36" fillId="52" borderId="0" xfId="0" quotePrefix="1" applyFont="1" applyFill="1" applyAlignment="1">
      <alignment horizontal="center"/>
    </xf>
    <xf numFmtId="0" fontId="36" fillId="52" borderId="0" xfId="0" applyFont="1" applyFill="1" applyBorder="1" applyAlignment="1">
      <alignment vertical="center"/>
    </xf>
    <xf numFmtId="0" fontId="7" fillId="7" borderId="0" xfId="0" applyFont="1" applyFill="1" applyAlignment="1">
      <alignment vertical="center"/>
    </xf>
    <xf numFmtId="203" fontId="98" fillId="7" borderId="0" xfId="0" applyNumberFormat="1" applyFont="1" applyFill="1" applyAlignment="1">
      <alignment horizontal="center"/>
    </xf>
    <xf numFmtId="9" fontId="98" fillId="7" borderId="0" xfId="0" applyNumberFormat="1" applyFont="1" applyFill="1" applyAlignment="1">
      <alignment horizontal="center"/>
    </xf>
    <xf numFmtId="0" fontId="48" fillId="7" borderId="0" xfId="0" applyFont="1" applyFill="1" applyAlignment="1">
      <alignment vertical="center"/>
    </xf>
    <xf numFmtId="0" fontId="6" fillId="7" borderId="0" xfId="0" applyFont="1" applyFill="1" applyBorder="1" applyAlignment="1">
      <alignment vertical="center"/>
    </xf>
    <xf numFmtId="203" fontId="6" fillId="7" borderId="0" xfId="0" applyNumberFormat="1" applyFont="1" applyFill="1" applyAlignment="1">
      <alignment horizontal="center"/>
    </xf>
    <xf numFmtId="9" fontId="6" fillId="7" borderId="0" xfId="0" applyNumberFormat="1" applyFont="1" applyFill="1" applyAlignment="1">
      <alignment horizontal="center"/>
    </xf>
    <xf numFmtId="0" fontId="48" fillId="7" borderId="0" xfId="0" applyFont="1" applyFill="1"/>
    <xf numFmtId="0" fontId="48" fillId="7" borderId="0" xfId="0" applyFont="1" applyFill="1" applyAlignment="1">
      <alignment horizontal="center"/>
    </xf>
    <xf numFmtId="0" fontId="48" fillId="7" borderId="0" xfId="0" applyFont="1" applyFill="1" applyBorder="1" applyAlignment="1">
      <alignment horizontal="left" vertical="center"/>
    </xf>
    <xf numFmtId="9" fontId="48" fillId="7" borderId="0" xfId="0" applyNumberFormat="1" applyFont="1" applyFill="1" applyAlignment="1">
      <alignment horizontal="center"/>
    </xf>
    <xf numFmtId="203" fontId="48" fillId="7" borderId="0" xfId="0" applyNumberFormat="1" applyFont="1" applyFill="1" applyAlignment="1">
      <alignment horizontal="center"/>
    </xf>
    <xf numFmtId="0" fontId="7" fillId="7" borderId="0" xfId="0" applyFont="1" applyFill="1" applyBorder="1" applyAlignment="1">
      <alignment vertical="center"/>
    </xf>
    <xf numFmtId="0" fontId="100" fillId="7" borderId="0" xfId="0" applyFont="1" applyFill="1" applyBorder="1" applyAlignment="1">
      <alignment horizontal="left" vertical="center"/>
    </xf>
    <xf numFmtId="0" fontId="5" fillId="7" borderId="0" xfId="0" applyFont="1" applyFill="1" applyBorder="1"/>
    <xf numFmtId="6" fontId="5" fillId="7" borderId="0" xfId="0" applyNumberFormat="1" applyFont="1" applyFill="1" applyBorder="1"/>
    <xf numFmtId="0" fontId="67" fillId="23" borderId="0" xfId="157" applyFont="1" applyFill="1" applyBorder="1"/>
    <xf numFmtId="0" fontId="58" fillId="23" borderId="0" xfId="157" applyFont="1" applyFill="1" applyBorder="1"/>
    <xf numFmtId="37" fontId="57" fillId="23" borderId="0" xfId="157" applyNumberFormat="1" applyFont="1" applyFill="1" applyBorder="1"/>
    <xf numFmtId="203" fontId="6" fillId="7" borderId="0" xfId="0" applyNumberFormat="1" applyFont="1" applyFill="1" applyAlignment="1">
      <alignment horizontal="right"/>
    </xf>
    <xf numFmtId="0" fontId="140" fillId="52" borderId="0" xfId="0" applyFont="1" applyFill="1" applyAlignment="1">
      <alignment horizontal="right"/>
    </xf>
    <xf numFmtId="0" fontId="58" fillId="7" borderId="0" xfId="157" applyFont="1" applyFill="1" applyBorder="1"/>
    <xf numFmtId="0" fontId="63" fillId="7" borderId="0" xfId="157" applyFont="1" applyFill="1" applyBorder="1"/>
    <xf numFmtId="0" fontId="100" fillId="7" borderId="0" xfId="157" applyFont="1" applyFill="1" applyBorder="1" applyAlignment="1">
      <alignment horizontal="left" indent="2"/>
    </xf>
    <xf numFmtId="0" fontId="100" fillId="7" borderId="0" xfId="157" applyFont="1" applyFill="1" applyBorder="1"/>
    <xf numFmtId="37" fontId="100" fillId="7" borderId="0" xfId="157" applyNumberFormat="1" applyFont="1" applyFill="1" applyBorder="1"/>
    <xf numFmtId="167" fontId="100" fillId="7" borderId="0" xfId="157" applyNumberFormat="1" applyFont="1" applyFill="1" applyBorder="1"/>
    <xf numFmtId="1" fontId="100" fillId="7" borderId="0" xfId="157" applyNumberFormat="1" applyFont="1" applyFill="1" applyBorder="1"/>
    <xf numFmtId="0" fontId="100" fillId="7" borderId="0" xfId="162" applyFont="1" applyFill="1" applyBorder="1" applyAlignment="1">
      <alignment horizontal="left" indent="2"/>
    </xf>
    <xf numFmtId="0" fontId="100" fillId="7" borderId="0" xfId="162" applyFont="1" applyFill="1" applyBorder="1"/>
    <xf numFmtId="9" fontId="100" fillId="7" borderId="0" xfId="164" applyFont="1" applyFill="1" applyBorder="1"/>
    <xf numFmtId="9" fontId="100" fillId="7" borderId="0" xfId="164" applyFont="1" applyFill="1" applyBorder="1" applyAlignment="1">
      <alignment horizontal="right"/>
    </xf>
    <xf numFmtId="164" fontId="100" fillId="7" borderId="0" xfId="157" applyNumberFormat="1" applyFont="1" applyFill="1" applyBorder="1"/>
    <xf numFmtId="166" fontId="6" fillId="3" borderId="0" xfId="157" applyNumberFormat="1" applyFont="1" applyFill="1" applyBorder="1"/>
    <xf numFmtId="0" fontId="59" fillId="7" borderId="0" xfId="0" applyFont="1" applyFill="1" applyBorder="1" applyAlignment="1"/>
    <xf numFmtId="166" fontId="7" fillId="0" borderId="0" xfId="0" applyNumberFormat="1" applyFont="1" applyFill="1" applyBorder="1"/>
    <xf numFmtId="0" fontId="100" fillId="7" borderId="0" xfId="0" applyFont="1" applyFill="1" applyBorder="1"/>
    <xf numFmtId="0" fontId="141" fillId="7" borderId="0" xfId="0" applyFont="1" applyFill="1" applyBorder="1"/>
    <xf numFmtId="0" fontId="142" fillId="7" borderId="0" xfId="0" applyFont="1" applyFill="1" applyBorder="1"/>
    <xf numFmtId="166" fontId="100" fillId="7" borderId="0" xfId="153" applyNumberFormat="1" applyFont="1" applyFill="1" applyBorder="1"/>
    <xf numFmtId="0" fontId="143" fillId="7" borderId="0" xfId="0" applyFont="1" applyFill="1" applyBorder="1" applyAlignment="1">
      <alignment horizontal="left" indent="1"/>
    </xf>
    <xf numFmtId="0" fontId="141" fillId="7" borderId="0" xfId="157" applyFont="1" applyFill="1" applyBorder="1"/>
    <xf numFmtId="0" fontId="142" fillId="7" borderId="0" xfId="157" applyFont="1" applyFill="1" applyBorder="1"/>
    <xf numFmtId="167" fontId="85" fillId="26" borderId="0" xfId="164" applyNumberFormat="1" applyFont="1" applyFill="1" applyBorder="1"/>
    <xf numFmtId="9" fontId="37" fillId="7" borderId="17" xfId="164" applyFont="1" applyFill="1" applyBorder="1"/>
    <xf numFmtId="167" fontId="37" fillId="7" borderId="17" xfId="164" applyNumberFormat="1" applyFont="1" applyFill="1" applyBorder="1"/>
    <xf numFmtId="167" fontId="100" fillId="7" borderId="0" xfId="164" applyNumberFormat="1" applyFont="1" applyFill="1" applyBorder="1"/>
    <xf numFmtId="167" fontId="4" fillId="7" borderId="0" xfId="164" applyNumberFormat="1" applyFont="1" applyFill="1" applyBorder="1" applyAlignment="1">
      <alignment horizontal="left" indent="2"/>
    </xf>
    <xf numFmtId="167" fontId="4" fillId="7" borderId="17" xfId="164" applyNumberFormat="1" applyFont="1" applyFill="1" applyBorder="1"/>
    <xf numFmtId="167" fontId="6" fillId="26" borderId="0" xfId="0" applyNumberFormat="1" applyFont="1" applyFill="1" applyBorder="1"/>
    <xf numFmtId="167" fontId="37" fillId="7" borderId="0" xfId="0" applyNumberFormat="1" applyFont="1" applyFill="1" applyBorder="1"/>
    <xf numFmtId="167" fontId="6" fillId="7" borderId="0" xfId="153" applyNumberFormat="1" applyFont="1" applyFill="1" applyBorder="1"/>
    <xf numFmtId="167" fontId="37" fillId="7" borderId="17" xfId="0" applyNumberFormat="1" applyFont="1" applyFill="1" applyBorder="1"/>
    <xf numFmtId="9" fontId="4" fillId="7" borderId="0" xfId="0" applyNumberFormat="1" applyFont="1" applyFill="1" applyBorder="1" applyAlignment="1">
      <alignment horizontal="right"/>
    </xf>
    <xf numFmtId="9" fontId="7" fillId="7" borderId="0" xfId="0" applyNumberFormat="1" applyFont="1" applyFill="1" applyBorder="1" applyAlignment="1">
      <alignment horizontal="right"/>
    </xf>
    <xf numFmtId="167" fontId="48" fillId="7" borderId="0" xfId="164" applyNumberFormat="1" applyFont="1" applyFill="1"/>
    <xf numFmtId="9" fontId="77" fillId="7" borderId="17" xfId="164" applyFont="1" applyFill="1" applyBorder="1"/>
    <xf numFmtId="9" fontId="37" fillId="7" borderId="0" xfId="164" applyNumberFormat="1" applyFont="1" applyFill="1" applyBorder="1"/>
    <xf numFmtId="37" fontId="67" fillId="14" borderId="0" xfId="0" applyNumberFormat="1" applyFont="1" applyFill="1" applyBorder="1"/>
    <xf numFmtId="0" fontId="37" fillId="53" borderId="0" xfId="0" applyFont="1" applyFill="1" applyBorder="1" applyAlignment="1"/>
    <xf numFmtId="43" fontId="7" fillId="7" borderId="0" xfId="153" applyFont="1" applyFill="1" applyBorder="1"/>
    <xf numFmtId="0" fontId="84" fillId="7" borderId="0" xfId="0" applyFont="1" applyFill="1" applyBorder="1"/>
    <xf numFmtId="0" fontId="84" fillId="7" borderId="17" xfId="0" applyFont="1" applyFill="1" applyBorder="1"/>
    <xf numFmtId="167" fontId="7" fillId="7" borderId="0" xfId="153" applyNumberFormat="1" applyFont="1" applyFill="1" applyBorder="1"/>
    <xf numFmtId="37" fontId="67" fillId="53" borderId="0" xfId="0" applyNumberFormat="1" applyFont="1" applyFill="1" applyBorder="1"/>
    <xf numFmtId="167" fontId="6" fillId="7" borderId="17" xfId="153" applyNumberFormat="1" applyFont="1" applyFill="1" applyBorder="1"/>
    <xf numFmtId="167" fontId="7" fillId="7" borderId="17" xfId="153" applyNumberFormat="1" applyFont="1" applyFill="1" applyBorder="1"/>
    <xf numFmtId="43" fontId="37" fillId="7" borderId="17" xfId="153" applyNumberFormat="1" applyFont="1" applyFill="1" applyBorder="1"/>
    <xf numFmtId="166" fontId="47" fillId="7" borderId="17" xfId="153" applyNumberFormat="1" applyFont="1" applyFill="1" applyBorder="1"/>
    <xf numFmtId="167" fontId="37" fillId="7" borderId="17" xfId="153" applyNumberFormat="1" applyFont="1" applyFill="1" applyBorder="1"/>
    <xf numFmtId="9" fontId="4" fillId="18" borderId="0" xfId="0" applyNumberFormat="1" applyFont="1" applyFill="1" applyBorder="1"/>
    <xf numFmtId="9" fontId="0" fillId="27" borderId="0" xfId="0" applyNumberFormat="1" applyFont="1" applyFill="1" applyBorder="1"/>
    <xf numFmtId="166" fontId="26" fillId="3" borderId="0" xfId="153" applyNumberFormat="1" applyFont="1" applyFill="1" applyBorder="1"/>
    <xf numFmtId="166" fontId="25" fillId="3" borderId="0" xfId="153" applyNumberFormat="1" applyFont="1" applyFill="1" applyBorder="1"/>
    <xf numFmtId="166" fontId="53" fillId="3" borderId="0" xfId="153" applyNumberFormat="1" applyFont="1" applyFill="1" applyBorder="1"/>
    <xf numFmtId="166" fontId="0" fillId="7" borderId="17" xfId="153" applyNumberFormat="1" applyFont="1" applyFill="1" applyBorder="1"/>
    <xf numFmtId="17" fontId="44" fillId="27" borderId="17" xfId="0" quotePrefix="1" applyNumberFormat="1" applyFont="1" applyFill="1" applyBorder="1" applyAlignment="1">
      <alignment horizontal="right"/>
    </xf>
    <xf numFmtId="9" fontId="4" fillId="18" borderId="17" xfId="164" applyFont="1" applyFill="1" applyBorder="1"/>
    <xf numFmtId="166" fontId="7" fillId="7" borderId="17" xfId="164" applyNumberFormat="1" applyFont="1" applyFill="1" applyBorder="1" applyAlignment="1">
      <alignment horizontal="right"/>
    </xf>
    <xf numFmtId="43" fontId="4" fillId="7" borderId="17" xfId="153" applyFont="1" applyFill="1" applyBorder="1" applyAlignment="1">
      <alignment horizontal="right"/>
    </xf>
    <xf numFmtId="9" fontId="4" fillId="7" borderId="17" xfId="164" applyFont="1" applyFill="1" applyBorder="1" applyAlignment="1">
      <alignment horizontal="right"/>
    </xf>
    <xf numFmtId="166" fontId="66" fillId="7" borderId="17" xfId="153" applyNumberFormat="1" applyFont="1" applyFill="1" applyBorder="1"/>
    <xf numFmtId="9" fontId="6" fillId="7" borderId="17" xfId="164" applyNumberFormat="1" applyFont="1" applyFill="1" applyBorder="1"/>
    <xf numFmtId="0" fontId="4" fillId="18" borderId="17" xfId="0" applyFont="1" applyFill="1" applyBorder="1"/>
    <xf numFmtId="10" fontId="47" fillId="10" borderId="17" xfId="164" applyNumberFormat="1" applyFont="1" applyFill="1" applyBorder="1"/>
    <xf numFmtId="9" fontId="4" fillId="0" borderId="17" xfId="164" applyFont="1" applyFill="1" applyBorder="1"/>
    <xf numFmtId="37" fontId="60" fillId="7" borderId="17" xfId="0" applyNumberFormat="1" applyFont="1" applyFill="1" applyBorder="1"/>
    <xf numFmtId="9" fontId="7" fillId="7" borderId="17" xfId="164" applyNumberFormat="1" applyFont="1" applyFill="1" applyBorder="1"/>
    <xf numFmtId="10" fontId="37" fillId="7" borderId="17" xfId="164" applyNumberFormat="1" applyFont="1" applyFill="1" applyBorder="1"/>
    <xf numFmtId="166" fontId="47" fillId="10" borderId="17" xfId="153" applyNumberFormat="1" applyFont="1" applyFill="1" applyBorder="1"/>
    <xf numFmtId="43" fontId="4" fillId="7" borderId="17" xfId="0" applyNumberFormat="1" applyFont="1" applyFill="1" applyBorder="1"/>
    <xf numFmtId="9" fontId="4" fillId="8" borderId="17" xfId="164" applyNumberFormat="1" applyFont="1" applyFill="1" applyBorder="1"/>
    <xf numFmtId="9" fontId="4" fillId="8" borderId="17" xfId="0" applyNumberFormat="1" applyFont="1" applyFill="1" applyBorder="1"/>
    <xf numFmtId="9" fontId="7" fillId="8" borderId="17" xfId="0" applyNumberFormat="1" applyFont="1" applyFill="1" applyBorder="1" applyAlignment="1"/>
    <xf numFmtId="37" fontId="82" fillId="7" borderId="17" xfId="153" applyNumberFormat="1" applyFont="1" applyFill="1" applyBorder="1"/>
    <xf numFmtId="167" fontId="7" fillId="8" borderId="17" xfId="164" applyNumberFormat="1" applyFont="1" applyFill="1" applyBorder="1"/>
    <xf numFmtId="167" fontId="4" fillId="8" borderId="17" xfId="164" applyNumberFormat="1" applyFont="1" applyFill="1" applyBorder="1"/>
    <xf numFmtId="0" fontId="0" fillId="27" borderId="17" xfId="0" applyFont="1" applyFill="1" applyBorder="1"/>
    <xf numFmtId="166" fontId="47" fillId="17" borderId="17" xfId="153" applyNumberFormat="1" applyFont="1" applyFill="1" applyBorder="1"/>
    <xf numFmtId="37" fontId="67" fillId="7" borderId="17" xfId="153" applyNumberFormat="1" applyFont="1" applyFill="1" applyBorder="1"/>
    <xf numFmtId="37" fontId="81" fillId="7" borderId="17" xfId="0" applyNumberFormat="1" applyFont="1" applyFill="1" applyBorder="1" applyAlignment="1">
      <alignment horizontal="right"/>
    </xf>
    <xf numFmtId="37" fontId="67" fillId="14" borderId="17" xfId="0" applyNumberFormat="1" applyFont="1" applyFill="1" applyBorder="1"/>
    <xf numFmtId="43" fontId="63" fillId="7" borderId="17" xfId="153" applyNumberFormat="1" applyFont="1" applyFill="1" applyBorder="1"/>
    <xf numFmtId="166" fontId="84" fillId="7" borderId="17" xfId="153" applyNumberFormat="1" applyFont="1" applyFill="1" applyBorder="1"/>
    <xf numFmtId="167" fontId="84" fillId="7" borderId="17" xfId="164" applyNumberFormat="1" applyFont="1" applyFill="1" applyBorder="1"/>
    <xf numFmtId="167" fontId="77" fillId="7" borderId="17" xfId="164" applyNumberFormat="1" applyFont="1" applyFill="1" applyBorder="1"/>
    <xf numFmtId="166" fontId="27" fillId="7" borderId="17" xfId="0" applyNumberFormat="1" applyFont="1" applyFill="1" applyBorder="1"/>
    <xf numFmtId="37" fontId="37" fillId="10" borderId="17" xfId="153" applyNumberFormat="1" applyFont="1" applyFill="1" applyBorder="1"/>
    <xf numFmtId="37" fontId="37" fillId="7" borderId="17" xfId="153" applyNumberFormat="1" applyFont="1" applyFill="1" applyBorder="1"/>
    <xf numFmtId="176" fontId="4" fillId="7" borderId="17" xfId="0" applyNumberFormat="1" applyFont="1" applyFill="1" applyBorder="1"/>
    <xf numFmtId="9" fontId="60" fillId="7" borderId="17" xfId="164" applyFont="1" applyFill="1" applyBorder="1"/>
    <xf numFmtId="37" fontId="67" fillId="7" borderId="17" xfId="153" applyNumberFormat="1" applyFont="1" applyFill="1" applyBorder="1" applyAlignment="1"/>
    <xf numFmtId="0" fontId="91" fillId="7" borderId="17" xfId="0" applyFont="1" applyFill="1" applyBorder="1"/>
    <xf numFmtId="167" fontId="4" fillId="26" borderId="17" xfId="164" applyNumberFormat="1" applyFont="1" applyFill="1" applyBorder="1"/>
    <xf numFmtId="3" fontId="6" fillId="7" borderId="17" xfId="0" applyNumberFormat="1" applyFont="1" applyFill="1" applyBorder="1"/>
    <xf numFmtId="37" fontId="27" fillId="7" borderId="17" xfId="153" applyNumberFormat="1" applyFont="1" applyFill="1" applyBorder="1" applyAlignment="1"/>
    <xf numFmtId="166" fontId="67" fillId="3" borderId="17" xfId="156" applyNumberFormat="1" applyFont="1" applyFill="1" applyBorder="1"/>
    <xf numFmtId="166" fontId="67" fillId="7" borderId="17" xfId="156" applyNumberFormat="1" applyFont="1" applyFill="1" applyBorder="1"/>
    <xf numFmtId="164" fontId="4" fillId="3" borderId="17" xfId="157" applyNumberFormat="1" applyFont="1" applyFill="1" applyBorder="1"/>
    <xf numFmtId="37" fontId="37" fillId="18" borderId="17" xfId="157" applyNumberFormat="1" applyFont="1" applyFill="1" applyBorder="1"/>
    <xf numFmtId="164" fontId="4" fillId="7" borderId="17" xfId="157" applyNumberFormat="1" applyFont="1" applyFill="1" applyBorder="1"/>
    <xf numFmtId="166" fontId="4" fillId="7" borderId="17" xfId="156" applyNumberFormat="1" applyFont="1" applyFill="1" applyBorder="1"/>
    <xf numFmtId="164" fontId="37" fillId="18" borderId="17" xfId="157" applyNumberFormat="1" applyFont="1" applyFill="1" applyBorder="1"/>
    <xf numFmtId="37" fontId="67" fillId="3" borderId="17" xfId="157" applyNumberFormat="1" applyFont="1" applyFill="1" applyBorder="1"/>
    <xf numFmtId="166" fontId="37" fillId="3" borderId="17" xfId="153" applyNumberFormat="1" applyFont="1" applyFill="1" applyBorder="1"/>
    <xf numFmtId="37" fontId="67" fillId="7" borderId="17" xfId="157" applyNumberFormat="1" applyFont="1" applyFill="1" applyBorder="1"/>
    <xf numFmtId="166" fontId="37" fillId="18" borderId="17" xfId="153" applyNumberFormat="1" applyFont="1" applyFill="1" applyBorder="1"/>
    <xf numFmtId="0" fontId="4" fillId="7" borderId="17" xfId="157" applyFont="1" applyFill="1" applyBorder="1"/>
    <xf numFmtId="169" fontId="73" fillId="3" borderId="17" xfId="157" applyNumberFormat="1" applyFont="1" applyFill="1" applyBorder="1"/>
    <xf numFmtId="166" fontId="4" fillId="3" borderId="17" xfId="154" applyNumberFormat="1" applyFont="1" applyFill="1" applyBorder="1"/>
    <xf numFmtId="9" fontId="4" fillId="3" borderId="17" xfId="164" applyFont="1" applyFill="1" applyBorder="1"/>
    <xf numFmtId="167" fontId="4" fillId="3" borderId="17" xfId="164" applyNumberFormat="1" applyFont="1" applyFill="1" applyBorder="1"/>
    <xf numFmtId="0" fontId="4" fillId="3" borderId="17" xfId="157" applyFont="1" applyFill="1" applyBorder="1"/>
    <xf numFmtId="37" fontId="4" fillId="3" borderId="17" xfId="157" applyNumberFormat="1" applyFont="1" applyFill="1" applyBorder="1"/>
    <xf numFmtId="37" fontId="7" fillId="3" borderId="17" xfId="153" applyNumberFormat="1" applyFont="1" applyFill="1" applyBorder="1"/>
    <xf numFmtId="167" fontId="4" fillId="3" borderId="17" xfId="157" applyNumberFormat="1" applyFont="1" applyFill="1" applyBorder="1"/>
    <xf numFmtId="165" fontId="4" fillId="3" borderId="17" xfId="153" applyNumberFormat="1" applyFont="1" applyFill="1" applyBorder="1"/>
    <xf numFmtId="9" fontId="4" fillId="3" borderId="17" xfId="157" applyNumberFormat="1" applyFont="1" applyFill="1" applyBorder="1"/>
    <xf numFmtId="167" fontId="4" fillId="7" borderId="17" xfId="157" applyNumberFormat="1" applyFont="1" applyFill="1" applyBorder="1"/>
    <xf numFmtId="37" fontId="37" fillId="24" borderId="17" xfId="157" applyNumberFormat="1" applyFont="1" applyFill="1" applyBorder="1"/>
    <xf numFmtId="166" fontId="49" fillId="3" borderId="17" xfId="153" applyNumberFormat="1" applyFont="1" applyFill="1" applyBorder="1"/>
    <xf numFmtId="164" fontId="47" fillId="3" borderId="17" xfId="157" applyNumberFormat="1" applyFont="1" applyFill="1" applyBorder="1"/>
    <xf numFmtId="166" fontId="67" fillId="3" borderId="17" xfId="153" applyNumberFormat="1" applyFont="1" applyFill="1" applyBorder="1"/>
    <xf numFmtId="166" fontId="4" fillId="3" borderId="17" xfId="153" applyNumberFormat="1" applyFont="1" applyFill="1" applyBorder="1"/>
    <xf numFmtId="10" fontId="4" fillId="26" borderId="17" xfId="157" applyNumberFormat="1" applyFont="1" applyFill="1" applyBorder="1"/>
    <xf numFmtId="37" fontId="64" fillId="3" borderId="17" xfId="157" applyNumberFormat="1" applyFont="1" applyFill="1" applyBorder="1"/>
    <xf numFmtId="37" fontId="49" fillId="7" borderId="17" xfId="157" applyNumberFormat="1" applyFont="1" applyFill="1" applyBorder="1"/>
    <xf numFmtId="9" fontId="4" fillId="8" borderId="17" xfId="157" applyNumberFormat="1" applyFont="1" applyFill="1" applyBorder="1"/>
    <xf numFmtId="9" fontId="4" fillId="7" borderId="17" xfId="157" applyNumberFormat="1" applyFont="1" applyFill="1" applyBorder="1"/>
    <xf numFmtId="166" fontId="4" fillId="7" borderId="17" xfId="157" applyNumberFormat="1" applyFont="1" applyFill="1" applyBorder="1"/>
    <xf numFmtId="166" fontId="81" fillId="3" borderId="17" xfId="153" applyNumberFormat="1" applyFont="1" applyFill="1" applyBorder="1"/>
    <xf numFmtId="167" fontId="67" fillId="7" borderId="17" xfId="164" applyNumberFormat="1" applyFont="1" applyFill="1" applyBorder="1"/>
    <xf numFmtId="166" fontId="67" fillId="3" borderId="17" xfId="157" applyNumberFormat="1" applyFont="1" applyFill="1" applyBorder="1"/>
    <xf numFmtId="166" fontId="4" fillId="3" borderId="17" xfId="157" applyNumberFormat="1" applyFont="1" applyFill="1" applyBorder="1"/>
    <xf numFmtId="167" fontId="7" fillId="7" borderId="17" xfId="164" applyNumberFormat="1" applyFont="1" applyFill="1" applyBorder="1" applyAlignment="1">
      <alignment horizontal="left" indent="3"/>
    </xf>
    <xf numFmtId="10" fontId="4" fillId="7" borderId="17" xfId="0" applyNumberFormat="1" applyFont="1" applyFill="1" applyBorder="1" applyAlignment="1">
      <alignment horizontal="right"/>
    </xf>
    <xf numFmtId="37" fontId="7" fillId="3" borderId="17" xfId="154" applyNumberFormat="1" applyFont="1" applyFill="1" applyBorder="1"/>
    <xf numFmtId="37" fontId="81" fillId="7" borderId="17" xfId="157" applyNumberFormat="1" applyFont="1" applyFill="1" applyBorder="1"/>
    <xf numFmtId="37" fontId="7" fillId="7" borderId="17" xfId="154" applyNumberFormat="1" applyFont="1" applyFill="1" applyBorder="1"/>
    <xf numFmtId="37" fontId="81" fillId="3" borderId="17" xfId="154" applyNumberFormat="1" applyFont="1" applyFill="1" applyBorder="1"/>
    <xf numFmtId="37" fontId="4" fillId="7" borderId="17" xfId="154" applyNumberFormat="1" applyFont="1" applyFill="1" applyBorder="1"/>
    <xf numFmtId="37" fontId="49" fillId="0" borderId="17" xfId="154" applyNumberFormat="1" applyFont="1" applyFill="1" applyBorder="1"/>
    <xf numFmtId="37" fontId="81" fillId="7" borderId="17" xfId="154" applyNumberFormat="1" applyFont="1" applyFill="1" applyBorder="1"/>
    <xf numFmtId="37" fontId="49" fillId="3" borderId="17" xfId="154" applyNumberFormat="1" applyFont="1" applyFill="1" applyBorder="1"/>
    <xf numFmtId="37" fontId="37" fillId="18" borderId="17" xfId="154" applyNumberFormat="1" applyFont="1" applyFill="1" applyBorder="1"/>
    <xf numFmtId="9" fontId="77" fillId="3" borderId="17" xfId="164" applyFont="1" applyFill="1" applyBorder="1"/>
    <xf numFmtId="37" fontId="49" fillId="7" borderId="17" xfId="154" applyNumberFormat="1" applyFont="1" applyFill="1" applyBorder="1"/>
    <xf numFmtId="166" fontId="49" fillId="3" borderId="17" xfId="154" applyNumberFormat="1" applyFont="1" applyFill="1" applyBorder="1"/>
    <xf numFmtId="164" fontId="60" fillId="3" borderId="17" xfId="157" applyNumberFormat="1" applyFont="1" applyFill="1" applyBorder="1"/>
    <xf numFmtId="0" fontId="4" fillId="24" borderId="17" xfId="157" applyFont="1" applyFill="1" applyBorder="1"/>
    <xf numFmtId="9" fontId="25" fillId="7" borderId="17" xfId="164" applyFont="1" applyFill="1" applyBorder="1"/>
    <xf numFmtId="0" fontId="25" fillId="7" borderId="17" xfId="0" applyFont="1" applyFill="1" applyBorder="1" applyAlignment="1">
      <alignment horizontal="right"/>
    </xf>
    <xf numFmtId="166" fontId="26" fillId="7" borderId="17" xfId="0" applyNumberFormat="1" applyFont="1" applyFill="1" applyBorder="1"/>
    <xf numFmtId="166" fontId="25" fillId="7" borderId="17" xfId="0" applyNumberFormat="1" applyFont="1" applyFill="1" applyBorder="1"/>
    <xf numFmtId="0" fontId="25" fillId="7" borderId="17" xfId="0" applyFont="1" applyFill="1" applyBorder="1"/>
    <xf numFmtId="166" fontId="53" fillId="7" borderId="17" xfId="0" applyNumberFormat="1" applyFont="1" applyFill="1" applyBorder="1"/>
    <xf numFmtId="43" fontId="7" fillId="7" borderId="17" xfId="0" applyNumberFormat="1" applyFont="1" applyFill="1" applyBorder="1"/>
    <xf numFmtId="0" fontId="6" fillId="27" borderId="17" xfId="0" applyFont="1" applyFill="1" applyBorder="1" applyAlignment="1">
      <alignment horizontal="right"/>
    </xf>
    <xf numFmtId="166" fontId="7" fillId="26" borderId="17" xfId="164" applyNumberFormat="1" applyFont="1" applyFill="1" applyBorder="1"/>
    <xf numFmtId="167" fontId="60" fillId="7" borderId="17" xfId="164" applyNumberFormat="1" applyFont="1" applyFill="1" applyBorder="1"/>
    <xf numFmtId="167" fontId="60" fillId="7" borderId="0" xfId="164" applyNumberFormat="1" applyFont="1" applyFill="1" applyBorder="1" applyAlignment="1"/>
    <xf numFmtId="167" fontId="60" fillId="7" borderId="17" xfId="164" applyNumberFormat="1" applyFont="1" applyFill="1" applyBorder="1" applyAlignment="1"/>
    <xf numFmtId="9" fontId="141" fillId="7" borderId="0" xfId="164" applyNumberFormat="1" applyFont="1" applyFill="1" applyBorder="1"/>
    <xf numFmtId="9" fontId="37" fillId="7" borderId="0" xfId="164" applyNumberFormat="1" applyFont="1" applyFill="1" applyBorder="1" applyAlignment="1">
      <alignment horizontal="left" indent="1"/>
    </xf>
    <xf numFmtId="9" fontId="37" fillId="7" borderId="0" xfId="164" applyNumberFormat="1" applyFont="1" applyFill="1" applyBorder="1" applyAlignment="1">
      <alignment horizontal="right"/>
    </xf>
    <xf numFmtId="9" fontId="37" fillId="7" borderId="17" xfId="164" applyNumberFormat="1" applyFont="1" applyFill="1" applyBorder="1" applyAlignment="1">
      <alignment horizontal="right"/>
    </xf>
    <xf numFmtId="9" fontId="61" fillId="7" borderId="0" xfId="164" applyNumberFormat="1" applyFont="1" applyFill="1" applyBorder="1" applyAlignment="1"/>
    <xf numFmtId="9" fontId="61" fillId="7" borderId="17" xfId="164" applyNumberFormat="1" applyFont="1" applyFill="1" applyBorder="1" applyAlignment="1"/>
    <xf numFmtId="9" fontId="37" fillId="7" borderId="0" xfId="164" applyNumberFormat="1" applyFont="1" applyFill="1" applyBorder="1" applyAlignment="1"/>
    <xf numFmtId="9" fontId="37" fillId="7" borderId="17" xfId="164" applyNumberFormat="1" applyFont="1" applyFill="1" applyBorder="1" applyAlignment="1"/>
    <xf numFmtId="9" fontId="100" fillId="7" borderId="0" xfId="164" applyNumberFormat="1" applyFont="1" applyFill="1" applyBorder="1"/>
    <xf numFmtId="9" fontId="4" fillId="7" borderId="0" xfId="164" applyNumberFormat="1" applyFont="1" applyFill="1" applyBorder="1" applyAlignment="1">
      <alignment horizontal="left" indent="3"/>
    </xf>
    <xf numFmtId="9" fontId="4" fillId="7" borderId="0" xfId="164" applyNumberFormat="1" applyFont="1" applyFill="1" applyBorder="1" applyAlignment="1">
      <alignment horizontal="right"/>
    </xf>
    <xf numFmtId="9" fontId="4" fillId="7" borderId="17" xfId="164" applyNumberFormat="1" applyFont="1" applyFill="1" applyBorder="1" applyAlignment="1">
      <alignment horizontal="right"/>
    </xf>
    <xf numFmtId="9" fontId="62" fillId="7" borderId="0" xfId="164" applyNumberFormat="1" applyFont="1" applyFill="1" applyBorder="1" applyAlignment="1"/>
    <xf numFmtId="9" fontId="62" fillId="7" borderId="17" xfId="164" applyNumberFormat="1" applyFont="1" applyFill="1" applyBorder="1" applyAlignment="1"/>
    <xf numFmtId="9" fontId="100" fillId="7" borderId="0" xfId="0" applyNumberFormat="1" applyFont="1" applyFill="1" applyBorder="1"/>
    <xf numFmtId="9" fontId="4" fillId="7" borderId="0" xfId="0" applyNumberFormat="1" applyFont="1" applyFill="1" applyBorder="1" applyAlignment="1">
      <alignment horizontal="left" indent="3"/>
    </xf>
    <xf numFmtId="9" fontId="4" fillId="7" borderId="0" xfId="153" applyNumberFormat="1" applyFont="1" applyFill="1" applyBorder="1"/>
    <xf numFmtId="9" fontId="4" fillId="7" borderId="0" xfId="153" applyNumberFormat="1" applyFont="1" applyFill="1" applyBorder="1" applyAlignment="1">
      <alignment horizontal="right"/>
    </xf>
    <xf numFmtId="9" fontId="67" fillId="7" borderId="0" xfId="0" applyNumberFormat="1" applyFont="1" applyFill="1" applyBorder="1"/>
    <xf numFmtId="9" fontId="67" fillId="7" borderId="0" xfId="153" applyNumberFormat="1" applyFont="1" applyFill="1" applyBorder="1"/>
    <xf numFmtId="9" fontId="141" fillId="7" borderId="0" xfId="0" applyNumberFormat="1" applyFont="1" applyFill="1" applyBorder="1"/>
    <xf numFmtId="9" fontId="37" fillId="7" borderId="0" xfId="0" applyNumberFormat="1" applyFont="1" applyFill="1" applyBorder="1" applyAlignment="1">
      <alignment horizontal="left" indent="1"/>
    </xf>
    <xf numFmtId="9" fontId="37" fillId="7" borderId="0" xfId="0" applyNumberFormat="1" applyFont="1" applyFill="1" applyBorder="1"/>
    <xf numFmtId="9" fontId="37" fillId="7" borderId="0" xfId="153" applyNumberFormat="1" applyFont="1" applyFill="1" applyBorder="1"/>
    <xf numFmtId="0" fontId="7" fillId="18" borderId="17" xfId="0" applyFont="1" applyFill="1" applyBorder="1" applyAlignment="1"/>
    <xf numFmtId="166" fontId="70" fillId="7" borderId="17" xfId="153" applyNumberFormat="1" applyFont="1" applyFill="1" applyBorder="1"/>
    <xf numFmtId="166" fontId="71" fillId="7" borderId="17" xfId="153" applyNumberFormat="1" applyFont="1" applyFill="1" applyBorder="1"/>
    <xf numFmtId="166" fontId="7" fillId="10" borderId="17" xfId="153" applyNumberFormat="1" applyFont="1" applyFill="1" applyBorder="1" applyAlignment="1"/>
    <xf numFmtId="166" fontId="69" fillId="7" borderId="17" xfId="153" applyNumberFormat="1" applyFont="1" applyFill="1" applyBorder="1" applyAlignment="1"/>
    <xf numFmtId="166" fontId="71" fillId="7" borderId="17" xfId="0" applyNumberFormat="1" applyFont="1" applyFill="1" applyBorder="1" applyAlignment="1"/>
    <xf numFmtId="167" fontId="7" fillId="7" borderId="17" xfId="0" applyNumberFormat="1" applyFont="1" applyFill="1" applyBorder="1"/>
    <xf numFmtId="166" fontId="70" fillId="7" borderId="17" xfId="0" applyNumberFormat="1" applyFont="1" applyFill="1" applyBorder="1" applyAlignment="1"/>
    <xf numFmtId="37" fontId="7" fillId="26" borderId="17" xfId="0" applyNumberFormat="1" applyFont="1" applyFill="1" applyBorder="1"/>
    <xf numFmtId="166" fontId="7" fillId="26" borderId="17" xfId="153" applyNumberFormat="1" applyFont="1" applyFill="1" applyBorder="1"/>
    <xf numFmtId="166" fontId="6" fillId="7" borderId="17" xfId="164" applyNumberFormat="1" applyFont="1" applyFill="1" applyBorder="1" applyAlignment="1"/>
    <xf numFmtId="10" fontId="7" fillId="7" borderId="17" xfId="164" applyNumberFormat="1" applyFont="1" applyFill="1" applyBorder="1"/>
    <xf numFmtId="166" fontId="7" fillId="7" borderId="17" xfId="0" applyNumberFormat="1" applyFont="1" applyFill="1" applyBorder="1" applyAlignment="1"/>
    <xf numFmtId="9" fontId="7" fillId="7" borderId="17" xfId="153" applyNumberFormat="1" applyFont="1" applyFill="1" applyBorder="1" applyAlignment="1"/>
    <xf numFmtId="167" fontId="7" fillId="7" borderId="17" xfId="153" applyNumberFormat="1" applyFont="1" applyFill="1" applyBorder="1" applyAlignment="1"/>
    <xf numFmtId="9" fontId="7" fillId="7" borderId="17" xfId="0" applyNumberFormat="1" applyFont="1" applyFill="1" applyBorder="1"/>
    <xf numFmtId="9" fontId="28" fillId="7" borderId="17" xfId="164" applyFont="1" applyFill="1" applyBorder="1" applyAlignment="1"/>
    <xf numFmtId="166" fontId="71" fillId="7" borderId="17" xfId="0" applyNumberFormat="1" applyFont="1" applyFill="1" applyBorder="1"/>
    <xf numFmtId="167" fontId="7" fillId="7" borderId="17" xfId="0" applyNumberFormat="1" applyFont="1" applyFill="1" applyBorder="1" applyAlignment="1"/>
    <xf numFmtId="167" fontId="7" fillId="12" borderId="17" xfId="0" applyNumberFormat="1" applyFont="1" applyFill="1" applyBorder="1" applyAlignment="1"/>
    <xf numFmtId="9" fontId="7" fillId="7" borderId="17" xfId="0" applyNumberFormat="1" applyFont="1" applyFill="1" applyBorder="1" applyAlignment="1"/>
    <xf numFmtId="37" fontId="7" fillId="10" borderId="17" xfId="153" applyNumberFormat="1" applyFont="1" applyFill="1" applyBorder="1" applyAlignment="1"/>
    <xf numFmtId="37" fontId="70" fillId="7" borderId="17" xfId="0" applyNumberFormat="1" applyFont="1" applyFill="1" applyBorder="1"/>
    <xf numFmtId="37" fontId="101" fillId="7" borderId="17" xfId="0" applyNumberFormat="1" applyFont="1" applyFill="1" applyBorder="1" applyAlignment="1"/>
    <xf numFmtId="37" fontId="71" fillId="7" borderId="17" xfId="0" applyNumberFormat="1" applyFont="1" applyFill="1" applyBorder="1" applyAlignment="1"/>
    <xf numFmtId="37" fontId="70" fillId="7" borderId="17" xfId="0" applyNumberFormat="1" applyFont="1" applyFill="1" applyBorder="1" applyAlignment="1"/>
    <xf numFmtId="166" fontId="7" fillId="17" borderId="17" xfId="153" applyNumberFormat="1" applyFont="1" applyFill="1" applyBorder="1" applyAlignment="1"/>
    <xf numFmtId="37" fontId="28" fillId="7" borderId="17" xfId="0" applyNumberFormat="1" applyFont="1" applyFill="1" applyBorder="1"/>
    <xf numFmtId="43" fontId="6" fillId="7" borderId="17" xfId="153" applyFont="1" applyFill="1" applyBorder="1"/>
    <xf numFmtId="166" fontId="71" fillId="10" borderId="17" xfId="153" applyNumberFormat="1" applyFont="1" applyFill="1" applyBorder="1"/>
    <xf numFmtId="166" fontId="70" fillId="7" borderId="17" xfId="153" applyNumberFormat="1" applyFont="1" applyFill="1" applyBorder="1" applyAlignment="1"/>
    <xf numFmtId="43" fontId="7" fillId="7" borderId="17" xfId="0" applyNumberFormat="1" applyFont="1" applyFill="1" applyBorder="1" applyAlignment="1"/>
    <xf numFmtId="37" fontId="71" fillId="7" borderId="17" xfId="0" applyNumberFormat="1" applyFont="1" applyFill="1" applyBorder="1" applyAlignment="1">
      <alignment horizontal="right"/>
    </xf>
    <xf numFmtId="37" fontId="37" fillId="7" borderId="17" xfId="0" applyNumberFormat="1" applyFont="1" applyFill="1" applyBorder="1" applyAlignment="1">
      <alignment horizontal="right"/>
    </xf>
    <xf numFmtId="0" fontId="47" fillId="7" borderId="17" xfId="0" applyFont="1" applyFill="1" applyBorder="1"/>
    <xf numFmtId="167" fontId="66" fillId="7" borderId="17" xfId="164" applyNumberFormat="1" applyFont="1" applyFill="1" applyBorder="1" applyAlignment="1"/>
    <xf numFmtId="204" fontId="6" fillId="7" borderId="17" xfId="153" applyNumberFormat="1" applyFont="1" applyFill="1" applyBorder="1" applyAlignment="1"/>
    <xf numFmtId="9" fontId="4" fillId="15" borderId="0" xfId="164" applyFont="1" applyFill="1" applyBorder="1"/>
    <xf numFmtId="0" fontId="141" fillId="53" borderId="0" xfId="0" applyFont="1" applyFill="1" applyBorder="1"/>
    <xf numFmtId="0" fontId="6" fillId="53" borderId="0" xfId="0" applyFont="1" applyFill="1" applyBorder="1"/>
    <xf numFmtId="166" fontId="37" fillId="53" borderId="0" xfId="153" applyNumberFormat="1" applyFont="1" applyFill="1" applyBorder="1" applyAlignment="1"/>
    <xf numFmtId="166" fontId="37" fillId="53" borderId="17" xfId="153" applyNumberFormat="1" applyFont="1" applyFill="1" applyBorder="1" applyAlignment="1"/>
    <xf numFmtId="9" fontId="37" fillId="53" borderId="0" xfId="153" applyNumberFormat="1" applyFont="1" applyFill="1" applyBorder="1" applyAlignment="1"/>
    <xf numFmtId="0" fontId="37" fillId="53" borderId="0" xfId="0" applyFont="1" applyFill="1" applyBorder="1"/>
    <xf numFmtId="0" fontId="37" fillId="53" borderId="17" xfId="0" applyFont="1" applyFill="1" applyBorder="1" applyAlignment="1"/>
    <xf numFmtId="166" fontId="6" fillId="53" borderId="0" xfId="153" applyNumberFormat="1" applyFont="1" applyFill="1" applyBorder="1" applyAlignment="1"/>
    <xf numFmtId="166" fontId="6" fillId="53" borderId="17" xfId="153" applyNumberFormat="1" applyFont="1" applyFill="1" applyBorder="1" applyAlignment="1"/>
    <xf numFmtId="167" fontId="37" fillId="53" borderId="0" xfId="164" applyNumberFormat="1" applyFont="1" applyFill="1" applyBorder="1" applyAlignment="1"/>
    <xf numFmtId="9" fontId="37" fillId="53" borderId="0" xfId="164" applyFont="1" applyFill="1" applyBorder="1"/>
    <xf numFmtId="0" fontId="100" fillId="53" borderId="0" xfId="0" applyFont="1" applyFill="1" applyBorder="1"/>
    <xf numFmtId="0" fontId="7" fillId="53" borderId="0" xfId="0" applyFont="1" applyFill="1" applyBorder="1" applyAlignment="1">
      <alignment horizontal="left" indent="3"/>
    </xf>
    <xf numFmtId="0" fontId="77" fillId="53" borderId="0" xfId="0" applyFont="1" applyFill="1" applyBorder="1" applyAlignment="1"/>
    <xf numFmtId="0" fontId="4" fillId="53" borderId="0" xfId="0" applyFont="1" applyFill="1" applyBorder="1"/>
    <xf numFmtId="9" fontId="4" fillId="53" borderId="0" xfId="164" applyFont="1" applyFill="1" applyBorder="1" applyAlignment="1"/>
    <xf numFmtId="9" fontId="4" fillId="53" borderId="17" xfId="164" applyFont="1" applyFill="1" applyBorder="1" applyAlignment="1"/>
    <xf numFmtId="9" fontId="4" fillId="53" borderId="0" xfId="153" applyNumberFormat="1" applyFont="1" applyFill="1" applyBorder="1" applyAlignment="1"/>
    <xf numFmtId="0" fontId="4" fillId="53" borderId="0" xfId="0" applyFont="1" applyFill="1" applyBorder="1" applyAlignment="1"/>
    <xf numFmtId="0" fontId="4" fillId="53" borderId="17" xfId="0" applyFont="1" applyFill="1" applyBorder="1" applyAlignment="1"/>
    <xf numFmtId="167" fontId="4" fillId="53" borderId="0" xfId="164" applyNumberFormat="1" applyFont="1" applyFill="1" applyBorder="1" applyAlignment="1"/>
    <xf numFmtId="9" fontId="4" fillId="53" borderId="0" xfId="164" applyFont="1" applyFill="1" applyBorder="1"/>
    <xf numFmtId="0" fontId="6" fillId="53" borderId="0" xfId="0" applyFont="1" applyFill="1" applyBorder="1" applyAlignment="1"/>
    <xf numFmtId="0" fontId="85" fillId="53" borderId="0" xfId="0" applyFont="1" applyFill="1" applyBorder="1" applyAlignment="1"/>
    <xf numFmtId="166" fontId="37" fillId="53" borderId="0" xfId="153" applyNumberFormat="1" applyFont="1" applyFill="1" applyBorder="1"/>
    <xf numFmtId="9" fontId="7" fillId="53" borderId="0" xfId="164" applyFont="1" applyFill="1" applyBorder="1" applyAlignment="1"/>
    <xf numFmtId="9" fontId="7" fillId="53" borderId="17" xfId="164" applyFont="1" applyFill="1" applyBorder="1" applyAlignment="1"/>
    <xf numFmtId="166" fontId="7" fillId="3" borderId="0" xfId="157" applyNumberFormat="1" applyFont="1" applyFill="1" applyBorder="1"/>
    <xf numFmtId="0" fontId="7" fillId="22" borderId="17" xfId="0" applyFont="1" applyFill="1" applyBorder="1" applyAlignment="1"/>
    <xf numFmtId="0" fontId="7" fillId="22" borderId="0" xfId="0" applyFont="1" applyFill="1" applyBorder="1" applyAlignment="1"/>
    <xf numFmtId="166" fontId="78" fillId="22" borderId="0" xfId="153" applyNumberFormat="1" applyFont="1" applyFill="1" applyBorder="1" applyAlignment="1"/>
    <xf numFmtId="37" fontId="78" fillId="22" borderId="0" xfId="0" applyNumberFormat="1" applyFont="1" applyFill="1" applyBorder="1" applyAlignment="1">
      <alignment horizontal="right"/>
    </xf>
    <xf numFmtId="0" fontId="6" fillId="3" borderId="11" xfId="157" applyFont="1" applyFill="1" applyBorder="1" applyAlignment="1">
      <alignment horizontal="center" vertical="center" wrapText="1"/>
    </xf>
    <xf numFmtId="0" fontId="6" fillId="3" borderId="24" xfId="157" applyFont="1" applyFill="1" applyBorder="1" applyAlignment="1">
      <alignment horizontal="center" vertical="center" wrapText="1"/>
    </xf>
    <xf numFmtId="0" fontId="6" fillId="3" borderId="11" xfId="157" applyFont="1" applyFill="1" applyBorder="1" applyAlignment="1">
      <alignment horizontal="center"/>
    </xf>
    <xf numFmtId="0" fontId="6" fillId="3" borderId="0" xfId="157" applyFont="1" applyFill="1" applyBorder="1" applyAlignment="1">
      <alignment horizontal="center"/>
    </xf>
    <xf numFmtId="0" fontId="6" fillId="3" borderId="9" xfId="157" applyFont="1" applyFill="1" applyBorder="1" applyAlignment="1">
      <alignment horizontal="center"/>
    </xf>
    <xf numFmtId="0" fontId="57" fillId="13" borderId="7" xfId="0" applyFont="1" applyFill="1" applyBorder="1" applyAlignment="1">
      <alignment horizontal="center"/>
    </xf>
    <xf numFmtId="0" fontId="7" fillId="0" borderId="0" xfId="157"/>
    <xf numFmtId="0" fontId="7" fillId="54" borderId="0" xfId="355" applyFont="1" applyFill="1" applyAlignment="1">
      <alignment vertical="top"/>
    </xf>
    <xf numFmtId="0" fontId="7" fillId="54" borderId="0" xfId="157" applyFill="1" applyAlignment="1">
      <alignment vertical="top"/>
    </xf>
    <xf numFmtId="0" fontId="7" fillId="54" borderId="0" xfId="157" applyFill="1"/>
    <xf numFmtId="0" fontId="31" fillId="54" borderId="0" xfId="355" applyFont="1" applyFill="1" applyAlignment="1">
      <alignment horizontal="left" vertical="top"/>
    </xf>
    <xf numFmtId="0" fontId="7" fillId="54" borderId="0" xfId="157" applyFont="1" applyFill="1" applyAlignment="1">
      <alignment vertical="top"/>
    </xf>
    <xf numFmtId="0" fontId="28" fillId="54" borderId="0" xfId="355" applyFont="1" applyFill="1" applyAlignment="1">
      <alignment vertical="top"/>
    </xf>
    <xf numFmtId="0" fontId="0" fillId="54" borderId="0" xfId="0" applyFill="1" applyAlignment="1">
      <alignment vertical="top"/>
    </xf>
    <xf numFmtId="0" fontId="145" fillId="54" borderId="0" xfId="0" applyFont="1" applyFill="1" applyAlignment="1">
      <alignment vertical="top"/>
    </xf>
    <xf numFmtId="0" fontId="146" fillId="54" borderId="0" xfId="0" applyFont="1" applyFill="1" applyAlignment="1">
      <alignment vertical="top"/>
    </xf>
    <xf numFmtId="0" fontId="146" fillId="54" borderId="0" xfId="0" applyFont="1" applyFill="1" applyAlignment="1">
      <alignment vertical="top"/>
    </xf>
    <xf numFmtId="0" fontId="145" fillId="54" borderId="0" xfId="0" applyFont="1" applyFill="1" applyAlignment="1">
      <alignment vertical="top"/>
    </xf>
    <xf numFmtId="0" fontId="0" fillId="54" borderId="0" xfId="0" applyFill="1" applyAlignment="1">
      <alignment vertical="top"/>
    </xf>
    <xf numFmtId="0" fontId="0" fillId="54" borderId="35" xfId="0" applyFill="1" applyBorder="1" applyAlignment="1">
      <alignment vertical="top"/>
    </xf>
    <xf numFmtId="0" fontId="145" fillId="54" borderId="31" xfId="0" applyFont="1" applyFill="1" applyBorder="1" applyAlignment="1">
      <alignment vertical="top"/>
    </xf>
    <xf numFmtId="0" fontId="145" fillId="54" borderId="32" xfId="0" applyFont="1" applyFill="1" applyBorder="1" applyAlignment="1">
      <alignment vertical="top"/>
    </xf>
    <xf numFmtId="0" fontId="145" fillId="54" borderId="33" xfId="0" applyFont="1" applyFill="1" applyBorder="1" applyAlignment="1">
      <alignment vertical="top"/>
    </xf>
    <xf numFmtId="0" fontId="145" fillId="54" borderId="34" xfId="0" applyFont="1" applyFill="1" applyBorder="1" applyAlignment="1">
      <alignment vertical="top"/>
    </xf>
    <xf numFmtId="9" fontId="145" fillId="54" borderId="31" xfId="0" applyNumberFormat="1" applyFont="1" applyFill="1" applyBorder="1" applyAlignment="1">
      <alignment vertical="top"/>
    </xf>
    <xf numFmtId="3" fontId="145" fillId="54" borderId="31" xfId="0" applyNumberFormat="1" applyFont="1" applyFill="1" applyBorder="1" applyAlignment="1">
      <alignment vertical="top"/>
    </xf>
    <xf numFmtId="0" fontId="0" fillId="54" borderId="36" xfId="0" applyFill="1" applyBorder="1" applyAlignment="1">
      <alignment vertical="top"/>
    </xf>
    <xf numFmtId="2" fontId="7" fillId="0" borderId="0" xfId="157" applyNumberFormat="1" applyAlignment="1">
      <alignment horizontal="left"/>
    </xf>
    <xf numFmtId="0" fontId="7" fillId="0" borderId="0" xfId="157" applyNumberFormat="1" applyAlignment="1">
      <alignment horizontal="left"/>
    </xf>
    <xf numFmtId="1" fontId="7" fillId="0" borderId="0" xfId="157" applyNumberFormat="1" applyAlignment="1">
      <alignment horizontal="left"/>
    </xf>
    <xf numFmtId="0" fontId="7" fillId="0" borderId="0" xfId="157" applyFont="1"/>
    <xf numFmtId="210" fontId="7" fillId="0" borderId="0" xfId="157" applyNumberFormat="1" applyAlignment="1">
      <alignment horizontal="left"/>
    </xf>
    <xf numFmtId="49" fontId="7" fillId="0" borderId="0" xfId="157" applyNumberFormat="1"/>
  </cellXfs>
  <cellStyles count="356">
    <cellStyle name="_x0007_" xfId="192"/>
    <cellStyle name=" 1" xfId="1"/>
    <cellStyle name="_x000a_386grabber=M" xfId="193"/>
    <cellStyle name="_x000a_386grabber=M 2" xfId="194"/>
    <cellStyle name="%" xfId="195"/>
    <cellStyle name="??&amp;O?&amp;H?_x0008_??_x0007__x0001__x0001_" xfId="196"/>
    <cellStyle name="?@?_1101.TW" xfId="197"/>
    <cellStyle name="?@疾_2332JT3_2313COP2 " xfId="2"/>
    <cellStyle name="?_GS_Cash " xfId="3"/>
    <cellStyle name="?Q\?1@" xfId="198"/>
    <cellStyle name="@_text_030811.TPH.Aigner.JA list_20060612.soufun.deferred tax reconciliation v2 " xfId="4"/>
    <cellStyle name="@_text_030811.TPH.Aigner.JA list_20060612.soufun.deferred tax reconciliation v2---0618-2210 " xfId="5"/>
    <cellStyle name="@_text_030811.TPH.Aigner.JA list_20060623.soufun.deferred tax reconciliation v2 " xfId="6"/>
    <cellStyle name="@_text_030811.TPH.Aigner.JA list_20060626.soufun.deferred tax reconciliation v1 " xfId="7"/>
    <cellStyle name="@_text_030811.TPH.Aigner.JA list_20060626.soufun.deferred tax reconciliation v12 " xfId="8"/>
    <cellStyle name="@_text_030811.TPH.Aigner.JA list_20060626.soufun.deferred tax reconciliation v7 " xfId="9"/>
    <cellStyle name="@_text_030811.TPH.Aigner.JA list_20060626.soufun.deferred tax reconciliation v8 " xfId="10"/>
    <cellStyle name="@_text_030811.TPH.Aigner.JA list_20060812.soufun.deferred tax reconciliation v14 " xfId="11"/>
    <cellStyle name="@_text_2002.Ferragamo.wp_20060612.soufun.deferred tax reconciliation v2 " xfId="12"/>
    <cellStyle name="@_text_2002.Ferragamo.wp_20060612.soufun.deferred tax reconciliation v2---0618-2210 " xfId="13"/>
    <cellStyle name="@_text_2002.Ferragamo.wp_20060623.soufun.deferred tax reconciliation v2 " xfId="14"/>
    <cellStyle name="@_text_2002.Ferragamo.wp_20060626.soufun.deferred tax reconciliation v1 " xfId="15"/>
    <cellStyle name="@_text_2002.Ferragamo.wp_20060626.soufun.deferred tax reconciliation v12 " xfId="16"/>
    <cellStyle name="@_text_2002.Ferragamo.wp_20060626.soufun.deferred tax reconciliation v7 " xfId="17"/>
    <cellStyle name="@_text_2002.Ferragamo.wp_20060626.soufun.deferred tax reconciliation v8 " xfId="18"/>
    <cellStyle name="@_text_2002.Ferragamo.wp_20060812.soufun.deferred tax reconciliation v14 " xfId="19"/>
    <cellStyle name="@_text_20060612.soufun.deferred tax reconciliation v2 " xfId="20"/>
    <cellStyle name="@_text_20060612.soufun.deferred tax reconciliation v2---0618-2210 " xfId="21"/>
    <cellStyle name="@_text_20060623.soufun.deferred tax reconciliation v2 " xfId="22"/>
    <cellStyle name="@_text_20060626.soufun.deferred tax reconciliation v1 " xfId="23"/>
    <cellStyle name="@_text_20060626.soufun.deferred tax reconciliation v12 " xfId="24"/>
    <cellStyle name="@_text_20060626.soufun.deferred tax reconciliation v7 " xfId="25"/>
    <cellStyle name="@_text_20060626.soufun.deferred tax reconciliation v8 " xfId="26"/>
    <cellStyle name="@_text_20060812.soufun.deferred tax reconciliation v14 " xfId="27"/>
    <cellStyle name="@_text_Balance sheet of ESCADA 2002_20060612.soufun.deferred tax reconciliation v2 " xfId="28"/>
    <cellStyle name="@_text_Balance sheet of ESCADA 2002_20060612.soufun.deferred tax reconciliation v2---0618-2210 " xfId="29"/>
    <cellStyle name="@_text_Balance sheet of ESCADA 2002_20060623.soufun.deferred tax reconciliation v2 " xfId="30"/>
    <cellStyle name="@_text_Balance sheet of ESCADA 2002_20060626.soufun.deferred tax reconciliation v1 " xfId="31"/>
    <cellStyle name="@_text_Balance sheet of ESCADA 2002_20060626.soufun.deferred tax reconciliation v12 " xfId="32"/>
    <cellStyle name="@_text_Balance sheet of ESCADA 2002_20060626.soufun.deferred tax reconciliation v7 " xfId="33"/>
    <cellStyle name="@_text_Balance sheet of ESCADA 2002_20060626.soufun.deferred tax reconciliation v8 " xfId="34"/>
    <cellStyle name="@_text_Balance sheet of ESCADA 2002_20060812.soufun.deferred tax reconciliation v14 " xfId="35"/>
    <cellStyle name="@_text_Balance sheet of ESCADA_20060612.soufun.deferred tax reconciliation v2 " xfId="36"/>
    <cellStyle name="@_text_Balance sheet of ESCADA_20060612.soufun.deferred tax reconciliation v2---0618-2210 " xfId="37"/>
    <cellStyle name="@_text_Balance sheet of ESCADA_20060623.soufun.deferred tax reconciliation v2 " xfId="38"/>
    <cellStyle name="@_text_Balance sheet of ESCADA_20060626.soufun.deferred tax reconciliation v1 " xfId="39"/>
    <cellStyle name="@_text_Balance sheet of ESCADA_20060626.soufun.deferred tax reconciliation v12 " xfId="40"/>
    <cellStyle name="@_text_Balance sheet of ESCADA_20060626.soufun.deferred tax reconciliation v7 " xfId="41"/>
    <cellStyle name="@_text_Balance sheet of ESCADA_20060626.soufun.deferred tax reconciliation v8 " xfId="42"/>
    <cellStyle name="@_text_Balance sheet of ESCADA_20060812.soufun.deferred tax reconciliation v14 " xfId="43"/>
    <cellStyle name="@_text_deferred tax SITL_20060612.soufun.deferred tax reconciliation v2 " xfId="44"/>
    <cellStyle name="@_text_deferred tax SITL_20060612.soufun.deferred tax reconciliation v2---0618-2210 " xfId="45"/>
    <cellStyle name="@_text_deferred tax SITL_20060623.soufun.deferred tax reconciliation v2 " xfId="46"/>
    <cellStyle name="@_text_deferred tax SITL_20060626.soufun.deferred tax reconciliation v1 " xfId="47"/>
    <cellStyle name="@_text_deferred tax SITL_20060626.soufun.deferred tax reconciliation v12 " xfId="48"/>
    <cellStyle name="@_text_deferred tax SITL_20060626.soufun.deferred tax reconciliation v7 " xfId="49"/>
    <cellStyle name="@_text_deferred tax SITL_20060626.soufun.deferred tax reconciliation v8 " xfId="50"/>
    <cellStyle name="@_text_deferred tax SITL_20060812.soufun.deferred tax reconciliation v14 " xfId="51"/>
    <cellStyle name="@_text_pre-order list_20060612.soufun.deferred tax reconciliation v2 " xfId="52"/>
    <cellStyle name="@_text_pre-order list_20060612.soufun.deferred tax reconciliation v2---0618-2210 " xfId="53"/>
    <cellStyle name="@_text_pre-order list_20060623.soufun.deferred tax reconciliation v2 " xfId="54"/>
    <cellStyle name="@_text_pre-order list_20060626.soufun.deferred tax reconciliation v1 " xfId="55"/>
    <cellStyle name="@_text_pre-order list_20060626.soufun.deferred tax reconciliation v12 " xfId="56"/>
    <cellStyle name="@_text_pre-order list_20060626.soufun.deferred tax reconciliation v7 " xfId="57"/>
    <cellStyle name="@_text_pre-order list_20060626.soufun.deferred tax reconciliation v8 " xfId="58"/>
    <cellStyle name="@_text_pre-order list_20060812.soufun.deferred tax reconciliation v14 " xfId="59"/>
    <cellStyle name="@_text_sheet_20060612.soufun.deferred tax reconciliation v2 " xfId="60"/>
    <cellStyle name="@_text_sheet_20060612.soufun.deferred tax reconciliation v2---0618-2210 " xfId="61"/>
    <cellStyle name="@_text_sheet_20060623.soufun.deferred tax reconciliation v2 " xfId="62"/>
    <cellStyle name="@_text_sheet_20060626.soufun.deferred tax reconciliation v1 " xfId="63"/>
    <cellStyle name="@_text_sheet_20060626.soufun.deferred tax reconciliation v12 " xfId="64"/>
    <cellStyle name="@_text_sheet_20060626.soufun.deferred tax reconciliation v7 " xfId="65"/>
    <cellStyle name="@_text_sheet_20060626.soufun.deferred tax reconciliation v8 " xfId="66"/>
    <cellStyle name="@_text_sheet_20060812.soufun.deferred tax reconciliation v14 " xfId="67"/>
    <cellStyle name="@_text_SITL.WP.SL_20060612.soufun.deferred tax reconciliation v2 " xfId="68"/>
    <cellStyle name="@_text_SITL.WP.SL_20060612.soufun.deferred tax reconciliation v2---0618-2210 " xfId="69"/>
    <cellStyle name="@_text_SITL.WP.SL_20060623.soufun.deferred tax reconciliation v2 " xfId="70"/>
    <cellStyle name="@_text_SITL.WP.SL_20060626.soufun.deferred tax reconciliation v1 " xfId="71"/>
    <cellStyle name="@_text_SITL.WP.SL_20060626.soufun.deferred tax reconciliation v12 " xfId="72"/>
    <cellStyle name="@_text_SITL.WP.SL_20060626.soufun.deferred tax reconciliation v7 " xfId="73"/>
    <cellStyle name="@_text_SITL.WP.SL_20060626.soufun.deferred tax reconciliation v8 " xfId="74"/>
    <cellStyle name="@_text_SITL.WP.SL_20060812.soufun.deferred tax reconciliation v14 " xfId="75"/>
    <cellStyle name="@_text_unbilled cost_20060612.soufun.deferred tax reconciliation v2 " xfId="76"/>
    <cellStyle name="@_text_unbilled cost_20060612.soufun.deferred tax reconciliation v2---0618-2210 " xfId="77"/>
    <cellStyle name="@_text_unbilled cost_20060623.soufun.deferred tax reconciliation v2 " xfId="78"/>
    <cellStyle name="@_text_unbilled cost_20060626.soufun.deferred tax reconciliation v1 " xfId="79"/>
    <cellStyle name="@_text_unbilled cost_20060626.soufun.deferred tax reconciliation v12 " xfId="80"/>
    <cellStyle name="@_text_unbilled cost_20060626.soufun.deferred tax reconciliation v7 " xfId="81"/>
    <cellStyle name="@_text_unbilled cost_20060626.soufun.deferred tax reconciliation v8 " xfId="82"/>
    <cellStyle name="@_text_unbilled cost_20060812.soufun.deferred tax reconciliation v14 " xfId="83"/>
    <cellStyle name="_060522.soufun.deferred tax working 2004(3)_20060612.soufun.deferred tax reconciliation v2 " xfId="84"/>
    <cellStyle name="_060522.soufun.deferred tax working 2004(3)_20060612.soufun.deferred tax reconciliation v2---0618-2210 " xfId="85"/>
    <cellStyle name="_060522.soufun.deferred tax working 2004(3)_20060623.soufun.deferred tax reconciliation v2 " xfId="86"/>
    <cellStyle name="_060522.soufun.deferred tax working 2004(3)_20060626.soufun.deferred tax reconciliation v1 " xfId="87"/>
    <cellStyle name="_060522.soufun.deferred tax working 2004(3)_20060626.soufun.deferred tax reconciliation v12 " xfId="88"/>
    <cellStyle name="_060522.soufun.deferred tax working 2004(3)_20060626.soufun.deferred tax reconciliation v7 " xfId="89"/>
    <cellStyle name="_060522.soufun.deferred tax working 2004(3)_20060626.soufun.deferred tax reconciliation v8 " xfId="90"/>
    <cellStyle name="_060522.soufun.deferred tax working 2004(3)_20060812.soufun.deferred tax reconciliation v14 " xfId="91"/>
    <cellStyle name="_2006年第一季台灣行動電話產業產銷動態瞭望 " xfId="199"/>
    <cellStyle name="_applicable tax rate(2)_20060612.soufun.deferred tax reconciliation v2 " xfId="92"/>
    <cellStyle name="_applicable tax rate(2)_20060612.soufun.deferred tax reconciliation v2---0618-2210 " xfId="93"/>
    <cellStyle name="_applicable tax rate(2)_20060623.soufun.deferred tax reconciliation v2 " xfId="94"/>
    <cellStyle name="_applicable tax rate(2)_20060626.soufun.deferred tax reconciliation v1 " xfId="95"/>
    <cellStyle name="_applicable tax rate(2)_20060626.soufun.deferred tax reconciliation v12 " xfId="96"/>
    <cellStyle name="_applicable tax rate(2)_20060626.soufun.deferred tax reconciliation v7 " xfId="97"/>
    <cellStyle name="_applicable tax rate(2)_20060626.soufun.deferred tax reconciliation v8 " xfId="98"/>
    <cellStyle name="_applicable tax rate(2)_20060812.soufun.deferred tax reconciliation v14 " xfId="99"/>
    <cellStyle name="_China COSCO OLD " xfId="100"/>
    <cellStyle name="_GG2-1 AR - Bad debt provision " xfId="101"/>
    <cellStyle name="_GG2-1 AR - Bad debt provision  2" xfId="182"/>
    <cellStyle name="—_GS_Cash " xfId="102"/>
    <cellStyle name="—_Results_DCF ANALYSIS_HPI " xfId="103"/>
    <cellStyle name="—_Results_Rmb_HPI " xfId="104"/>
    <cellStyle name="—_Results_SH_HPI " xfId="105"/>
    <cellStyle name="_RRS10_Games " xfId="106"/>
    <cellStyle name="_SUMMARY " xfId="107"/>
    <cellStyle name="_SUMMARY _RRST1" xfId="200"/>
    <cellStyle name="_t060425.soufun.tax payable.v2_20060612.soufun.deferred tax reconciliation v2 " xfId="108"/>
    <cellStyle name="_t060425.soufun.tax payable.v2_20060612.soufun.deferred tax reconciliation v2---0618-2210 " xfId="109"/>
    <cellStyle name="_t060425.soufun.tax payable.v2_20060623.soufun.deferred tax reconciliation v2 " xfId="110"/>
    <cellStyle name="_t060425.soufun.tax payable.v2_20060626.soufun.deferred tax reconciliation v1 " xfId="111"/>
    <cellStyle name="_t060425.soufun.tax payable.v2_20060626.soufun.deferred tax reconciliation v12 " xfId="112"/>
    <cellStyle name="_t060425.soufun.tax payable.v2_20060626.soufun.deferred tax reconciliation v7 " xfId="113"/>
    <cellStyle name="_t060425.soufun.tax payable.v2_20060626.soufun.deferred tax reconciliation v8 " xfId="114"/>
    <cellStyle name="_t060425.soufun.tax payable.v2_20060812.soufun.deferred tax reconciliation v14 " xfId="115"/>
    <cellStyle name="_VOUCH_20060612.soufun.deferred tax reconciliation v2 " xfId="116"/>
    <cellStyle name="_VOUCH_20060612.soufun.deferred tax reconciliation v2---0618-2210 " xfId="117"/>
    <cellStyle name="_VOUCH_20060623.soufun.deferred tax reconciliation v2 " xfId="118"/>
    <cellStyle name="_VOUCH_20060626.soufun.deferred tax reconciliation v1 " xfId="119"/>
    <cellStyle name="_VOUCH_20060626.soufun.deferred tax reconciliation v12 " xfId="120"/>
    <cellStyle name="_VOUCH_20060626.soufun.deferred tax reconciliation v7 " xfId="121"/>
    <cellStyle name="_VOUCH_20060626.soufun.deferred tax reconciliation v8 " xfId="122"/>
    <cellStyle name="_VOUCH_20060812.soufun.deferred tax reconciliation v14 " xfId="123"/>
    <cellStyle name="_内_20060612.soufun.deferred tax reconciliation v2 " xfId="124"/>
    <cellStyle name="_内_20060612.soufun.deferred tax reconciliation v2---0618-2210 " xfId="125"/>
    <cellStyle name="_内_20060623.soufun.deferred tax reconciliation v2 " xfId="126"/>
    <cellStyle name="_内_20060626.soufun.deferred tax reconciliation v1 " xfId="127"/>
    <cellStyle name="_内_20060626.soufun.deferred tax reconciliation v12 " xfId="128"/>
    <cellStyle name="_内_20060626.soufun.deferred tax reconciliation v7 " xfId="129"/>
    <cellStyle name="_内_20060626.soufun.deferred tax reconciliation v8 " xfId="130"/>
    <cellStyle name="_内_20060812.soufun.deferred tax reconciliation v14 " xfId="131"/>
    <cellStyle name="_外_20060612.soufun.deferred tax reconciliation v2 " xfId="132"/>
    <cellStyle name="_外_20060612.soufun.deferred tax reconciliation v2---0618-2210 " xfId="133"/>
    <cellStyle name="_外_20060623.soufun.deferred tax reconciliation v2 " xfId="134"/>
    <cellStyle name="_外_20060626.soufun.deferred tax reconciliation v1 " xfId="135"/>
    <cellStyle name="_外_20060626.soufun.deferred tax reconciliation v12 " xfId="136"/>
    <cellStyle name="_外_20060626.soufun.deferred tax reconciliation v7 " xfId="137"/>
    <cellStyle name="_外_20060626.soufun.deferred tax reconciliation v8 " xfId="138"/>
    <cellStyle name="_外_20060812.soufun.deferred tax reconciliation v14 " xfId="139"/>
    <cellStyle name="=C:\WINNT35\SYSTEM32\COMMAND.COM" xfId="201"/>
    <cellStyle name="§Q\?1@" xfId="202"/>
    <cellStyle name="§Q\òm1@À" xfId="203"/>
    <cellStyle name="0_Capex &amp; Depreciation " xfId="140"/>
    <cellStyle name="0_Capex &amp; Depreciation _RRST1" xfId="204"/>
    <cellStyle name="0_IPR Playthingy " xfId="141"/>
    <cellStyle name="0_Valuing BP " xfId="142"/>
    <cellStyle name="0_Valuing BP _RRST1" xfId="205"/>
    <cellStyle name="20% - Accent1 2" xfId="206"/>
    <cellStyle name="20% - Accent2 2" xfId="207"/>
    <cellStyle name="20% - Accent3 2" xfId="208"/>
    <cellStyle name="20% - Accent4 2" xfId="209"/>
    <cellStyle name="20% - Accent5 2" xfId="210"/>
    <cellStyle name="20% - Accent6 2" xfId="211"/>
    <cellStyle name="40% - Accent1 2" xfId="212"/>
    <cellStyle name="40% - Accent2 2" xfId="213"/>
    <cellStyle name="40% - Accent3 2" xfId="214"/>
    <cellStyle name="40% - Accent4 2" xfId="215"/>
    <cellStyle name="40% - Accent5 2" xfId="216"/>
    <cellStyle name="40% - Accent6 2" xfId="217"/>
    <cellStyle name="60% - Accent1 2" xfId="218"/>
    <cellStyle name="60% - Accent2 2" xfId="219"/>
    <cellStyle name="60% - Accent3 2" xfId="220"/>
    <cellStyle name="60% - Accent4 2" xfId="221"/>
    <cellStyle name="60% - Accent5 2" xfId="222"/>
    <cellStyle name="60% - Accent6 2" xfId="223"/>
    <cellStyle name="9_MCEL-Disclosure-MRC2004-AP " xfId="143"/>
    <cellStyle name="9_MCEL-Disclosure-MRC2004-AR " xfId="144"/>
    <cellStyle name="9_MCEL-Disclosure-MRC2004-Inventory " xfId="145"/>
    <cellStyle name="9_MCEL-Disclosure-MRC2004-Inventory reserve " xfId="146"/>
    <cellStyle name="9_MCEL-Disclosure-MRC2004-tax " xfId="147"/>
    <cellStyle name="A¨­￠￢￠O [0]_¨oCAuCoEⓒ÷ " xfId="224"/>
    <cellStyle name="A¨­￠￢￠O_¨oCAuCoEⓒ÷ " xfId="225"/>
    <cellStyle name="Accent1 2" xfId="226"/>
    <cellStyle name="Accent2 2" xfId="227"/>
    <cellStyle name="Accent3 2" xfId="228"/>
    <cellStyle name="Accent4 2" xfId="229"/>
    <cellStyle name="Accent5 2" xfId="230"/>
    <cellStyle name="Accent6 2" xfId="231"/>
    <cellStyle name="AeE­ [0]_¼oAa½CAu " xfId="232"/>
    <cellStyle name="ÅëÈ­ [0]_INQUIRY ¿µ¾÷ÃßÁø " xfId="233"/>
    <cellStyle name="AeE­ [0]_INQUIRY ¿μ¾÷AßAø " xfId="148"/>
    <cellStyle name="AeE­_¼oAa½CAu " xfId="234"/>
    <cellStyle name="ÅëÈ­_INQUIRY ¿µ¾÷ÃßÁø " xfId="235"/>
    <cellStyle name="AeE­_INQUIRY ¿μ¾÷AßAø " xfId="149"/>
    <cellStyle name="AeE¡ⓒ [0]_¨oCAuCoEⓒ÷ " xfId="236"/>
    <cellStyle name="AeE¡ⓒ_¨oCAuCoEⓒ÷ " xfId="237"/>
    <cellStyle name="AFE" xfId="150"/>
    <cellStyle name="AFE 2" xfId="238"/>
    <cellStyle name="AÞ¸¶ [0]_¼oAa½CAu " xfId="239"/>
    <cellStyle name="ÄÞ¸¶ [0]_INQUIRY ¿µ¾÷ÃßÁø " xfId="240"/>
    <cellStyle name="AÞ¸¶ [0]_INQUIRY ¿μ¾÷AßAø " xfId="241"/>
    <cellStyle name="AÞ¸¶_¼oAa½CAu " xfId="242"/>
    <cellStyle name="ÄÞ¸¶_INQUIRY ¿µ¾÷ÃßÁø " xfId="243"/>
    <cellStyle name="AÞ¸¶_INQUIRY ¿μ¾÷AßAø " xfId="244"/>
    <cellStyle name="_x0001_b" xfId="245"/>
    <cellStyle name="Bad 2" xfId="246"/>
    <cellStyle name="Blue" xfId="247"/>
    <cellStyle name="C?AØ_¿?¾÷CoE² " xfId="151"/>
    <cellStyle name="c_HardInc " xfId="152"/>
    <cellStyle name="c_HardInc _RRST1" xfId="248"/>
    <cellStyle name="C¡IA¨ª_¡ic¨u¡A¨￢I¨￢¡Æ AN¡Æe " xfId="249"/>
    <cellStyle name="C￥AØ_  FAB AIA¤  " xfId="250"/>
    <cellStyle name="Ç¥ÁØ_»ç¾÷ºÎº° ÃÑ°è " xfId="251"/>
    <cellStyle name="C￥AØ_≫c¾÷ºIº° AN°e " xfId="252"/>
    <cellStyle name="Ç¥ÁØ_0N-HANDLING " xfId="253"/>
    <cellStyle name="C￥AØ_¼±AoAc°i_1_³≫ºI°eE¹´e AßA¤A÷AI " xfId="254"/>
    <cellStyle name="Ç¥ÁØ_5-1±¤°í " xfId="255"/>
    <cellStyle name="C￥AØ_5-1±¤°i _6RCB1 " xfId="256"/>
    <cellStyle name="Ç¥ÁØ_Áý°èÇ¥(2¿ù) " xfId="257"/>
    <cellStyle name="C￥AØ_CoAo¹yAI °A¾×¿ⓒ½A " xfId="258"/>
    <cellStyle name="Ç¥ÁØ_Sheet1_¿µ¾÷ÇöÈ² " xfId="259"/>
    <cellStyle name="Calculation 2" xfId="260"/>
    <cellStyle name="Check Cell 2" xfId="261"/>
    <cellStyle name="Comma" xfId="153" builtinId="3"/>
    <cellStyle name="Comma [0] 2" xfId="263"/>
    <cellStyle name="Comma 2" xfId="154"/>
    <cellStyle name="Comma 2 2" xfId="264"/>
    <cellStyle name="Comma 3" xfId="177"/>
    <cellStyle name="Comma 3 2" xfId="155"/>
    <cellStyle name="Comma 3 2 2" xfId="183"/>
    <cellStyle name="Comma 3 3" xfId="265"/>
    <cellStyle name="Comma 4" xfId="156"/>
    <cellStyle name="Comma 5" xfId="189"/>
    <cellStyle name="Comma 6" xfId="262"/>
    <cellStyle name="Currency 2" xfId="180"/>
    <cellStyle name="Currency 2 2" xfId="186"/>
    <cellStyle name="Currency 2 3" xfId="266"/>
    <cellStyle name="Currency 3" xfId="267"/>
    <cellStyle name="Currency 3 2" xfId="268"/>
    <cellStyle name="Explanatory Text 2" xfId="269"/>
    <cellStyle name="Good 2" xfId="270"/>
    <cellStyle name="Header_FT Valuation " xfId="271"/>
    <cellStyle name="Heading 1 2" xfId="272"/>
    <cellStyle name="Heading 2 2" xfId="273"/>
    <cellStyle name="Heading 3 2" xfId="274"/>
    <cellStyle name="Heading 4 2" xfId="275"/>
    <cellStyle name="Hyperlink 2" xfId="277"/>
    <cellStyle name="Hyperlink 3" xfId="276"/>
    <cellStyle name="iles|_x0005_h" xfId="278"/>
    <cellStyle name="Input 2" xfId="279"/>
    <cellStyle name="les" xfId="280"/>
    <cellStyle name="Linked Cell 2" xfId="281"/>
    <cellStyle name="Neutral 2" xfId="282"/>
    <cellStyle name="Normal" xfId="0" builtinId="0"/>
    <cellStyle name="Normal 2" xfId="157"/>
    <cellStyle name="Normal 2 2" xfId="283"/>
    <cellStyle name="Normal 3" xfId="175"/>
    <cellStyle name="Normal 3 2" xfId="158"/>
    <cellStyle name="Normal 3 2 2" xfId="285"/>
    <cellStyle name="Normal 3 3" xfId="286"/>
    <cellStyle name="Normal 3 4" xfId="284"/>
    <cellStyle name="Normal 4" xfId="159"/>
    <cellStyle name="Normal 4 2" xfId="288"/>
    <cellStyle name="Normal 4 3" xfId="289"/>
    <cellStyle name="Normal 4 4" xfId="287"/>
    <cellStyle name="Normal 5" xfId="178"/>
    <cellStyle name="Normal 5 2" xfId="185"/>
    <cellStyle name="Normal 5 3" xfId="290"/>
    <cellStyle name="Normal 6" xfId="188"/>
    <cellStyle name="Normal 6 2" xfId="291"/>
    <cellStyle name="Normal 7" xfId="187"/>
    <cellStyle name="Normal 7 2" xfId="292"/>
    <cellStyle name="Normal 8" xfId="191"/>
    <cellStyle name="Normal_BS" xfId="160"/>
    <cellStyle name="Normal_DisclaimerSheet Samples" xfId="355"/>
    <cellStyle name="Normal_Next Media model 1H04ac_Shanda Model Link" xfId="161"/>
    <cellStyle name="Normal_Valuation" xfId="162"/>
    <cellStyle name="Note 2" xfId="293"/>
    <cellStyle name="Onedec_FT Valuation " xfId="294"/>
    <cellStyle name="Output 2" xfId="295"/>
    <cellStyle name="p " xfId="163"/>
    <cellStyle name="Percent" xfId="164" builtinId="5"/>
    <cellStyle name="Percent 2" xfId="165"/>
    <cellStyle name="Percent 2 2" xfId="166"/>
    <cellStyle name="Percent 2 3" xfId="297"/>
    <cellStyle name="Percent 3" xfId="176"/>
    <cellStyle name="Percent 3 2" xfId="167"/>
    <cellStyle name="Percent 3 2 2" xfId="184"/>
    <cellStyle name="Percent 4" xfId="190"/>
    <cellStyle name="Percent 5" xfId="296"/>
    <cellStyle name="R?" xfId="298"/>
    <cellStyle name="r_Accretion " xfId="168"/>
    <cellStyle name="RRSInstruction" xfId="179"/>
    <cellStyle name="s_HardInc " xfId="169"/>
    <cellStyle name="s_HardInc _RRST1" xfId="299"/>
    <cellStyle name="s_Valuation " xfId="170"/>
    <cellStyle name="s_Valuation _RRST1" xfId="300"/>
    <cellStyle name="sche|_x0005_" xfId="301"/>
    <cellStyle name="ssp " xfId="171"/>
    <cellStyle name="ssp  2" xfId="302"/>
    <cellStyle name="Style 1" xfId="181"/>
    <cellStyle name="Style 1 2" xfId="303"/>
    <cellStyle name="Style 10" xfId="304"/>
    <cellStyle name="Style 11" xfId="305"/>
    <cellStyle name="Style 12" xfId="306"/>
    <cellStyle name="Style 13" xfId="307"/>
    <cellStyle name="Style 14" xfId="308"/>
    <cellStyle name="Style 15" xfId="309"/>
    <cellStyle name="Style 16" xfId="310"/>
    <cellStyle name="Style 17" xfId="311"/>
    <cellStyle name="Style 18" xfId="312"/>
    <cellStyle name="Style 19" xfId="313"/>
    <cellStyle name="Style 2" xfId="314"/>
    <cellStyle name="Style 20" xfId="315"/>
    <cellStyle name="Style 21" xfId="316"/>
    <cellStyle name="Style 22" xfId="317"/>
    <cellStyle name="Style 23" xfId="318"/>
    <cellStyle name="Style 24" xfId="319"/>
    <cellStyle name="Style 25" xfId="320"/>
    <cellStyle name="Style 26" xfId="321"/>
    <cellStyle name="Style 27" xfId="322"/>
    <cellStyle name="Style 28" xfId="323"/>
    <cellStyle name="Style 29" xfId="324"/>
    <cellStyle name="Style 3" xfId="325"/>
    <cellStyle name="Style 30" xfId="326"/>
    <cellStyle name="Style 31" xfId="327"/>
    <cellStyle name="Style 32" xfId="328"/>
    <cellStyle name="Style 33" xfId="329"/>
    <cellStyle name="Style 34" xfId="330"/>
    <cellStyle name="Style 35" xfId="331"/>
    <cellStyle name="Style 36" xfId="332"/>
    <cellStyle name="Style 37" xfId="333"/>
    <cellStyle name="Style 38" xfId="334"/>
    <cellStyle name="Style 39" xfId="335"/>
    <cellStyle name="Style 4" xfId="336"/>
    <cellStyle name="Style 5" xfId="337"/>
    <cellStyle name="Style 6" xfId="338"/>
    <cellStyle name="Style 7" xfId="339"/>
    <cellStyle name="Style 8" xfId="340"/>
    <cellStyle name="Style 9" xfId="341"/>
    <cellStyle name="þ_x001d_ð &amp;ý&amp;†ýG_x0008__x0009_X_x000a__x0007__x0001__x0001_" xfId="342"/>
    <cellStyle name="þ_x001d_ð&quot;_x000c_Býò_x000c_5ýU_x0001_e_x0005_¹,_x0007__x0001__x0001_" xfId="343"/>
    <cellStyle name="Title 2" xfId="344"/>
    <cellStyle name="Total 2" xfId="345"/>
    <cellStyle name="Warning Text 2" xfId="346"/>
    <cellStyle name="XLS'|_x0005_t" xfId="347"/>
    <cellStyle name="Year_FT Valuation " xfId="348"/>
    <cellStyle name="뷭?_BOOKSHIP_실적현황 " xfId="349"/>
    <cellStyle name="셈迷?XLS!check_filesche|_x0005_" xfId="350"/>
    <cellStyle name="콤마 [0]_   " xfId="351"/>
    <cellStyle name="콤마,_x0005__x0014_" xfId="352"/>
    <cellStyle name="콤마_   " xfId="353"/>
    <cellStyle name="통화 [0]_1.24분기 평가표 " xfId="172"/>
    <cellStyle name="통화_1.24분기 평가표 " xfId="173"/>
    <cellStyle name="一般_24991" xfId="354"/>
    <cellStyle name="货币_10-Q1-2005 supporting " xfId="174"/>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FAFD73"/>
      <color rgb="FFFAF9BD"/>
      <color rgb="FF005696"/>
      <color rgb="FFF6F4AA"/>
      <color rgb="FFC5D9F1"/>
      <color rgb="FFABD9F1"/>
      <color rgb="FFFFD54F"/>
      <color rgb="FFFCF0C4"/>
      <color rgb="FFDAA624"/>
      <color rgb="FFFCEEEA"/>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externalLinks/externalLink2.xml" Type="http://schemas.openxmlformats.org/officeDocument/2006/relationships/externalLink"/>
<Relationship Id="rId11" Target="externalLinks/externalLink3.xml" Type="http://schemas.openxmlformats.org/officeDocument/2006/relationships/externalLink"/>
<Relationship Id="rId12" Target="externalLinks/externalLink4.xml" Type="http://schemas.openxmlformats.org/officeDocument/2006/relationships/externalLink"/>
<Relationship Id="rId13" Target="externalLinks/externalLink5.xml" Type="http://schemas.openxmlformats.org/officeDocument/2006/relationships/externalLink"/>
<Relationship Id="rId14" Target="externalLinks/externalLink6.xml" Type="http://schemas.openxmlformats.org/officeDocument/2006/relationships/externalLink"/>
<Relationship Id="rId15" Target="externalLinks/externalLink7.xml" Type="http://schemas.openxmlformats.org/officeDocument/2006/relationships/externalLink"/>
<Relationship Id="rId16" Target="externalLinks/externalLink8.xml" Type="http://schemas.openxmlformats.org/officeDocument/2006/relationships/externalLink"/>
<Relationship Id="rId17" Target="externalLinks/externalLink9.xml" Type="http://schemas.openxmlformats.org/officeDocument/2006/relationships/externalLink"/>
<Relationship Id="rId18" Target="externalLinks/externalLink10.xml" Type="http://schemas.openxmlformats.org/officeDocument/2006/relationships/externalLink"/>
<Relationship Id="rId19" Target="externalLinks/externalLink11.xml" Type="http://schemas.openxmlformats.org/officeDocument/2006/relationships/externalLink"/>
<Relationship Id="rId2" Target="worksheets/sheet2.xml" Type="http://schemas.openxmlformats.org/officeDocument/2006/relationships/worksheet"/>
<Relationship Id="rId20" Target="externalLinks/externalLink12.xml" Type="http://schemas.openxmlformats.org/officeDocument/2006/relationships/externalLink"/>
<Relationship Id="rId21" Target="externalLinks/externalLink13.xml" Type="http://schemas.openxmlformats.org/officeDocument/2006/relationships/externalLink"/>
<Relationship Id="rId22" Target="externalLinks/externalLink14.xml" Type="http://schemas.openxmlformats.org/officeDocument/2006/relationships/externalLink"/>
<Relationship Id="rId23" Target="externalLinks/externalLink15.xml" Type="http://schemas.openxmlformats.org/officeDocument/2006/relationships/externalLink"/>
<Relationship Id="rId24" Target="externalLinks/externalLink16.xml" Type="http://schemas.openxmlformats.org/officeDocument/2006/relationships/externalLink"/>
<Relationship Id="rId25" Target="externalLinks/externalLink17.xml" Type="http://schemas.openxmlformats.org/officeDocument/2006/relationships/externalLink"/>
<Relationship Id="rId26" Target="externalLinks/externalLink18.xml" Type="http://schemas.openxmlformats.org/officeDocument/2006/relationships/externalLink"/>
<Relationship Id="rId27" Target="externalLinks/externalLink19.xml" Type="http://schemas.openxmlformats.org/officeDocument/2006/relationships/externalLink"/>
<Relationship Id="rId28" Target="externalLinks/externalLink20.xml" Type="http://schemas.openxmlformats.org/officeDocument/2006/relationships/externalLink"/>
<Relationship Id="rId29" Target="theme/theme1.xml" Type="http://schemas.openxmlformats.org/officeDocument/2006/relationships/theme"/>
<Relationship Id="rId3" Target="worksheets/sheet3.xml" Type="http://schemas.openxmlformats.org/officeDocument/2006/relationships/worksheet"/>
<Relationship Id="rId30" Target="styles.xml" Type="http://schemas.openxmlformats.org/officeDocument/2006/relationships/styles"/>
<Relationship Id="rId31" Target="sharedStrings.xml" Type="http://schemas.openxmlformats.org/officeDocument/2006/relationships/sharedStrings"/>
<Relationship Id="rId32" Target="calcChain.xml" Type="http://schemas.openxmlformats.org/officeDocument/2006/relationships/calcChain"/>
<Relationship Id="rId33" Target="../customXml/item1.xml" Type="http://schemas.openxmlformats.org/officeDocument/2006/relationships/customXml"/>
<Relationship Id="rId34" Target="../customXml/item2.xml" Type="http://schemas.openxmlformats.org/officeDocument/2006/relationships/customXml"/>
<Relationship Id="rId35" Target="vbaProject.bin" Type="http://schemas.microsoft.com/office/2006/relationships/vbaProjec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externalLinks/externalLink1.xml" Type="http://schemas.openxmlformats.org/officeDocument/2006/relationships/externalLink"/>
</Relationships>

</file>

<file path=xl/ctrlProps/ctrlProp1.xml><?xml version="1.0" encoding="utf-8"?>
<formControlPr xmlns="http://schemas.microsoft.com/office/spreadsheetml/2009/9/main" objectType="Drop" dropLines="4" dropStyle="combo" dx="16" fmlaLink="$B$4" fmlaRange="$B$282:$B$285" noThreeD="1" val="0"/>
</file>

<file path=xl/ctrlProps/ctrlProp2.xml><?xml version="1.0" encoding="utf-8"?>
<formControlPr xmlns="http://schemas.microsoft.com/office/spreadsheetml/2009/9/main" objectType="Drop" dropLines="4" dropStyle="combo" dx="16" fmlaLink="$C$4" fmlaRange="$B$282:$B$285" noThreeD="1" sel="0" val="0"/>
</file>

<file path=xl/ctrlProps/ctrlProp3.xml><?xml version="1.0" encoding="utf-8"?>
<formControlPr xmlns="http://schemas.microsoft.com/office/spreadsheetml/2009/9/main" objectType="Drop" dropLines="4" dropStyle="combo" dx="16" fmlaLink="Scenario!$B$4" fmlaRange="#REF!" sel="0" val="0"/>
</file>

<file path=xl/ctrlProps/ctrlProp4.xml><?xml version="1.0" encoding="utf-8"?>
<formControlPr xmlns="http://schemas.microsoft.com/office/spreadsheetml/2009/9/main" objectType="Drop" dropLines="4" dropStyle="combo" dx="16" fmlaLink="Scenario!$B$4" fmlaRange="#REF!" sel="0" val="0"/>
</file>

<file path=xl/ctrlProps/ctrlProp5.xml><?xml version="1.0" encoding="utf-8"?>
<formControlPr xmlns="http://schemas.microsoft.com/office/spreadsheetml/2009/9/main" objectType="Drop" dropLines="4" dropStyle="combo" dx="16" fmlaLink="Scenario!$B$4" fmlaRange="#REF!" sel="0" val="0"/>
</file>

<file path=xl/ctrlProps/ctrlProp6.xml><?xml version="1.0" encoding="utf-8"?>
<formControlPr xmlns="http://schemas.microsoft.com/office/spreadsheetml/2009/9/main" objectType="Drop" dropLines="4" dropStyle="combo" dx="16" fmlaLink="Scenario!$B$4" fmlaRange="#REF!" sel="0" val="0"/>
</file>

<file path=xl/ctrlProps/ctrlProp7.xml><?xml version="1.0" encoding="utf-8"?>
<formControlPr xmlns="http://schemas.microsoft.com/office/spreadsheetml/2009/9/main" objectType="Drop" dropLines="4" dropStyle="combo" dx="16" fmlaLink="Scenario!$B$4" fmlaRange="#REF!" sel="0" val="0"/>
</file>

<file path=xl/ctrlProps/ctrlProp8.xml><?xml version="1.0" encoding="utf-8"?>
<formControlPr xmlns="http://schemas.microsoft.com/office/spreadsheetml/2009/9/main" objectType="Drop" dropLines="4" dropStyle="combo" dx="16" fmlaLink="Scenario!$B$4" fmlaRange="#REF!" sel="0"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192</xdr:row>
      <xdr:rowOff>0</xdr:rowOff>
    </xdr:from>
    <xdr:to>
      <xdr:col>7</xdr:col>
      <xdr:colOff>390525</xdr:colOff>
      <xdr:row>215</xdr:row>
      <xdr:rowOff>104775</xdr:rowOff>
    </xdr:to>
    <xdr:pic>
      <xdr:nvPicPr>
        <xdr:cNvPr id="17566721" name="Picture 1" descr="C:\Users\koale\AppData\Local\Temp\MercuryPriceRatingHistoryChart\BABA.N_2018_04_03_18_53_3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95560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1276350</xdr:colOff>
          <xdr:row>1</xdr:row>
          <xdr:rowOff>66675</xdr:rowOff>
        </xdr:from>
        <xdr:to>
          <xdr:col>1</xdr:col>
          <xdr:colOff>1276350</xdr:colOff>
          <xdr:row>1</xdr:row>
          <xdr:rowOff>133350</xdr:rowOff>
        </xdr:to>
        <xdr:sp macro="" textlink="">
          <xdr:nvSpPr>
            <xdr:cNvPr id="19480" name="Drop Down 24" hidden="1">
              <a:extLst>
                <a:ext uri="{63B3BB69-23CF-44E3-9099-C40C66FF867C}">
                  <a14:compatExt spid="_x0000_s194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1276350</xdr:colOff>
          <xdr:row>1</xdr:row>
          <xdr:rowOff>133350</xdr:rowOff>
        </xdr:from>
        <xdr:to>
          <xdr:col>1</xdr:col>
          <xdr:colOff>1276350</xdr:colOff>
          <xdr:row>2</xdr:row>
          <xdr:rowOff>57150</xdr:rowOff>
        </xdr:to>
        <xdr:sp macro="" textlink="">
          <xdr:nvSpPr>
            <xdr:cNvPr id="19481" name="Drop Down 25" hidden="1">
              <a:extLst>
                <a:ext uri="{63B3BB69-23CF-44E3-9099-C40C66FF867C}">
                  <a14:compatExt spid="_x0000_s194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76200</xdr:colOff>
          <xdr:row>2</xdr:row>
          <xdr:rowOff>104775</xdr:rowOff>
        </xdr:from>
        <xdr:to>
          <xdr:col>1</xdr:col>
          <xdr:colOff>809625</xdr:colOff>
          <xdr:row>3</xdr:row>
          <xdr:rowOff>114300</xdr:rowOff>
        </xdr:to>
        <xdr:sp macro="" textlink="">
          <xdr:nvSpPr>
            <xdr:cNvPr id="19488" name="Drop Down 32" hidden="1">
              <a:extLst>
                <a:ext uri="{63B3BB69-23CF-44E3-9099-C40C66FF867C}">
                  <a14:compatExt spid="_x0000_s1948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53</xdr:row>
          <xdr:rowOff>0</xdr:rowOff>
        </xdr:from>
        <xdr:to>
          <xdr:col>1</xdr:col>
          <xdr:colOff>2266950</xdr:colOff>
          <xdr:row>54</xdr:row>
          <xdr:rowOff>9525</xdr:rowOff>
        </xdr:to>
        <xdr:sp macro="" textlink="">
          <xdr:nvSpPr>
            <xdr:cNvPr id="19566" name="Drop Down 110" hidden="1">
              <a:extLst>
                <a:ext uri="{63B3BB69-23CF-44E3-9099-C40C66FF867C}">
                  <a14:compatExt spid="_x0000_s1956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1457325</xdr:colOff>
          <xdr:row>77</xdr:row>
          <xdr:rowOff>133350</xdr:rowOff>
        </xdr:from>
        <xdr:to>
          <xdr:col>1</xdr:col>
          <xdr:colOff>2190750</xdr:colOff>
          <xdr:row>78</xdr:row>
          <xdr:rowOff>142875</xdr:rowOff>
        </xdr:to>
        <xdr:sp macro="" textlink="">
          <xdr:nvSpPr>
            <xdr:cNvPr id="19567" name="Drop Down 111" hidden="1">
              <a:extLst>
                <a:ext uri="{63B3BB69-23CF-44E3-9099-C40C66FF867C}">
                  <a14:compatExt spid="_x0000_s19567"/>
                </a:ext>
              </a:extLst>
            </xdr:cNvPr>
            <xdr:cNvSpPr/>
          </xdr:nvSpPr>
          <xdr:spPr>
            <a:xfrm>
              <a:off x="0" y="0"/>
              <a:ext cx="0" cy="0"/>
            </a:xfrm>
            <a:prstGeom prst="rect">
              <a:avLst/>
            </a:prstGeom>
          </xdr:spPr>
        </xdr:sp>
        <xdr:clientData fPrintsWithSheet="0"/>
      </xdr:twoCellAnchor>
    </mc:Choice>
    <mc:Fallback/>
  </mc:AlternateContent>
  <xdr:twoCellAnchor>
    <xdr:from>
      <xdr:col>10</xdr:col>
      <xdr:colOff>0</xdr:colOff>
      <xdr:row>1</xdr:row>
      <xdr:rowOff>38100</xdr:rowOff>
    </xdr:from>
    <xdr:to>
      <xdr:col>10</xdr:col>
      <xdr:colOff>0</xdr:colOff>
      <xdr:row>255</xdr:row>
      <xdr:rowOff>76200</xdr:rowOff>
    </xdr:to>
    <xdr:cxnSp macro="">
      <xdr:nvCxnSpPr>
        <xdr:cNvPr id="3" name="Straight Connector 2"/>
        <xdr:cNvCxnSpPr/>
      </xdr:nvCxnSpPr>
      <xdr:spPr>
        <a:xfrm>
          <a:off x="7972425" y="200025"/>
          <a:ext cx="0" cy="41205150"/>
        </a:xfrm>
        <a:prstGeom prst="line">
          <a:avLst/>
        </a:prstGeom>
        <a:ln w="15875">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28575</xdr:rowOff>
        </xdr:from>
        <xdr:to>
          <xdr:col>1</xdr:col>
          <xdr:colOff>76200</xdr:colOff>
          <xdr:row>1</xdr:row>
          <xdr:rowOff>47625</xdr:rowOff>
        </xdr:to>
        <xdr:sp macro="" textlink="">
          <xdr:nvSpPr>
            <xdr:cNvPr id="16515766" name="Drop Down 1718" hidden="1">
              <a:extLst>
                <a:ext uri="{63B3BB69-23CF-44E3-9099-C40C66FF867C}">
                  <a14:compatExt spid="_x0000_s1651576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1314450</xdr:colOff>
          <xdr:row>2</xdr:row>
          <xdr:rowOff>133350</xdr:rowOff>
        </xdr:from>
        <xdr:to>
          <xdr:col>1</xdr:col>
          <xdr:colOff>2047875</xdr:colOff>
          <xdr:row>3</xdr:row>
          <xdr:rowOff>142875</xdr:rowOff>
        </xdr:to>
        <xdr:sp macro="" textlink="">
          <xdr:nvSpPr>
            <xdr:cNvPr id="17526083" name="Drop Down 3395" hidden="1">
              <a:extLst>
                <a:ext uri="{63B3BB69-23CF-44E3-9099-C40C66FF867C}">
                  <a14:compatExt spid="_x0000_s17526083"/>
                </a:ext>
              </a:extLst>
            </xdr:cNvPr>
            <xdr:cNvSpPr/>
          </xdr:nvSpPr>
          <xdr:spPr>
            <a:xfrm>
              <a:off x="0" y="0"/>
              <a:ext cx="0" cy="0"/>
            </a:xfrm>
            <a:prstGeom prst="rect">
              <a:avLst/>
            </a:prstGeom>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28575</xdr:rowOff>
        </xdr:from>
        <xdr:to>
          <xdr:col>1</xdr:col>
          <xdr:colOff>76200</xdr:colOff>
          <xdr:row>1</xdr:row>
          <xdr:rowOff>47625</xdr:rowOff>
        </xdr:to>
        <xdr:sp macro="" textlink="">
          <xdr:nvSpPr>
            <xdr:cNvPr id="15391" name="Drop Down 31" hidden="1">
              <a:extLst>
                <a:ext uri="{63B3BB69-23CF-44E3-9099-C40C66FF867C}">
                  <a14:compatExt spid="_x0000_s15391"/>
                </a:ext>
              </a:extLst>
            </xdr:cNvPr>
            <xdr:cNvSpPr/>
          </xdr:nvSpPr>
          <xdr:spPr>
            <a:xfrm>
              <a:off x="0" y="0"/>
              <a:ext cx="0" cy="0"/>
            </a:xfrm>
            <a:prstGeom prst="rect">
              <a:avLst/>
            </a:prstGeom>
          </xdr:spPr>
        </xdr:sp>
        <xdr:clientData fPrintsWithSheet="0"/>
      </xdr:twoCellAnchor>
    </mc:Choice>
    <mc:Fallback/>
  </mc:AlternateContent>
</xdr:wsDr>
</file>

<file path=xl/externalLinks/_rels/externalLink1.xml.rels><?xml version="1.0" encoding="UTF-8" standalone="yes"?>
<Relationships xmlns="http://schemas.openxmlformats.org/package/2006/relationships">
<Relationship Id="rId1" Target="na/ny/users/johndasc/Docs/ID/Charts/Chart_Gallery/From%20Vlad/B11_BarSingle_AverageLine.xls" TargetMode="External" Type="http://schemas.microsoft.com/office/2006/relationships/xlExternalLinkPath/xlStartup"/>
</Relationships>

</file>

<file path=xl/externalLinks/_rels/externalLink2.xml.rels><?xml version="1.0" encoding="UTF-8" standalone="yes"?>
<Relationships xmlns="http://schemas.openxmlformats.org/package/2006/relationships">
<Relationship Id="rId1" Target="MOH/Moh/Global/Global%20Consump%20Comparison.xls" TargetMode="External" Type="http://schemas.microsoft.com/office/2006/relationships/xlExternalLinkPath/xlStartup"/>
</Relationships>

</file>

<file path=xl/externalLinks/_rels/externalLink3.xml.rels><?xml version="1.0" encoding="UTF-8" standalone="yes"?>
<Relationships xmlns="http://schemas.openxmlformats.org/package/2006/relationships">
<Relationship Id="rId1" Target="na/ny/users/johndasc/Docs/ID/Charts/Sandbox/BtoB.xls" TargetMode="External" Type="http://schemas.microsoft.com/office/2006/relationships/xlExternalLinkPath/xlStartup"/>
</Relationships>

</file>

<file path=xl/externalLinks/_rels/externalLink4.xml.rels><?xml version="1.0" encoding="UTF-8" standalone="yes"?>
<Relationships xmlns="http://schemas.openxmlformats.org/package/2006/relationships">
<Relationship Id="rId1" Target="Moh/Moh/Global/Retailers_Euromonitor.xls" TargetMode="External" Type="http://schemas.microsoft.com/office/2006/relationships/xlExternalLinkPath/xlStartup"/>
</Relationships>

</file>

<file path=xl/externalLinks/_rels/externalLink5.xml.rels><?xml version="1.0" encoding="UTF-8" standalone="yes"?>
<Relationships xmlns="http://schemas.openxmlformats.org/package/2006/relationships">
<Relationship Id="rId1" Target="file://///Firmwide.corp.gs.com/irroot/TEMP/CSFB/TEO/TEO_vdf.xls" TargetMode="External" Type="http://schemas.openxmlformats.org/officeDocument/2006/relationships/externalLinkPath"/>
</Relationships>

</file>

<file path=xl/externalLinks/_rels/externalLink6.xml.rels><?xml version="1.0" encoding="UTF-8" standalone="yes"?>
<Relationships xmlns="http://schemas.openxmlformats.org/package/2006/relationships">
<Relationship Id="rId1" Target="file://///IRESHK01D/Projects/GENERAL/TELECOMS/KOREA/KTFreetel/EM-KTFreetelnew.xls" TargetMode="External" Type="http://schemas.openxmlformats.org/officeDocument/2006/relationships/externalLinkPath"/>
</Relationships>

</file>

<file path=xl/externalLinks/_rels/externalLink7.xml.rels><?xml version="1.0" encoding="UTF-8" standalone="yes"?>
<Relationships xmlns="http://schemas.openxmlformats.org/package/2006/relationships">
<Relationship Id="rId1" Target="file://///IRESHK01D/projects/GENERAL/TELECOMS/THAILAND/TAC/EM-TAC.xls" TargetMode="External" Type="http://schemas.openxmlformats.org/officeDocument/2006/relationships/externalLinkPath"/>
</Relationships>

</file>

<file path=xl/externalLinks/_rels/externalLink8.xml.rels><?xml version="1.0" encoding="UTF-8" standalone="yes"?>
<Relationships xmlns="http://schemas.openxmlformats.org/package/2006/relationships">
<Relationship Id="rId1" Target="file://///IRESHK01D/projects/GENERAL/TELECOMS/KOREA/SKT/EM-SKTelecom.xls" TargetMode="External" Type="http://schemas.openxmlformats.org/officeDocument/2006/relationships/externalLinkPath"/>
</Relationships>

</file>

<file path=xl/externalLinks/_rels/externalLink9.xml.rels><?xml version="1.0" encoding="UTF-8" standalone="yes"?>
<Relationships xmlns="http://schemas.openxmlformats.org/package/2006/relationships">
<Relationship Id="rId1" Target="file:///Z:/My%20Documents/NEWTABL1_97.xls" TargetMode="External" Type="http://schemas.openxmlformats.org/officeDocument/2006/relationships/externalLinkPath"/>
</Relationships>

</file>

<file path=xl/externalLinks/_rels/externalLink10.xml.rels><?xml version="1.0" encoding="UTF-8" standalone="yes"?>
<Relationships xmlns="http://schemas.openxmlformats.org/package/2006/relationships">
<Relationship Id="rId1" Target="China%20Internet/1.%20Company/BABA/Model/Alibaba_Macro%20&amp;%20Supplement%20Data_20170606.xlsx" TargetMode="External" Type="http://schemas.microsoft.com/office/2006/relationships/xlExternalLinkPath/xlAlternateStartup"/>
</Relationships>

</file>

<file path=xl/externalLinks/_rels/externalLink11.xml.rels><?xml version="1.0" encoding="UTF-8" standalone="yes"?>
<Relationships xmlns="http://schemas.openxmlformats.org/package/2006/relationships">
<Relationship Id="rId1" Target="file://///IRESHK01D/projects/GENERAL/TELECOMS/HONGKONG/HK%20Wireless%20Companies/SMARTONE/EM-SmarTone-new.xls" TargetMode="External" Type="http://schemas.openxmlformats.org/officeDocument/2006/relationships/externalLinkPath"/>
</Relationships>

</file>

<file path=xl/externalLinks/_rels/externalLink12.xml.rels><?xml version="1.0" encoding="UTF-8" standalone="yes"?>
<Relationships xmlns="http://schemas.openxmlformats.org/package/2006/relationships">
<Relationship Id="rId1" Target="Documents%20and%20Settings/ajacobs.COMSCORE_OFFICE/My%20Documents/From%20E/Everything/Finance/3%20Sell%20Side/Site-Specific%20Transaction%20%20Reports/Juice/Transaction%20Reports%20example%20v3.xls" TargetMode="External" Type="http://schemas.microsoft.com/office/2006/relationships/xlExternalLinkPath/xlStartup"/>
</Relationships>

</file>

<file path=xl/externalLinks/_rels/externalLink13.xml.rels><?xml version="1.0" encoding="UTF-8" standalone="yes"?>
<Relationships xmlns="http://schemas.openxmlformats.org/package/2006/relationships">
<Relationship Id="rId1" Target="file:///E:/Documents%20and%20Settings/smatta/Local%20Settings/Temporary%20Internet%20Files/OLK13/Documents%20and%20Settings/tmorris/Local%20Settings/Temporary%20Internet%20Files/OLK33/Documents%20and%20Settings/smatta/Desktop/CC%20Acquisition%20Benchmarker080502v2.xls" TargetMode="External" Type="http://schemas.openxmlformats.org/officeDocument/2006/relationships/externalLinkPath"/>
</Relationships>

</file>

<file path=xl/externalLinks/_rels/externalLink14.xml.rels><?xml version="1.0" encoding="UTF-8" standalone="yes"?>
<Relationships xmlns="http://schemas.openxmlformats.org/package/2006/relationships">
<Relationship Id="rId1" Target="c1" TargetMode="External" Type="http://schemas.microsoft.com/office/2006/relationships/xlExternalLinkPath/xlPathMissing"/>
</Relationships>

</file>

<file path=xl/externalLinks/_rels/externalLink15.xml.rels><?xml version="1.0" encoding="UTF-8" standalone="yes"?>
<Relationships xmlns="http://schemas.openxmlformats.org/package/2006/relationships">
<Relationship Id="rId1" Target="file://///IRESHK01D/projects/GENERAL/TELECOMS/CHINA/CMHK/Current%20model/EM_CMHK_consolidated.xls" TargetMode="External" Type="http://schemas.openxmlformats.org/officeDocument/2006/relationships/externalLinkPath"/>
</Relationships>

</file>

<file path=xl/externalLinks/_rels/externalLink16.xml.rels><?xml version="1.0" encoding="UTF-8" standalone="yes"?>
<Relationships xmlns="http://schemas.openxmlformats.org/package/2006/relationships">
<Relationship Id="rId1" Target="file://///Firmwide.corp.gs.com/irroot/Technology/Internet/iAsiaWorks/Excel/IASIAWORKS.xls" TargetMode="External" Type="http://schemas.openxmlformats.org/officeDocument/2006/relationships/externalLinkPath"/>
</Relationships>

</file>

<file path=xl/externalLinks/_rels/externalLink17.xml.rels><?xml version="1.0" encoding="UTF-8" standalone="yes"?>
<Relationships xmlns="http://schemas.openxmlformats.org/package/2006/relationships">
<Relationship Id="rId1" Target="file:///X:/Documents%20and%20Settings/spark/Local%20Settings/Temporary%20Internet%20Files/OLK13/Documents%20and%20Settings/tmorris/Local%20Settings/Temporary%20Internet%20Files/OLK33/Documents%20and%20Settings/smatta/Desktop/CC%20Acquisition%20Benchmarker080502v2.xls" TargetMode="External" Type="http://schemas.openxmlformats.org/officeDocument/2006/relationships/externalLinkPath"/>
</Relationships>

</file>

<file path=xl/externalLinks/_rels/externalLink18.xml.rels><?xml version="1.0" encoding="UTF-8" standalone="yes"?>
<Relationships xmlns="http://schemas.openxmlformats.org/package/2006/relationships">
<Relationship Id="rId1" Target="file://///IRESHK01D/projects/GENERAL/TELECOMS/Report%20Folders/Snapshot/CHT.xls" TargetMode="External" Type="http://schemas.openxmlformats.org/officeDocument/2006/relationships/externalLinkPath"/>
</Relationships>

</file>

<file path=xl/externalLinks/_rels/externalLink19.xml.rels><?xml version="1.0" encoding="UTF-8" standalone="yes"?>
<Relationships xmlns="http://schemas.openxmlformats.org/package/2006/relationships">
<Relationship Id="rId1" Target="file://///ireshk01d/PROJECTS/general/telecoms/INDIA/MTNL/dem_MTNL.xls" TargetMode="External" Type="http://schemas.openxmlformats.org/officeDocument/2006/relationships/externalLinkPath"/>
</Relationships>

</file>

<file path=xl/externalLinks/_rels/externalLink20.xml.rels><?xml version="1.0" encoding="UTF-8" standalone="yes"?>
<Relationships xmlns="http://schemas.openxmlformats.org/package/2006/relationships">
<Relationship Id="rId1" Target="jrichard/Air%20Media/Company%20files/Takeoff%20Model_%20banking.xls" TargetMode="External" Type="http://schemas.microsoft.com/office/2006/relationships/xlExternalLinkPath/xlStartup"/>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Cash"/>
      <sheetName val="Exhibit 3"/>
      <sheetName val="Cash_published"/>
      <sheetName val="NVF_published"/>
      <sheetName val="Exhibit 5"/>
      <sheetName val="IFRS"/>
      <sheetName val="Exhibit 4"/>
      <sheetName val="IFRS Life"/>
      <sheetName val="Exhibit 1"/>
      <sheetName val="Exhibit 2"/>
      <sheetName val="MCEV Roll-up"/>
      <sheetName val="Weekahead"/>
      <sheetName val="MCEV_Capital"/>
      <sheetName val="Assets(new)"/>
      <sheetName val="MCEV P&amp;L"/>
      <sheetName val="Cash Flow"/>
      <sheetName val="upside_downside"/>
      <sheetName val="Income Statement"/>
      <sheetName val="Balance Sheet"/>
      <sheetName val="RI"/>
      <sheetName val="BULLBEAR"/>
      <sheetName val="Sheet2"/>
      <sheetName val="DCF"/>
      <sheetName val="MWA RR"/>
      <sheetName val="NonQtr"/>
      <sheetName val="REVENUE BY GEOGRAPHY"/>
      <sheetName val="Data 20d"/>
      <sheetName val="Data"/>
      <sheetName val="Risk-Reward_View_Chart"/>
      <sheetName val="Valsum"/>
      <sheetName val="Interims"/>
      <sheetName val="Financial Statements"/>
      <sheetName val="CPB"/>
      <sheetName val="Total_Food_Promo"/>
      <sheetName val="CPB_2yr"/>
      <sheetName val="Inputs"/>
      <sheetName val="FX"/>
      <sheetName val="Good 12-00 (2)"/>
      <sheetName val="Good 11-36"/>
      <sheetName val="Good 11-50"/>
      <sheetName val="Sheet3 (5)"/>
      <sheetName val="Summary"/>
      <sheetName val="Floater Demand"/>
      <sheetName val="B11_BarSingle_AverageLine"/>
      <sheetName val="Quero_Sales"/>
      <sheetName val="L2005"/>
      <sheetName val="C2000"/>
    </sheetNames>
    <sheetDataSet>
      <sheetData sheetId="0" refreshError="1">
        <row r="5">
          <cell r="F5" t="str">
            <v>Display horizontal line for the average?</v>
          </cell>
        </row>
        <row r="10">
          <cell r="Y10" t="str">
            <v>invisible1</v>
          </cell>
        </row>
        <row r="11">
          <cell r="D11" t="str">
            <v>Jupiter</v>
          </cell>
          <cell r="E11">
            <v>78</v>
          </cell>
          <cell r="X11" t="str">
            <v xml:space="preserve">  </v>
          </cell>
          <cell r="Y11">
            <v>44.5</v>
          </cell>
        </row>
        <row r="12">
          <cell r="D12" t="str">
            <v>Juno</v>
          </cell>
          <cell r="E12">
            <v>58</v>
          </cell>
        </row>
        <row r="13">
          <cell r="D13" t="str">
            <v>Neptune</v>
          </cell>
          <cell r="E13">
            <v>45</v>
          </cell>
          <cell r="X13" t="str">
            <v>width</v>
          </cell>
          <cell r="Y13">
            <v>0.624</v>
          </cell>
        </row>
        <row r="14">
          <cell r="D14" t="str">
            <v>Pluto</v>
          </cell>
          <cell r="E14">
            <v>37</v>
          </cell>
        </row>
        <row r="15">
          <cell r="D15" t="str">
            <v>Minerva</v>
          </cell>
          <cell r="E15">
            <v>26</v>
          </cell>
          <cell r="X15" t="str">
            <v>scaling</v>
          </cell>
          <cell r="Y15">
            <v>8.0000000000000002E-3</v>
          </cell>
        </row>
        <row r="16">
          <cell r="D16" t="str">
            <v>Hermes</v>
          </cell>
          <cell r="E16">
            <v>23</v>
          </cell>
        </row>
        <row r="17">
          <cell r="X17" t="str">
            <v>label</v>
          </cell>
          <cell r="Y17" t="str">
            <v>average: 44.5</v>
          </cell>
        </row>
        <row r="28">
          <cell r="R28" t="b">
            <v>1</v>
          </cell>
        </row>
        <row r="34">
          <cell r="R34" t="str">
            <v>Notes:</v>
          </cell>
        </row>
        <row r="35">
          <cell r="R35" t="str">
            <v>-doesn't work for negative average</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fordability (09)"/>
      <sheetName val="Affordability"/>
      <sheetName val="Summary"/>
      <sheetName val="Progression 2"/>
      <sheetName val="Progression 1"/>
      <sheetName val="Progression 3"/>
      <sheetName val="overall mkt size"/>
      <sheetName val="PerCapita-Scatter"/>
      <sheetName val="per capita data"/>
      <sheetName val="Category Mix"/>
      <sheetName val="Charts"/>
      <sheetName val="China"/>
      <sheetName val="Progression Tissue"/>
      <sheetName val="Elasticity"/>
      <sheetName val="Population (ALL)"/>
    </sheetNames>
    <sheetDataSet>
      <sheetData sheetId="0">
        <row r="1">
          <cell r="A1" t="str">
            <v>Affordability analysis based on 2009 data</v>
          </cell>
        </row>
        <row r="4">
          <cell r="B4" t="str">
            <v>per capita vol</v>
          </cell>
          <cell r="C4" t="str">
            <v>per capita value (US$)</v>
          </cell>
          <cell r="D4" t="str">
            <v>ASP (USD)</v>
          </cell>
          <cell r="E4" t="str">
            <v>ASP as % of disposable income</v>
          </cell>
          <cell r="F4" t="str">
            <v>disposable income per capital (US$)</v>
          </cell>
        </row>
        <row r="5">
          <cell r="A5" t="str">
            <v>Fruit/vegetable juice (litres)</v>
          </cell>
        </row>
        <row r="6">
          <cell r="A6" t="str">
            <v>China</v>
          </cell>
          <cell r="B6">
            <v>8.9</v>
          </cell>
          <cell r="C6">
            <v>8.9</v>
          </cell>
          <cell r="D6">
            <v>1</v>
          </cell>
          <cell r="E6">
            <v>3.9691990156386439E-4</v>
          </cell>
          <cell r="F6">
            <v>2519.4</v>
          </cell>
        </row>
        <row r="7">
          <cell r="A7" t="str">
            <v>HK</v>
          </cell>
          <cell r="B7">
            <v>12.3</v>
          </cell>
          <cell r="C7">
            <v>30.5</v>
          </cell>
          <cell r="D7">
            <v>2.4796747967479673</v>
          </cell>
          <cell r="E7">
            <v>1.0305698787874118E-4</v>
          </cell>
          <cell r="F7">
            <v>24061.200000000001</v>
          </cell>
        </row>
        <row r="8">
          <cell r="A8" t="str">
            <v>India</v>
          </cell>
          <cell r="B8">
            <v>0.4</v>
          </cell>
          <cell r="C8">
            <v>0.5</v>
          </cell>
          <cell r="D8">
            <v>1.25</v>
          </cell>
          <cell r="E8">
            <v>1.6031807105296909E-3</v>
          </cell>
          <cell r="F8">
            <v>779.7</v>
          </cell>
        </row>
        <row r="9">
          <cell r="A9" t="str">
            <v>Japan</v>
          </cell>
          <cell r="B9">
            <v>21.2</v>
          </cell>
          <cell r="C9">
            <v>75.599999999999994</v>
          </cell>
          <cell r="D9">
            <v>3.5660377358490565</v>
          </cell>
          <cell r="E9">
            <v>1.4529577260796457E-4</v>
          </cell>
          <cell r="F9">
            <v>24543.3</v>
          </cell>
        </row>
        <row r="10">
          <cell r="A10" t="str">
            <v>Singapore</v>
          </cell>
          <cell r="B10">
            <v>13.5</v>
          </cell>
          <cell r="C10">
            <v>26.4</v>
          </cell>
          <cell r="D10">
            <v>1.9555555555555555</v>
          </cell>
          <cell r="E10">
            <v>8.1559982965085368E-5</v>
          </cell>
          <cell r="F10">
            <v>23976.9</v>
          </cell>
        </row>
        <row r="11">
          <cell r="A11" t="str">
            <v>South Korea</v>
          </cell>
          <cell r="B11">
            <v>8.6</v>
          </cell>
          <cell r="C11">
            <v>16</v>
          </cell>
          <cell r="D11">
            <v>1.8604651162790697</v>
          </cell>
          <cell r="E11">
            <v>1.5687418768584689E-4</v>
          </cell>
          <cell r="F11">
            <v>11859.6</v>
          </cell>
        </row>
        <row r="12">
          <cell r="A12" t="str">
            <v>Taiwan</v>
          </cell>
          <cell r="B12">
            <v>17.2</v>
          </cell>
          <cell r="C12">
            <v>25</v>
          </cell>
          <cell r="D12">
            <v>1.4534883720930234</v>
          </cell>
          <cell r="E12">
            <v>1.1573649706918154E-4</v>
          </cell>
          <cell r="F12">
            <v>12558.6</v>
          </cell>
        </row>
        <row r="13">
          <cell r="A13" t="str">
            <v>Thailand</v>
          </cell>
          <cell r="B13">
            <v>2.9</v>
          </cell>
          <cell r="C13">
            <v>4.4000000000000004</v>
          </cell>
          <cell r="D13">
            <v>1.517241379310345</v>
          </cell>
          <cell r="E13">
            <v>5.5122302608913529E-4</v>
          </cell>
          <cell r="F13">
            <v>2752.5</v>
          </cell>
        </row>
        <row r="14">
          <cell r="A14" t="str">
            <v>Argentina</v>
          </cell>
          <cell r="B14">
            <v>3.9</v>
          </cell>
          <cell r="C14">
            <v>4.3</v>
          </cell>
          <cell r="D14">
            <v>1.1025641025641026</v>
          </cell>
          <cell r="E14">
            <v>2.5366711205892156E-4</v>
          </cell>
          <cell r="F14">
            <v>4346.5</v>
          </cell>
        </row>
        <row r="15">
          <cell r="A15" t="str">
            <v>Brazil</v>
          </cell>
          <cell r="B15">
            <v>4.2</v>
          </cell>
          <cell r="C15">
            <v>11.3</v>
          </cell>
          <cell r="D15">
            <v>2.6904761904761907</v>
          </cell>
          <cell r="E15">
            <v>5.485170622785302E-4</v>
          </cell>
          <cell r="F15">
            <v>4905</v>
          </cell>
        </row>
        <row r="16">
          <cell r="A16" t="str">
            <v>Mexico</v>
          </cell>
          <cell r="B16">
            <v>19.2</v>
          </cell>
          <cell r="C16">
            <v>19.100000000000001</v>
          </cell>
          <cell r="D16">
            <v>0.99479166666666674</v>
          </cell>
          <cell r="E16">
            <v>1.5936555487915588E-4</v>
          </cell>
          <cell r="F16">
            <v>6242.2</v>
          </cell>
        </row>
        <row r="17">
          <cell r="A17" t="str">
            <v>USA</v>
          </cell>
          <cell r="B17">
            <v>31</v>
          </cell>
          <cell r="C17">
            <v>53.5</v>
          </cell>
          <cell r="D17">
            <v>1.7258064516129032</v>
          </cell>
          <cell r="E17">
            <v>4.8393835728888507E-5</v>
          </cell>
          <cell r="F17">
            <v>35661.699999999997</v>
          </cell>
        </row>
        <row r="18">
          <cell r="A18" t="str">
            <v>Germany</v>
          </cell>
          <cell r="B18">
            <v>37.1</v>
          </cell>
          <cell r="C18">
            <v>54.7</v>
          </cell>
          <cell r="D18">
            <v>1.4743935309973046</v>
          </cell>
          <cell r="E18">
            <v>5.596950707583494E-5</v>
          </cell>
          <cell r="F18">
            <v>26342.799999999999</v>
          </cell>
        </row>
        <row r="19">
          <cell r="A19" t="str">
            <v>UK</v>
          </cell>
          <cell r="B19">
            <v>30.8</v>
          </cell>
          <cell r="C19">
            <v>66.7</v>
          </cell>
          <cell r="D19">
            <v>2.1655844155844157</v>
          </cell>
          <cell r="E19">
            <v>9.3779096827718882E-5</v>
          </cell>
          <cell r="F19">
            <v>23092.400000000001</v>
          </cell>
        </row>
        <row r="20">
          <cell r="A20" t="str">
            <v>india for chart</v>
          </cell>
          <cell r="B20">
            <v>0.4</v>
          </cell>
          <cell r="E20">
            <v>1.1999999999999999E-3</v>
          </cell>
        </row>
        <row r="21">
          <cell r="A21" t="str">
            <v>100% juice (litres)</v>
          </cell>
        </row>
        <row r="22">
          <cell r="A22" t="str">
            <v>China</v>
          </cell>
          <cell r="B22">
            <v>0.2</v>
          </cell>
          <cell r="C22">
            <v>0.3</v>
          </cell>
          <cell r="D22">
            <v>1.4999999999999998</v>
          </cell>
          <cell r="E22">
            <v>5.9537985234579653E-4</v>
          </cell>
          <cell r="F22">
            <v>2519.4</v>
          </cell>
        </row>
        <row r="23">
          <cell r="A23" t="str">
            <v>HK</v>
          </cell>
          <cell r="B23">
            <v>3</v>
          </cell>
          <cell r="C23">
            <v>10.1</v>
          </cell>
          <cell r="D23">
            <v>3.3666666666666667</v>
          </cell>
          <cell r="E23">
            <v>1.3992097928061222E-4</v>
          </cell>
          <cell r="F23">
            <v>24061.200000000001</v>
          </cell>
        </row>
        <row r="24">
          <cell r="A24" t="str">
            <v>India</v>
          </cell>
          <cell r="B24">
            <v>0</v>
          </cell>
          <cell r="C24">
            <v>0</v>
          </cell>
          <cell r="D24" t="e">
            <v>#DIV/0!</v>
          </cell>
          <cell r="E24" t="e">
            <v>#DIV/0!</v>
          </cell>
          <cell r="F24">
            <v>779.7</v>
          </cell>
        </row>
        <row r="25">
          <cell r="A25" t="str">
            <v>Japan</v>
          </cell>
          <cell r="B25">
            <v>10.5</v>
          </cell>
          <cell r="C25">
            <v>51.9</v>
          </cell>
          <cell r="D25">
            <v>4.9428571428571431</v>
          </cell>
          <cell r="E25">
            <v>2.0139333923543872E-4</v>
          </cell>
          <cell r="F25">
            <v>24543.3</v>
          </cell>
        </row>
        <row r="26">
          <cell r="A26" t="str">
            <v>Singapore</v>
          </cell>
          <cell r="B26">
            <v>2.7</v>
          </cell>
          <cell r="C26">
            <v>5.3</v>
          </cell>
          <cell r="D26">
            <v>1.9629629629629628</v>
          </cell>
          <cell r="E26">
            <v>8.1868922294498568E-5</v>
          </cell>
          <cell r="F26">
            <v>23976.9</v>
          </cell>
        </row>
        <row r="27">
          <cell r="A27" t="str">
            <v>South Korea</v>
          </cell>
          <cell r="B27">
            <v>2.4</v>
          </cell>
          <cell r="C27">
            <v>4.5999999999999996</v>
          </cell>
          <cell r="D27">
            <v>1.9166666666666665</v>
          </cell>
          <cell r="E27">
            <v>1.6161309543885684E-4</v>
          </cell>
          <cell r="F27">
            <v>11859.6</v>
          </cell>
        </row>
        <row r="28">
          <cell r="A28" t="str">
            <v>Taiwan</v>
          </cell>
          <cell r="B28">
            <v>1.4</v>
          </cell>
          <cell r="C28">
            <v>2.8</v>
          </cell>
          <cell r="D28">
            <v>2</v>
          </cell>
          <cell r="E28">
            <v>1.5925341996719379E-4</v>
          </cell>
          <cell r="F28">
            <v>12558.6</v>
          </cell>
        </row>
        <row r="29">
          <cell r="A29" t="str">
            <v>Thailand</v>
          </cell>
          <cell r="B29">
            <v>0.6</v>
          </cell>
          <cell r="C29">
            <v>1.1000000000000001</v>
          </cell>
          <cell r="D29">
            <v>1.8333333333333335</v>
          </cell>
          <cell r="E29">
            <v>6.6606115652437182E-4</v>
          </cell>
          <cell r="F29">
            <v>2752.5</v>
          </cell>
        </row>
        <row r="30">
          <cell r="A30" t="str">
            <v>Argentina</v>
          </cell>
          <cell r="B30">
            <v>0.5</v>
          </cell>
          <cell r="C30">
            <v>0.7</v>
          </cell>
          <cell r="D30">
            <v>1.4</v>
          </cell>
          <cell r="E30">
            <v>3.2209823996318874E-4</v>
          </cell>
          <cell r="F30">
            <v>4346.5</v>
          </cell>
        </row>
        <row r="31">
          <cell r="A31" t="str">
            <v>Brazil</v>
          </cell>
          <cell r="B31">
            <v>0.6</v>
          </cell>
          <cell r="C31">
            <v>2.5</v>
          </cell>
          <cell r="D31">
            <v>4.166666666666667</v>
          </cell>
          <cell r="E31">
            <v>8.4947332653754679E-4</v>
          </cell>
          <cell r="F31">
            <v>4905</v>
          </cell>
        </row>
        <row r="32">
          <cell r="A32" t="str">
            <v>Mexico</v>
          </cell>
          <cell r="B32">
            <v>1.8</v>
          </cell>
          <cell r="C32">
            <v>3.1</v>
          </cell>
          <cell r="D32">
            <v>1.7222222222222223</v>
          </cell>
          <cell r="E32">
            <v>2.7589987860405341E-4</v>
          </cell>
          <cell r="F32">
            <v>6242.2</v>
          </cell>
        </row>
        <row r="33">
          <cell r="A33" t="str">
            <v>USA</v>
          </cell>
          <cell r="B33">
            <v>15.6</v>
          </cell>
          <cell r="C33">
            <v>29.7</v>
          </cell>
          <cell r="D33">
            <v>1.9038461538461537</v>
          </cell>
          <cell r="E33">
            <v>5.3386298293299363E-5</v>
          </cell>
          <cell r="F33">
            <v>35661.699999999997</v>
          </cell>
        </row>
        <row r="34">
          <cell r="A34" t="str">
            <v>Germany</v>
          </cell>
          <cell r="B34">
            <v>19.3</v>
          </cell>
          <cell r="C34">
            <v>35.4</v>
          </cell>
          <cell r="D34">
            <v>1.8341968911917097</v>
          </cell>
          <cell r="E34">
            <v>6.9628015670001285E-5</v>
          </cell>
          <cell r="F34">
            <v>26342.799999999999</v>
          </cell>
        </row>
        <row r="35">
          <cell r="A35" t="str">
            <v>UK</v>
          </cell>
          <cell r="B35">
            <v>18.2</v>
          </cell>
          <cell r="C35">
            <v>42.3</v>
          </cell>
          <cell r="D35">
            <v>2.3241758241758239</v>
          </cell>
          <cell r="E35">
            <v>1.0064678527029775E-4</v>
          </cell>
          <cell r="F35">
            <v>23092.400000000001</v>
          </cell>
        </row>
        <row r="37">
          <cell r="A37" t="str">
            <v>Nectars (25-99% juice)  (litres)</v>
          </cell>
        </row>
        <row r="38">
          <cell r="A38" t="str">
            <v>China</v>
          </cell>
          <cell r="B38">
            <v>1.1000000000000001</v>
          </cell>
          <cell r="C38">
            <v>1.4</v>
          </cell>
          <cell r="D38">
            <v>1.2727272727272725</v>
          </cell>
          <cell r="E38">
            <v>5.0517078380855462E-4</v>
          </cell>
          <cell r="F38">
            <v>2519.4</v>
          </cell>
        </row>
        <row r="39">
          <cell r="A39" t="str">
            <v>HK</v>
          </cell>
          <cell r="B39">
            <v>1.8</v>
          </cell>
          <cell r="C39">
            <v>4.3</v>
          </cell>
          <cell r="D39">
            <v>2.3888888888888888</v>
          </cell>
          <cell r="E39">
            <v>9.9283863185912956E-5</v>
          </cell>
          <cell r="F39">
            <v>24061.200000000001</v>
          </cell>
        </row>
        <row r="40">
          <cell r="A40" t="str">
            <v>India</v>
          </cell>
          <cell r="B40">
            <v>0</v>
          </cell>
          <cell r="C40">
            <v>0.1</v>
          </cell>
          <cell r="D40" t="e">
            <v>#DIV/0!</v>
          </cell>
          <cell r="F40">
            <v>779.7</v>
          </cell>
        </row>
        <row r="41">
          <cell r="A41" t="str">
            <v>Japan</v>
          </cell>
          <cell r="B41">
            <v>1.2</v>
          </cell>
          <cell r="C41">
            <v>9.1</v>
          </cell>
          <cell r="D41">
            <v>7.583333333333333</v>
          </cell>
          <cell r="E41">
            <v>3.0897773866323327E-4</v>
          </cell>
          <cell r="F41">
            <v>24543.3</v>
          </cell>
        </row>
        <row r="42">
          <cell r="A42" t="str">
            <v>Singapore</v>
          </cell>
          <cell r="B42">
            <v>5.5</v>
          </cell>
          <cell r="C42">
            <v>10.9</v>
          </cell>
          <cell r="D42">
            <v>1.9818181818181819</v>
          </cell>
          <cell r="E42">
            <v>8.2655313314823088E-5</v>
          </cell>
          <cell r="F42">
            <v>23976.9</v>
          </cell>
        </row>
        <row r="43">
          <cell r="A43" t="str">
            <v>South Korea</v>
          </cell>
          <cell r="B43">
            <v>3.3</v>
          </cell>
          <cell r="C43">
            <v>5.8</v>
          </cell>
          <cell r="D43">
            <v>1.7575757575757576</v>
          </cell>
          <cell r="E43">
            <v>1.4819856973049322E-4</v>
          </cell>
          <cell r="F43">
            <v>11859.6</v>
          </cell>
        </row>
        <row r="44">
          <cell r="A44" t="str">
            <v>Taiwan</v>
          </cell>
          <cell r="B44">
            <v>2.9</v>
          </cell>
          <cell r="C44">
            <v>4.2</v>
          </cell>
          <cell r="D44">
            <v>1.4482758620689655</v>
          </cell>
          <cell r="E44">
            <v>1.1532144204520929E-4</v>
          </cell>
          <cell r="F44">
            <v>12558.6</v>
          </cell>
        </row>
        <row r="45">
          <cell r="A45" t="str">
            <v>Thailand</v>
          </cell>
          <cell r="B45">
            <v>1</v>
          </cell>
          <cell r="C45">
            <v>1.4</v>
          </cell>
          <cell r="D45">
            <v>1.4</v>
          </cell>
          <cell r="E45">
            <v>5.0862851952770201E-4</v>
          </cell>
          <cell r="F45">
            <v>2752.5</v>
          </cell>
        </row>
        <row r="46">
          <cell r="A46" t="str">
            <v>Argentina</v>
          </cell>
          <cell r="B46">
            <v>3</v>
          </cell>
          <cell r="C46">
            <v>3.4</v>
          </cell>
          <cell r="D46">
            <v>1.1333333333333333</v>
          </cell>
          <cell r="E46">
            <v>2.607461942559147E-4</v>
          </cell>
          <cell r="F46">
            <v>4346.5</v>
          </cell>
        </row>
        <row r="47">
          <cell r="A47" t="str">
            <v>Brazil</v>
          </cell>
          <cell r="B47">
            <v>2.1</v>
          </cell>
          <cell r="C47">
            <v>5.5</v>
          </cell>
          <cell r="D47">
            <v>2.6190476190476191</v>
          </cell>
          <cell r="E47">
            <v>5.3395466239502935E-4</v>
          </cell>
          <cell r="F47">
            <v>4905</v>
          </cell>
        </row>
        <row r="48">
          <cell r="A48" t="str">
            <v>Mexico</v>
          </cell>
          <cell r="B48">
            <v>2.9</v>
          </cell>
          <cell r="C48">
            <v>3.7</v>
          </cell>
          <cell r="D48">
            <v>1.2758620689655173</v>
          </cell>
          <cell r="E48">
            <v>2.0439301351534995E-4</v>
          </cell>
          <cell r="F48">
            <v>6242.2</v>
          </cell>
        </row>
        <row r="49">
          <cell r="A49" t="str">
            <v>USA</v>
          </cell>
          <cell r="B49">
            <v>2.1</v>
          </cell>
          <cell r="C49">
            <v>5.4</v>
          </cell>
          <cell r="D49">
            <v>2.5714285714285716</v>
          </cell>
          <cell r="E49">
            <v>7.2106169123417328E-5</v>
          </cell>
          <cell r="F49">
            <v>35661.699999999997</v>
          </cell>
        </row>
        <row r="50">
          <cell r="A50" t="str">
            <v>Germany</v>
          </cell>
          <cell r="B50">
            <v>8.6</v>
          </cell>
          <cell r="C50">
            <v>9.5</v>
          </cell>
          <cell r="D50">
            <v>1.1046511627906976</v>
          </cell>
          <cell r="E50">
            <v>4.1933703432843041E-5</v>
          </cell>
          <cell r="F50">
            <v>26342.799999999999</v>
          </cell>
        </row>
        <row r="51">
          <cell r="A51" t="str">
            <v>UK</v>
          </cell>
          <cell r="B51">
            <v>3</v>
          </cell>
          <cell r="C51">
            <v>7.3</v>
          </cell>
          <cell r="D51">
            <v>2.4333333333333331</v>
          </cell>
          <cell r="E51">
            <v>1.0537377376683814E-4</v>
          </cell>
          <cell r="F51">
            <v>23092.400000000001</v>
          </cell>
        </row>
        <row r="52">
          <cell r="B52">
            <v>0</v>
          </cell>
          <cell r="C52">
            <v>0</v>
          </cell>
        </row>
        <row r="53">
          <cell r="A53" t="str">
            <v>Juice drinks (up to 24% juice)   (litres)</v>
          </cell>
          <cell r="B53">
            <v>0</v>
          </cell>
          <cell r="C53">
            <v>0</v>
          </cell>
        </row>
        <row r="54">
          <cell r="A54" t="str">
            <v>China</v>
          </cell>
          <cell r="B54">
            <v>7.6</v>
          </cell>
          <cell r="C54">
            <v>7.2</v>
          </cell>
          <cell r="D54">
            <v>0.94736842105263164</v>
          </cell>
          <cell r="E54">
            <v>3.760293804289242E-4</v>
          </cell>
          <cell r="F54">
            <v>2519.4</v>
          </cell>
        </row>
        <row r="55">
          <cell r="A55" t="str">
            <v>HK</v>
          </cell>
          <cell r="B55">
            <v>7.5</v>
          </cell>
          <cell r="C55">
            <v>16.100000000000001</v>
          </cell>
          <cell r="D55">
            <v>2.1466666666666669</v>
          </cell>
          <cell r="E55">
            <v>8.9216941244271564E-5</v>
          </cell>
          <cell r="F55">
            <v>24061.200000000001</v>
          </cell>
        </row>
        <row r="56">
          <cell r="A56" t="str">
            <v>India</v>
          </cell>
          <cell r="B56">
            <v>0.3</v>
          </cell>
          <cell r="C56">
            <v>0.3</v>
          </cell>
          <cell r="D56">
            <v>1</v>
          </cell>
          <cell r="E56">
            <v>1.2825445684237526E-3</v>
          </cell>
          <cell r="F56">
            <v>779.7</v>
          </cell>
        </row>
        <row r="57">
          <cell r="A57" t="str">
            <v>Japan</v>
          </cell>
          <cell r="B57">
            <v>8.4</v>
          </cell>
          <cell r="C57">
            <v>14.6</v>
          </cell>
          <cell r="D57">
            <v>1.7380952380952379</v>
          </cell>
          <cell r="E57">
            <v>7.0817503681055031E-5</v>
          </cell>
          <cell r="F57">
            <v>24543.3</v>
          </cell>
        </row>
        <row r="58">
          <cell r="A58" t="str">
            <v>Singapore</v>
          </cell>
          <cell r="B58">
            <v>5.2</v>
          </cell>
          <cell r="C58">
            <v>10.199999999999999</v>
          </cell>
          <cell r="D58">
            <v>1.9615384615384612</v>
          </cell>
          <cell r="E58">
            <v>8.1809510884996026E-5</v>
          </cell>
          <cell r="F58">
            <v>23976.9</v>
          </cell>
        </row>
        <row r="59">
          <cell r="A59" t="str">
            <v>South Korea</v>
          </cell>
          <cell r="B59">
            <v>2.5</v>
          </cell>
          <cell r="C59">
            <v>5.6</v>
          </cell>
          <cell r="D59">
            <v>2.2399999999999998</v>
          </cell>
          <cell r="E59">
            <v>1.8887652197375964E-4</v>
          </cell>
          <cell r="F59">
            <v>11859.6</v>
          </cell>
        </row>
        <row r="60">
          <cell r="A60" t="str">
            <v>Taiwan</v>
          </cell>
          <cell r="B60">
            <v>12.9</v>
          </cell>
          <cell r="C60">
            <v>17.899999999999999</v>
          </cell>
          <cell r="D60">
            <v>1.387596899224806</v>
          </cell>
          <cell r="E60">
            <v>1.1048977586871196E-4</v>
          </cell>
          <cell r="F60">
            <v>12558.6</v>
          </cell>
        </row>
        <row r="61">
          <cell r="A61" t="str">
            <v>Thailand</v>
          </cell>
          <cell r="B61">
            <v>1.3</v>
          </cell>
          <cell r="C61">
            <v>1.9</v>
          </cell>
          <cell r="D61">
            <v>1.4615384615384615</v>
          </cell>
          <cell r="E61">
            <v>5.3098581708935927E-4</v>
          </cell>
          <cell r="F61">
            <v>2752.5</v>
          </cell>
        </row>
        <row r="62">
          <cell r="A62" t="str">
            <v>Argentina</v>
          </cell>
          <cell r="B62">
            <v>0.1</v>
          </cell>
          <cell r="C62">
            <v>0.1</v>
          </cell>
          <cell r="D62">
            <v>1</v>
          </cell>
          <cell r="E62">
            <v>2.300701714022777E-4</v>
          </cell>
          <cell r="F62">
            <v>4346.5</v>
          </cell>
        </row>
        <row r="63">
          <cell r="A63" t="str">
            <v>Brazil</v>
          </cell>
          <cell r="B63">
            <v>1.5</v>
          </cell>
          <cell r="C63">
            <v>3.3</v>
          </cell>
          <cell r="D63">
            <v>2.1999999999999997</v>
          </cell>
          <cell r="E63">
            <v>4.4852191641182464E-4</v>
          </cell>
          <cell r="F63">
            <v>4905</v>
          </cell>
        </row>
        <row r="64">
          <cell r="A64" t="str">
            <v>Mexico</v>
          </cell>
          <cell r="B64">
            <v>6.5</v>
          </cell>
          <cell r="C64">
            <v>6</v>
          </cell>
          <cell r="D64">
            <v>0.92307692307692313</v>
          </cell>
          <cell r="E64">
            <v>1.4787685801110557E-4</v>
          </cell>
          <cell r="F64">
            <v>6242.2</v>
          </cell>
        </row>
        <row r="65">
          <cell r="A65" t="str">
            <v>USA</v>
          </cell>
          <cell r="B65">
            <v>11.6</v>
          </cell>
          <cell r="C65">
            <v>17.3</v>
          </cell>
          <cell r="D65">
            <v>1.4913793103448276</v>
          </cell>
          <cell r="E65">
            <v>4.1820196747345971E-5</v>
          </cell>
          <cell r="F65">
            <v>35661.699999999997</v>
          </cell>
        </row>
        <row r="66">
          <cell r="A66" t="str">
            <v>Germany</v>
          </cell>
          <cell r="B66">
            <v>9.1999999999999993</v>
          </cell>
          <cell r="C66">
            <v>9.8000000000000007</v>
          </cell>
          <cell r="D66">
            <v>1.0652173913043479</v>
          </cell>
          <cell r="E66">
            <v>4.0436756582608829E-5</v>
          </cell>
          <cell r="F66">
            <v>26342.799999999999</v>
          </cell>
        </row>
        <row r="67">
          <cell r="A67" t="str">
            <v>UK</v>
          </cell>
          <cell r="B67">
            <v>9.6</v>
          </cell>
          <cell r="C67">
            <v>17.2</v>
          </cell>
          <cell r="D67">
            <v>1.7916666666666667</v>
          </cell>
          <cell r="E67">
            <v>7.7586853972158232E-5</v>
          </cell>
          <cell r="F67">
            <v>23092.400000000001</v>
          </cell>
        </row>
        <row r="68">
          <cell r="A68" t="str">
            <v>india for chart</v>
          </cell>
          <cell r="B68">
            <v>0.3</v>
          </cell>
          <cell r="E68">
            <v>8.0000000000000004E-4</v>
          </cell>
        </row>
        <row r="69">
          <cell r="A69" t="str">
            <v>Fruit-flavoured drinks (no juice content)   (litres)</v>
          </cell>
        </row>
        <row r="70">
          <cell r="A70" t="str">
            <v>China</v>
          </cell>
          <cell r="B70" t="str">
            <v>-</v>
          </cell>
          <cell r="C70" t="str">
            <v>-</v>
          </cell>
          <cell r="D70" t="e">
            <v>#VALUE!</v>
          </cell>
          <cell r="E70" t="e">
            <v>#VALUE!</v>
          </cell>
          <cell r="F70">
            <v>2519.4</v>
          </cell>
        </row>
        <row r="71">
          <cell r="A71" t="str">
            <v>HK</v>
          </cell>
          <cell r="B71" t="str">
            <v>-</v>
          </cell>
          <cell r="C71" t="str">
            <v>-</v>
          </cell>
          <cell r="D71" t="e">
            <v>#VALUE!</v>
          </cell>
          <cell r="E71" t="e">
            <v>#VALUE!</v>
          </cell>
          <cell r="F71">
            <v>24061.200000000001</v>
          </cell>
        </row>
        <row r="72">
          <cell r="A72" t="str">
            <v>India</v>
          </cell>
          <cell r="B72" t="str">
            <v>-</v>
          </cell>
          <cell r="C72" t="str">
            <v>-</v>
          </cell>
          <cell r="D72" t="e">
            <v>#VALUE!</v>
          </cell>
          <cell r="E72" t="e">
            <v>#VALUE!</v>
          </cell>
          <cell r="F72">
            <v>779.7</v>
          </cell>
        </row>
        <row r="73">
          <cell r="A73" t="str">
            <v>Japan</v>
          </cell>
          <cell r="B73" t="str">
            <v>-</v>
          </cell>
          <cell r="C73" t="str">
            <v>-</v>
          </cell>
          <cell r="D73" t="e">
            <v>#VALUE!</v>
          </cell>
          <cell r="E73" t="e">
            <v>#VALUE!</v>
          </cell>
          <cell r="F73">
            <v>24543.3</v>
          </cell>
        </row>
        <row r="74">
          <cell r="A74" t="str">
            <v>Singapore</v>
          </cell>
          <cell r="B74" t="str">
            <v>-</v>
          </cell>
          <cell r="C74" t="str">
            <v>-</v>
          </cell>
          <cell r="D74" t="e">
            <v>#VALUE!</v>
          </cell>
          <cell r="E74" t="e">
            <v>#VALUE!</v>
          </cell>
          <cell r="F74">
            <v>23976.9</v>
          </cell>
        </row>
        <row r="75">
          <cell r="A75" t="str">
            <v>South Korea</v>
          </cell>
          <cell r="B75" t="str">
            <v>-</v>
          </cell>
          <cell r="C75" t="str">
            <v>-</v>
          </cell>
          <cell r="D75" t="e">
            <v>#VALUE!</v>
          </cell>
          <cell r="E75" t="e">
            <v>#VALUE!</v>
          </cell>
          <cell r="F75">
            <v>11859.6</v>
          </cell>
        </row>
        <row r="76">
          <cell r="A76" t="str">
            <v>Taiwan</v>
          </cell>
          <cell r="B76" t="str">
            <v>-</v>
          </cell>
          <cell r="C76" t="str">
            <v>-</v>
          </cell>
          <cell r="D76" t="e">
            <v>#VALUE!</v>
          </cell>
          <cell r="E76" t="e">
            <v>#VALUE!</v>
          </cell>
          <cell r="F76">
            <v>12558.6</v>
          </cell>
        </row>
        <row r="77">
          <cell r="A77" t="str">
            <v>Thailand</v>
          </cell>
          <cell r="B77" t="str">
            <v>-</v>
          </cell>
          <cell r="C77" t="str">
            <v>-</v>
          </cell>
          <cell r="D77" t="e">
            <v>#VALUE!</v>
          </cell>
          <cell r="E77" t="e">
            <v>#VALUE!</v>
          </cell>
          <cell r="F77">
            <v>2752.5</v>
          </cell>
        </row>
        <row r="78">
          <cell r="A78" t="str">
            <v>Argentina</v>
          </cell>
          <cell r="B78" t="str">
            <v>-</v>
          </cell>
          <cell r="C78" t="str">
            <v>-</v>
          </cell>
          <cell r="D78" t="e">
            <v>#VALUE!</v>
          </cell>
          <cell r="E78" t="e">
            <v>#VALUE!</v>
          </cell>
          <cell r="F78">
            <v>4346.5</v>
          </cell>
        </row>
        <row r="79">
          <cell r="A79" t="str">
            <v>Brazil</v>
          </cell>
          <cell r="B79" t="str">
            <v>-</v>
          </cell>
          <cell r="C79" t="str">
            <v>-</v>
          </cell>
          <cell r="D79" t="e">
            <v>#VALUE!</v>
          </cell>
          <cell r="E79" t="e">
            <v>#VALUE!</v>
          </cell>
          <cell r="F79">
            <v>4905</v>
          </cell>
        </row>
        <row r="80">
          <cell r="A80" t="str">
            <v>Mexico</v>
          </cell>
          <cell r="B80">
            <v>8.4</v>
          </cell>
          <cell r="C80">
            <v>5.0999999999999996</v>
          </cell>
          <cell r="D80">
            <v>0.6071428571428571</v>
          </cell>
          <cell r="E80">
            <v>9.7264242918018826E-5</v>
          </cell>
          <cell r="F80">
            <v>6242.2</v>
          </cell>
        </row>
        <row r="81">
          <cell r="A81" t="str">
            <v>USA</v>
          </cell>
          <cell r="B81">
            <v>1.6</v>
          </cell>
          <cell r="C81">
            <v>0.8</v>
          </cell>
          <cell r="D81">
            <v>0.5</v>
          </cell>
          <cell r="E81">
            <v>1.4020643996220035E-5</v>
          </cell>
          <cell r="F81">
            <v>35661.699999999997</v>
          </cell>
        </row>
        <row r="82">
          <cell r="A82" t="str">
            <v>Germany</v>
          </cell>
          <cell r="B82" t="str">
            <v>-</v>
          </cell>
          <cell r="C82" t="str">
            <v>-</v>
          </cell>
          <cell r="D82" t="e">
            <v>#VALUE!</v>
          </cell>
          <cell r="E82" t="e">
            <v>#VALUE!</v>
          </cell>
          <cell r="F82">
            <v>26342.799999999999</v>
          </cell>
        </row>
        <row r="83">
          <cell r="A83" t="str">
            <v>UK</v>
          </cell>
          <cell r="B83" t="str">
            <v>-</v>
          </cell>
          <cell r="C83" t="str">
            <v>-</v>
          </cell>
          <cell r="D83" t="e">
            <v>#VALUE!</v>
          </cell>
          <cell r="E83" t="e">
            <v>#VALUE!</v>
          </cell>
          <cell r="F83">
            <v>23092.400000000001</v>
          </cell>
        </row>
        <row r="85">
          <cell r="A85" t="str">
            <v>RTD tea (litres)</v>
          </cell>
        </row>
        <row r="86">
          <cell r="A86" t="str">
            <v>China</v>
          </cell>
          <cell r="B86">
            <v>7.5</v>
          </cell>
          <cell r="C86">
            <v>7.5</v>
          </cell>
          <cell r="D86">
            <v>1</v>
          </cell>
          <cell r="E86">
            <v>3.9691990156386439E-4</v>
          </cell>
          <cell r="F86">
            <v>2519.4</v>
          </cell>
        </row>
        <row r="87">
          <cell r="A87" t="str">
            <v>HK</v>
          </cell>
          <cell r="B87">
            <v>37.200000000000003</v>
          </cell>
          <cell r="C87">
            <v>37.200000000000003</v>
          </cell>
          <cell r="D87">
            <v>1</v>
          </cell>
          <cell r="E87">
            <v>4.1560686915033333E-5</v>
          </cell>
          <cell r="F87">
            <v>24061.200000000001</v>
          </cell>
        </row>
        <row r="88">
          <cell r="A88" t="str">
            <v>India</v>
          </cell>
          <cell r="B88">
            <v>0</v>
          </cell>
          <cell r="C88">
            <v>0</v>
          </cell>
        </row>
        <row r="89">
          <cell r="A89" t="str">
            <v>Japan</v>
          </cell>
          <cell r="B89">
            <v>4.5999999999999996</v>
          </cell>
          <cell r="C89">
            <v>42.5</v>
          </cell>
          <cell r="D89">
            <v>9.2391304347826093</v>
          </cell>
          <cell r="E89">
            <v>3.7644206096093882E-4</v>
          </cell>
          <cell r="F89">
            <v>24543.3</v>
          </cell>
        </row>
        <row r="90">
          <cell r="A90" t="str">
            <v>Singapore</v>
          </cell>
          <cell r="B90">
            <v>10.199999999999999</v>
          </cell>
          <cell r="C90">
            <v>10.199999999999999</v>
          </cell>
          <cell r="D90">
            <v>1</v>
          </cell>
          <cell r="E90">
            <v>4.1706809470782291E-5</v>
          </cell>
          <cell r="F90">
            <v>23976.9</v>
          </cell>
        </row>
        <row r="91">
          <cell r="A91" t="str">
            <v>South Korea</v>
          </cell>
          <cell r="B91">
            <v>1.6</v>
          </cell>
          <cell r="C91">
            <v>1.6</v>
          </cell>
          <cell r="D91">
            <v>1</v>
          </cell>
          <cell r="E91">
            <v>8.4319875881142697E-5</v>
          </cell>
          <cell r="F91">
            <v>11859.6</v>
          </cell>
        </row>
        <row r="92">
          <cell r="A92" t="str">
            <v>Taiwan</v>
          </cell>
          <cell r="B92">
            <v>29.5</v>
          </cell>
          <cell r="C92">
            <v>29.5</v>
          </cell>
          <cell r="D92">
            <v>1</v>
          </cell>
          <cell r="E92">
            <v>7.9626709983596897E-5</v>
          </cell>
          <cell r="F92">
            <v>12558.6</v>
          </cell>
        </row>
        <row r="93">
          <cell r="A93" t="str">
            <v>Thailand</v>
          </cell>
          <cell r="B93">
            <v>1.8</v>
          </cell>
          <cell r="C93">
            <v>1.8</v>
          </cell>
          <cell r="D93">
            <v>1</v>
          </cell>
          <cell r="E93">
            <v>3.6330608537693006E-4</v>
          </cell>
          <cell r="F93">
            <v>2752.5</v>
          </cell>
        </row>
        <row r="94">
          <cell r="A94" t="str">
            <v>Argentina</v>
          </cell>
          <cell r="B94" t="str">
            <v>-</v>
          </cell>
          <cell r="C94" t="str">
            <v>-</v>
          </cell>
        </row>
        <row r="95">
          <cell r="A95" t="str">
            <v>Brazil</v>
          </cell>
          <cell r="B95">
            <v>0.6</v>
          </cell>
          <cell r="C95">
            <v>0.6</v>
          </cell>
          <cell r="D95">
            <v>1</v>
          </cell>
          <cell r="E95">
            <v>2.0387359836901122E-4</v>
          </cell>
          <cell r="F95">
            <v>4905</v>
          </cell>
        </row>
        <row r="96">
          <cell r="A96" t="str">
            <v>Mexico</v>
          </cell>
          <cell r="B96">
            <v>1</v>
          </cell>
          <cell r="C96">
            <v>1</v>
          </cell>
          <cell r="D96">
            <v>1</v>
          </cell>
          <cell r="E96">
            <v>1.6019992951203101E-4</v>
          </cell>
          <cell r="F96">
            <v>6242.2</v>
          </cell>
        </row>
        <row r="97">
          <cell r="A97" t="str">
            <v>USA</v>
          </cell>
          <cell r="B97">
            <v>7.4</v>
          </cell>
          <cell r="C97">
            <v>7.4</v>
          </cell>
          <cell r="D97">
            <v>1</v>
          </cell>
          <cell r="E97">
            <v>2.8041287992440071E-5</v>
          </cell>
          <cell r="F97">
            <v>35661.699999999997</v>
          </cell>
        </row>
        <row r="98">
          <cell r="A98" t="str">
            <v>Germany</v>
          </cell>
          <cell r="B98">
            <v>9.5</v>
          </cell>
          <cell r="C98">
            <v>9.5</v>
          </cell>
          <cell r="D98">
            <v>1</v>
          </cell>
          <cell r="E98">
            <v>3.7961036791836862E-5</v>
          </cell>
          <cell r="F98">
            <v>26342.799999999999</v>
          </cell>
        </row>
        <row r="99">
          <cell r="A99" t="str">
            <v>UK</v>
          </cell>
          <cell r="B99">
            <v>0.1</v>
          </cell>
          <cell r="C99">
            <v>0.1</v>
          </cell>
          <cell r="D99">
            <v>1</v>
          </cell>
          <cell r="E99">
            <v>4.3304290589111568E-5</v>
          </cell>
          <cell r="F99">
            <v>23092.400000000001</v>
          </cell>
        </row>
        <row r="101">
          <cell r="A101" t="str">
            <v>Dairy products (kg)</v>
          </cell>
        </row>
        <row r="102">
          <cell r="A102" t="str">
            <v>China</v>
          </cell>
          <cell r="B102">
            <v>12.9</v>
          </cell>
          <cell r="C102">
            <v>19.100000000000001</v>
          </cell>
          <cell r="D102">
            <v>1.4806201550387597</v>
          </cell>
          <cell r="E102">
            <v>5.8768760619145807E-4</v>
          </cell>
          <cell r="F102">
            <v>2519.4</v>
          </cell>
        </row>
        <row r="103">
          <cell r="A103" t="str">
            <v>HK</v>
          </cell>
          <cell r="B103">
            <v>30.5</v>
          </cell>
          <cell r="C103">
            <v>78.900000000000006</v>
          </cell>
          <cell r="D103">
            <v>2.5868852459016396</v>
          </cell>
          <cell r="E103">
            <v>1.0751272779003705E-4</v>
          </cell>
          <cell r="F103">
            <v>24061.200000000001</v>
          </cell>
        </row>
        <row r="104">
          <cell r="A104" t="str">
            <v>India</v>
          </cell>
          <cell r="B104">
            <v>9.4</v>
          </cell>
          <cell r="C104">
            <v>4.4000000000000004</v>
          </cell>
          <cell r="D104">
            <v>0.46808510638297873</v>
          </cell>
          <cell r="E104">
            <v>6.0034001075154385E-4</v>
          </cell>
          <cell r="F104">
            <v>779.7</v>
          </cell>
        </row>
        <row r="105">
          <cell r="A105" t="str">
            <v>Japan</v>
          </cell>
          <cell r="B105">
            <v>33.799999999999997</v>
          </cell>
          <cell r="C105">
            <v>154.69999999999999</v>
          </cell>
          <cell r="D105">
            <v>4.5769230769230766</v>
          </cell>
          <cell r="E105">
            <v>1.8648360558372659E-4</v>
          </cell>
          <cell r="F105">
            <v>24543.3</v>
          </cell>
        </row>
        <row r="106">
          <cell r="A106" t="str">
            <v>Singapore</v>
          </cell>
          <cell r="B106">
            <v>19.8</v>
          </cell>
          <cell r="C106">
            <v>63.9</v>
          </cell>
          <cell r="D106">
            <v>3.2272727272727271</v>
          </cell>
          <cell r="E106">
            <v>1.3459924874661557E-4</v>
          </cell>
          <cell r="F106">
            <v>23976.9</v>
          </cell>
        </row>
        <row r="107">
          <cell r="A107" t="str">
            <v>South Korea</v>
          </cell>
          <cell r="B107">
            <v>36.799999999999997</v>
          </cell>
          <cell r="C107">
            <v>103.1</v>
          </cell>
          <cell r="D107">
            <v>2.8016304347826089</v>
          </cell>
          <cell r="E107">
            <v>2.3623313052570144E-4</v>
          </cell>
          <cell r="F107">
            <v>11859.6</v>
          </cell>
        </row>
        <row r="108">
          <cell r="A108" t="str">
            <v>Taiwan</v>
          </cell>
          <cell r="B108">
            <v>21</v>
          </cell>
          <cell r="C108">
            <v>51.6</v>
          </cell>
          <cell r="D108">
            <v>2.4571428571428573</v>
          </cell>
          <cell r="E108">
            <v>1.9565420167398095E-4</v>
          </cell>
          <cell r="F108">
            <v>12558.6</v>
          </cell>
        </row>
        <row r="109">
          <cell r="A109" t="str">
            <v>Thailand</v>
          </cell>
          <cell r="B109">
            <v>20.5</v>
          </cell>
          <cell r="C109">
            <v>28.5</v>
          </cell>
          <cell r="D109">
            <v>1.3902439024390243</v>
          </cell>
          <cell r="E109">
            <v>5.0508406991426854E-4</v>
          </cell>
          <cell r="F109">
            <v>2752.5</v>
          </cell>
        </row>
        <row r="110">
          <cell r="A110" t="str">
            <v>Argentina</v>
          </cell>
          <cell r="B110">
            <v>54.2</v>
          </cell>
          <cell r="C110">
            <v>54.8</v>
          </cell>
          <cell r="D110">
            <v>1.0110701107011069</v>
          </cell>
          <cell r="E110">
            <v>2.3261707366872353E-4</v>
          </cell>
          <cell r="F110">
            <v>4346.5</v>
          </cell>
        </row>
        <row r="111">
          <cell r="A111" t="str">
            <v>Brazil</v>
          </cell>
          <cell r="B111">
            <v>46</v>
          </cell>
          <cell r="C111">
            <v>87.9</v>
          </cell>
          <cell r="D111">
            <v>1.9108695652173915</v>
          </cell>
          <cell r="E111">
            <v>3.8957585427469755E-4</v>
          </cell>
          <cell r="F111">
            <v>4905</v>
          </cell>
        </row>
        <row r="112">
          <cell r="A112" t="str">
            <v>Mexico</v>
          </cell>
          <cell r="B112">
            <v>54.7</v>
          </cell>
          <cell r="C112">
            <v>87.5</v>
          </cell>
          <cell r="D112">
            <v>1.5996343692870201</v>
          </cell>
          <cell r="E112">
            <v>2.5626131320480284E-4</v>
          </cell>
          <cell r="F112">
            <v>6242.2</v>
          </cell>
        </row>
        <row r="113">
          <cell r="A113" t="str">
            <v>USA</v>
          </cell>
          <cell r="B113">
            <v>75.900000000000006</v>
          </cell>
          <cell r="C113">
            <v>167</v>
          </cell>
          <cell r="D113">
            <v>2.2002635046113306</v>
          </cell>
          <cell r="E113">
            <v>6.1698222592061812E-5</v>
          </cell>
          <cell r="F113">
            <v>35661.699999999997</v>
          </cell>
        </row>
        <row r="114">
          <cell r="A114" t="str">
            <v>Germany</v>
          </cell>
          <cell r="B114">
            <v>90.6</v>
          </cell>
          <cell r="C114">
            <v>249.6</v>
          </cell>
          <cell r="D114">
            <v>2.7549668874172188</v>
          </cell>
          <cell r="E114">
            <v>1.0458139937353733E-4</v>
          </cell>
          <cell r="F114">
            <v>26342.799999999999</v>
          </cell>
        </row>
        <row r="115">
          <cell r="A115" t="str">
            <v>UK</v>
          </cell>
          <cell r="B115">
            <v>89.7</v>
          </cell>
          <cell r="C115">
            <v>255.7</v>
          </cell>
          <cell r="D115">
            <v>2.850613154960981</v>
          </cell>
          <cell r="E115">
            <v>1.2344378041957444E-4</v>
          </cell>
          <cell r="F115">
            <v>23092.400000000001</v>
          </cell>
        </row>
        <row r="117">
          <cell r="A117" t="str">
            <v>Drinking Milk Products (kg)</v>
          </cell>
        </row>
        <row r="118">
          <cell r="A118" t="str">
            <v>China</v>
          </cell>
          <cell r="B118">
            <v>10.4</v>
          </cell>
          <cell r="C118">
            <v>13.7</v>
          </cell>
          <cell r="D118">
            <v>1.3173076923076923</v>
          </cell>
          <cell r="E118">
            <v>5.2286563956009061E-4</v>
          </cell>
          <cell r="F118">
            <v>2519.4</v>
          </cell>
        </row>
        <row r="119">
          <cell r="A119" t="str">
            <v>HK</v>
          </cell>
          <cell r="B119">
            <v>18.8</v>
          </cell>
          <cell r="C119">
            <v>47.7</v>
          </cell>
          <cell r="D119">
            <v>2.5372340425531914</v>
          </cell>
          <cell r="E119">
            <v>1.0544918967271754E-4</v>
          </cell>
          <cell r="F119">
            <v>24061.200000000001</v>
          </cell>
        </row>
        <row r="120">
          <cell r="A120" t="str">
            <v>India</v>
          </cell>
          <cell r="B120">
            <v>9.1</v>
          </cell>
          <cell r="C120">
            <v>5</v>
          </cell>
          <cell r="D120">
            <v>0.5494505494505495</v>
          </cell>
          <cell r="E120">
            <v>7.0469481781524875E-4</v>
          </cell>
          <cell r="F120">
            <v>779.7</v>
          </cell>
        </row>
        <row r="121">
          <cell r="A121" t="str">
            <v>Japan</v>
          </cell>
          <cell r="B121">
            <v>22.3</v>
          </cell>
          <cell r="C121">
            <v>70.599999999999994</v>
          </cell>
          <cell r="D121">
            <v>3.1659192825112106</v>
          </cell>
          <cell r="E121">
            <v>1.2899321943305142E-4</v>
          </cell>
          <cell r="F121">
            <v>24543.3</v>
          </cell>
        </row>
        <row r="122">
          <cell r="A122" t="str">
            <v>Singapore</v>
          </cell>
          <cell r="B122">
            <v>14.6</v>
          </cell>
          <cell r="C122">
            <v>36.6</v>
          </cell>
          <cell r="D122">
            <v>2.5068493150684934</v>
          </cell>
          <cell r="E122">
            <v>1.0455268675552274E-4</v>
          </cell>
          <cell r="F122">
            <v>23976.9</v>
          </cell>
        </row>
        <row r="123">
          <cell r="A123" t="str">
            <v>South Korea</v>
          </cell>
          <cell r="B123">
            <v>28.4</v>
          </cell>
          <cell r="C123">
            <v>57.3</v>
          </cell>
          <cell r="D123">
            <v>2.017605633802817</v>
          </cell>
          <cell r="E123">
            <v>1.7012425661934777E-4</v>
          </cell>
          <cell r="F123">
            <v>11859.6</v>
          </cell>
        </row>
        <row r="124">
          <cell r="A124" t="str">
            <v>Taiwan</v>
          </cell>
          <cell r="B124">
            <v>15.4</v>
          </cell>
          <cell r="C124">
            <v>31.7</v>
          </cell>
          <cell r="D124">
            <v>2.0584415584415585</v>
          </cell>
          <cell r="E124">
            <v>1.6390692899220921E-4</v>
          </cell>
          <cell r="F124">
            <v>12558.6</v>
          </cell>
        </row>
        <row r="125">
          <cell r="A125" t="str">
            <v>Thailand</v>
          </cell>
          <cell r="B125">
            <v>12.8</v>
          </cell>
          <cell r="C125">
            <v>13.4</v>
          </cell>
          <cell r="D125">
            <v>1.046875</v>
          </cell>
          <cell r="E125">
            <v>3.8033605812897364E-4</v>
          </cell>
          <cell r="F125">
            <v>2752.5</v>
          </cell>
        </row>
        <row r="126">
          <cell r="A126" t="str">
            <v>Argentina</v>
          </cell>
          <cell r="B126">
            <v>34.200000000000003</v>
          </cell>
          <cell r="C126">
            <v>28.7</v>
          </cell>
          <cell r="D126">
            <v>0.83918128654970747</v>
          </cell>
          <cell r="E126">
            <v>1.9307058243407511E-4</v>
          </cell>
          <cell r="F126">
            <v>4346.5</v>
          </cell>
        </row>
        <row r="127">
          <cell r="A127" t="str">
            <v>Brazil</v>
          </cell>
          <cell r="B127">
            <v>35.299999999999997</v>
          </cell>
          <cell r="C127">
            <v>53.4</v>
          </cell>
          <cell r="D127">
            <v>1.5127478753541077</v>
          </cell>
          <cell r="E127">
            <v>3.084093527735184E-4</v>
          </cell>
          <cell r="F127">
            <v>4905</v>
          </cell>
        </row>
        <row r="128">
          <cell r="A128" t="str">
            <v>Mexico</v>
          </cell>
          <cell r="B128">
            <v>43.1</v>
          </cell>
          <cell r="C128">
            <v>34.799999999999997</v>
          </cell>
          <cell r="D128">
            <v>0.80742459396751731</v>
          </cell>
          <cell r="E128">
            <v>1.2934936303987655E-4</v>
          </cell>
          <cell r="F128">
            <v>6242.2</v>
          </cell>
        </row>
        <row r="129">
          <cell r="A129" t="str">
            <v>USA</v>
          </cell>
          <cell r="B129">
            <v>58.5</v>
          </cell>
          <cell r="C129">
            <v>57.7</v>
          </cell>
          <cell r="D129">
            <v>0.98632478632478637</v>
          </cell>
          <cell r="E129">
            <v>2.765781738741525E-5</v>
          </cell>
          <cell r="F129">
            <v>35661.699999999997</v>
          </cell>
        </row>
        <row r="130">
          <cell r="A130" t="str">
            <v>Germany</v>
          </cell>
          <cell r="B130">
            <v>45.9</v>
          </cell>
          <cell r="C130">
            <v>44</v>
          </cell>
          <cell r="D130">
            <v>0.95860566448801743</v>
          </cell>
          <cell r="E130">
            <v>3.6389664898492851E-5</v>
          </cell>
          <cell r="F130">
            <v>26342.799999999999</v>
          </cell>
        </row>
        <row r="131">
          <cell r="A131" t="str">
            <v>UK</v>
          </cell>
          <cell r="B131">
            <v>69.900000000000006</v>
          </cell>
          <cell r="C131">
            <v>93.2</v>
          </cell>
          <cell r="D131">
            <v>1.3333333333333333</v>
          </cell>
          <cell r="E131">
            <v>5.7739054118815417E-5</v>
          </cell>
          <cell r="F131">
            <v>23092.400000000001</v>
          </cell>
        </row>
        <row r="133">
          <cell r="A133" t="str">
            <v>Cheese (kg)</v>
          </cell>
        </row>
        <row r="134">
          <cell r="A134" t="str">
            <v>China</v>
          </cell>
          <cell r="B134">
            <v>0</v>
          </cell>
          <cell r="C134">
            <v>0.1</v>
          </cell>
          <cell r="D134" t="e">
            <v>#DIV/0!</v>
          </cell>
          <cell r="F134">
            <v>2519.4</v>
          </cell>
        </row>
        <row r="135">
          <cell r="A135" t="str">
            <v>HK</v>
          </cell>
          <cell r="B135">
            <v>0.3</v>
          </cell>
          <cell r="C135">
            <v>4.5</v>
          </cell>
          <cell r="D135">
            <v>15</v>
          </cell>
          <cell r="E135">
            <v>6.2341030372549996E-4</v>
          </cell>
          <cell r="F135">
            <v>24061.200000000001</v>
          </cell>
        </row>
        <row r="136">
          <cell r="A136" t="str">
            <v>India</v>
          </cell>
          <cell r="B136">
            <v>0</v>
          </cell>
          <cell r="C136">
            <v>0.1</v>
          </cell>
          <cell r="D136" t="e">
            <v>#DIV/0!</v>
          </cell>
          <cell r="F136">
            <v>779.7</v>
          </cell>
        </row>
        <row r="137">
          <cell r="A137" t="str">
            <v>Japan</v>
          </cell>
          <cell r="B137">
            <v>0.9</v>
          </cell>
          <cell r="C137">
            <v>25.9</v>
          </cell>
          <cell r="D137">
            <v>28.777777777777775</v>
          </cell>
          <cell r="E137">
            <v>1.1725309056963725E-3</v>
          </cell>
          <cell r="F137">
            <v>24543.3</v>
          </cell>
        </row>
        <row r="138">
          <cell r="A138" t="str">
            <v>Singapore</v>
          </cell>
          <cell r="B138">
            <v>0.6</v>
          </cell>
          <cell r="C138">
            <v>7.4</v>
          </cell>
          <cell r="D138">
            <v>12.333333333333334</v>
          </cell>
          <cell r="E138">
            <v>5.1438398347298164E-4</v>
          </cell>
          <cell r="F138">
            <v>23976.9</v>
          </cell>
        </row>
        <row r="139">
          <cell r="A139" t="str">
            <v>South Korea</v>
          </cell>
          <cell r="B139">
            <v>0.4</v>
          </cell>
          <cell r="C139">
            <v>4.2</v>
          </cell>
          <cell r="D139">
            <v>10.5</v>
          </cell>
          <cell r="E139">
            <v>8.8535869675199837E-4</v>
          </cell>
          <cell r="F139">
            <v>11859.6</v>
          </cell>
        </row>
        <row r="140">
          <cell r="A140" t="str">
            <v>Taiwan</v>
          </cell>
          <cell r="B140">
            <v>0.1</v>
          </cell>
          <cell r="C140">
            <v>1</v>
          </cell>
          <cell r="D140">
            <v>10</v>
          </cell>
          <cell r="E140">
            <v>7.9626709983596894E-4</v>
          </cell>
          <cell r="F140">
            <v>12558.6</v>
          </cell>
        </row>
        <row r="141">
          <cell r="A141" t="str">
            <v>Thailand</v>
          </cell>
          <cell r="B141">
            <v>0</v>
          </cell>
          <cell r="C141">
            <v>0.6</v>
          </cell>
          <cell r="D141" t="e">
            <v>#DIV/0!</v>
          </cell>
          <cell r="F141">
            <v>2752.5</v>
          </cell>
        </row>
        <row r="142">
          <cell r="A142" t="str">
            <v>Argentina</v>
          </cell>
          <cell r="B142">
            <v>7.2</v>
          </cell>
          <cell r="C142">
            <v>54.4</v>
          </cell>
          <cell r="D142">
            <v>7.5555555555555554</v>
          </cell>
          <cell r="E142">
            <v>1.7383079617060981E-3</v>
          </cell>
          <cell r="F142">
            <v>4346.5</v>
          </cell>
        </row>
        <row r="143">
          <cell r="A143" t="str">
            <v>Brazil</v>
          </cell>
          <cell r="B143">
            <v>2.6</v>
          </cell>
          <cell r="C143">
            <v>27.7</v>
          </cell>
          <cell r="D143">
            <v>10.653846153846153</v>
          </cell>
          <cell r="E143">
            <v>2.1720379518544654E-3</v>
          </cell>
          <cell r="F143">
            <v>4905</v>
          </cell>
        </row>
        <row r="144">
          <cell r="A144" t="str">
            <v>Mexico</v>
          </cell>
          <cell r="B144">
            <v>3.9</v>
          </cell>
          <cell r="C144">
            <v>29.5</v>
          </cell>
          <cell r="D144">
            <v>7.5641025641025639</v>
          </cell>
          <cell r="E144">
            <v>1.2117686975910038E-3</v>
          </cell>
          <cell r="F144">
            <v>6242.2</v>
          </cell>
        </row>
        <row r="145">
          <cell r="A145" t="str">
            <v>USA</v>
          </cell>
          <cell r="B145">
            <v>5.6</v>
          </cell>
          <cell r="C145">
            <v>59.7</v>
          </cell>
          <cell r="D145">
            <v>10.660714285714286</v>
          </cell>
          <cell r="E145">
            <v>2.9894015949083437E-4</v>
          </cell>
          <cell r="F145">
            <v>35661.699999999997</v>
          </cell>
        </row>
        <row r="146">
          <cell r="A146" t="str">
            <v>Germany</v>
          </cell>
          <cell r="B146">
            <v>9.5</v>
          </cell>
          <cell r="C146">
            <v>101</v>
          </cell>
          <cell r="D146">
            <v>10.631578947368421</v>
          </cell>
          <cell r="E146">
            <v>4.0358575957637086E-4</v>
          </cell>
          <cell r="F146">
            <v>26342.799999999999</v>
          </cell>
        </row>
        <row r="147">
          <cell r="A147" t="str">
            <v>UK</v>
          </cell>
          <cell r="B147">
            <v>6.7</v>
          </cell>
          <cell r="C147">
            <v>54.9</v>
          </cell>
          <cell r="D147">
            <v>8.1940298507462686</v>
          </cell>
          <cell r="E147">
            <v>3.548366497525709E-4</v>
          </cell>
          <cell r="F147">
            <v>23092.400000000001</v>
          </cell>
        </row>
        <row r="149">
          <cell r="A149" t="str">
            <v>Yoghurt and sour milk drinks (kg)</v>
          </cell>
        </row>
        <row r="150">
          <cell r="A150" t="str">
            <v>China</v>
          </cell>
          <cell r="B150">
            <v>2.4</v>
          </cell>
          <cell r="C150">
            <v>3.2</v>
          </cell>
          <cell r="D150">
            <v>1.3333333333333335</v>
          </cell>
          <cell r="E150">
            <v>5.2922653541848596E-4</v>
          </cell>
          <cell r="F150">
            <v>2519.4</v>
          </cell>
        </row>
        <row r="151">
          <cell r="A151" t="str">
            <v>HK</v>
          </cell>
          <cell r="B151">
            <v>4.7</v>
          </cell>
          <cell r="C151">
            <v>12</v>
          </cell>
          <cell r="D151">
            <v>2.5531914893617018</v>
          </cell>
          <cell r="E151">
            <v>1.0611239212348934E-4</v>
          </cell>
          <cell r="F151">
            <v>24061.200000000001</v>
          </cell>
        </row>
        <row r="152">
          <cell r="A152" t="str">
            <v>India</v>
          </cell>
          <cell r="B152">
            <v>0.2</v>
          </cell>
          <cell r="C152">
            <v>0.2</v>
          </cell>
          <cell r="D152">
            <v>1</v>
          </cell>
          <cell r="E152">
            <v>1.2825445684237526E-3</v>
          </cell>
          <cell r="F152">
            <v>779.7</v>
          </cell>
        </row>
        <row r="153">
          <cell r="A153" t="str">
            <v>Japan</v>
          </cell>
          <cell r="B153">
            <v>9.1</v>
          </cell>
          <cell r="C153">
            <v>57</v>
          </cell>
          <cell r="D153">
            <v>6.2637362637362637</v>
          </cell>
          <cell r="E153">
            <v>2.5521165710137855E-4</v>
          </cell>
          <cell r="F153">
            <v>24543.3</v>
          </cell>
        </row>
        <row r="154">
          <cell r="A154" t="str">
            <v>Singapore</v>
          </cell>
          <cell r="B154">
            <v>2.9</v>
          </cell>
          <cell r="C154">
            <v>9.8000000000000007</v>
          </cell>
          <cell r="D154">
            <v>3.3793103448275867</v>
          </cell>
          <cell r="E154">
            <v>1.4094025269436778E-4</v>
          </cell>
          <cell r="F154">
            <v>23976.9</v>
          </cell>
        </row>
        <row r="155">
          <cell r="A155" t="str">
            <v>South Korea</v>
          </cell>
          <cell r="B155">
            <v>7.9</v>
          </cell>
          <cell r="C155">
            <v>27.5</v>
          </cell>
          <cell r="D155">
            <v>3.481012658227848</v>
          </cell>
          <cell r="E155">
            <v>2.9351855528245879E-4</v>
          </cell>
          <cell r="F155">
            <v>11859.6</v>
          </cell>
        </row>
        <row r="156">
          <cell r="A156" t="str">
            <v>Taiwan</v>
          </cell>
          <cell r="B156">
            <v>4.3</v>
          </cell>
          <cell r="C156">
            <v>10.6</v>
          </cell>
          <cell r="D156">
            <v>2.4651162790697674</v>
          </cell>
          <cell r="E156">
            <v>1.9628909902933187E-4</v>
          </cell>
          <cell r="F156">
            <v>12558.6</v>
          </cell>
        </row>
        <row r="157">
          <cell r="A157" t="str">
            <v>Thailand</v>
          </cell>
          <cell r="B157">
            <v>4.7</v>
          </cell>
          <cell r="C157">
            <v>8.4</v>
          </cell>
          <cell r="D157">
            <v>1.7872340425531914</v>
          </cell>
          <cell r="E157">
            <v>6.4931300365238557E-4</v>
          </cell>
          <cell r="F157">
            <v>2752.5</v>
          </cell>
        </row>
        <row r="158">
          <cell r="A158" t="str">
            <v>Argentina</v>
          </cell>
          <cell r="B158">
            <v>8.9</v>
          </cell>
          <cell r="C158">
            <v>15.6</v>
          </cell>
          <cell r="D158">
            <v>1.7528089887640448</v>
          </cell>
          <cell r="E158">
            <v>4.0326906448039682E-4</v>
          </cell>
          <cell r="F158">
            <v>4346.5</v>
          </cell>
        </row>
        <row r="159">
          <cell r="A159" t="str">
            <v>Brazil</v>
          </cell>
          <cell r="B159">
            <v>5.4</v>
          </cell>
          <cell r="C159">
            <v>19.2</v>
          </cell>
          <cell r="D159">
            <v>3.5555555555555554</v>
          </cell>
          <cell r="E159">
            <v>7.248839053120398E-4</v>
          </cell>
          <cell r="F159">
            <v>4905</v>
          </cell>
        </row>
        <row r="160">
          <cell r="A160" t="str">
            <v>Mexico</v>
          </cell>
          <cell r="B160">
            <v>5.2</v>
          </cell>
          <cell r="C160">
            <v>11.9</v>
          </cell>
          <cell r="D160">
            <v>2.2884615384615383</v>
          </cell>
          <cell r="E160">
            <v>3.6661137715253249E-4</v>
          </cell>
          <cell r="F160">
            <v>6242.2</v>
          </cell>
        </row>
        <row r="161">
          <cell r="A161" t="str">
            <v>USA</v>
          </cell>
          <cell r="B161">
            <v>6.6</v>
          </cell>
          <cell r="C161">
            <v>21.8</v>
          </cell>
          <cell r="D161">
            <v>3.3030303030303032</v>
          </cell>
          <cell r="E161">
            <v>9.2621223975029326E-5</v>
          </cell>
          <cell r="F161">
            <v>35661.699999999997</v>
          </cell>
        </row>
        <row r="162">
          <cell r="A162" t="str">
            <v>Germany</v>
          </cell>
          <cell r="B162">
            <v>16.2</v>
          </cell>
          <cell r="C162">
            <v>44.4</v>
          </cell>
          <cell r="D162">
            <v>2.7407407407407409</v>
          </cell>
          <cell r="E162">
            <v>1.0404136009614548E-4</v>
          </cell>
          <cell r="F162">
            <v>26342.799999999999</v>
          </cell>
        </row>
        <row r="163">
          <cell r="A163" t="str">
            <v>UK</v>
          </cell>
          <cell r="B163">
            <v>9</v>
          </cell>
          <cell r="C163">
            <v>39</v>
          </cell>
          <cell r="D163">
            <v>4.333333333333333</v>
          </cell>
          <cell r="E163">
            <v>1.8765192588615011E-4</v>
          </cell>
          <cell r="F163">
            <v>23092.400000000001</v>
          </cell>
        </row>
        <row r="165">
          <cell r="A165" t="str">
            <v>Other Dairy products (kg)</v>
          </cell>
        </row>
        <row r="166">
          <cell r="A166" t="str">
            <v>China</v>
          </cell>
          <cell r="B166">
            <v>0</v>
          </cell>
          <cell r="C166">
            <v>0.2</v>
          </cell>
          <cell r="D166" t="e">
            <v>#DIV/0!</v>
          </cell>
          <cell r="F166">
            <v>2519.4</v>
          </cell>
        </row>
        <row r="167">
          <cell r="A167" t="str">
            <v>HK</v>
          </cell>
          <cell r="B167">
            <v>6.6</v>
          </cell>
          <cell r="C167">
            <v>14.1</v>
          </cell>
          <cell r="D167">
            <v>2.1363636363636362</v>
          </cell>
          <cell r="E167">
            <v>8.8788740227571205E-5</v>
          </cell>
          <cell r="F167">
            <v>24061.200000000001</v>
          </cell>
        </row>
        <row r="168">
          <cell r="A168" t="str">
            <v>India</v>
          </cell>
          <cell r="B168">
            <v>0</v>
          </cell>
          <cell r="C168">
            <v>0.1</v>
          </cell>
          <cell r="D168" t="e">
            <v>#DIV/0!</v>
          </cell>
          <cell r="F168">
            <v>779.7</v>
          </cell>
        </row>
        <row r="169">
          <cell r="A169" t="str">
            <v>Japan</v>
          </cell>
          <cell r="B169" t="e">
            <v>#REF!</v>
          </cell>
          <cell r="C169">
            <v>22.8</v>
          </cell>
          <cell r="D169" t="e">
            <v>#REF!</v>
          </cell>
          <cell r="E169" t="e">
            <v>#REF!</v>
          </cell>
          <cell r="F169">
            <v>24543.3</v>
          </cell>
        </row>
        <row r="170">
          <cell r="A170" t="str">
            <v>Singapore</v>
          </cell>
          <cell r="B170">
            <v>1.5</v>
          </cell>
          <cell r="C170">
            <v>4.0999999999999996</v>
          </cell>
          <cell r="D170">
            <v>2.7333333333333329</v>
          </cell>
          <cell r="E170">
            <v>1.1399861255347158E-4</v>
          </cell>
          <cell r="F170">
            <v>23976.9</v>
          </cell>
        </row>
        <row r="171">
          <cell r="A171" t="str">
            <v>South Korea</v>
          </cell>
          <cell r="B171">
            <v>1.7</v>
          </cell>
          <cell r="C171">
            <v>0.5</v>
          </cell>
          <cell r="D171">
            <v>0.29411764705882354</v>
          </cell>
          <cell r="E171">
            <v>2.4799963494453737E-5</v>
          </cell>
          <cell r="F171">
            <v>11859.6</v>
          </cell>
        </row>
        <row r="172">
          <cell r="A172" t="str">
            <v>Taiwan</v>
          </cell>
          <cell r="B172">
            <v>0.1</v>
          </cell>
          <cell r="C172">
            <v>3.6</v>
          </cell>
          <cell r="D172">
            <v>36</v>
          </cell>
          <cell r="E172">
            <v>2.866561559409488E-3</v>
          </cell>
          <cell r="F172">
            <v>12558.6</v>
          </cell>
        </row>
        <row r="173">
          <cell r="A173" t="str">
            <v>Thailand</v>
          </cell>
          <cell r="B173">
            <v>1.2</v>
          </cell>
          <cell r="C173">
            <v>4.5</v>
          </cell>
          <cell r="D173">
            <v>3.75</v>
          </cell>
          <cell r="E173">
            <v>1.3623978201634877E-3</v>
          </cell>
          <cell r="F173">
            <v>2752.5</v>
          </cell>
        </row>
        <row r="174">
          <cell r="A174" t="str">
            <v>Argentina</v>
          </cell>
          <cell r="B174">
            <v>3</v>
          </cell>
          <cell r="C174">
            <v>9.4</v>
          </cell>
          <cell r="D174">
            <v>3.1333333333333333</v>
          </cell>
          <cell r="E174">
            <v>7.2088653706047011E-4</v>
          </cell>
          <cell r="F174">
            <v>4346.5</v>
          </cell>
        </row>
        <row r="175">
          <cell r="A175" t="str">
            <v>Brazil</v>
          </cell>
          <cell r="B175">
            <v>3.9</v>
          </cell>
          <cell r="C175">
            <v>10.1</v>
          </cell>
          <cell r="D175">
            <v>2.5897435897435899</v>
          </cell>
          <cell r="E175">
            <v>5.2798034449410604E-4</v>
          </cell>
          <cell r="F175">
            <v>4905</v>
          </cell>
        </row>
        <row r="176">
          <cell r="A176" t="str">
            <v>Mexico</v>
          </cell>
          <cell r="B176">
            <v>2.7</v>
          </cell>
          <cell r="C176">
            <v>6.7</v>
          </cell>
          <cell r="D176">
            <v>2.4814814814814814</v>
          </cell>
          <cell r="E176">
            <v>3.9753315841874361E-4</v>
          </cell>
          <cell r="F176">
            <v>6242.2</v>
          </cell>
        </row>
        <row r="177">
          <cell r="A177" t="str">
            <v>USA</v>
          </cell>
          <cell r="B177">
            <v>2.6</v>
          </cell>
          <cell r="C177">
            <v>24.5</v>
          </cell>
          <cell r="D177">
            <v>9.4230769230769234</v>
          </cell>
          <cell r="E177">
            <v>2.6423521377491604E-4</v>
          </cell>
          <cell r="F177">
            <v>35661.699999999997</v>
          </cell>
        </row>
        <row r="178">
          <cell r="A178" t="str">
            <v>Germany</v>
          </cell>
          <cell r="B178">
            <v>5.2</v>
          </cell>
          <cell r="C178">
            <v>59.1</v>
          </cell>
          <cell r="D178">
            <v>11.365384615384615</v>
          </cell>
          <cell r="E178">
            <v>4.3144178353799199E-4</v>
          </cell>
          <cell r="F178">
            <v>26342.799999999999</v>
          </cell>
        </row>
        <row r="179">
          <cell r="A179" t="str">
            <v>UK</v>
          </cell>
          <cell r="B179">
            <v>19.100000000000001</v>
          </cell>
          <cell r="C179">
            <v>29.1</v>
          </cell>
          <cell r="D179">
            <v>1.5235602094240837</v>
          </cell>
          <cell r="E179">
            <v>6.5976694038908192E-5</v>
          </cell>
          <cell r="F179">
            <v>23092.400000000001</v>
          </cell>
        </row>
        <row r="181">
          <cell r="A181" t="str">
            <v>Coffee</v>
          </cell>
        </row>
        <row r="182">
          <cell r="A182" t="str">
            <v>China</v>
          </cell>
          <cell r="B182">
            <v>0</v>
          </cell>
          <cell r="C182">
            <v>0.6</v>
          </cell>
          <cell r="D182" t="e">
            <v>#DIV/0!</v>
          </cell>
          <cell r="F182">
            <v>2519.4</v>
          </cell>
        </row>
        <row r="183">
          <cell r="A183" t="str">
            <v>HK</v>
          </cell>
          <cell r="B183">
            <v>0.5</v>
          </cell>
          <cell r="C183">
            <v>15.3</v>
          </cell>
          <cell r="D183">
            <v>30.6</v>
          </cell>
          <cell r="E183">
            <v>1.2717570196000201E-3</v>
          </cell>
          <cell r="F183">
            <v>24061.200000000001</v>
          </cell>
        </row>
        <row r="184">
          <cell r="A184" t="str">
            <v>India</v>
          </cell>
          <cell r="B184">
            <v>0</v>
          </cell>
          <cell r="C184">
            <v>0.2</v>
          </cell>
          <cell r="D184" t="e">
            <v>#DIV/0!</v>
          </cell>
          <cell r="F184">
            <v>779.7</v>
          </cell>
        </row>
        <row r="185">
          <cell r="A185" t="str">
            <v>Japan</v>
          </cell>
          <cell r="B185">
            <v>0.8</v>
          </cell>
          <cell r="C185">
            <v>33.4</v>
          </cell>
          <cell r="D185">
            <v>41.749999999999993</v>
          </cell>
          <cell r="E185">
            <v>1.7010752425305478E-3</v>
          </cell>
          <cell r="F185">
            <v>24543.3</v>
          </cell>
        </row>
        <row r="186">
          <cell r="A186" t="str">
            <v>Singapore</v>
          </cell>
          <cell r="B186">
            <v>1.4</v>
          </cell>
          <cell r="C186">
            <v>15.1</v>
          </cell>
          <cell r="D186">
            <v>10.785714285714286</v>
          </cell>
          <cell r="E186">
            <v>4.4983773072058048E-4</v>
          </cell>
          <cell r="F186">
            <v>23976.9</v>
          </cell>
        </row>
        <row r="187">
          <cell r="A187" t="str">
            <v>South Korea</v>
          </cell>
          <cell r="B187">
            <v>1.8</v>
          </cell>
          <cell r="C187">
            <v>23.7</v>
          </cell>
          <cell r="D187">
            <v>13.166666666666666</v>
          </cell>
          <cell r="E187">
            <v>1.1102116991017121E-3</v>
          </cell>
          <cell r="F187">
            <v>11859.6</v>
          </cell>
        </row>
        <row r="188">
          <cell r="A188" t="str">
            <v>Taiwan</v>
          </cell>
          <cell r="B188">
            <v>0.2</v>
          </cell>
          <cell r="C188">
            <v>5.0999999999999996</v>
          </cell>
          <cell r="D188">
            <v>25.499999999999996</v>
          </cell>
          <cell r="E188">
            <v>2.0304811045817207E-3</v>
          </cell>
          <cell r="F188">
            <v>12558.6</v>
          </cell>
        </row>
        <row r="189">
          <cell r="A189" t="str">
            <v>Thailand</v>
          </cell>
          <cell r="B189">
            <v>1.2</v>
          </cell>
          <cell r="C189">
            <v>11.5</v>
          </cell>
          <cell r="D189">
            <v>9.5833333333333339</v>
          </cell>
          <cell r="E189">
            <v>3.4816833181955799E-3</v>
          </cell>
          <cell r="F189">
            <v>2752.5</v>
          </cell>
        </row>
        <row r="190">
          <cell r="A190" t="str">
            <v>Argentina</v>
          </cell>
          <cell r="B190">
            <v>0.7</v>
          </cell>
          <cell r="C190">
            <v>5.9</v>
          </cell>
          <cell r="D190">
            <v>8.4285714285714288</v>
          </cell>
          <cell r="E190">
            <v>1.9391628732477692E-3</v>
          </cell>
          <cell r="F190">
            <v>4346.5</v>
          </cell>
        </row>
        <row r="191">
          <cell r="A191" t="str">
            <v>Brazil</v>
          </cell>
          <cell r="B191">
            <v>3.1</v>
          </cell>
          <cell r="C191">
            <v>18.2</v>
          </cell>
          <cell r="D191">
            <v>5.8709677419354831</v>
          </cell>
          <cell r="E191">
            <v>1.1969353194567754E-3</v>
          </cell>
          <cell r="F191">
            <v>4905</v>
          </cell>
        </row>
        <row r="192">
          <cell r="A192" t="str">
            <v>Mexico</v>
          </cell>
          <cell r="B192">
            <v>0.4</v>
          </cell>
          <cell r="C192">
            <v>6.8</v>
          </cell>
          <cell r="D192">
            <v>17</v>
          </cell>
          <cell r="E192">
            <v>2.7233988017045271E-3</v>
          </cell>
          <cell r="F192">
            <v>6242.2</v>
          </cell>
        </row>
        <row r="193">
          <cell r="A193" t="str">
            <v>USA</v>
          </cell>
          <cell r="B193">
            <v>2.4</v>
          </cell>
          <cell r="C193">
            <v>27.1</v>
          </cell>
          <cell r="D193">
            <v>11.291666666666668</v>
          </cell>
          <cell r="E193">
            <v>3.1663287691463581E-4</v>
          </cell>
          <cell r="F193">
            <v>35661.699999999997</v>
          </cell>
        </row>
        <row r="194">
          <cell r="A194" t="str">
            <v>Germany</v>
          </cell>
          <cell r="B194">
            <v>4.8</v>
          </cell>
          <cell r="C194">
            <v>62.1</v>
          </cell>
          <cell r="D194">
            <v>12.9375</v>
          </cell>
          <cell r="E194">
            <v>4.9112091349438934E-4</v>
          </cell>
          <cell r="F194">
            <v>26342.799999999999</v>
          </cell>
        </row>
        <row r="195">
          <cell r="A195" t="str">
            <v>UK</v>
          </cell>
          <cell r="B195">
            <v>0.9</v>
          </cell>
          <cell r="C195">
            <v>23.4</v>
          </cell>
          <cell r="D195">
            <v>25.999999999999996</v>
          </cell>
          <cell r="E195">
            <v>1.1259115553169006E-3</v>
          </cell>
          <cell r="F195">
            <v>23092.400000000001</v>
          </cell>
        </row>
        <row r="197">
          <cell r="A197" t="str">
            <v>Bakery Products (kg)</v>
          </cell>
        </row>
        <row r="198">
          <cell r="A198" t="str">
            <v>China</v>
          </cell>
          <cell r="B198">
            <v>6</v>
          </cell>
          <cell r="C198">
            <v>13</v>
          </cell>
          <cell r="D198">
            <v>2.1666666666666665</v>
          </cell>
          <cell r="E198">
            <v>8.5999312005503945E-4</v>
          </cell>
          <cell r="F198">
            <v>2519.4</v>
          </cell>
        </row>
        <row r="199">
          <cell r="A199" t="str">
            <v>HK</v>
          </cell>
          <cell r="B199">
            <v>12.8</v>
          </cell>
          <cell r="C199">
            <v>72.099999999999994</v>
          </cell>
          <cell r="D199">
            <v>5.6328124999999991</v>
          </cell>
          <cell r="E199">
            <v>2.3410355676358615E-4</v>
          </cell>
          <cell r="F199">
            <v>24061.200000000001</v>
          </cell>
        </row>
        <row r="200">
          <cell r="A200" t="str">
            <v>India</v>
          </cell>
          <cell r="B200">
            <v>2.9</v>
          </cell>
          <cell r="C200">
            <v>2.5</v>
          </cell>
          <cell r="D200">
            <v>0.86206896551724144</v>
          </cell>
          <cell r="E200">
            <v>1.1056418693308214E-3</v>
          </cell>
          <cell r="F200">
            <v>779.7</v>
          </cell>
        </row>
        <row r="201">
          <cell r="A201" t="str">
            <v>Japan</v>
          </cell>
          <cell r="B201">
            <v>19.8</v>
          </cell>
          <cell r="C201">
            <v>227.5</v>
          </cell>
          <cell r="D201">
            <v>11.48989898989899</v>
          </cell>
          <cell r="E201">
            <v>4.6814808888368681E-4</v>
          </cell>
          <cell r="F201">
            <v>24543.3</v>
          </cell>
        </row>
        <row r="202">
          <cell r="A202" t="str">
            <v>Singapore</v>
          </cell>
          <cell r="B202">
            <v>14</v>
          </cell>
          <cell r="C202">
            <v>86.2</v>
          </cell>
          <cell r="D202">
            <v>6.1571428571428575</v>
          </cell>
          <cell r="E202">
            <v>2.5679478402724527E-4</v>
          </cell>
          <cell r="F202">
            <v>23976.9</v>
          </cell>
        </row>
        <row r="203">
          <cell r="A203" t="str">
            <v>South Korea</v>
          </cell>
          <cell r="B203">
            <v>6</v>
          </cell>
          <cell r="C203">
            <v>49.6</v>
          </cell>
          <cell r="D203">
            <v>8.2666666666666675</v>
          </cell>
          <cell r="E203">
            <v>6.9704430728411305E-4</v>
          </cell>
          <cell r="F203">
            <v>11859.6</v>
          </cell>
        </row>
        <row r="204">
          <cell r="A204" t="str">
            <v>Taiwan</v>
          </cell>
          <cell r="B204">
            <v>6.9</v>
          </cell>
          <cell r="C204">
            <v>48.3</v>
          </cell>
          <cell r="D204">
            <v>6.9999999999999991</v>
          </cell>
          <cell r="E204">
            <v>5.5738696988517824E-4</v>
          </cell>
          <cell r="F204">
            <v>12558.6</v>
          </cell>
        </row>
        <row r="205">
          <cell r="A205" t="str">
            <v>Thailand</v>
          </cell>
          <cell r="B205">
            <v>2.5</v>
          </cell>
          <cell r="C205">
            <v>12</v>
          </cell>
          <cell r="D205">
            <v>4.8</v>
          </cell>
          <cell r="E205">
            <v>1.7438692098092643E-3</v>
          </cell>
          <cell r="F205">
            <v>2752.5</v>
          </cell>
        </row>
        <row r="206">
          <cell r="A206" t="str">
            <v>Argentina</v>
          </cell>
          <cell r="B206">
            <v>64.099999999999994</v>
          </cell>
          <cell r="C206">
            <v>86.8</v>
          </cell>
          <cell r="D206">
            <v>1.3541341653666148</v>
          </cell>
          <cell r="E206">
            <v>3.1154587952757733E-4</v>
          </cell>
          <cell r="F206">
            <v>4346.5</v>
          </cell>
        </row>
        <row r="207">
          <cell r="A207" t="str">
            <v>Brazil</v>
          </cell>
          <cell r="B207">
            <v>33.6</v>
          </cell>
          <cell r="C207">
            <v>141.6</v>
          </cell>
          <cell r="D207">
            <v>4.2142857142857135</v>
          </cell>
          <cell r="E207">
            <v>8.591815931265471E-4</v>
          </cell>
          <cell r="F207">
            <v>4905</v>
          </cell>
        </row>
        <row r="208">
          <cell r="A208" t="str">
            <v>Mexico</v>
          </cell>
          <cell r="B208">
            <v>150.6</v>
          </cell>
          <cell r="C208">
            <v>190.9</v>
          </cell>
          <cell r="D208">
            <v>1.2675962815405046</v>
          </cell>
          <cell r="E208">
            <v>2.0306883495250147E-4</v>
          </cell>
          <cell r="F208">
            <v>6242.2</v>
          </cell>
        </row>
        <row r="209">
          <cell r="A209" t="str">
            <v>USA</v>
          </cell>
          <cell r="B209">
            <v>37.4</v>
          </cell>
          <cell r="C209">
            <v>227.6</v>
          </cell>
          <cell r="D209">
            <v>6.0855614973262036</v>
          </cell>
          <cell r="E209">
            <v>1.7064698254222889E-4</v>
          </cell>
          <cell r="F209">
            <v>35661.699999999997</v>
          </cell>
        </row>
        <row r="210">
          <cell r="A210" t="str">
            <v>Germany</v>
          </cell>
          <cell r="B210">
            <v>77.599999999999994</v>
          </cell>
          <cell r="C210">
            <v>245.6</v>
          </cell>
          <cell r="D210">
            <v>3.1649484536082477</v>
          </cell>
          <cell r="E210">
            <v>1.2014472469168987E-4</v>
          </cell>
          <cell r="F210">
            <v>26342.799999999999</v>
          </cell>
        </row>
        <row r="211">
          <cell r="A211" t="str">
            <v>UK</v>
          </cell>
          <cell r="B211">
            <v>64.2</v>
          </cell>
          <cell r="C211">
            <v>244.1</v>
          </cell>
          <cell r="D211">
            <v>3.8021806853582554</v>
          </cell>
          <cell r="E211">
            <v>1.6465073727106128E-4</v>
          </cell>
          <cell r="F211">
            <v>23092.400000000001</v>
          </cell>
        </row>
        <row r="213">
          <cell r="A213" t="str">
            <v>Instant Noodles (kg)</v>
          </cell>
        </row>
        <row r="214">
          <cell r="A214" t="str">
            <v>China</v>
          </cell>
          <cell r="B214">
            <v>2.8</v>
          </cell>
          <cell r="C214">
            <v>6.6</v>
          </cell>
          <cell r="D214">
            <v>2.3571428571428572</v>
          </cell>
          <cell r="E214">
            <v>9.3559691082910899E-4</v>
          </cell>
          <cell r="F214">
            <v>2519.4</v>
          </cell>
        </row>
        <row r="215">
          <cell r="A215" t="str">
            <v>HK</v>
          </cell>
          <cell r="B215">
            <v>3.7</v>
          </cell>
          <cell r="C215">
            <v>21.4</v>
          </cell>
          <cell r="D215">
            <v>5.7837837837837833</v>
          </cell>
          <cell r="E215">
            <v>2.4037802702208465E-4</v>
          </cell>
          <cell r="F215">
            <v>24061.200000000001</v>
          </cell>
        </row>
        <row r="216">
          <cell r="A216" t="str">
            <v>India</v>
          </cell>
          <cell r="B216">
            <v>0.1</v>
          </cell>
          <cell r="C216">
            <v>0.3</v>
          </cell>
          <cell r="D216">
            <v>2.9999999999999996</v>
          </cell>
          <cell r="E216">
            <v>3.8476337052712572E-3</v>
          </cell>
          <cell r="F216">
            <v>779.7</v>
          </cell>
        </row>
        <row r="217">
          <cell r="A217" t="str">
            <v>Japan</v>
          </cell>
          <cell r="B217">
            <v>3.9</v>
          </cell>
          <cell r="C217">
            <v>67.7</v>
          </cell>
          <cell r="D217">
            <v>17.358974358974361</v>
          </cell>
          <cell r="E217">
            <v>7.072795573119492E-4</v>
          </cell>
          <cell r="F217">
            <v>24543.3</v>
          </cell>
        </row>
        <row r="218">
          <cell r="A218" t="str">
            <v>Singapore</v>
          </cell>
          <cell r="B218">
            <v>1.8</v>
          </cell>
          <cell r="C218">
            <v>7.5</v>
          </cell>
          <cell r="D218">
            <v>4.166666666666667</v>
          </cell>
          <cell r="E218">
            <v>1.7377837279492622E-4</v>
          </cell>
          <cell r="F218">
            <v>23976.9</v>
          </cell>
        </row>
        <row r="219">
          <cell r="A219" t="str">
            <v>South Korea</v>
          </cell>
          <cell r="B219">
            <v>7.1</v>
          </cell>
          <cell r="C219">
            <v>33.9</v>
          </cell>
          <cell r="D219">
            <v>4.774647887323944</v>
          </cell>
          <cell r="E219">
            <v>4.0259771723531517E-4</v>
          </cell>
          <cell r="F219">
            <v>11859.6</v>
          </cell>
        </row>
        <row r="220">
          <cell r="A220" t="str">
            <v>Taiwan</v>
          </cell>
          <cell r="B220">
            <v>2.64</v>
          </cell>
          <cell r="C220">
            <v>15.7</v>
          </cell>
          <cell r="D220">
            <v>5.9469696969696964</v>
          </cell>
          <cell r="E220">
            <v>4.7353763134184513E-4</v>
          </cell>
          <cell r="F220">
            <v>12558.6</v>
          </cell>
        </row>
        <row r="221">
          <cell r="A221" t="str">
            <v>Thailand</v>
          </cell>
          <cell r="B221">
            <v>2</v>
          </cell>
          <cell r="C221">
            <v>6.4</v>
          </cell>
          <cell r="D221">
            <v>3.2</v>
          </cell>
          <cell r="E221">
            <v>1.1625794732061762E-3</v>
          </cell>
          <cell r="F221">
            <v>2752.5</v>
          </cell>
        </row>
        <row r="222">
          <cell r="A222" t="str">
            <v>Argentina</v>
          </cell>
          <cell r="B222">
            <v>0</v>
          </cell>
          <cell r="C222">
            <v>0.1</v>
          </cell>
          <cell r="F222">
            <v>4346.5</v>
          </cell>
        </row>
        <row r="223">
          <cell r="A223" t="str">
            <v>Brazil</v>
          </cell>
          <cell r="B223">
            <v>0.7</v>
          </cell>
          <cell r="C223">
            <v>3.6</v>
          </cell>
          <cell r="D223">
            <v>5.1428571428571432</v>
          </cell>
          <cell r="E223">
            <v>1.0484927916120578E-3</v>
          </cell>
          <cell r="F223">
            <v>4905</v>
          </cell>
        </row>
        <row r="224">
          <cell r="A224" t="str">
            <v>Mexico</v>
          </cell>
          <cell r="B224">
            <v>1.1000000000000001</v>
          </cell>
          <cell r="C224">
            <v>6.6</v>
          </cell>
          <cell r="D224">
            <v>5.9999999999999991</v>
          </cell>
          <cell r="E224">
            <v>9.6119957707218597E-4</v>
          </cell>
          <cell r="F224">
            <v>6242.2</v>
          </cell>
        </row>
        <row r="225">
          <cell r="A225" t="str">
            <v>USA</v>
          </cell>
          <cell r="B225">
            <v>0.5</v>
          </cell>
          <cell r="C225">
            <v>3.1</v>
          </cell>
          <cell r="D225">
            <v>6.2</v>
          </cell>
          <cell r="E225">
            <v>1.7385598555312844E-4</v>
          </cell>
          <cell r="F225">
            <v>35661.699999999997</v>
          </cell>
        </row>
        <row r="226">
          <cell r="A226" t="str">
            <v>Germany</v>
          </cell>
          <cell r="B226">
            <v>0</v>
          </cell>
          <cell r="C226">
            <v>0.2</v>
          </cell>
          <cell r="F226">
            <v>26342.799999999999</v>
          </cell>
        </row>
        <row r="227">
          <cell r="A227" t="str">
            <v>UK</v>
          </cell>
          <cell r="B227">
            <v>0.5</v>
          </cell>
          <cell r="C227">
            <v>5.7</v>
          </cell>
          <cell r="D227">
            <v>11.4</v>
          </cell>
          <cell r="E227">
            <v>4.9366891271587191E-4</v>
          </cell>
          <cell r="F227">
            <v>23092.400000000001</v>
          </cell>
        </row>
        <row r="228">
          <cell r="A228" t="str">
            <v>india for chart</v>
          </cell>
          <cell r="B228">
            <v>0.1</v>
          </cell>
          <cell r="E228">
            <v>1.8E-3</v>
          </cell>
        </row>
        <row r="229">
          <cell r="A229" t="str">
            <v>Alcoholic Drinks</v>
          </cell>
        </row>
        <row r="230">
          <cell r="A230" t="str">
            <v>China</v>
          </cell>
          <cell r="B230">
            <v>20</v>
          </cell>
          <cell r="C230">
            <v>44.7</v>
          </cell>
          <cell r="D230">
            <v>2.2350000000000003</v>
          </cell>
          <cell r="E230">
            <v>8.8711597999523704E-4</v>
          </cell>
          <cell r="F230">
            <v>2519.4</v>
          </cell>
        </row>
        <row r="231">
          <cell r="A231" t="str">
            <v>HK</v>
          </cell>
          <cell r="B231">
            <v>12.5</v>
          </cell>
          <cell r="C231">
            <v>65.599999999999994</v>
          </cell>
          <cell r="D231">
            <v>5.2479999999999993</v>
          </cell>
          <cell r="E231">
            <v>2.181104849300949E-4</v>
          </cell>
          <cell r="F231">
            <v>24061.200000000001</v>
          </cell>
        </row>
        <row r="232">
          <cell r="A232" t="str">
            <v>India</v>
          </cell>
          <cell r="B232">
            <v>2.2999999999999998</v>
          </cell>
          <cell r="C232">
            <v>10.199999999999999</v>
          </cell>
          <cell r="D232">
            <v>4.4347826086956523</v>
          </cell>
          <cell r="E232">
            <v>5.6878063469227294E-3</v>
          </cell>
          <cell r="F232">
            <v>779.7</v>
          </cell>
        </row>
        <row r="233">
          <cell r="A233" t="str">
            <v>Japan</v>
          </cell>
          <cell r="B233">
            <v>54</v>
          </cell>
          <cell r="C233">
            <v>329.8</v>
          </cell>
          <cell r="D233">
            <v>6.1074074074074076</v>
          </cell>
          <cell r="E233">
            <v>2.4884214459373465E-4</v>
          </cell>
          <cell r="F233">
            <v>24543.3</v>
          </cell>
        </row>
        <row r="234">
          <cell r="A234" t="str">
            <v>Singapore</v>
          </cell>
          <cell r="B234">
            <v>8.1</v>
          </cell>
          <cell r="C234">
            <v>88.4</v>
          </cell>
          <cell r="D234">
            <v>10.913580246913581</v>
          </cell>
          <cell r="E234">
            <v>4.551706120021179E-4</v>
          </cell>
          <cell r="F234">
            <v>23976.9</v>
          </cell>
        </row>
        <row r="235">
          <cell r="A235" t="str">
            <v>South Korea</v>
          </cell>
          <cell r="B235">
            <v>34.700000000000003</v>
          </cell>
          <cell r="C235">
            <v>117.8</v>
          </cell>
          <cell r="D235">
            <v>3.3948126801152734</v>
          </cell>
          <cell r="E235">
            <v>2.8625018382704922E-4</v>
          </cell>
          <cell r="F235">
            <v>11859.6</v>
          </cell>
        </row>
        <row r="236">
          <cell r="A236" t="str">
            <v>Taiwan</v>
          </cell>
          <cell r="B236">
            <v>17.399999999999999</v>
          </cell>
          <cell r="C236">
            <v>103.8</v>
          </cell>
          <cell r="D236">
            <v>5.9655172413793105</v>
          </cell>
          <cell r="E236">
            <v>4.7501451128145733E-4</v>
          </cell>
          <cell r="F236">
            <v>12558.6</v>
          </cell>
        </row>
        <row r="237">
          <cell r="A237" t="str">
            <v>Thailand</v>
          </cell>
          <cell r="B237">
            <v>26.2</v>
          </cell>
          <cell r="C237">
            <v>78.7</v>
          </cell>
          <cell r="D237">
            <v>3.0038167938931299</v>
          </cell>
          <cell r="E237">
            <v>1.0913049205787937E-3</v>
          </cell>
          <cell r="F237">
            <v>2752.5</v>
          </cell>
        </row>
        <row r="238">
          <cell r="A238" t="str">
            <v>Argentina</v>
          </cell>
          <cell r="B238">
            <v>63.1</v>
          </cell>
          <cell r="C238">
            <v>59.6</v>
          </cell>
          <cell r="D238">
            <v>0.94453248811410462</v>
          </cell>
          <cell r="E238">
            <v>2.1730875143543188E-4</v>
          </cell>
          <cell r="F238">
            <v>4346.5</v>
          </cell>
        </row>
        <row r="239">
          <cell r="A239" t="str">
            <v>Brazil</v>
          </cell>
          <cell r="B239">
            <v>24.7</v>
          </cell>
          <cell r="C239">
            <v>53.9</v>
          </cell>
          <cell r="D239">
            <v>2.1821862348178138</v>
          </cell>
          <cell r="E239">
            <v>4.4489016000363174E-4</v>
          </cell>
          <cell r="F239">
            <v>4905</v>
          </cell>
        </row>
        <row r="240">
          <cell r="A240" t="str">
            <v>Mexico</v>
          </cell>
          <cell r="B240">
            <v>49.5</v>
          </cell>
          <cell r="C240">
            <v>114.7</v>
          </cell>
          <cell r="D240">
            <v>2.3171717171717172</v>
          </cell>
          <cell r="E240">
            <v>3.7121074575818098E-4</v>
          </cell>
          <cell r="F240">
            <v>6242.2</v>
          </cell>
        </row>
        <row r="241">
          <cell r="A241" t="str">
            <v>USA</v>
          </cell>
          <cell r="B241">
            <v>72.3</v>
          </cell>
          <cell r="C241">
            <v>276.3</v>
          </cell>
          <cell r="D241">
            <v>3.8215767634854774</v>
          </cell>
          <cell r="E241">
            <v>1.071619346101133E-4</v>
          </cell>
          <cell r="F241">
            <v>35661.699999999997</v>
          </cell>
        </row>
        <row r="242">
          <cell r="A242" t="str">
            <v>Germany</v>
          </cell>
          <cell r="B242">
            <v>100.2</v>
          </cell>
          <cell r="C242">
            <v>274.60000000000002</v>
          </cell>
          <cell r="D242">
            <v>2.7405189620758486</v>
          </cell>
          <cell r="E242">
            <v>1.0403294114808784E-4</v>
          </cell>
          <cell r="F242">
            <v>26342.799999999999</v>
          </cell>
        </row>
        <row r="243">
          <cell r="A243" t="str">
            <v>UK</v>
          </cell>
          <cell r="B243">
            <v>68.8</v>
          </cell>
          <cell r="C243">
            <v>499.8</v>
          </cell>
          <cell r="D243">
            <v>7.2645348837209305</v>
          </cell>
          <cell r="E243">
            <v>3.1458552959938896E-4</v>
          </cell>
          <cell r="F243">
            <v>23092.400000000001</v>
          </cell>
        </row>
        <row r="244">
          <cell r="A244" t="str">
            <v>india for chart</v>
          </cell>
          <cell r="B244">
            <v>2.2999999999999998</v>
          </cell>
          <cell r="E244">
            <v>1.8E-3</v>
          </cell>
        </row>
        <row r="245">
          <cell r="A245" t="str">
            <v>Beer</v>
          </cell>
        </row>
        <row r="246">
          <cell r="A246" t="str">
            <v>China</v>
          </cell>
          <cell r="B246">
            <v>15.9</v>
          </cell>
          <cell r="C246">
            <v>12.9</v>
          </cell>
          <cell r="D246">
            <v>0.81132075471698117</v>
          </cell>
          <cell r="E246">
            <v>3.2202935409898434E-4</v>
          </cell>
          <cell r="F246">
            <v>2519.4</v>
          </cell>
        </row>
        <row r="247">
          <cell r="A247" t="str">
            <v>HK</v>
          </cell>
          <cell r="B247">
            <v>11.1</v>
          </cell>
          <cell r="C247">
            <v>34.6</v>
          </cell>
          <cell r="D247">
            <v>3.1171171171171173</v>
          </cell>
          <cell r="E247">
            <v>1.2954952858199579E-4</v>
          </cell>
          <cell r="F247">
            <v>24061.200000000001</v>
          </cell>
        </row>
        <row r="248">
          <cell r="A248" t="str">
            <v>India</v>
          </cell>
          <cell r="B248">
            <v>1</v>
          </cell>
          <cell r="C248">
            <v>1.7</v>
          </cell>
          <cell r="D248">
            <v>1.7</v>
          </cell>
          <cell r="E248">
            <v>2.1803257663203794E-3</v>
          </cell>
          <cell r="F248">
            <v>779.7</v>
          </cell>
        </row>
        <row r="249">
          <cell r="A249" t="str">
            <v>Japan</v>
          </cell>
          <cell r="B249">
            <v>38.9</v>
          </cell>
          <cell r="C249">
            <v>192.1</v>
          </cell>
          <cell r="D249">
            <v>4.9383033419023139</v>
          </cell>
          <cell r="E249">
            <v>2.0120779772493162E-4</v>
          </cell>
          <cell r="F249">
            <v>24543.3</v>
          </cell>
        </row>
        <row r="250">
          <cell r="A250" t="str">
            <v>Singapore</v>
          </cell>
          <cell r="B250">
            <v>6.8</v>
          </cell>
          <cell r="C250">
            <v>49.7</v>
          </cell>
          <cell r="D250">
            <v>7.3088235294117654</v>
          </cell>
          <cell r="E250">
            <v>3.048277103967471E-4</v>
          </cell>
          <cell r="F250">
            <v>23976.9</v>
          </cell>
        </row>
        <row r="251">
          <cell r="A251" t="str">
            <v>South Korea</v>
          </cell>
          <cell r="B251">
            <v>18</v>
          </cell>
          <cell r="C251">
            <v>60.2</v>
          </cell>
          <cell r="D251">
            <v>3.3444444444444446</v>
          </cell>
          <cell r="E251">
            <v>2.820031404469328E-4</v>
          </cell>
          <cell r="F251">
            <v>11859.6</v>
          </cell>
        </row>
        <row r="252">
          <cell r="A252" t="str">
            <v>Taiwan</v>
          </cell>
          <cell r="B252">
            <v>15</v>
          </cell>
          <cell r="C252">
            <v>41.9</v>
          </cell>
          <cell r="D252">
            <v>2.7933333333333334</v>
          </cell>
          <cell r="E252">
            <v>2.2242394322084734E-4</v>
          </cell>
          <cell r="F252">
            <v>12558.6</v>
          </cell>
        </row>
        <row r="253">
          <cell r="A253" t="str">
            <v>Thailand</v>
          </cell>
          <cell r="B253">
            <v>18.3</v>
          </cell>
          <cell r="C253">
            <v>37.799999999999997</v>
          </cell>
          <cell r="D253">
            <v>2.0655737704918029</v>
          </cell>
          <cell r="E253">
            <v>7.5043552061464225E-4</v>
          </cell>
          <cell r="F253">
            <v>2752.5</v>
          </cell>
        </row>
        <row r="254">
          <cell r="A254" t="str">
            <v>Argentina</v>
          </cell>
          <cell r="B254">
            <v>38.299999999999997</v>
          </cell>
          <cell r="C254">
            <v>25.2</v>
          </cell>
          <cell r="D254">
            <v>0.65796344647519589</v>
          </cell>
          <cell r="E254">
            <v>1.5137776290698169E-4</v>
          </cell>
          <cell r="F254">
            <v>4346.5</v>
          </cell>
        </row>
        <row r="255">
          <cell r="A255" t="str">
            <v>Brazil</v>
          </cell>
          <cell r="B255">
            <v>20.8</v>
          </cell>
          <cell r="C255">
            <v>29.8</v>
          </cell>
          <cell r="D255">
            <v>1.4326923076923077</v>
          </cell>
          <cell r="E255">
            <v>2.9208813612483338E-4</v>
          </cell>
          <cell r="F255">
            <v>4905</v>
          </cell>
        </row>
        <row r="256">
          <cell r="A256" t="str">
            <v>Mexico</v>
          </cell>
          <cell r="B256">
            <v>46.6</v>
          </cell>
          <cell r="C256">
            <v>87.7</v>
          </cell>
          <cell r="D256">
            <v>1.8819742489270386</v>
          </cell>
          <cell r="E256">
            <v>3.0149214202156909E-4</v>
          </cell>
          <cell r="F256">
            <v>6242.2</v>
          </cell>
        </row>
        <row r="257">
          <cell r="A257" t="str">
            <v>USA</v>
          </cell>
          <cell r="B257">
            <v>59.6</v>
          </cell>
          <cell r="C257">
            <v>139.19999999999999</v>
          </cell>
          <cell r="D257">
            <v>2.3355704697986575</v>
          </cell>
          <cell r="E257">
            <v>6.5492404170262704E-5</v>
          </cell>
          <cell r="F257">
            <v>35661.699999999997</v>
          </cell>
        </row>
        <row r="258">
          <cell r="A258" t="str">
            <v>Germany</v>
          </cell>
          <cell r="B258">
            <v>73.7</v>
          </cell>
          <cell r="C258">
            <v>110.9</v>
          </cell>
          <cell r="D258">
            <v>1.5047489823609226</v>
          </cell>
          <cell r="E258">
            <v>5.7121831481882055E-5</v>
          </cell>
          <cell r="F258">
            <v>26342.799999999999</v>
          </cell>
        </row>
        <row r="259">
          <cell r="A259" t="str">
            <v>UK</v>
          </cell>
          <cell r="B259">
            <v>36.799999999999997</v>
          </cell>
          <cell r="C259">
            <v>179.4</v>
          </cell>
          <cell r="D259">
            <v>4.8750000000000009</v>
          </cell>
          <cell r="E259">
            <v>2.1110841662191893E-4</v>
          </cell>
          <cell r="F259">
            <v>23092.400000000001</v>
          </cell>
        </row>
        <row r="260">
          <cell r="A260" t="str">
            <v>india for chart</v>
          </cell>
          <cell r="B260">
            <v>1</v>
          </cell>
          <cell r="E260">
            <v>1.1999999999999999E-3</v>
          </cell>
        </row>
        <row r="261">
          <cell r="A261" t="str">
            <v>Wine</v>
          </cell>
        </row>
        <row r="262">
          <cell r="A262" t="str">
            <v>China</v>
          </cell>
          <cell r="B262">
            <v>1.5</v>
          </cell>
          <cell r="C262">
            <v>6.1</v>
          </cell>
          <cell r="D262">
            <v>4.0666666666666664</v>
          </cell>
          <cell r="E262">
            <v>1.6141409330263819E-3</v>
          </cell>
          <cell r="F262">
            <v>2519.4</v>
          </cell>
        </row>
        <row r="263">
          <cell r="A263" t="str">
            <v>HK</v>
          </cell>
          <cell r="B263">
            <v>1</v>
          </cell>
          <cell r="C263">
            <v>21.1</v>
          </cell>
          <cell r="D263">
            <v>21.1</v>
          </cell>
          <cell r="E263">
            <v>8.7693049390720338E-4</v>
          </cell>
          <cell r="F263">
            <v>24061.200000000001</v>
          </cell>
        </row>
        <row r="264">
          <cell r="A264" t="str">
            <v>India</v>
          </cell>
          <cell r="B264">
            <v>0</v>
          </cell>
          <cell r="C264">
            <v>0.1</v>
          </cell>
        </row>
        <row r="265">
          <cell r="A265" t="str">
            <v>Japan</v>
          </cell>
          <cell r="B265">
            <v>4.3</v>
          </cell>
          <cell r="C265">
            <v>54.9</v>
          </cell>
          <cell r="D265">
            <v>12.767441860465116</v>
          </cell>
          <cell r="E265">
            <v>5.2020070082120647E-4</v>
          </cell>
          <cell r="F265">
            <v>24543.3</v>
          </cell>
        </row>
        <row r="266">
          <cell r="A266" t="str">
            <v>Singapore</v>
          </cell>
          <cell r="B266">
            <v>1</v>
          </cell>
          <cell r="C266">
            <v>30.6</v>
          </cell>
          <cell r="D266">
            <v>30.6</v>
          </cell>
          <cell r="E266">
            <v>1.2762283698059382E-3</v>
          </cell>
          <cell r="F266">
            <v>23976.9</v>
          </cell>
        </row>
        <row r="267">
          <cell r="A267" t="str">
            <v>South Korea</v>
          </cell>
          <cell r="B267">
            <v>4.2</v>
          </cell>
          <cell r="C267">
            <v>21.3</v>
          </cell>
          <cell r="D267">
            <v>5.0714285714285712</v>
          </cell>
          <cell r="E267">
            <v>4.2762222768293794E-4</v>
          </cell>
          <cell r="F267">
            <v>11859.6</v>
          </cell>
        </row>
        <row r="268">
          <cell r="A268" t="str">
            <v>Taiwan</v>
          </cell>
          <cell r="B268">
            <v>0.6</v>
          </cell>
          <cell r="C268">
            <v>10.9</v>
          </cell>
          <cell r="D268">
            <v>18.166666666666668</v>
          </cell>
          <cell r="E268">
            <v>1.4465518980353437E-3</v>
          </cell>
          <cell r="F268">
            <v>12558.6</v>
          </cell>
        </row>
        <row r="269">
          <cell r="A269" t="str">
            <v>Thailand</v>
          </cell>
          <cell r="B269">
            <v>0.1</v>
          </cell>
          <cell r="C269">
            <v>2.4</v>
          </cell>
          <cell r="D269">
            <v>23.999999999999996</v>
          </cell>
          <cell r="E269">
            <v>8.7193460490463202E-3</v>
          </cell>
          <cell r="F269">
            <v>2752.5</v>
          </cell>
        </row>
        <row r="270">
          <cell r="A270" t="str">
            <v>Argentina</v>
          </cell>
          <cell r="B270">
            <v>22.1</v>
          </cell>
          <cell r="C270">
            <v>25.9</v>
          </cell>
          <cell r="D270">
            <v>1.1719457013574659</v>
          </cell>
          <cell r="E270">
            <v>2.696297483854747E-4</v>
          </cell>
          <cell r="F270">
            <v>4346.5</v>
          </cell>
        </row>
        <row r="271">
          <cell r="A271" t="str">
            <v>Brazil</v>
          </cell>
          <cell r="B271">
            <v>1.5</v>
          </cell>
          <cell r="C271">
            <v>12.4</v>
          </cell>
          <cell r="D271">
            <v>8.2666666666666675</v>
          </cell>
          <cell r="E271">
            <v>1.6853550798504929E-3</v>
          </cell>
          <cell r="F271">
            <v>4905</v>
          </cell>
        </row>
        <row r="272">
          <cell r="A272" t="str">
            <v>Mexico</v>
          </cell>
          <cell r="B272">
            <v>0.3</v>
          </cell>
          <cell r="C272">
            <v>3.6</v>
          </cell>
          <cell r="D272">
            <v>12</v>
          </cell>
          <cell r="E272">
            <v>1.9223991541443722E-3</v>
          </cell>
          <cell r="F272">
            <v>6242.2</v>
          </cell>
        </row>
        <row r="273">
          <cell r="A273" t="str">
            <v>USA</v>
          </cell>
          <cell r="B273">
            <v>7.2</v>
          </cell>
          <cell r="C273">
            <v>56.6</v>
          </cell>
          <cell r="D273">
            <v>7.8611111111111107</v>
          </cell>
          <cell r="E273">
            <v>2.2043568060723721E-4</v>
          </cell>
          <cell r="F273">
            <v>35661.699999999997</v>
          </cell>
        </row>
        <row r="274">
          <cell r="A274" t="str">
            <v>Germany</v>
          </cell>
          <cell r="B274">
            <v>21.2</v>
          </cell>
          <cell r="C274">
            <v>88.3</v>
          </cell>
          <cell r="D274">
            <v>4.1650943396226419</v>
          </cell>
          <cell r="E274">
            <v>1.5811129946788656E-4</v>
          </cell>
          <cell r="F274">
            <v>26342.799999999999</v>
          </cell>
        </row>
        <row r="275">
          <cell r="A275" t="str">
            <v>UK</v>
          </cell>
          <cell r="B275">
            <v>18.7</v>
          </cell>
          <cell r="C275">
            <v>189.6</v>
          </cell>
          <cell r="D275">
            <v>10.13903743315508</v>
          </cell>
          <cell r="E275">
            <v>4.3906382329922741E-4</v>
          </cell>
          <cell r="F275">
            <v>23092.400000000001</v>
          </cell>
        </row>
        <row r="276">
          <cell r="A276" t="str">
            <v>Thailand for chart</v>
          </cell>
          <cell r="B276">
            <v>0</v>
          </cell>
          <cell r="D276">
            <v>20</v>
          </cell>
          <cell r="E276">
            <v>3.0000000000000001E-3</v>
          </cell>
        </row>
        <row r="277">
          <cell r="A277" t="str">
            <v>Spirits</v>
          </cell>
        </row>
        <row r="278">
          <cell r="A278" t="str">
            <v>China</v>
          </cell>
          <cell r="B278">
            <v>2.5</v>
          </cell>
          <cell r="C278">
            <v>25.7</v>
          </cell>
          <cell r="D278">
            <v>10.28</v>
          </cell>
          <cell r="E278">
            <v>4.0803365880765254E-3</v>
          </cell>
          <cell r="F278">
            <v>2519.4</v>
          </cell>
        </row>
        <row r="279">
          <cell r="A279" t="str">
            <v>HK</v>
          </cell>
          <cell r="B279">
            <v>0.3</v>
          </cell>
          <cell r="C279">
            <v>9.6999999999999993</v>
          </cell>
          <cell r="D279">
            <v>32.333333333333336</v>
          </cell>
          <cell r="E279">
            <v>1.3437955435860777E-3</v>
          </cell>
          <cell r="F279">
            <v>24061.200000000001</v>
          </cell>
        </row>
        <row r="280">
          <cell r="A280" t="str">
            <v>India</v>
          </cell>
          <cell r="B280">
            <v>1.2</v>
          </cell>
          <cell r="C280">
            <v>8.4</v>
          </cell>
          <cell r="D280">
            <v>7.0000000000000009</v>
          </cell>
          <cell r="E280">
            <v>8.9778119789662696E-3</v>
          </cell>
          <cell r="F280">
            <v>779.7</v>
          </cell>
        </row>
        <row r="281">
          <cell r="A281" t="str">
            <v>Japan</v>
          </cell>
          <cell r="B281">
            <v>5.9</v>
          </cell>
          <cell r="C281">
            <v>55.1</v>
          </cell>
          <cell r="D281">
            <v>9.3389830508474567</v>
          </cell>
          <cell r="E281">
            <v>3.8051048762177285E-4</v>
          </cell>
          <cell r="F281">
            <v>24543.3</v>
          </cell>
        </row>
        <row r="282">
          <cell r="A282" t="str">
            <v>Singapore</v>
          </cell>
          <cell r="B282">
            <v>0.2</v>
          </cell>
          <cell r="C282">
            <v>7.7</v>
          </cell>
          <cell r="D282">
            <v>38.5</v>
          </cell>
          <cell r="E282">
            <v>1.6057121646251182E-3</v>
          </cell>
          <cell r="F282">
            <v>23976.9</v>
          </cell>
        </row>
        <row r="283">
          <cell r="A283" t="str">
            <v>South Korea</v>
          </cell>
          <cell r="B283">
            <v>12.4</v>
          </cell>
          <cell r="C283">
            <v>36</v>
          </cell>
          <cell r="D283">
            <v>2.903225806451613</v>
          </cell>
          <cell r="E283">
            <v>2.4479963965493045E-4</v>
          </cell>
          <cell r="F283">
            <v>11859.6</v>
          </cell>
        </row>
        <row r="284">
          <cell r="A284" t="str">
            <v>Taiwan</v>
          </cell>
          <cell r="B284">
            <v>1.6</v>
          </cell>
          <cell r="C284">
            <v>50.4</v>
          </cell>
          <cell r="D284">
            <v>31.499999999999996</v>
          </cell>
          <cell r="E284">
            <v>2.5082413644833021E-3</v>
          </cell>
          <cell r="F284">
            <v>12558.6</v>
          </cell>
        </row>
        <row r="285">
          <cell r="A285" t="str">
            <v>Thailand</v>
          </cell>
          <cell r="B285">
            <v>7.6</v>
          </cell>
          <cell r="C285">
            <v>37.700000000000003</v>
          </cell>
          <cell r="D285">
            <v>4.9605263157894743</v>
          </cell>
          <cell r="E285">
            <v>1.8021893971987191E-3</v>
          </cell>
          <cell r="F285">
            <v>2752.5</v>
          </cell>
        </row>
        <row r="286">
          <cell r="A286" t="str">
            <v>Argentina</v>
          </cell>
          <cell r="B286">
            <v>1.1000000000000001</v>
          </cell>
          <cell r="C286">
            <v>6.1</v>
          </cell>
          <cell r="D286">
            <v>5.545454545454545</v>
          </cell>
          <cell r="E286">
            <v>1.275843677776267E-3</v>
          </cell>
          <cell r="F286">
            <v>4346.5</v>
          </cell>
        </row>
        <row r="287">
          <cell r="A287" t="str">
            <v>Brazil</v>
          </cell>
          <cell r="B287">
            <v>2</v>
          </cell>
          <cell r="C287">
            <v>10.5</v>
          </cell>
          <cell r="D287">
            <v>5.25</v>
          </cell>
          <cell r="E287">
            <v>1.0703363914373089E-3</v>
          </cell>
          <cell r="F287">
            <v>4905</v>
          </cell>
        </row>
        <row r="288">
          <cell r="A288" t="str">
            <v>Mexico</v>
          </cell>
          <cell r="B288">
            <v>1.4</v>
          </cell>
          <cell r="C288">
            <v>20.2</v>
          </cell>
          <cell r="D288">
            <v>14.428571428571429</v>
          </cell>
          <cell r="E288">
            <v>2.3114561258164475E-3</v>
          </cell>
          <cell r="F288">
            <v>6242.2</v>
          </cell>
        </row>
        <row r="289">
          <cell r="A289" t="str">
            <v>USA</v>
          </cell>
          <cell r="B289">
            <v>4</v>
          </cell>
          <cell r="C289">
            <v>74.099999999999994</v>
          </cell>
          <cell r="D289">
            <v>18.524999999999999</v>
          </cell>
          <cell r="E289">
            <v>5.1946486005995227E-4</v>
          </cell>
          <cell r="F289">
            <v>35661.699999999997</v>
          </cell>
        </row>
        <row r="290">
          <cell r="A290" t="str">
            <v>Germany</v>
          </cell>
          <cell r="B290">
            <v>4.8</v>
          </cell>
          <cell r="C290">
            <v>71.2</v>
          </cell>
          <cell r="D290">
            <v>14.833333333333334</v>
          </cell>
          <cell r="E290">
            <v>5.6308871241224682E-4</v>
          </cell>
          <cell r="F290">
            <v>26342.799999999999</v>
          </cell>
        </row>
        <row r="291">
          <cell r="A291" t="str">
            <v>UK</v>
          </cell>
          <cell r="B291">
            <v>3.9</v>
          </cell>
          <cell r="C291">
            <v>95.6</v>
          </cell>
          <cell r="D291">
            <v>24.512820512820511</v>
          </cell>
          <cell r="E291">
            <v>1.0615103026459143E-3</v>
          </cell>
          <cell r="F291">
            <v>23092.400000000001</v>
          </cell>
        </row>
        <row r="292">
          <cell r="A292" t="str">
            <v>india for chart</v>
          </cell>
          <cell r="B292">
            <v>1.2</v>
          </cell>
          <cell r="E292">
            <v>6.0000000000000001E-3</v>
          </cell>
        </row>
        <row r="293">
          <cell r="A293" t="str">
            <v>Bottled Water</v>
          </cell>
        </row>
        <row r="294">
          <cell r="A294" t="str">
            <v>China</v>
          </cell>
          <cell r="B294">
            <v>14.1</v>
          </cell>
          <cell r="C294">
            <v>5.8</v>
          </cell>
          <cell r="D294">
            <v>0.41134751773049644</v>
          </cell>
          <cell r="E294">
            <v>1.6327201624612861E-4</v>
          </cell>
          <cell r="F294">
            <v>2519.4</v>
          </cell>
        </row>
        <row r="295">
          <cell r="A295" t="str">
            <v>HK</v>
          </cell>
          <cell r="B295">
            <v>33.4</v>
          </cell>
          <cell r="C295">
            <v>37.799999999999997</v>
          </cell>
          <cell r="D295">
            <v>1.1317365269461077</v>
          </cell>
          <cell r="E295">
            <v>4.7035747466714364E-5</v>
          </cell>
          <cell r="F295">
            <v>24061.200000000001</v>
          </cell>
        </row>
        <row r="296">
          <cell r="A296" t="str">
            <v>India</v>
          </cell>
          <cell r="B296">
            <v>2.8</v>
          </cell>
          <cell r="C296">
            <v>0.5</v>
          </cell>
          <cell r="D296">
            <v>0.17857142857142858</v>
          </cell>
          <cell r="E296">
            <v>2.2902581578995585E-4</v>
          </cell>
          <cell r="F296">
            <v>779.7</v>
          </cell>
        </row>
        <row r="297">
          <cell r="A297" t="str">
            <v>Japan</v>
          </cell>
          <cell r="B297">
            <v>23.1</v>
          </cell>
          <cell r="C297">
            <v>41</v>
          </cell>
          <cell r="D297">
            <v>1.7748917748917747</v>
          </cell>
          <cell r="E297">
            <v>7.2316753447652715E-5</v>
          </cell>
          <cell r="F297">
            <v>24543.3</v>
          </cell>
        </row>
        <row r="298">
          <cell r="A298" t="str">
            <v>Singapore</v>
          </cell>
          <cell r="B298">
            <v>6.9</v>
          </cell>
          <cell r="C298">
            <v>5.5</v>
          </cell>
          <cell r="D298">
            <v>0.79710144927536231</v>
          </cell>
          <cell r="E298">
            <v>3.3244558273811974E-5</v>
          </cell>
          <cell r="F298">
            <v>23976.9</v>
          </cell>
        </row>
        <row r="299">
          <cell r="A299" t="str">
            <v>South Korea</v>
          </cell>
          <cell r="B299">
            <v>35.4</v>
          </cell>
          <cell r="C299">
            <v>13.3</v>
          </cell>
          <cell r="D299">
            <v>0.37570621468926557</v>
          </cell>
          <cell r="E299">
            <v>3.1679501390372823E-5</v>
          </cell>
          <cell r="F299">
            <v>11859.6</v>
          </cell>
        </row>
        <row r="300">
          <cell r="A300" t="str">
            <v>Taiwan</v>
          </cell>
          <cell r="B300">
            <v>20.3</v>
          </cell>
          <cell r="C300">
            <v>18.3</v>
          </cell>
          <cell r="D300">
            <v>0.90147783251231528</v>
          </cell>
          <cell r="E300">
            <v>7.1781713926099671E-5</v>
          </cell>
          <cell r="F300">
            <v>12558.6</v>
          </cell>
        </row>
        <row r="301">
          <cell r="A301" t="str">
            <v>Thailand</v>
          </cell>
          <cell r="B301">
            <v>15.6</v>
          </cell>
          <cell r="C301">
            <v>6.4</v>
          </cell>
          <cell r="D301">
            <v>0.4102564102564103</v>
          </cell>
          <cell r="E301">
            <v>1.4904865041104825E-4</v>
          </cell>
          <cell r="F301">
            <v>2752.5</v>
          </cell>
        </row>
        <row r="302">
          <cell r="A302" t="str">
            <v>Argentina</v>
          </cell>
          <cell r="B302">
            <v>104.9</v>
          </cell>
          <cell r="C302">
            <v>32.700000000000003</v>
          </cell>
          <cell r="D302">
            <v>0.3117254528122021</v>
          </cell>
          <cell r="E302">
            <v>7.1718728358955959E-5</v>
          </cell>
          <cell r="F302">
            <v>4346.5</v>
          </cell>
        </row>
        <row r="303">
          <cell r="A303" t="str">
            <v>Brazil</v>
          </cell>
          <cell r="B303">
            <v>24.6</v>
          </cell>
          <cell r="C303">
            <v>8</v>
          </cell>
          <cell r="D303">
            <v>0.32520325203252032</v>
          </cell>
          <cell r="E303">
            <v>6.6300357193174383E-5</v>
          </cell>
          <cell r="F303">
            <v>4905</v>
          </cell>
        </row>
        <row r="304">
          <cell r="A304" t="str">
            <v>Mexico</v>
          </cell>
          <cell r="B304">
            <v>140.30000000000001</v>
          </cell>
          <cell r="C304">
            <v>37.4</v>
          </cell>
          <cell r="D304">
            <v>0.26657163221667851</v>
          </cell>
          <cell r="E304">
            <v>4.2704756691018956E-5</v>
          </cell>
          <cell r="F304">
            <v>6242.2</v>
          </cell>
        </row>
        <row r="305">
          <cell r="A305" t="str">
            <v>USA</v>
          </cell>
          <cell r="B305">
            <v>84.8</v>
          </cell>
          <cell r="C305">
            <v>53.7</v>
          </cell>
          <cell r="D305">
            <v>0.63325471698113212</v>
          </cell>
          <cell r="E305">
            <v>1.7757277891439057E-5</v>
          </cell>
          <cell r="F305">
            <v>35661.699999999997</v>
          </cell>
        </row>
        <row r="306">
          <cell r="A306" t="str">
            <v>Germany</v>
          </cell>
          <cell r="B306">
            <v>113.6</v>
          </cell>
          <cell r="C306">
            <v>56.2</v>
          </cell>
          <cell r="D306">
            <v>0.49471830985915499</v>
          </cell>
          <cell r="E306">
            <v>1.878001996215873E-5</v>
          </cell>
          <cell r="F306">
            <v>26342.799999999999</v>
          </cell>
        </row>
        <row r="307">
          <cell r="A307" t="str">
            <v>UK</v>
          </cell>
          <cell r="B307">
            <v>30.8</v>
          </cell>
          <cell r="C307">
            <v>30.5</v>
          </cell>
          <cell r="D307">
            <v>0.99025974025974028</v>
          </cell>
          <cell r="E307">
            <v>4.2882495550905934E-5</v>
          </cell>
          <cell r="F307">
            <v>23092.400000000001</v>
          </cell>
        </row>
        <row r="309">
          <cell r="A309" t="str">
            <v>Shampoo</v>
          </cell>
        </row>
        <row r="310">
          <cell r="A310" t="str">
            <v>China</v>
          </cell>
          <cell r="B310">
            <v>0.28289999999999998</v>
          </cell>
          <cell r="C310">
            <v>2.1</v>
          </cell>
          <cell r="D310">
            <v>7.4231177094379648</v>
          </cell>
          <cell r="E310">
            <v>2.9463831505270955E-3</v>
          </cell>
          <cell r="F310">
            <v>2519.4</v>
          </cell>
        </row>
        <row r="311">
          <cell r="A311" t="str">
            <v>HK</v>
          </cell>
          <cell r="B311">
            <v>0.76679999999999993</v>
          </cell>
          <cell r="C311">
            <v>8.6999999999999993</v>
          </cell>
          <cell r="D311">
            <v>11.345852895148671</v>
          </cell>
          <cell r="E311">
            <v>4.7154143995929839E-4</v>
          </cell>
          <cell r="F311">
            <v>24061.200000000001</v>
          </cell>
        </row>
        <row r="312">
          <cell r="A312" t="str">
            <v>India</v>
          </cell>
          <cell r="B312">
            <v>4.8000000000000001E-2</v>
          </cell>
          <cell r="C312">
            <v>0.5</v>
          </cell>
          <cell r="D312">
            <v>10.416666666666666</v>
          </cell>
          <cell r="E312">
            <v>1.3359839254414089E-2</v>
          </cell>
          <cell r="F312">
            <v>779.7</v>
          </cell>
        </row>
        <row r="313">
          <cell r="A313" t="str">
            <v>Japan</v>
          </cell>
          <cell r="B313">
            <v>0.6421</v>
          </cell>
          <cell r="C313">
            <v>16.899999999999999</v>
          </cell>
          <cell r="D313">
            <v>26.319887867933343</v>
          </cell>
          <cell r="E313">
            <v>1.0723858596005159E-3</v>
          </cell>
          <cell r="F313">
            <v>24543.3</v>
          </cell>
        </row>
        <row r="314">
          <cell r="A314" t="str">
            <v>Singapore</v>
          </cell>
          <cell r="B314">
            <v>0.42219999999999996</v>
          </cell>
          <cell r="C314">
            <v>7.2</v>
          </cell>
          <cell r="D314">
            <v>17.053529133112271</v>
          </cell>
          <cell r="E314">
            <v>7.1124829035914855E-4</v>
          </cell>
          <cell r="F314">
            <v>23976.9</v>
          </cell>
        </row>
        <row r="315">
          <cell r="A315" t="str">
            <v>South Korea</v>
          </cell>
          <cell r="B315">
            <v>0.59499999999999997</v>
          </cell>
          <cell r="C315">
            <v>5.3</v>
          </cell>
          <cell r="D315">
            <v>8.9075630252100844</v>
          </cell>
          <cell r="E315">
            <v>7.5108460868917031E-4</v>
          </cell>
          <cell r="F315">
            <v>11859.6</v>
          </cell>
        </row>
        <row r="316">
          <cell r="A316" t="str">
            <v>Taiwan</v>
          </cell>
          <cell r="B316">
            <v>0.70299999999999996</v>
          </cell>
          <cell r="C316">
            <v>7.8</v>
          </cell>
          <cell r="D316">
            <v>11.095305832147938</v>
          </cell>
          <cell r="E316">
            <v>8.8348269967575505E-4</v>
          </cell>
          <cell r="F316">
            <v>12558.6</v>
          </cell>
        </row>
        <row r="317">
          <cell r="A317" t="str">
            <v>Thailand</v>
          </cell>
          <cell r="B317">
            <v>0.40739999999999998</v>
          </cell>
          <cell r="C317">
            <v>3.9</v>
          </cell>
          <cell r="D317">
            <v>9.5729013254786448</v>
          </cell>
          <cell r="E317">
            <v>3.4778933062592715E-3</v>
          </cell>
          <cell r="F317">
            <v>2752.5</v>
          </cell>
        </row>
        <row r="318">
          <cell r="A318" t="str">
            <v>Argentina</v>
          </cell>
          <cell r="B318">
            <v>1.7404000000000002</v>
          </cell>
          <cell r="C318">
            <v>7.4</v>
          </cell>
          <cell r="D318">
            <v>4.2518961158354402</v>
          </cell>
          <cell r="E318">
            <v>9.7823446815493856E-4</v>
          </cell>
          <cell r="F318">
            <v>4346.5</v>
          </cell>
        </row>
        <row r="319">
          <cell r="A319" t="str">
            <v>Brazil</v>
          </cell>
          <cell r="B319">
            <v>0.85660000000000003</v>
          </cell>
          <cell r="C319">
            <v>8.6</v>
          </cell>
          <cell r="D319">
            <v>10.039691804809712</v>
          </cell>
          <cell r="E319">
            <v>2.0468280947624285E-3</v>
          </cell>
          <cell r="F319">
            <v>4905</v>
          </cell>
        </row>
        <row r="320">
          <cell r="A320" t="str">
            <v>Mexico</v>
          </cell>
          <cell r="B320">
            <v>0.97410000000000008</v>
          </cell>
          <cell r="C320">
            <v>6.2</v>
          </cell>
          <cell r="D320">
            <v>6.3648496047633714</v>
          </cell>
          <cell r="E320">
            <v>1.0196484580377706E-3</v>
          </cell>
          <cell r="F320">
            <v>6242.2</v>
          </cell>
        </row>
        <row r="321">
          <cell r="A321" t="str">
            <v>USA</v>
          </cell>
          <cell r="B321">
            <v>0.68629999999999991</v>
          </cell>
          <cell r="C321">
            <v>6.8</v>
          </cell>
          <cell r="D321">
            <v>9.9082034095876441</v>
          </cell>
          <cell r="E321">
            <v>2.7783878529592375E-4</v>
          </cell>
          <cell r="F321">
            <v>35661.699999999997</v>
          </cell>
        </row>
        <row r="322">
          <cell r="A322" t="str">
            <v>Germany</v>
          </cell>
          <cell r="B322">
            <v>1.2244000000000002</v>
          </cell>
          <cell r="C322">
            <v>10.6</v>
          </cell>
          <cell r="D322">
            <v>8.6573015354459315</v>
          </cell>
          <cell r="E322">
            <v>3.2864014210508876E-4</v>
          </cell>
          <cell r="F322">
            <v>26342.799999999999</v>
          </cell>
        </row>
        <row r="323">
          <cell r="A323" t="str">
            <v>UK</v>
          </cell>
          <cell r="B323">
            <v>0.68210000000000004</v>
          </cell>
          <cell r="C323">
            <v>9.3000000000000007</v>
          </cell>
          <cell r="D323">
            <v>13.634364462688756</v>
          </cell>
          <cell r="E323">
            <v>5.9042648069012986E-4</v>
          </cell>
          <cell r="F323">
            <v>23092.400000000001</v>
          </cell>
        </row>
        <row r="325">
          <cell r="A325" t="str">
            <v>Conditioner</v>
          </cell>
        </row>
        <row r="326">
          <cell r="A326" t="str">
            <v>China</v>
          </cell>
          <cell r="B326">
            <v>3.8799999999999994E-2</v>
          </cell>
          <cell r="C326">
            <v>0.5</v>
          </cell>
          <cell r="D326">
            <v>12.886597938144332</v>
          </cell>
          <cell r="E326">
            <v>5.1149471851013465E-3</v>
          </cell>
          <cell r="F326">
            <v>2519.4</v>
          </cell>
        </row>
        <row r="327">
          <cell r="A327" t="str">
            <v>HK</v>
          </cell>
          <cell r="B327">
            <v>0.28100000000000003</v>
          </cell>
          <cell r="C327">
            <v>3.8</v>
          </cell>
          <cell r="D327">
            <v>13.523131672597863</v>
          </cell>
          <cell r="E327">
            <v>5.6203064155561076E-4</v>
          </cell>
          <cell r="F327">
            <v>24061.200000000001</v>
          </cell>
        </row>
        <row r="328">
          <cell r="A328" t="str">
            <v>India</v>
          </cell>
          <cell r="B328">
            <v>9.3700000000000006E-2</v>
          </cell>
          <cell r="C328">
            <v>0.6</v>
          </cell>
          <cell r="D328">
            <v>6.4034151547491991</v>
          </cell>
          <cell r="E328">
            <v>8.2126653260859283E-3</v>
          </cell>
          <cell r="F328">
            <v>779.7</v>
          </cell>
        </row>
        <row r="329">
          <cell r="A329" t="str">
            <v>Japan</v>
          </cell>
          <cell r="B329">
            <v>0.56110000000000004</v>
          </cell>
          <cell r="C329">
            <v>15.6</v>
          </cell>
          <cell r="D329">
            <v>27.802530743183031</v>
          </cell>
          <cell r="E329">
            <v>1.1327951311837867E-3</v>
          </cell>
          <cell r="F329">
            <v>24543.3</v>
          </cell>
        </row>
        <row r="330">
          <cell r="A330" t="str">
            <v>Singapore</v>
          </cell>
          <cell r="B330">
            <v>0.23449999999999999</v>
          </cell>
          <cell r="C330">
            <v>3.9</v>
          </cell>
          <cell r="D330">
            <v>16.631130063965884</v>
          </cell>
          <cell r="E330">
            <v>6.9363137286162439E-4</v>
          </cell>
          <cell r="F330">
            <v>23976.9</v>
          </cell>
        </row>
        <row r="331">
          <cell r="A331" t="str">
            <v>South Korea</v>
          </cell>
          <cell r="B331">
            <v>0.28510000000000002</v>
          </cell>
          <cell r="C331">
            <v>4.0999999999999996</v>
          </cell>
          <cell r="D331">
            <v>14.380918975797963</v>
          </cell>
          <cell r="E331">
            <v>1.2125973030960541E-3</v>
          </cell>
          <cell r="F331">
            <v>11859.6</v>
          </cell>
        </row>
        <row r="332">
          <cell r="A332" t="str">
            <v>Taiwan</v>
          </cell>
          <cell r="B332">
            <v>0.1938</v>
          </cell>
          <cell r="C332">
            <v>2.8</v>
          </cell>
          <cell r="D332">
            <v>14.447884416924664</v>
          </cell>
          <cell r="E332">
            <v>1.1504375023429891E-3</v>
          </cell>
          <cell r="F332">
            <v>12558.6</v>
          </cell>
        </row>
        <row r="333">
          <cell r="A333" t="str">
            <v>Thailand</v>
          </cell>
          <cell r="B333">
            <v>0.17030000000000001</v>
          </cell>
          <cell r="C333">
            <v>1.8</v>
          </cell>
          <cell r="D333">
            <v>10.569583088667057</v>
          </cell>
          <cell r="E333">
            <v>3.8399938560098302E-3</v>
          </cell>
          <cell r="F333">
            <v>2752.5</v>
          </cell>
        </row>
        <row r="334">
          <cell r="A334" t="str">
            <v>Argentina</v>
          </cell>
          <cell r="B334">
            <v>1.0851999999999999</v>
          </cell>
          <cell r="C334">
            <v>5.2</v>
          </cell>
          <cell r="D334">
            <v>4.7917434574272031</v>
          </cell>
          <cell r="E334">
            <v>1.1024372385660193E-3</v>
          </cell>
          <cell r="F334">
            <v>4346.5</v>
          </cell>
        </row>
        <row r="335">
          <cell r="A335" t="str">
            <v>Brazil</v>
          </cell>
          <cell r="B335">
            <v>1.2637</v>
          </cell>
          <cell r="C335">
            <v>12.2</v>
          </cell>
          <cell r="D335">
            <v>9.6541900767587236</v>
          </cell>
          <cell r="E335">
            <v>1.9682344702872017E-3</v>
          </cell>
          <cell r="F335">
            <v>4905</v>
          </cell>
        </row>
        <row r="336">
          <cell r="A336" t="str">
            <v>Mexico</v>
          </cell>
          <cell r="B336">
            <v>0.24430000000000002</v>
          </cell>
          <cell r="C336">
            <v>1.7</v>
          </cell>
          <cell r="D336">
            <v>6.9586573884568148</v>
          </cell>
          <cell r="E336">
            <v>1.1147764231291557E-3</v>
          </cell>
          <cell r="F336">
            <v>6242.2</v>
          </cell>
        </row>
        <row r="337">
          <cell r="A337" t="str">
            <v>USA</v>
          </cell>
          <cell r="B337">
            <v>0.53749999999999998</v>
          </cell>
          <cell r="C337">
            <v>4.9000000000000004</v>
          </cell>
          <cell r="D337">
            <v>9.1162790697674421</v>
          </cell>
          <cell r="E337">
            <v>2.5563220681480253E-4</v>
          </cell>
          <cell r="F337">
            <v>35661.699999999997</v>
          </cell>
        </row>
        <row r="338">
          <cell r="A338" t="str">
            <v>Germany</v>
          </cell>
          <cell r="B338">
            <v>0.2442</v>
          </cell>
          <cell r="C338">
            <v>5.6</v>
          </cell>
          <cell r="D338">
            <v>22.932022932022932</v>
          </cell>
          <cell r="E338">
            <v>8.7052336623376911E-4</v>
          </cell>
          <cell r="F338">
            <v>26342.799999999999</v>
          </cell>
        </row>
        <row r="339">
          <cell r="A339" t="str">
            <v>UK</v>
          </cell>
          <cell r="B339">
            <v>0.48749999999999999</v>
          </cell>
          <cell r="C339">
            <v>7.2</v>
          </cell>
          <cell r="D339">
            <v>14.76923076923077</v>
          </cell>
          <cell r="E339">
            <v>6.3957106100841698E-4</v>
          </cell>
          <cell r="F339">
            <v>23092.400000000001</v>
          </cell>
        </row>
        <row r="341">
          <cell r="A341" t="str">
            <v>Meats</v>
          </cell>
        </row>
        <row r="342">
          <cell r="A342" t="str">
            <v>China</v>
          </cell>
          <cell r="B342">
            <v>5.1499999999999997E-2</v>
          </cell>
          <cell r="D342">
            <v>0</v>
          </cell>
          <cell r="E342">
            <v>0</v>
          </cell>
          <cell r="F342">
            <v>2519.4</v>
          </cell>
        </row>
        <row r="343">
          <cell r="A343" t="str">
            <v>HK</v>
          </cell>
          <cell r="B343">
            <v>9.1799999999999993E-2</v>
          </cell>
          <cell r="D343">
            <v>0</v>
          </cell>
          <cell r="E343">
            <v>0</v>
          </cell>
          <cell r="F343">
            <v>24061.200000000001</v>
          </cell>
        </row>
        <row r="344">
          <cell r="A344" t="str">
            <v>India</v>
          </cell>
          <cell r="B344">
            <v>4.4000000000000003E-3</v>
          </cell>
          <cell r="D344">
            <v>0</v>
          </cell>
          <cell r="E344">
            <v>0</v>
          </cell>
          <cell r="F344">
            <v>779.7</v>
          </cell>
        </row>
        <row r="345">
          <cell r="A345" t="str">
            <v>Japan</v>
          </cell>
          <cell r="B345">
            <v>2.9700000000000001E-2</v>
          </cell>
          <cell r="D345">
            <v>0</v>
          </cell>
          <cell r="E345">
            <v>0</v>
          </cell>
          <cell r="F345">
            <v>24543.3</v>
          </cell>
        </row>
        <row r="346">
          <cell r="A346" t="str">
            <v>Singapore</v>
          </cell>
          <cell r="B346">
            <v>5.9499999999999997E-2</v>
          </cell>
          <cell r="D346">
            <v>0</v>
          </cell>
          <cell r="E346">
            <v>0</v>
          </cell>
          <cell r="F346">
            <v>23976.9</v>
          </cell>
        </row>
        <row r="347">
          <cell r="A347" t="str">
            <v>South Korea</v>
          </cell>
          <cell r="B347">
            <v>4.3299999999999998E-2</v>
          </cell>
          <cell r="D347">
            <v>0</v>
          </cell>
          <cell r="E347">
            <v>0</v>
          </cell>
          <cell r="F347">
            <v>11859.6</v>
          </cell>
        </row>
        <row r="348">
          <cell r="A348" t="str">
            <v>Taiwan</v>
          </cell>
          <cell r="B348">
            <v>7.17E-2</v>
          </cell>
          <cell r="D348">
            <v>0</v>
          </cell>
          <cell r="E348">
            <v>0</v>
          </cell>
          <cell r="F348">
            <v>12558.6</v>
          </cell>
        </row>
        <row r="349">
          <cell r="A349" t="str">
            <v>Thailand</v>
          </cell>
          <cell r="B349">
            <v>2.2600000000000002E-2</v>
          </cell>
          <cell r="D349">
            <v>0</v>
          </cell>
          <cell r="E349">
            <v>0</v>
          </cell>
          <cell r="F349">
            <v>2752.5</v>
          </cell>
        </row>
        <row r="350">
          <cell r="A350" t="str">
            <v>Argentina</v>
          </cell>
          <cell r="B350">
            <v>8.9900000000000008E-2</v>
          </cell>
          <cell r="D350">
            <v>0</v>
          </cell>
          <cell r="E350">
            <v>0</v>
          </cell>
          <cell r="F350">
            <v>4346.5</v>
          </cell>
        </row>
        <row r="351">
          <cell r="A351" t="str">
            <v>Brazil</v>
          </cell>
          <cell r="B351">
            <v>8.5199999999999998E-2</v>
          </cell>
          <cell r="D351">
            <v>0</v>
          </cell>
          <cell r="E351">
            <v>0</v>
          </cell>
          <cell r="F351">
            <v>4905</v>
          </cell>
        </row>
        <row r="352">
          <cell r="A352" t="str">
            <v>Mexico</v>
          </cell>
          <cell r="B352">
            <v>4.8100000000000004E-2</v>
          </cell>
          <cell r="D352">
            <v>0</v>
          </cell>
          <cell r="E352">
            <v>0</v>
          </cell>
          <cell r="F352">
            <v>6242.2</v>
          </cell>
        </row>
        <row r="353">
          <cell r="A353" t="str">
            <v>USA</v>
          </cell>
          <cell r="B353">
            <v>8.1700000000000009E-2</v>
          </cell>
          <cell r="D353">
            <v>0</v>
          </cell>
          <cell r="E353">
            <v>0</v>
          </cell>
          <cell r="F353">
            <v>35661.699999999997</v>
          </cell>
        </row>
        <row r="354">
          <cell r="A354" t="str">
            <v>Germany</v>
          </cell>
          <cell r="B354">
            <v>4.8500000000000001E-2</v>
          </cell>
          <cell r="D354">
            <v>0</v>
          </cell>
          <cell r="E354">
            <v>0</v>
          </cell>
          <cell r="F354">
            <v>26342.799999999999</v>
          </cell>
        </row>
        <row r="355">
          <cell r="A355" t="str">
            <v>UK</v>
          </cell>
          <cell r="B355">
            <v>2.47E-2</v>
          </cell>
          <cell r="D355">
            <v>0</v>
          </cell>
          <cell r="E355">
            <v>0</v>
          </cell>
          <cell r="F355">
            <v>23092.400000000001</v>
          </cell>
        </row>
        <row r="357">
          <cell r="A357" t="str">
            <v>Fish and Seafood</v>
          </cell>
        </row>
        <row r="358">
          <cell r="A358" t="str">
            <v>China</v>
          </cell>
          <cell r="B358">
            <v>2.2800000000000001E-2</v>
          </cell>
          <cell r="D358">
            <v>0</v>
          </cell>
          <cell r="E358">
            <v>0</v>
          </cell>
          <cell r="F358">
            <v>2519.4</v>
          </cell>
        </row>
        <row r="359">
          <cell r="A359" t="str">
            <v>HK</v>
          </cell>
          <cell r="B359">
            <v>3.7700000000000004E-2</v>
          </cell>
          <cell r="D359">
            <v>0</v>
          </cell>
          <cell r="E359">
            <v>0</v>
          </cell>
          <cell r="F359">
            <v>24061.200000000001</v>
          </cell>
        </row>
        <row r="360">
          <cell r="A360" t="str">
            <v>India</v>
          </cell>
          <cell r="B360">
            <v>5.5999999999999999E-3</v>
          </cell>
          <cell r="D360">
            <v>0</v>
          </cell>
          <cell r="E360">
            <v>0</v>
          </cell>
          <cell r="F360">
            <v>779.7</v>
          </cell>
        </row>
        <row r="361">
          <cell r="A361" t="str">
            <v>Japan</v>
          </cell>
          <cell r="B361">
            <v>3.6799999999999999E-2</v>
          </cell>
          <cell r="D361">
            <v>0</v>
          </cell>
          <cell r="E361">
            <v>0</v>
          </cell>
          <cell r="F361">
            <v>24543.3</v>
          </cell>
        </row>
        <row r="362">
          <cell r="A362" t="str">
            <v>Singapore</v>
          </cell>
          <cell r="B362">
            <v>2.47E-2</v>
          </cell>
          <cell r="D362">
            <v>0</v>
          </cell>
          <cell r="E362">
            <v>0</v>
          </cell>
          <cell r="F362">
            <v>23976.9</v>
          </cell>
        </row>
        <row r="363">
          <cell r="A363" t="str">
            <v>South Korea</v>
          </cell>
          <cell r="B363">
            <v>4.9500000000000002E-2</v>
          </cell>
          <cell r="D363">
            <v>0</v>
          </cell>
          <cell r="E363">
            <v>0</v>
          </cell>
          <cell r="F363">
            <v>11859.6</v>
          </cell>
        </row>
        <row r="364">
          <cell r="A364" t="str">
            <v>Taiwan</v>
          </cell>
          <cell r="B364">
            <v>5.1900000000000002E-2</v>
          </cell>
          <cell r="D364">
            <v>0</v>
          </cell>
          <cell r="E364">
            <v>0</v>
          </cell>
          <cell r="F364">
            <v>12558.6</v>
          </cell>
        </row>
        <row r="365">
          <cell r="A365" t="str">
            <v>Thailand</v>
          </cell>
          <cell r="B365">
            <v>2.2699999999999998E-2</v>
          </cell>
          <cell r="D365">
            <v>0</v>
          </cell>
          <cell r="E365">
            <v>0</v>
          </cell>
          <cell r="F365">
            <v>2752.5</v>
          </cell>
        </row>
        <row r="366">
          <cell r="A366" t="str">
            <v>Argentina</v>
          </cell>
          <cell r="B366">
            <v>4.7000000000000002E-3</v>
          </cell>
          <cell r="D366">
            <v>0</v>
          </cell>
          <cell r="E366">
            <v>0</v>
          </cell>
          <cell r="F366">
            <v>4346.5</v>
          </cell>
        </row>
        <row r="367">
          <cell r="A367" t="str">
            <v>Brazil</v>
          </cell>
          <cell r="B367">
            <v>7.3000000000000001E-3</v>
          </cell>
          <cell r="D367">
            <v>0</v>
          </cell>
          <cell r="E367">
            <v>0</v>
          </cell>
          <cell r="F367">
            <v>4905</v>
          </cell>
        </row>
        <row r="368">
          <cell r="A368" t="str">
            <v>Mexico</v>
          </cell>
          <cell r="B368">
            <v>4.7000000000000002E-3</v>
          </cell>
          <cell r="D368">
            <v>0</v>
          </cell>
          <cell r="E368">
            <v>0</v>
          </cell>
          <cell r="F368">
            <v>6242.2</v>
          </cell>
        </row>
        <row r="369">
          <cell r="A369" t="str">
            <v>USA</v>
          </cell>
          <cell r="B369">
            <v>5.1999999999999998E-3</v>
          </cell>
          <cell r="D369">
            <v>0</v>
          </cell>
          <cell r="E369">
            <v>0</v>
          </cell>
          <cell r="F369">
            <v>35661.699999999997</v>
          </cell>
        </row>
        <row r="370">
          <cell r="A370" t="str">
            <v>Germany</v>
          </cell>
          <cell r="B370">
            <v>9.1999999999999998E-3</v>
          </cell>
          <cell r="D370">
            <v>0</v>
          </cell>
          <cell r="E370">
            <v>0</v>
          </cell>
          <cell r="F370">
            <v>26342.799999999999</v>
          </cell>
        </row>
        <row r="371">
          <cell r="A371" t="str">
            <v>UK</v>
          </cell>
          <cell r="B371">
            <v>1.06E-2</v>
          </cell>
          <cell r="D371">
            <v>0</v>
          </cell>
          <cell r="E371">
            <v>0</v>
          </cell>
          <cell r="F371">
            <v>23092.400000000001</v>
          </cell>
        </row>
      </sheetData>
      <sheetData sheetId="1"/>
      <sheetData sheetId="2">
        <row r="3">
          <cell r="C3">
            <v>2007</v>
          </cell>
        </row>
      </sheetData>
      <sheetData sheetId="3"/>
      <sheetData sheetId="4">
        <row r="85">
          <cell r="Q85">
            <v>0.7</v>
          </cell>
        </row>
      </sheetData>
      <sheetData sheetId="5"/>
      <sheetData sheetId="6"/>
      <sheetData sheetId="7"/>
      <sheetData sheetId="8"/>
      <sheetData sheetId="9"/>
      <sheetData sheetId="10">
        <row r="76">
          <cell r="B76" t="str">
            <v>Noodle ASP</v>
          </cell>
          <cell r="D76" t="str">
            <v>Disposable Income</v>
          </cell>
        </row>
        <row r="77">
          <cell r="B77" t="str">
            <v>2001-06</v>
          </cell>
          <cell r="C77" t="str">
            <v>2006-11</v>
          </cell>
          <cell r="D77" t="str">
            <v>2001-06</v>
          </cell>
          <cell r="E77" t="str">
            <v>2006-11</v>
          </cell>
        </row>
        <row r="78">
          <cell r="B78" t="str">
            <v>CAGR</v>
          </cell>
          <cell r="C78" t="str">
            <v>CAGR</v>
          </cell>
          <cell r="D78" t="str">
            <v>CAGR</v>
          </cell>
          <cell r="E78" t="str">
            <v>CAGR</v>
          </cell>
        </row>
        <row r="79">
          <cell r="A79" t="str">
            <v>Indonesia</v>
          </cell>
          <cell r="B79">
            <v>1.8394052554771889E-2</v>
          </cell>
          <cell r="C79">
            <v>8.8550994375204972E-2</v>
          </cell>
          <cell r="D79">
            <v>0.13189870681486826</v>
          </cell>
          <cell r="E79">
            <v>0.1317501333944624</v>
          </cell>
        </row>
        <row r="80">
          <cell r="A80" t="str">
            <v>China</v>
          </cell>
          <cell r="B80">
            <v>-2.8595981692837169E-3</v>
          </cell>
          <cell r="C80">
            <v>6.6802331856724795E-2</v>
          </cell>
          <cell r="D80">
            <v>0.12130312201018367</v>
          </cell>
          <cell r="E80">
            <v>0.16219199468971479</v>
          </cell>
        </row>
        <row r="81">
          <cell r="A81" t="str">
            <v>South Korea</v>
          </cell>
          <cell r="B81">
            <v>1.7133331311607103E-2</v>
          </cell>
          <cell r="C81">
            <v>1.785314841541652E-2</v>
          </cell>
          <cell r="D81">
            <v>5.7667983414847912E-2</v>
          </cell>
          <cell r="E81">
            <v>4.8275082906552358E-2</v>
          </cell>
        </row>
        <row r="82">
          <cell r="A82" t="str">
            <v>Hong Kong</v>
          </cell>
          <cell r="B82">
            <v>3.5714159400357381E-3</v>
          </cell>
          <cell r="C82">
            <v>2.8689776985064919E-2</v>
          </cell>
          <cell r="D82">
            <v>1.413897269715414E-2</v>
          </cell>
          <cell r="E82">
            <v>5.2205431181458817E-2</v>
          </cell>
        </row>
        <row r="83">
          <cell r="A83" t="str">
            <v>Taiwan</v>
          </cell>
          <cell r="B83">
            <v>-1.0502145821976949E-2</v>
          </cell>
          <cell r="C83">
            <v>2.2157641774784187E-2</v>
          </cell>
          <cell r="D83">
            <v>2.7809169445951465E-2</v>
          </cell>
          <cell r="E83">
            <v>1.4330167269290817E-2</v>
          </cell>
        </row>
        <row r="84">
          <cell r="A84" t="str">
            <v>Japan</v>
          </cell>
          <cell r="B84">
            <v>5.6209812025573846E-3</v>
          </cell>
          <cell r="C84">
            <v>8.4838436449028443E-3</v>
          </cell>
          <cell r="D84">
            <v>-2.636065098481577E-3</v>
          </cell>
          <cell r="E84">
            <v>-3.6142742769819103E-3</v>
          </cell>
        </row>
        <row r="142">
          <cell r="B142">
            <v>-3.0617204416839572E-3</v>
          </cell>
        </row>
      </sheetData>
      <sheetData sheetId="11"/>
      <sheetData sheetId="12"/>
      <sheetData sheetId="13"/>
      <sheetData sheetId="1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ood 2-32"/>
      <sheetName val="Good 12-00 (3)"/>
      <sheetName val="Good 12-43"/>
      <sheetName val="Good 12-07"/>
      <sheetName val="Good 12-00 (2)"/>
      <sheetName val="Good 12-00"/>
      <sheetName val="Good 11-50"/>
      <sheetName val="Good 11-40"/>
      <sheetName val="Good 11-36"/>
      <sheetName val="Good 11-18"/>
      <sheetName val="Good 10-48 pm (2)"/>
      <sheetName val="Samples"/>
      <sheetName val="Good 10-48 pm"/>
      <sheetName val="Good 11-04 pm"/>
      <sheetName val="Sheet3 (6)"/>
      <sheetName val="Sheet3 (5)"/>
      <sheetName val="Sheet3 (3)"/>
      <sheetName val="Sheet3 (2)"/>
      <sheetName val="Sheet1"/>
      <sheetName val="Sheet2"/>
      <sheetName val="Sheet3"/>
      <sheetName val="Sheet3 (4)"/>
      <sheetName val="Good 12-22_tbnt"/>
    </sheetNames>
    <sheetDataSet>
      <sheetData sheetId="0" refreshError="1"/>
      <sheetData sheetId="1" refreshError="1"/>
      <sheetData sheetId="2" refreshError="1"/>
      <sheetData sheetId="3" refreshError="1"/>
      <sheetData sheetId="4" refreshError="1">
        <row r="3">
          <cell r="A3" t="str">
            <v>Base</v>
          </cell>
          <cell r="B3">
            <v>40</v>
          </cell>
        </row>
        <row r="4">
          <cell r="A4" t="str">
            <v>Price Target</v>
          </cell>
          <cell r="B4">
            <v>40</v>
          </cell>
          <cell r="S4" t="str">
            <v>Bear</v>
          </cell>
          <cell r="U4" t="str">
            <v>Base</v>
          </cell>
          <cell r="X4" t="str">
            <v>Bull</v>
          </cell>
        </row>
        <row r="5">
          <cell r="R5">
            <v>-30</v>
          </cell>
          <cell r="S5">
            <v>-30</v>
          </cell>
          <cell r="U5">
            <v>40</v>
          </cell>
          <cell r="X5">
            <v>17</v>
          </cell>
          <cell r="Z5">
            <v>17</v>
          </cell>
        </row>
        <row r="6">
          <cell r="C6" t="str">
            <v>Bear</v>
          </cell>
          <cell r="S6" t="str">
            <v>-space2</v>
          </cell>
          <cell r="T6" t="str">
            <v>-bear</v>
          </cell>
          <cell r="U6" t="str">
            <v>-space1</v>
          </cell>
          <cell r="V6" t="str">
            <v>+space1</v>
          </cell>
          <cell r="W6" t="str">
            <v>+bull</v>
          </cell>
          <cell r="X6" t="str">
            <v>+space2</v>
          </cell>
        </row>
        <row r="7">
          <cell r="A7" t="str">
            <v>Binary driver one</v>
          </cell>
          <cell r="C7">
            <v>-5</v>
          </cell>
          <cell r="S7">
            <v>-23</v>
          </cell>
          <cell r="T7">
            <v>-7</v>
          </cell>
          <cell r="U7">
            <v>0</v>
          </cell>
          <cell r="V7">
            <v>0</v>
          </cell>
          <cell r="W7">
            <v>3</v>
          </cell>
          <cell r="X7">
            <v>14</v>
          </cell>
          <cell r="Y7">
            <v>17</v>
          </cell>
        </row>
        <row r="8">
          <cell r="A8" t="str">
            <v>Binary driver two</v>
          </cell>
          <cell r="C8">
            <v>-5</v>
          </cell>
          <cell r="S8">
            <v>-18</v>
          </cell>
          <cell r="T8">
            <v>-5</v>
          </cell>
          <cell r="U8">
            <v>-7</v>
          </cell>
          <cell r="V8">
            <v>3</v>
          </cell>
          <cell r="W8">
            <v>2</v>
          </cell>
          <cell r="X8">
            <v>12</v>
          </cell>
          <cell r="Y8">
            <v>17</v>
          </cell>
        </row>
        <row r="9">
          <cell r="A9" t="str">
            <v>Binary driver three</v>
          </cell>
          <cell r="C9">
            <v>-6</v>
          </cell>
          <cell r="S9">
            <v>-12</v>
          </cell>
          <cell r="T9">
            <v>-6</v>
          </cell>
          <cell r="U9">
            <v>-12</v>
          </cell>
          <cell r="V9">
            <v>5</v>
          </cell>
          <cell r="W9">
            <v>3</v>
          </cell>
          <cell r="X9">
            <v>9</v>
          </cell>
          <cell r="Y9">
            <v>17</v>
          </cell>
        </row>
        <row r="10">
          <cell r="A10" t="str">
            <v>Bull only driver one</v>
          </cell>
          <cell r="C10">
            <v>0</v>
          </cell>
          <cell r="S10">
            <v>-12</v>
          </cell>
          <cell r="U10">
            <v>-18</v>
          </cell>
          <cell r="V10">
            <v>8</v>
          </cell>
          <cell r="W10">
            <v>4</v>
          </cell>
          <cell r="X10">
            <v>5</v>
          </cell>
          <cell r="Y10">
            <v>17</v>
          </cell>
        </row>
        <row r="11">
          <cell r="A11" t="str">
            <v>Bull only driver two</v>
          </cell>
          <cell r="C11">
            <v>0</v>
          </cell>
          <cell r="S11">
            <v>-12</v>
          </cell>
          <cell r="U11">
            <v>-18</v>
          </cell>
          <cell r="V11">
            <v>12</v>
          </cell>
          <cell r="W11">
            <v>5</v>
          </cell>
          <cell r="X11">
            <v>0</v>
          </cell>
          <cell r="Y11">
            <v>17</v>
          </cell>
        </row>
        <row r="12">
          <cell r="A12" t="str">
            <v>Bear only driver one</v>
          </cell>
          <cell r="C12">
            <v>-4</v>
          </cell>
          <cell r="S12">
            <v>-8</v>
          </cell>
          <cell r="T12">
            <v>-4</v>
          </cell>
          <cell r="U12">
            <v>-18</v>
          </cell>
          <cell r="V12">
            <v>17</v>
          </cell>
          <cell r="X12">
            <v>0</v>
          </cell>
          <cell r="Y12">
            <v>17</v>
          </cell>
        </row>
        <row r="13">
          <cell r="A13" t="str">
            <v>Bear only driver two</v>
          </cell>
          <cell r="C13">
            <v>-3</v>
          </cell>
          <cell r="S13">
            <v>-5</v>
          </cell>
          <cell r="T13">
            <v>-3</v>
          </cell>
          <cell r="U13">
            <v>-22</v>
          </cell>
          <cell r="V13">
            <v>17</v>
          </cell>
          <cell r="X13">
            <v>0</v>
          </cell>
          <cell r="Y13">
            <v>17</v>
          </cell>
        </row>
        <row r="14">
          <cell r="A14" t="str">
            <v>Bear only driver three</v>
          </cell>
          <cell r="C14">
            <v>-5</v>
          </cell>
          <cell r="S14">
            <v>0</v>
          </cell>
          <cell r="T14">
            <v>-5</v>
          </cell>
          <cell r="U14">
            <v>-25</v>
          </cell>
          <cell r="V14">
            <v>17</v>
          </cell>
          <cell r="X14">
            <v>0</v>
          </cell>
          <cell r="Y14">
            <v>17</v>
          </cell>
        </row>
        <row r="15">
          <cell r="C15">
            <v>0</v>
          </cell>
        </row>
        <row r="16">
          <cell r="S16" t="str">
            <v>-space1</v>
          </cell>
          <cell r="T16" t="str">
            <v>-bear</v>
          </cell>
          <cell r="U16" t="str">
            <v>-space2</v>
          </cell>
          <cell r="V16" t="str">
            <v>+space1</v>
          </cell>
          <cell r="W16" t="str">
            <v>+bull</v>
          </cell>
          <cell r="X16" t="str">
            <v>+space2</v>
          </cell>
          <cell r="Y16" t="str">
            <v>Bear 
10.00</v>
          </cell>
          <cell r="Z16" t="str">
            <v>Base 
40.00</v>
          </cell>
          <cell r="AA16" t="str">
            <v>Bull
57.00</v>
          </cell>
          <cell r="AB16" t="str">
            <v/>
          </cell>
        </row>
        <row r="18">
          <cell r="R18" t="str">
            <v>Binary driver one</v>
          </cell>
          <cell r="S18">
            <v>0</v>
          </cell>
          <cell r="T18">
            <v>-5</v>
          </cell>
          <cell r="U18">
            <v>-23</v>
          </cell>
          <cell r="V18">
            <v>0</v>
          </cell>
          <cell r="W18">
            <v>3</v>
          </cell>
          <cell r="X18">
            <v>14</v>
          </cell>
          <cell r="Y18">
            <v>-30</v>
          </cell>
          <cell r="Z18">
            <v>0</v>
          </cell>
          <cell r="AA18">
            <v>17</v>
          </cell>
          <cell r="AB18" t="str">
            <v/>
          </cell>
        </row>
        <row r="19">
          <cell r="R19" t="str">
            <v>Binary driver two</v>
          </cell>
          <cell r="S19">
            <v>-7</v>
          </cell>
          <cell r="T19">
            <v>-5</v>
          </cell>
          <cell r="U19">
            <v>-18</v>
          </cell>
          <cell r="V19">
            <v>3</v>
          </cell>
          <cell r="W19">
            <v>2</v>
          </cell>
          <cell r="X19">
            <v>12</v>
          </cell>
          <cell r="Y19">
            <v>-30</v>
          </cell>
          <cell r="Z19">
            <v>0</v>
          </cell>
          <cell r="AA19">
            <v>17</v>
          </cell>
          <cell r="AB19" t="str">
            <v/>
          </cell>
        </row>
        <row r="20">
          <cell r="R20" t="str">
            <v>Binary driver three</v>
          </cell>
          <cell r="S20">
            <v>-12</v>
          </cell>
          <cell r="T20">
            <v>-6</v>
          </cell>
          <cell r="U20">
            <v>-12</v>
          </cell>
          <cell r="V20">
            <v>5</v>
          </cell>
          <cell r="W20">
            <v>3</v>
          </cell>
          <cell r="X20">
            <v>9</v>
          </cell>
          <cell r="Y20">
            <v>-30</v>
          </cell>
          <cell r="Z20">
            <v>0</v>
          </cell>
          <cell r="AA20">
            <v>17</v>
          </cell>
          <cell r="AB20" t="str">
            <v/>
          </cell>
        </row>
        <row r="21">
          <cell r="R21" t="str">
            <v>Bull only driver one</v>
          </cell>
          <cell r="S21">
            <v>-18</v>
          </cell>
          <cell r="T21">
            <v>0</v>
          </cell>
          <cell r="U21">
            <v>-12</v>
          </cell>
          <cell r="V21">
            <v>8</v>
          </cell>
          <cell r="W21">
            <v>4</v>
          </cell>
          <cell r="X21">
            <v>5</v>
          </cell>
          <cell r="Y21">
            <v>-30</v>
          </cell>
          <cell r="Z21">
            <v>0</v>
          </cell>
          <cell r="AA21">
            <v>17</v>
          </cell>
          <cell r="AB21" t="str">
            <v/>
          </cell>
        </row>
        <row r="22">
          <cell r="R22" t="str">
            <v>Bull only driver two</v>
          </cell>
          <cell r="S22">
            <v>-18</v>
          </cell>
          <cell r="T22">
            <v>0</v>
          </cell>
          <cell r="U22">
            <v>-12</v>
          </cell>
          <cell r="V22">
            <v>12</v>
          </cell>
          <cell r="W22">
            <v>5</v>
          </cell>
          <cell r="X22">
            <v>0</v>
          </cell>
          <cell r="Y22">
            <v>-30</v>
          </cell>
          <cell r="Z22">
            <v>0</v>
          </cell>
          <cell r="AA22">
            <v>17</v>
          </cell>
          <cell r="AB22" t="str">
            <v/>
          </cell>
        </row>
        <row r="23">
          <cell r="R23" t="str">
            <v>Bear only driver one</v>
          </cell>
          <cell r="S23">
            <v>-18</v>
          </cell>
          <cell r="T23">
            <v>-4</v>
          </cell>
          <cell r="U23">
            <v>-8</v>
          </cell>
          <cell r="V23">
            <v>17</v>
          </cell>
          <cell r="W23">
            <v>0</v>
          </cell>
          <cell r="X23">
            <v>0</v>
          </cell>
          <cell r="Y23">
            <v>-30</v>
          </cell>
          <cell r="Z23">
            <v>0</v>
          </cell>
          <cell r="AA23">
            <v>17</v>
          </cell>
          <cell r="AB23" t="str">
            <v/>
          </cell>
        </row>
        <row r="24">
          <cell r="R24" t="str">
            <v>Bear only driver two</v>
          </cell>
          <cell r="S24">
            <v>-22</v>
          </cell>
          <cell r="T24">
            <v>-3</v>
          </cell>
          <cell r="U24">
            <v>-5</v>
          </cell>
          <cell r="V24">
            <v>17</v>
          </cell>
          <cell r="W24">
            <v>0</v>
          </cell>
          <cell r="X24">
            <v>0</v>
          </cell>
          <cell r="Y24">
            <v>-30</v>
          </cell>
          <cell r="Z24">
            <v>0</v>
          </cell>
          <cell r="AA24">
            <v>17</v>
          </cell>
          <cell r="AB24" t="str">
            <v/>
          </cell>
        </row>
        <row r="25">
          <cell r="R25" t="str">
            <v>Bear only driver three</v>
          </cell>
          <cell r="S25">
            <v>-25</v>
          </cell>
          <cell r="T25">
            <v>-5</v>
          </cell>
          <cell r="U25">
            <v>0</v>
          </cell>
          <cell r="V25">
            <v>17</v>
          </cell>
          <cell r="W25">
            <v>0</v>
          </cell>
          <cell r="X25">
            <v>0</v>
          </cell>
          <cell r="Y25">
            <v>-30</v>
          </cell>
          <cell r="Z25">
            <v>0</v>
          </cell>
          <cell r="AA25">
            <v>17</v>
          </cell>
          <cell r="AB25" t="str">
            <v/>
          </cell>
        </row>
        <row r="26">
          <cell r="Y26">
            <v>-30</v>
          </cell>
          <cell r="Z26">
            <v>0</v>
          </cell>
          <cell r="AA26">
            <v>17</v>
          </cell>
          <cell r="AB26" t="str">
            <v/>
          </cell>
        </row>
        <row r="27">
          <cell r="Y27">
            <v>-30</v>
          </cell>
          <cell r="Z27">
            <v>0</v>
          </cell>
          <cell r="AA27">
            <v>17</v>
          </cell>
          <cell r="AB27" t="str">
            <v/>
          </cell>
        </row>
        <row r="29">
          <cell r="AA29" t="str">
            <v>Note: Price Target = Base Case unless otherwise indicated.</v>
          </cell>
        </row>
        <row r="31">
          <cell r="R31" t="str">
            <v>Bear</v>
          </cell>
          <cell r="S31">
            <v>10</v>
          </cell>
        </row>
        <row r="32">
          <cell r="S32">
            <v>20</v>
          </cell>
        </row>
        <row r="33">
          <cell r="R33" t="str">
            <v>Bull</v>
          </cell>
          <cell r="S33">
            <v>57</v>
          </cell>
        </row>
      </sheetData>
      <sheetData sheetId="5" refreshError="1"/>
      <sheetData sheetId="6"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Binary driver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Binary driver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7" refreshError="1"/>
      <sheetData sheetId="8" refreshError="1">
        <row r="4">
          <cell r="C4" t="str">
            <v>Bear</v>
          </cell>
          <cell r="E4" t="str">
            <v>Base</v>
          </cell>
          <cell r="H4" t="str">
            <v>Bull</v>
          </cell>
        </row>
        <row r="5">
          <cell r="B5">
            <v>-30</v>
          </cell>
          <cell r="C5">
            <v>-30</v>
          </cell>
          <cell r="E5">
            <v>40</v>
          </cell>
          <cell r="H5">
            <v>17</v>
          </cell>
          <cell r="J5">
            <v>17</v>
          </cell>
        </row>
        <row r="6">
          <cell r="C6" t="str">
            <v>-space2</v>
          </cell>
          <cell r="D6" t="str">
            <v>-bear</v>
          </cell>
          <cell r="E6" t="str">
            <v>-space1</v>
          </cell>
          <cell r="F6" t="str">
            <v>+space1</v>
          </cell>
          <cell r="G6" t="str">
            <v>+bull</v>
          </cell>
          <cell r="H6" t="str">
            <v>+space2</v>
          </cell>
        </row>
        <row r="7">
          <cell r="B7" t="str">
            <v>Binary driver one</v>
          </cell>
          <cell r="C7">
            <v>-23</v>
          </cell>
          <cell r="D7">
            <v>-7</v>
          </cell>
          <cell r="E7">
            <v>0</v>
          </cell>
          <cell r="F7">
            <v>0</v>
          </cell>
          <cell r="G7">
            <v>3</v>
          </cell>
          <cell r="H7">
            <v>14</v>
          </cell>
          <cell r="I7">
            <v>17</v>
          </cell>
        </row>
        <row r="8">
          <cell r="B8" t="str">
            <v>Binary driver two</v>
          </cell>
          <cell r="C8">
            <v>-18</v>
          </cell>
          <cell r="D8">
            <v>-5</v>
          </cell>
          <cell r="E8">
            <v>-7</v>
          </cell>
          <cell r="F8">
            <v>3</v>
          </cell>
          <cell r="G8">
            <v>2</v>
          </cell>
          <cell r="H8">
            <v>12</v>
          </cell>
          <cell r="I8">
            <v>17</v>
          </cell>
        </row>
        <row r="9">
          <cell r="B9" t="str">
            <v>Driver number three</v>
          </cell>
          <cell r="C9">
            <v>-12</v>
          </cell>
          <cell r="D9">
            <v>-6</v>
          </cell>
          <cell r="E9">
            <v>-12</v>
          </cell>
          <cell r="F9">
            <v>5</v>
          </cell>
          <cell r="G9">
            <v>3</v>
          </cell>
          <cell r="H9">
            <v>9</v>
          </cell>
          <cell r="I9">
            <v>17</v>
          </cell>
        </row>
        <row r="10">
          <cell r="B10" t="str">
            <v>Bull only driver one</v>
          </cell>
          <cell r="C10">
            <v>-12</v>
          </cell>
          <cell r="E10">
            <v>-18</v>
          </cell>
          <cell r="F10">
            <v>8</v>
          </cell>
          <cell r="G10">
            <v>4</v>
          </cell>
          <cell r="H10">
            <v>5</v>
          </cell>
          <cell r="I10">
            <v>17</v>
          </cell>
        </row>
        <row r="11">
          <cell r="B11" t="str">
            <v>Bull only driver two</v>
          </cell>
          <cell r="C11">
            <v>-12</v>
          </cell>
          <cell r="E11">
            <v>-18</v>
          </cell>
          <cell r="F11">
            <v>12</v>
          </cell>
          <cell r="G11">
            <v>5</v>
          </cell>
          <cell r="H11">
            <v>0</v>
          </cell>
          <cell r="I11">
            <v>17</v>
          </cell>
        </row>
        <row r="12">
          <cell r="B12" t="str">
            <v>Bear only driver one</v>
          </cell>
          <cell r="C12">
            <v>-8</v>
          </cell>
          <cell r="D12">
            <v>-4</v>
          </cell>
          <cell r="E12">
            <v>-18</v>
          </cell>
          <cell r="F12">
            <v>17</v>
          </cell>
          <cell r="H12">
            <v>0</v>
          </cell>
          <cell r="I12">
            <v>17</v>
          </cell>
        </row>
        <row r="13">
          <cell r="B13" t="str">
            <v>Bear only driver two</v>
          </cell>
          <cell r="C13">
            <v>-5</v>
          </cell>
          <cell r="D13">
            <v>-3</v>
          </cell>
          <cell r="E13">
            <v>-22</v>
          </cell>
          <cell r="F13">
            <v>17</v>
          </cell>
          <cell r="H13">
            <v>0</v>
          </cell>
          <cell r="I13">
            <v>17</v>
          </cell>
        </row>
        <row r="14">
          <cell r="B14" t="str">
            <v>Bear only driver three</v>
          </cell>
          <cell r="C14">
            <v>0</v>
          </cell>
          <cell r="D14">
            <v>-5</v>
          </cell>
          <cell r="E14">
            <v>-25</v>
          </cell>
          <cell r="F14">
            <v>17</v>
          </cell>
          <cell r="H14">
            <v>0</v>
          </cell>
          <cell r="I14">
            <v>17</v>
          </cell>
        </row>
        <row r="16">
          <cell r="C16" t="str">
            <v>-space1</v>
          </cell>
          <cell r="D16" t="str">
            <v>-bear</v>
          </cell>
          <cell r="E16" t="str">
            <v>-space2</v>
          </cell>
          <cell r="F16" t="str">
            <v>+space1</v>
          </cell>
          <cell r="G16" t="str">
            <v>+bull</v>
          </cell>
          <cell r="H16" t="str">
            <v>+space2</v>
          </cell>
          <cell r="I16" t="str">
            <v>Bear  10.00</v>
          </cell>
          <cell r="J16" t="str">
            <v>Base  40.00</v>
          </cell>
          <cell r="K16" t="str">
            <v>Bull: 57.00</v>
          </cell>
          <cell r="L16" t="str">
            <v/>
          </cell>
        </row>
        <row r="18">
          <cell r="B18" t="str">
            <v>Binary driver one</v>
          </cell>
          <cell r="C18">
            <v>0</v>
          </cell>
          <cell r="D18">
            <v>-7</v>
          </cell>
          <cell r="E18">
            <v>-23</v>
          </cell>
          <cell r="F18">
            <v>0</v>
          </cell>
          <cell r="G18">
            <v>3</v>
          </cell>
          <cell r="H18">
            <v>14</v>
          </cell>
          <cell r="I18">
            <v>-30</v>
          </cell>
          <cell r="J18">
            <v>0</v>
          </cell>
          <cell r="K18">
            <v>17</v>
          </cell>
          <cell r="L18" t="str">
            <v/>
          </cell>
        </row>
        <row r="19">
          <cell r="B19" t="str">
            <v>Binary driver two</v>
          </cell>
          <cell r="C19">
            <v>-7</v>
          </cell>
          <cell r="D19">
            <v>-5</v>
          </cell>
          <cell r="E19">
            <v>-18</v>
          </cell>
          <cell r="F19">
            <v>3</v>
          </cell>
          <cell r="G19">
            <v>2</v>
          </cell>
          <cell r="H19">
            <v>12</v>
          </cell>
          <cell r="I19">
            <v>-30</v>
          </cell>
          <cell r="J19">
            <v>0</v>
          </cell>
          <cell r="K19">
            <v>17</v>
          </cell>
          <cell r="L19" t="str">
            <v/>
          </cell>
        </row>
        <row r="20">
          <cell r="B20" t="str">
            <v>Driver number three</v>
          </cell>
          <cell r="C20">
            <v>-12</v>
          </cell>
          <cell r="D20">
            <v>-6</v>
          </cell>
          <cell r="E20">
            <v>-12</v>
          </cell>
          <cell r="F20">
            <v>5</v>
          </cell>
          <cell r="G20">
            <v>3</v>
          </cell>
          <cell r="H20">
            <v>9</v>
          </cell>
          <cell r="I20">
            <v>-30</v>
          </cell>
          <cell r="J20">
            <v>0</v>
          </cell>
          <cell r="K20">
            <v>17</v>
          </cell>
          <cell r="L20" t="str">
            <v/>
          </cell>
        </row>
        <row r="21">
          <cell r="B21" t="str">
            <v>Bull only driver one</v>
          </cell>
          <cell r="C21">
            <v>-18</v>
          </cell>
          <cell r="D21">
            <v>0</v>
          </cell>
          <cell r="E21">
            <v>-12</v>
          </cell>
          <cell r="F21">
            <v>8</v>
          </cell>
          <cell r="G21">
            <v>4</v>
          </cell>
          <cell r="H21">
            <v>5</v>
          </cell>
          <cell r="I21">
            <v>-30</v>
          </cell>
          <cell r="J21">
            <v>0</v>
          </cell>
          <cell r="K21">
            <v>17</v>
          </cell>
          <cell r="L21" t="str">
            <v/>
          </cell>
        </row>
        <row r="22">
          <cell r="B22" t="str">
            <v>Bull only driver two</v>
          </cell>
          <cell r="C22">
            <v>-18</v>
          </cell>
          <cell r="D22">
            <v>0</v>
          </cell>
          <cell r="E22">
            <v>-12</v>
          </cell>
          <cell r="F22">
            <v>12</v>
          </cell>
          <cell r="G22">
            <v>5</v>
          </cell>
          <cell r="H22">
            <v>0</v>
          </cell>
          <cell r="I22">
            <v>-30</v>
          </cell>
          <cell r="J22">
            <v>0</v>
          </cell>
          <cell r="K22">
            <v>17</v>
          </cell>
          <cell r="L22" t="str">
            <v/>
          </cell>
        </row>
        <row r="23">
          <cell r="B23" t="str">
            <v>Bear only driver one</v>
          </cell>
          <cell r="C23">
            <v>-18</v>
          </cell>
          <cell r="D23">
            <v>-4</v>
          </cell>
          <cell r="E23">
            <v>-8</v>
          </cell>
          <cell r="F23">
            <v>17</v>
          </cell>
          <cell r="G23">
            <v>0</v>
          </cell>
          <cell r="H23">
            <v>0</v>
          </cell>
          <cell r="I23">
            <v>-30</v>
          </cell>
          <cell r="J23">
            <v>0</v>
          </cell>
          <cell r="K23">
            <v>17</v>
          </cell>
          <cell r="L23" t="str">
            <v/>
          </cell>
        </row>
        <row r="24">
          <cell r="B24" t="str">
            <v>Bear only driver two</v>
          </cell>
          <cell r="C24">
            <v>-22</v>
          </cell>
          <cell r="D24">
            <v>-3</v>
          </cell>
          <cell r="E24">
            <v>-5</v>
          </cell>
          <cell r="F24">
            <v>17</v>
          </cell>
          <cell r="G24">
            <v>0</v>
          </cell>
          <cell r="H24">
            <v>0</v>
          </cell>
          <cell r="I24">
            <v>-30</v>
          </cell>
          <cell r="J24">
            <v>0</v>
          </cell>
          <cell r="K24">
            <v>17</v>
          </cell>
          <cell r="L24" t="str">
            <v/>
          </cell>
        </row>
        <row r="25">
          <cell r="B25" t="str">
            <v>Bear only driver three</v>
          </cell>
          <cell r="C25">
            <v>-25</v>
          </cell>
          <cell r="D25">
            <v>-5</v>
          </cell>
          <cell r="E25">
            <v>0</v>
          </cell>
          <cell r="F25">
            <v>17</v>
          </cell>
          <cell r="G25">
            <v>0</v>
          </cell>
          <cell r="H25">
            <v>0</v>
          </cell>
          <cell r="I25">
            <v>-30</v>
          </cell>
          <cell r="J25">
            <v>0</v>
          </cell>
          <cell r="K25">
            <v>17</v>
          </cell>
          <cell r="L25" t="str">
            <v/>
          </cell>
        </row>
        <row r="26">
          <cell r="I26">
            <v>-30</v>
          </cell>
          <cell r="J26">
            <v>0</v>
          </cell>
          <cell r="K26">
            <v>17</v>
          </cell>
          <cell r="L26" t="str">
            <v/>
          </cell>
        </row>
        <row r="27">
          <cell r="I27">
            <v>-30</v>
          </cell>
          <cell r="J27">
            <v>0</v>
          </cell>
          <cell r="K27">
            <v>17</v>
          </cell>
          <cell r="L27" t="str">
            <v/>
          </cell>
        </row>
        <row r="28">
          <cell r="B28" t="str">
            <v>Bear</v>
          </cell>
          <cell r="C28">
            <v>10</v>
          </cell>
        </row>
        <row r="29">
          <cell r="B29" t="str">
            <v>Base</v>
          </cell>
          <cell r="C29">
            <v>40</v>
          </cell>
          <cell r="K29" t="str">
            <v>Note: Price Target = Base Case unless otherwise indicated.</v>
          </cell>
        </row>
        <row r="30">
          <cell r="B30" t="str">
            <v>Bull</v>
          </cell>
          <cell r="C30">
            <v>57</v>
          </cell>
        </row>
        <row r="31">
          <cell r="B31" t="str">
            <v>Price Target</v>
          </cell>
          <cell r="C31">
            <v>40</v>
          </cell>
        </row>
        <row r="35">
          <cell r="I35" t="str">
            <v>s</v>
          </cell>
        </row>
      </sheetData>
      <sheetData sheetId="9" refreshError="1"/>
      <sheetData sheetId="10" refreshError="1"/>
      <sheetData sheetId="11" refreshError="1"/>
      <sheetData sheetId="12" refreshError="1"/>
      <sheetData sheetId="13" refreshError="1"/>
      <sheetData sheetId="14" refreshError="1"/>
      <sheetData sheetId="15" refreshError="1">
        <row r="4">
          <cell r="C4" t="str">
            <v>Bear</v>
          </cell>
          <cell r="E4" t="str">
            <v>Base</v>
          </cell>
          <cell r="H4" t="str">
            <v>Bull</v>
          </cell>
        </row>
        <row r="5">
          <cell r="B5">
            <v>-36</v>
          </cell>
          <cell r="C5">
            <v>-36</v>
          </cell>
          <cell r="E5">
            <v>40</v>
          </cell>
          <cell r="H5">
            <v>18</v>
          </cell>
          <cell r="J5">
            <v>18</v>
          </cell>
        </row>
        <row r="6">
          <cell r="A6" t="str">
            <v>check</v>
          </cell>
          <cell r="C6" t="str">
            <v>-space2</v>
          </cell>
          <cell r="D6" t="str">
            <v>-bear</v>
          </cell>
          <cell r="E6" t="str">
            <v>-space1</v>
          </cell>
          <cell r="F6" t="str">
            <v>+space1</v>
          </cell>
          <cell r="G6" t="str">
            <v>+bull</v>
          </cell>
          <cell r="H6" t="str">
            <v>+space2</v>
          </cell>
        </row>
        <row r="7">
          <cell r="A7">
            <v>-36</v>
          </cell>
          <cell r="B7" t="str">
            <v>This is long label number one</v>
          </cell>
          <cell r="C7">
            <v>-32</v>
          </cell>
          <cell r="D7">
            <v>-4</v>
          </cell>
          <cell r="E7">
            <v>0</v>
          </cell>
          <cell r="F7">
            <v>0</v>
          </cell>
          <cell r="G7">
            <v>4</v>
          </cell>
          <cell r="H7">
            <v>14</v>
          </cell>
          <cell r="I7">
            <v>18</v>
          </cell>
        </row>
        <row r="8">
          <cell r="A8">
            <v>-36</v>
          </cell>
          <cell r="B8" t="str">
            <v>This is long label number two</v>
          </cell>
          <cell r="C8">
            <v>-27</v>
          </cell>
          <cell r="D8">
            <v>-5</v>
          </cell>
          <cell r="E8">
            <v>-4</v>
          </cell>
          <cell r="F8">
            <v>4</v>
          </cell>
          <cell r="G8">
            <v>2</v>
          </cell>
          <cell r="H8">
            <v>12</v>
          </cell>
          <cell r="I8">
            <v>18</v>
          </cell>
        </row>
        <row r="9">
          <cell r="A9">
            <v>-36</v>
          </cell>
          <cell r="B9" t="str">
            <v>This is long label number three</v>
          </cell>
          <cell r="C9">
            <v>-21</v>
          </cell>
          <cell r="D9">
            <v>-6</v>
          </cell>
          <cell r="E9">
            <v>-9</v>
          </cell>
          <cell r="F9">
            <v>6</v>
          </cell>
          <cell r="G9">
            <v>3</v>
          </cell>
          <cell r="H9">
            <v>9</v>
          </cell>
          <cell r="I9">
            <v>18</v>
          </cell>
        </row>
        <row r="10">
          <cell r="A10">
            <v>-36</v>
          </cell>
          <cell r="B10" t="str">
            <v>This is long label number four</v>
          </cell>
          <cell r="C10">
            <v>-17</v>
          </cell>
          <cell r="D10">
            <v>-4</v>
          </cell>
          <cell r="E10">
            <v>-15</v>
          </cell>
          <cell r="F10">
            <v>9</v>
          </cell>
          <cell r="G10">
            <v>4</v>
          </cell>
          <cell r="H10">
            <v>5</v>
          </cell>
          <cell r="I10">
            <v>18</v>
          </cell>
        </row>
        <row r="11">
          <cell r="A11">
            <v>-36</v>
          </cell>
          <cell r="B11" t="str">
            <v>This is long label number five</v>
          </cell>
          <cell r="C11">
            <v>-12</v>
          </cell>
          <cell r="D11">
            <v>-5</v>
          </cell>
          <cell r="E11">
            <v>-19</v>
          </cell>
          <cell r="F11">
            <v>13</v>
          </cell>
          <cell r="G11">
            <v>5</v>
          </cell>
          <cell r="H11">
            <v>0</v>
          </cell>
          <cell r="I11">
            <v>18</v>
          </cell>
        </row>
        <row r="12">
          <cell r="A12">
            <v>-36</v>
          </cell>
          <cell r="B12" t="str">
            <v>This is long label number six</v>
          </cell>
          <cell r="C12">
            <v>-8</v>
          </cell>
          <cell r="D12">
            <v>-4</v>
          </cell>
          <cell r="E12">
            <v>-24</v>
          </cell>
          <cell r="F12">
            <v>18</v>
          </cell>
          <cell r="H12">
            <v>0</v>
          </cell>
          <cell r="I12">
            <v>18</v>
          </cell>
        </row>
        <row r="13">
          <cell r="A13">
            <v>-36</v>
          </cell>
          <cell r="B13" t="str">
            <v>This is long label number seven</v>
          </cell>
          <cell r="C13">
            <v>-5</v>
          </cell>
          <cell r="D13">
            <v>-3</v>
          </cell>
          <cell r="E13">
            <v>-28</v>
          </cell>
          <cell r="F13">
            <v>18</v>
          </cell>
          <cell r="H13">
            <v>0</v>
          </cell>
          <cell r="I13">
            <v>18</v>
          </cell>
        </row>
        <row r="14">
          <cell r="A14">
            <v>-36</v>
          </cell>
          <cell r="B14" t="str">
            <v>This is long label number eight</v>
          </cell>
          <cell r="C14">
            <v>0</v>
          </cell>
          <cell r="D14">
            <v>-5</v>
          </cell>
          <cell r="E14">
            <v>-31</v>
          </cell>
          <cell r="F14">
            <v>18</v>
          </cell>
          <cell r="H14">
            <v>0</v>
          </cell>
          <cell r="I14">
            <v>18</v>
          </cell>
        </row>
        <row r="16">
          <cell r="C16" t="str">
            <v>-space1</v>
          </cell>
          <cell r="D16" t="str">
            <v>-bear</v>
          </cell>
          <cell r="E16" t="str">
            <v>-space2</v>
          </cell>
          <cell r="F16" t="str">
            <v>+space1</v>
          </cell>
          <cell r="G16" t="str">
            <v>+bull</v>
          </cell>
          <cell r="H16" t="str">
            <v>+space2</v>
          </cell>
          <cell r="I16" t="str">
            <v>Bear  4.00</v>
          </cell>
          <cell r="J16" t="str">
            <v>Base  40.00</v>
          </cell>
          <cell r="K16" t="str">
            <v>Bull: 58.00</v>
          </cell>
          <cell r="L16" t="str">
            <v>PT:
42.00</v>
          </cell>
        </row>
        <row r="18">
          <cell r="B18" t="str">
            <v>Driver number one</v>
          </cell>
          <cell r="C18">
            <v>0</v>
          </cell>
          <cell r="D18">
            <v>-4</v>
          </cell>
          <cell r="E18">
            <v>-32</v>
          </cell>
          <cell r="F18">
            <v>0</v>
          </cell>
          <cell r="G18">
            <v>4</v>
          </cell>
          <cell r="H18">
            <v>14</v>
          </cell>
          <cell r="I18">
            <v>-36</v>
          </cell>
          <cell r="J18">
            <v>0</v>
          </cell>
          <cell r="K18">
            <v>18</v>
          </cell>
          <cell r="L18">
            <v>2</v>
          </cell>
        </row>
        <row r="19">
          <cell r="B19" t="str">
            <v>Driver number two</v>
          </cell>
          <cell r="C19">
            <v>-4</v>
          </cell>
          <cell r="D19">
            <v>-5</v>
          </cell>
          <cell r="E19">
            <v>-27</v>
          </cell>
          <cell r="F19">
            <v>4</v>
          </cell>
          <cell r="G19">
            <v>2</v>
          </cell>
          <cell r="H19">
            <v>12</v>
          </cell>
          <cell r="I19">
            <v>-36</v>
          </cell>
          <cell r="J19">
            <v>0</v>
          </cell>
          <cell r="K19">
            <v>18</v>
          </cell>
          <cell r="L19">
            <v>2</v>
          </cell>
        </row>
        <row r="20">
          <cell r="B20" t="str">
            <v>Driver number three</v>
          </cell>
          <cell r="C20">
            <v>-9</v>
          </cell>
          <cell r="D20">
            <v>-6</v>
          </cell>
          <cell r="E20">
            <v>-21</v>
          </cell>
          <cell r="F20">
            <v>6</v>
          </cell>
          <cell r="G20">
            <v>3</v>
          </cell>
          <cell r="H20">
            <v>9</v>
          </cell>
          <cell r="I20">
            <v>-36</v>
          </cell>
          <cell r="J20">
            <v>0</v>
          </cell>
          <cell r="K20">
            <v>18</v>
          </cell>
          <cell r="L20">
            <v>2</v>
          </cell>
        </row>
        <row r="21">
          <cell r="B21" t="str">
            <v>Driver number four</v>
          </cell>
          <cell r="C21">
            <v>-15</v>
          </cell>
          <cell r="D21">
            <v>-4</v>
          </cell>
          <cell r="E21">
            <v>-17</v>
          </cell>
          <cell r="F21">
            <v>9</v>
          </cell>
          <cell r="G21">
            <v>4</v>
          </cell>
          <cell r="H21">
            <v>5</v>
          </cell>
          <cell r="I21">
            <v>-36</v>
          </cell>
          <cell r="J21">
            <v>0</v>
          </cell>
          <cell r="K21">
            <v>18</v>
          </cell>
          <cell r="L21">
            <v>2</v>
          </cell>
        </row>
        <row r="22">
          <cell r="B22" t="str">
            <v>Driver number five</v>
          </cell>
          <cell r="C22">
            <v>-19</v>
          </cell>
          <cell r="D22">
            <v>-5</v>
          </cell>
          <cell r="E22">
            <v>-12</v>
          </cell>
          <cell r="F22">
            <v>13</v>
          </cell>
          <cell r="G22">
            <v>5</v>
          </cell>
          <cell r="H22">
            <v>0</v>
          </cell>
          <cell r="I22">
            <v>-36</v>
          </cell>
          <cell r="J22">
            <v>0</v>
          </cell>
          <cell r="K22">
            <v>18</v>
          </cell>
          <cell r="L22">
            <v>2</v>
          </cell>
        </row>
        <row r="23">
          <cell r="B23" t="str">
            <v>Driver number six</v>
          </cell>
          <cell r="C23">
            <v>-24</v>
          </cell>
          <cell r="D23">
            <v>-4</v>
          </cell>
          <cell r="E23">
            <v>-8</v>
          </cell>
          <cell r="F23">
            <v>18</v>
          </cell>
          <cell r="G23">
            <v>0</v>
          </cell>
          <cell r="H23">
            <v>0</v>
          </cell>
          <cell r="I23">
            <v>-36</v>
          </cell>
          <cell r="J23">
            <v>0</v>
          </cell>
          <cell r="K23">
            <v>18</v>
          </cell>
          <cell r="L23">
            <v>2</v>
          </cell>
        </row>
        <row r="24">
          <cell r="B24" t="str">
            <v>Driver number seven</v>
          </cell>
          <cell r="C24">
            <v>-28</v>
          </cell>
          <cell r="D24">
            <v>-3</v>
          </cell>
          <cell r="E24">
            <v>-5</v>
          </cell>
          <cell r="F24">
            <v>18</v>
          </cell>
          <cell r="G24">
            <v>0</v>
          </cell>
          <cell r="H24">
            <v>0</v>
          </cell>
          <cell r="I24">
            <v>-36</v>
          </cell>
          <cell r="J24">
            <v>0</v>
          </cell>
          <cell r="K24">
            <v>18</v>
          </cell>
          <cell r="L24">
            <v>2</v>
          </cell>
        </row>
        <row r="25">
          <cell r="B25" t="str">
            <v>Driver number eight</v>
          </cell>
          <cell r="C25">
            <v>-31</v>
          </cell>
          <cell r="D25">
            <v>-5</v>
          </cell>
          <cell r="E25">
            <v>0</v>
          </cell>
          <cell r="F25">
            <v>18</v>
          </cell>
          <cell r="G25">
            <v>0</v>
          </cell>
          <cell r="H25">
            <v>0</v>
          </cell>
          <cell r="I25">
            <v>-36</v>
          </cell>
          <cell r="J25">
            <v>0</v>
          </cell>
          <cell r="K25">
            <v>18</v>
          </cell>
          <cell r="L25">
            <v>2</v>
          </cell>
        </row>
        <row r="26">
          <cell r="I26">
            <v>-36</v>
          </cell>
          <cell r="J26">
            <v>0</v>
          </cell>
          <cell r="K26">
            <v>18</v>
          </cell>
          <cell r="L26">
            <v>2</v>
          </cell>
        </row>
        <row r="27">
          <cell r="I27">
            <v>-36</v>
          </cell>
          <cell r="J27">
            <v>0</v>
          </cell>
          <cell r="K27">
            <v>18</v>
          </cell>
          <cell r="L27">
            <v>2</v>
          </cell>
        </row>
        <row r="28">
          <cell r="B28" t="str">
            <v>Bear</v>
          </cell>
          <cell r="C28">
            <v>4</v>
          </cell>
        </row>
        <row r="29">
          <cell r="B29" t="str">
            <v>Base</v>
          </cell>
          <cell r="C29">
            <v>40</v>
          </cell>
        </row>
        <row r="30">
          <cell r="B30" t="str">
            <v>Bull</v>
          </cell>
          <cell r="C30">
            <v>58</v>
          </cell>
        </row>
        <row r="31">
          <cell r="B31" t="str">
            <v>Price Target</v>
          </cell>
          <cell r="C31">
            <v>42</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ina"/>
      <sheetName val="HK"/>
      <sheetName val="Korea"/>
      <sheetName val="Korea-extra"/>
      <sheetName val="TW"/>
      <sheetName val="Japan"/>
      <sheetName val="Malaysia"/>
      <sheetName val="Indonesia"/>
      <sheetName val="India"/>
      <sheetName val="Thailand"/>
      <sheetName val="Russia"/>
      <sheetName val="Brazil"/>
      <sheetName val="Mexico"/>
      <sheetName val="Columbia"/>
      <sheetName val="Argentina"/>
      <sheetName val="Philippines"/>
      <sheetName val="Australia"/>
      <sheetName val="Fr"/>
      <sheetName val="UK"/>
      <sheetName val="US"/>
    </sheetNames>
    <sheetDataSet>
      <sheetData sheetId="0">
        <row r="1">
          <cell r="A1" t="str">
            <v>data retrieved 2011/7/19</v>
          </cell>
        </row>
        <row r="2">
          <cell r="A2" t="str">
            <v>Market Sizes - Historic/ Forecast - Retail Value RSP excl Sales Tax - Value at Current Prices</v>
          </cell>
        </row>
        <row r="3">
          <cell r="A3" t="str">
            <v>Categories</v>
          </cell>
          <cell r="B3">
            <v>1999</v>
          </cell>
          <cell r="C3">
            <v>2000</v>
          </cell>
          <cell r="D3">
            <v>2001</v>
          </cell>
          <cell r="E3">
            <v>2002</v>
          </cell>
          <cell r="F3">
            <v>2003</v>
          </cell>
          <cell r="G3">
            <v>2004</v>
          </cell>
          <cell r="H3">
            <v>2005</v>
          </cell>
          <cell r="I3">
            <v>2006</v>
          </cell>
          <cell r="J3">
            <v>2007</v>
          </cell>
          <cell r="K3">
            <v>2008</v>
          </cell>
          <cell r="L3">
            <v>2009</v>
          </cell>
          <cell r="M3">
            <v>2010</v>
          </cell>
          <cell r="N3" t="str">
            <v>2011E</v>
          </cell>
          <cell r="O3" t="str">
            <v>2012E</v>
          </cell>
          <cell r="P3" t="str">
            <v>2013E</v>
          </cell>
          <cell r="Q3" t="str">
            <v>2014E</v>
          </cell>
          <cell r="R3" t="str">
            <v>2015E</v>
          </cell>
        </row>
        <row r="5">
          <cell r="A5" t="str">
            <v>MARKET SIZE IN VALUE (Rmb million; CURRENT PRICES)</v>
          </cell>
        </row>
        <row r="6">
          <cell r="A6" t="str">
            <v>Store-based Retailing</v>
          </cell>
          <cell r="B6">
            <v>2445297.4</v>
          </cell>
          <cell r="C6">
            <v>2598702.6</v>
          </cell>
          <cell r="D6">
            <v>2783317.3</v>
          </cell>
          <cell r="E6">
            <v>3076050.7</v>
          </cell>
          <cell r="F6">
            <v>3369535.1</v>
          </cell>
          <cell r="G6">
            <v>3812158.6</v>
          </cell>
          <cell r="H6">
            <v>4214527.4000000004</v>
          </cell>
          <cell r="I6">
            <v>4806084.9000000004</v>
          </cell>
          <cell r="J6">
            <v>5440771.5999999996</v>
          </cell>
          <cell r="K6">
            <v>6093278.9000000004</v>
          </cell>
          <cell r="L6">
            <v>6646772.2999999998</v>
          </cell>
          <cell r="M6">
            <v>7367124.5</v>
          </cell>
          <cell r="N6">
            <v>8262101.4000000004</v>
          </cell>
          <cell r="O6">
            <v>9166634.4000000004</v>
          </cell>
          <cell r="P6">
            <v>10108321.1</v>
          </cell>
          <cell r="Q6">
            <v>11091134.5</v>
          </cell>
          <cell r="R6">
            <v>12111877.5</v>
          </cell>
        </row>
        <row r="7">
          <cell r="A7" t="str">
            <v>Grocery Retailers</v>
          </cell>
          <cell r="B7">
            <v>1357191.4</v>
          </cell>
          <cell r="C7">
            <v>1402428.2</v>
          </cell>
          <cell r="D7">
            <v>1478483.9</v>
          </cell>
          <cell r="E7">
            <v>1602708.5</v>
          </cell>
          <cell r="F7">
            <v>1760827</v>
          </cell>
          <cell r="G7">
            <v>1915599</v>
          </cell>
          <cell r="H7">
            <v>2071376.7</v>
          </cell>
          <cell r="I7">
            <v>2238679.7000000002</v>
          </cell>
          <cell r="J7">
            <v>2466729.6</v>
          </cell>
          <cell r="K7">
            <v>2737774.2</v>
          </cell>
          <cell r="L7">
            <v>2920377.5</v>
          </cell>
          <cell r="M7">
            <v>3168026.2</v>
          </cell>
          <cell r="N7">
            <v>3492328.6</v>
          </cell>
          <cell r="O7">
            <v>3821357</v>
          </cell>
          <cell r="P7">
            <v>4161488.2</v>
          </cell>
          <cell r="Q7">
            <v>4518875.5</v>
          </cell>
          <cell r="R7">
            <v>4892704.0999999996</v>
          </cell>
        </row>
        <row r="8">
          <cell r="A8" t="str">
            <v>Hypermarkets</v>
          </cell>
          <cell r="E8">
            <v>60382</v>
          </cell>
          <cell r="F8">
            <v>102564</v>
          </cell>
          <cell r="G8">
            <v>144444</v>
          </cell>
          <cell r="H8">
            <v>190700</v>
          </cell>
          <cell r="I8">
            <v>238300</v>
          </cell>
          <cell r="J8">
            <v>277700</v>
          </cell>
          <cell r="K8">
            <v>336000</v>
          </cell>
          <cell r="L8">
            <v>381300</v>
          </cell>
          <cell r="M8">
            <v>444600</v>
          </cell>
          <cell r="N8">
            <v>513500</v>
          </cell>
          <cell r="O8">
            <v>585400</v>
          </cell>
          <cell r="P8">
            <v>661500</v>
          </cell>
          <cell r="Q8">
            <v>740900</v>
          </cell>
          <cell r="R8">
            <v>822400</v>
          </cell>
        </row>
        <row r="9">
          <cell r="A9" t="str">
            <v>Supermarkets</v>
          </cell>
          <cell r="E9">
            <v>391093</v>
          </cell>
          <cell r="F9">
            <v>524176</v>
          </cell>
          <cell r="G9">
            <v>627925</v>
          </cell>
          <cell r="H9">
            <v>750800</v>
          </cell>
          <cell r="I9">
            <v>885900</v>
          </cell>
          <cell r="J9">
            <v>1036500</v>
          </cell>
          <cell r="K9">
            <v>1183700</v>
          </cell>
          <cell r="L9">
            <v>1280800</v>
          </cell>
          <cell r="M9">
            <v>1406300</v>
          </cell>
          <cell r="N9">
            <v>1532900</v>
          </cell>
          <cell r="O9">
            <v>1663100</v>
          </cell>
          <cell r="P9">
            <v>1787900</v>
          </cell>
          <cell r="Q9">
            <v>1913000</v>
          </cell>
          <cell r="R9">
            <v>2037400</v>
          </cell>
        </row>
        <row r="10">
          <cell r="A10" t="str">
            <v>Discounters</v>
          </cell>
          <cell r="E10">
            <v>0</v>
          </cell>
          <cell r="F10">
            <v>0</v>
          </cell>
          <cell r="G10">
            <v>736</v>
          </cell>
          <cell r="H10">
            <v>1400</v>
          </cell>
          <cell r="I10">
            <v>1600</v>
          </cell>
          <cell r="J10">
            <v>2200</v>
          </cell>
          <cell r="K10">
            <v>3000</v>
          </cell>
          <cell r="L10">
            <v>3300</v>
          </cell>
          <cell r="M10">
            <v>3900</v>
          </cell>
          <cell r="N10">
            <v>4400</v>
          </cell>
          <cell r="O10">
            <v>5000</v>
          </cell>
          <cell r="P10">
            <v>5500</v>
          </cell>
          <cell r="Q10">
            <v>6100</v>
          </cell>
          <cell r="R10">
            <v>6600</v>
          </cell>
        </row>
        <row r="11">
          <cell r="A11" t="str">
            <v>Convenience Store</v>
          </cell>
          <cell r="G11">
            <v>19205</v>
          </cell>
          <cell r="H11">
            <v>21300</v>
          </cell>
          <cell r="I11">
            <v>24000</v>
          </cell>
          <cell r="J11">
            <v>27300</v>
          </cell>
          <cell r="K11">
            <v>30500</v>
          </cell>
          <cell r="L11">
            <v>32500</v>
          </cell>
          <cell r="M11">
            <v>36200</v>
          </cell>
          <cell r="N11">
            <v>40500</v>
          </cell>
          <cell r="O11">
            <v>44800</v>
          </cell>
          <cell r="P11">
            <v>49000</v>
          </cell>
          <cell r="Q11">
            <v>53200</v>
          </cell>
          <cell r="R11">
            <v>57400</v>
          </cell>
        </row>
        <row r="12">
          <cell r="A12" t="str">
            <v>Other Small Grocery Retailers</v>
          </cell>
          <cell r="E12">
            <v>131352.5</v>
          </cell>
          <cell r="F12">
            <v>128130.2</v>
          </cell>
          <cell r="G12">
            <v>110423.2</v>
          </cell>
          <cell r="H12">
            <v>114600</v>
          </cell>
          <cell r="I12">
            <v>113700</v>
          </cell>
          <cell r="J12">
            <v>116900</v>
          </cell>
          <cell r="K12">
            <v>122500</v>
          </cell>
          <cell r="L12">
            <v>126700</v>
          </cell>
          <cell r="M12">
            <v>131800</v>
          </cell>
          <cell r="N12">
            <v>135500</v>
          </cell>
          <cell r="O12">
            <v>138700</v>
          </cell>
          <cell r="P12">
            <v>141500</v>
          </cell>
          <cell r="Q12">
            <v>143700</v>
          </cell>
          <cell r="R12">
            <v>145500</v>
          </cell>
        </row>
        <row r="13">
          <cell r="A13" t="str">
            <v>Food/Drink/Tobacco Specialists</v>
          </cell>
          <cell r="E13">
            <v>24718.400000000001</v>
          </cell>
          <cell r="F13">
            <v>25113.200000000001</v>
          </cell>
          <cell r="G13">
            <v>29114.5</v>
          </cell>
          <cell r="H13">
            <v>97700</v>
          </cell>
          <cell r="I13">
            <v>106900</v>
          </cell>
          <cell r="J13">
            <v>118900</v>
          </cell>
          <cell r="K13">
            <v>135000</v>
          </cell>
          <cell r="L13">
            <v>148200</v>
          </cell>
          <cell r="M13">
            <v>164500</v>
          </cell>
          <cell r="N13">
            <v>184200</v>
          </cell>
          <cell r="O13">
            <v>207200</v>
          </cell>
          <cell r="P13">
            <v>234200</v>
          </cell>
          <cell r="Q13">
            <v>265800</v>
          </cell>
          <cell r="R13">
            <v>303000</v>
          </cell>
        </row>
        <row r="14">
          <cell r="A14" t="str">
            <v>Other Grocery Retailers</v>
          </cell>
          <cell r="E14">
            <v>995162.6</v>
          </cell>
          <cell r="F14">
            <v>980843.60000000009</v>
          </cell>
          <cell r="G14">
            <v>983751.3</v>
          </cell>
          <cell r="H14">
            <v>894876.7</v>
          </cell>
          <cell r="I14">
            <v>868279.70000000019</v>
          </cell>
          <cell r="J14">
            <v>887229.60000000009</v>
          </cell>
          <cell r="K14">
            <v>927074.20000000019</v>
          </cell>
          <cell r="L14">
            <v>947577.5</v>
          </cell>
          <cell r="M14">
            <v>980726.20000000019</v>
          </cell>
          <cell r="N14">
            <v>1081328.6000000001</v>
          </cell>
          <cell r="O14">
            <v>1177157</v>
          </cell>
          <cell r="P14">
            <v>1281888.2000000002</v>
          </cell>
          <cell r="Q14">
            <v>1396175.5</v>
          </cell>
          <cell r="R14">
            <v>1520404.0999999996</v>
          </cell>
        </row>
        <row r="15">
          <cell r="A15" t="str">
            <v>Non-Grocery Retailers</v>
          </cell>
          <cell r="B15">
            <v>1088106</v>
          </cell>
          <cell r="C15">
            <v>1196274.3999999999</v>
          </cell>
          <cell r="D15">
            <v>1304833.3999999999</v>
          </cell>
          <cell r="E15">
            <v>1473342.2</v>
          </cell>
          <cell r="F15">
            <v>1608708.2</v>
          </cell>
          <cell r="G15">
            <v>1896559.6</v>
          </cell>
          <cell r="H15">
            <v>2143150.7000000002</v>
          </cell>
          <cell r="I15">
            <v>2567405.2999999998</v>
          </cell>
          <cell r="J15">
            <v>2974042.1</v>
          </cell>
          <cell r="K15">
            <v>3355504.7</v>
          </cell>
          <cell r="L15">
            <v>3726394.9</v>
          </cell>
          <cell r="M15">
            <v>4199098.3</v>
          </cell>
          <cell r="N15">
            <v>4769772.8</v>
          </cell>
          <cell r="O15">
            <v>5345277.4000000004</v>
          </cell>
          <cell r="P15">
            <v>5946832.9000000004</v>
          </cell>
          <cell r="Q15">
            <v>6572259</v>
          </cell>
          <cell r="R15">
            <v>7219173.4000000004</v>
          </cell>
        </row>
        <row r="16">
          <cell r="A16" t="str">
            <v>Mixed Retailers</v>
          </cell>
          <cell r="E16">
            <v>319397</v>
          </cell>
          <cell r="F16">
            <v>310900</v>
          </cell>
          <cell r="G16">
            <v>348200</v>
          </cell>
          <cell r="H16">
            <v>397000</v>
          </cell>
          <cell r="I16">
            <v>440600</v>
          </cell>
          <cell r="J16">
            <v>498600</v>
          </cell>
          <cell r="K16">
            <v>571300</v>
          </cell>
          <cell r="L16">
            <v>636500</v>
          </cell>
          <cell r="M16">
            <v>723100</v>
          </cell>
          <cell r="N16">
            <v>802800</v>
          </cell>
          <cell r="O16">
            <v>875200</v>
          </cell>
          <cell r="P16">
            <v>945300</v>
          </cell>
          <cell r="Q16">
            <v>1016300</v>
          </cell>
          <cell r="R16">
            <v>1087500</v>
          </cell>
        </row>
        <row r="17">
          <cell r="A17" t="str">
            <v>Health &amp; Beauty Retailers</v>
          </cell>
          <cell r="E17">
            <v>120292.5</v>
          </cell>
          <cell r="F17">
            <v>254300</v>
          </cell>
          <cell r="G17">
            <v>307400</v>
          </cell>
          <cell r="H17">
            <v>339800</v>
          </cell>
          <cell r="I17">
            <v>431800</v>
          </cell>
          <cell r="J17">
            <v>462500</v>
          </cell>
          <cell r="K17">
            <v>513200</v>
          </cell>
          <cell r="L17">
            <v>563100</v>
          </cell>
          <cell r="M17">
            <v>625600</v>
          </cell>
          <cell r="N17">
            <v>698900</v>
          </cell>
          <cell r="O17">
            <v>770700</v>
          </cell>
          <cell r="P17">
            <v>842400</v>
          </cell>
          <cell r="Q17">
            <v>912900</v>
          </cell>
          <cell r="R17">
            <v>984700</v>
          </cell>
        </row>
        <row r="18">
          <cell r="A18" t="str">
            <v>Clothing &amp; footwear Retailers</v>
          </cell>
          <cell r="E18">
            <v>137641.9</v>
          </cell>
          <cell r="F18">
            <v>149700</v>
          </cell>
          <cell r="G18">
            <v>156900</v>
          </cell>
          <cell r="H18">
            <v>169793.6</v>
          </cell>
          <cell r="I18">
            <v>186433.3</v>
          </cell>
          <cell r="J18">
            <v>214771.20000000001</v>
          </cell>
          <cell r="K18">
            <v>257295.9</v>
          </cell>
          <cell r="L18">
            <v>292545.40000000002</v>
          </cell>
          <cell r="M18">
            <v>337890</v>
          </cell>
          <cell r="N18">
            <v>385194.6</v>
          </cell>
          <cell r="O18">
            <v>433343.9</v>
          </cell>
          <cell r="P18">
            <v>483178.4</v>
          </cell>
          <cell r="Q18">
            <v>533912.19999999995</v>
          </cell>
          <cell r="R18">
            <v>584633.80000000005</v>
          </cell>
        </row>
        <row r="19">
          <cell r="A19" t="str">
            <v>Home &amp; Garden  Retailers</v>
          </cell>
          <cell r="E19">
            <v>231983.8</v>
          </cell>
          <cell r="F19">
            <v>268500</v>
          </cell>
          <cell r="G19">
            <v>336600</v>
          </cell>
          <cell r="H19">
            <v>394300</v>
          </cell>
          <cell r="I19">
            <v>456000</v>
          </cell>
          <cell r="J19">
            <v>531200</v>
          </cell>
          <cell r="K19">
            <v>565800</v>
          </cell>
          <cell r="L19">
            <v>648000</v>
          </cell>
          <cell r="M19">
            <v>729000</v>
          </cell>
          <cell r="N19">
            <v>805800</v>
          </cell>
          <cell r="O19">
            <v>883900</v>
          </cell>
          <cell r="P19">
            <v>962100</v>
          </cell>
          <cell r="Q19">
            <v>1037600</v>
          </cell>
          <cell r="R19">
            <v>1108600</v>
          </cell>
        </row>
        <row r="20">
          <cell r="A20" t="str">
            <v>Electronics &amp; Appliances Retailers</v>
          </cell>
          <cell r="E20">
            <v>346077.6</v>
          </cell>
          <cell r="F20">
            <v>401100</v>
          </cell>
          <cell r="G20">
            <v>479700</v>
          </cell>
          <cell r="H20">
            <v>552200</v>
          </cell>
          <cell r="I20">
            <v>717800</v>
          </cell>
          <cell r="J20">
            <v>890100</v>
          </cell>
          <cell r="K20">
            <v>1023600</v>
          </cell>
          <cell r="L20">
            <v>1115700</v>
          </cell>
          <cell r="M20">
            <v>1255200</v>
          </cell>
          <cell r="N20">
            <v>1380700</v>
          </cell>
          <cell r="O20">
            <v>1511900</v>
          </cell>
          <cell r="P20">
            <v>1647900</v>
          </cell>
          <cell r="Q20">
            <v>1788000</v>
          </cell>
          <cell r="R20">
            <v>1931000</v>
          </cell>
        </row>
        <row r="21">
          <cell r="A21" t="str">
            <v>Leisure &amp; Personal Goods Retailers</v>
          </cell>
          <cell r="E21">
            <v>179640.4</v>
          </cell>
          <cell r="F21">
            <v>185600</v>
          </cell>
          <cell r="G21">
            <v>235500</v>
          </cell>
          <cell r="H21">
            <v>271000</v>
          </cell>
          <cell r="I21">
            <v>314700</v>
          </cell>
          <cell r="J21">
            <v>357000</v>
          </cell>
          <cell r="K21">
            <v>403800</v>
          </cell>
          <cell r="L21">
            <v>449400</v>
          </cell>
          <cell r="M21">
            <v>506600</v>
          </cell>
          <cell r="N21">
            <v>563800</v>
          </cell>
          <cell r="O21">
            <v>621600</v>
          </cell>
          <cell r="P21">
            <v>679700</v>
          </cell>
          <cell r="Q21">
            <v>737800</v>
          </cell>
          <cell r="R21">
            <v>794800</v>
          </cell>
        </row>
        <row r="22">
          <cell r="A22" t="str">
            <v>Other Non-Grocery Retailers</v>
          </cell>
          <cell r="E22">
            <v>138309.00000000023</v>
          </cell>
          <cell r="F22">
            <v>38608.199999999953</v>
          </cell>
          <cell r="G22">
            <v>32259.600000000093</v>
          </cell>
          <cell r="H22">
            <v>19057.100000000093</v>
          </cell>
          <cell r="I22">
            <v>20072</v>
          </cell>
          <cell r="J22">
            <v>19870.899999999907</v>
          </cell>
          <cell r="K22">
            <v>20508.800000000279</v>
          </cell>
          <cell r="L22">
            <v>21149.5</v>
          </cell>
          <cell r="M22">
            <v>21708.299999999814</v>
          </cell>
          <cell r="N22">
            <v>132578.20000000019</v>
          </cell>
          <cell r="O22">
            <v>248633.5</v>
          </cell>
          <cell r="P22">
            <v>386254.5</v>
          </cell>
          <cell r="Q22">
            <v>545746.79999999981</v>
          </cell>
          <cell r="R22">
            <v>727939.60000000056</v>
          </cell>
        </row>
        <row r="23">
          <cell r="A23" t="str">
            <v>Non-Store Retailing</v>
          </cell>
          <cell r="B23">
            <v>23781.200000000001</v>
          </cell>
          <cell r="C23">
            <v>24422.9</v>
          </cell>
          <cell r="D23">
            <v>26658.2</v>
          </cell>
          <cell r="E23">
            <v>30989.5</v>
          </cell>
          <cell r="F23">
            <v>38445.9</v>
          </cell>
          <cell r="G23">
            <v>49642.3</v>
          </cell>
          <cell r="H23">
            <v>51431.7</v>
          </cell>
          <cell r="I23">
            <v>52442.8</v>
          </cell>
          <cell r="J23">
            <v>60719.6</v>
          </cell>
          <cell r="K23">
            <v>69055.5</v>
          </cell>
          <cell r="L23">
            <v>83123.5</v>
          </cell>
          <cell r="M23">
            <v>152116.70000000001</v>
          </cell>
          <cell r="N23">
            <v>237572.5</v>
          </cell>
          <cell r="O23">
            <v>329619.3</v>
          </cell>
          <cell r="P23">
            <v>416848.4</v>
          </cell>
          <cell r="Q23">
            <v>513326</v>
          </cell>
          <cell r="R23">
            <v>628310.6</v>
          </cell>
        </row>
        <row r="24">
          <cell r="A24" t="str">
            <v>Vending</v>
          </cell>
          <cell r="B24">
            <v>910.4</v>
          </cell>
          <cell r="C24">
            <v>1292</v>
          </cell>
          <cell r="D24">
            <v>1604.6</v>
          </cell>
          <cell r="E24">
            <v>1890</v>
          </cell>
          <cell r="F24">
            <v>2175.8000000000002</v>
          </cell>
          <cell r="G24">
            <v>2576.3000000000002</v>
          </cell>
          <cell r="H24">
            <v>2969.7</v>
          </cell>
          <cell r="I24">
            <v>3418.3</v>
          </cell>
          <cell r="J24">
            <v>3688.8</v>
          </cell>
          <cell r="K24">
            <v>4073</v>
          </cell>
          <cell r="L24">
            <v>4241.5</v>
          </cell>
          <cell r="M24">
            <v>4573.5</v>
          </cell>
          <cell r="N24">
            <v>5042.3999999999996</v>
          </cell>
          <cell r="O24">
            <v>5600.9</v>
          </cell>
          <cell r="P24">
            <v>6147.1</v>
          </cell>
          <cell r="Q24">
            <v>6671.2</v>
          </cell>
          <cell r="R24">
            <v>7172.1</v>
          </cell>
        </row>
        <row r="25">
          <cell r="A25" t="str">
            <v>Homeshopping</v>
          </cell>
          <cell r="B25">
            <v>9066.9</v>
          </cell>
          <cell r="C25">
            <v>7293.6</v>
          </cell>
          <cell r="D25">
            <v>6188.3</v>
          </cell>
          <cell r="E25">
            <v>5466.9</v>
          </cell>
          <cell r="F25">
            <v>5735.8</v>
          </cell>
          <cell r="G25">
            <v>6684.4</v>
          </cell>
          <cell r="H25">
            <v>8169.3</v>
          </cell>
          <cell r="I25">
            <v>7921.3</v>
          </cell>
          <cell r="J25">
            <v>8907.6</v>
          </cell>
          <cell r="K25">
            <v>10098.4</v>
          </cell>
          <cell r="L25">
            <v>12724</v>
          </cell>
          <cell r="M25">
            <v>15523.2</v>
          </cell>
          <cell r="N25">
            <v>18433.900000000001</v>
          </cell>
          <cell r="O25">
            <v>21058.9</v>
          </cell>
          <cell r="P25">
            <v>23413.3</v>
          </cell>
          <cell r="Q25">
            <v>25792.1</v>
          </cell>
          <cell r="R25">
            <v>27886.400000000001</v>
          </cell>
        </row>
        <row r="26">
          <cell r="A26" t="str">
            <v>Internet Retailing</v>
          </cell>
          <cell r="B26">
            <v>137.6</v>
          </cell>
          <cell r="C26">
            <v>190.1</v>
          </cell>
          <cell r="D26">
            <v>580</v>
          </cell>
          <cell r="E26">
            <v>1311.1</v>
          </cell>
          <cell r="F26">
            <v>2566.8000000000002</v>
          </cell>
          <cell r="G26">
            <v>3842</v>
          </cell>
          <cell r="H26">
            <v>5525.1</v>
          </cell>
          <cell r="I26">
            <v>7451.3</v>
          </cell>
          <cell r="J26">
            <v>10391.200000000001</v>
          </cell>
          <cell r="K26">
            <v>12785</v>
          </cell>
          <cell r="L26">
            <v>20216.8</v>
          </cell>
          <cell r="M26">
            <v>80058.399999999994</v>
          </cell>
          <cell r="N26">
            <v>155717.5</v>
          </cell>
          <cell r="O26">
            <v>238247.8</v>
          </cell>
          <cell r="P26">
            <v>315916.59999999998</v>
          </cell>
          <cell r="Q26">
            <v>402793.6</v>
          </cell>
          <cell r="R26">
            <v>507810</v>
          </cell>
        </row>
        <row r="27">
          <cell r="A27" t="str">
            <v>Direct Selling</v>
          </cell>
          <cell r="B27">
            <v>13666.2</v>
          </cell>
          <cell r="C27">
            <v>15647.2</v>
          </cell>
          <cell r="D27">
            <v>18285.2</v>
          </cell>
          <cell r="E27">
            <v>22321.599999999999</v>
          </cell>
          <cell r="F27">
            <v>27967.599999999999</v>
          </cell>
          <cell r="G27">
            <v>36539.599999999999</v>
          </cell>
          <cell r="H27">
            <v>34767.5</v>
          </cell>
          <cell r="I27">
            <v>33651.800000000003</v>
          </cell>
          <cell r="J27">
            <v>37732.1</v>
          </cell>
          <cell r="K27">
            <v>42099.199999999997</v>
          </cell>
          <cell r="L27">
            <v>45941.3</v>
          </cell>
          <cell r="M27">
            <v>51961.599999999999</v>
          </cell>
          <cell r="N27">
            <v>58378.7</v>
          </cell>
          <cell r="O27">
            <v>64711.7</v>
          </cell>
          <cell r="P27">
            <v>71371.399999999994</v>
          </cell>
          <cell r="Q27">
            <v>78069</v>
          </cell>
          <cell r="R27">
            <v>85442.1</v>
          </cell>
        </row>
        <row r="28">
          <cell r="A28" t="str">
            <v>Total Retailing</v>
          </cell>
          <cell r="B28">
            <v>2469078.6</v>
          </cell>
          <cell r="C28">
            <v>2623125.5</v>
          </cell>
          <cell r="D28">
            <v>2809975.5</v>
          </cell>
          <cell r="E28">
            <v>3107040.2</v>
          </cell>
          <cell r="F28">
            <v>3407981</v>
          </cell>
          <cell r="G28">
            <v>3861800.9</v>
          </cell>
          <cell r="H28">
            <v>4265959.0999999996</v>
          </cell>
          <cell r="I28">
            <v>4858527.7</v>
          </cell>
          <cell r="J28">
            <v>5501491.2999999998</v>
          </cell>
          <cell r="K28">
            <v>6162334.4000000004</v>
          </cell>
          <cell r="L28">
            <v>6729895.7999999998</v>
          </cell>
          <cell r="M28">
            <v>7519241.2000000002</v>
          </cell>
          <cell r="N28">
            <v>8499674</v>
          </cell>
          <cell r="O28">
            <v>9496253.8000000007</v>
          </cell>
          <cell r="P28">
            <v>10525169.5</v>
          </cell>
          <cell r="Q28">
            <v>11604460.5</v>
          </cell>
          <cell r="R28">
            <v>12740188.1</v>
          </cell>
        </row>
        <row r="31">
          <cell r="A31" t="str">
            <v>YoY Growth</v>
          </cell>
        </row>
        <row r="32">
          <cell r="B32">
            <v>1999</v>
          </cell>
          <cell r="C32">
            <v>2000</v>
          </cell>
          <cell r="D32">
            <v>2001</v>
          </cell>
          <cell r="E32">
            <v>2002</v>
          </cell>
          <cell r="F32">
            <v>2003</v>
          </cell>
          <cell r="G32">
            <v>2004</v>
          </cell>
          <cell r="H32">
            <v>2005</v>
          </cell>
          <cell r="I32">
            <v>2006</v>
          </cell>
          <cell r="J32">
            <v>2007</v>
          </cell>
          <cell r="K32">
            <v>2008</v>
          </cell>
          <cell r="L32">
            <v>2009</v>
          </cell>
          <cell r="M32">
            <v>2010</v>
          </cell>
          <cell r="N32" t="str">
            <v>2011E</v>
          </cell>
          <cell r="O32" t="str">
            <v>2012E</v>
          </cell>
          <cell r="P32" t="str">
            <v>2013E</v>
          </cell>
          <cell r="Q32" t="str">
            <v>2014E</v>
          </cell>
          <cell r="R32" t="str">
            <v>2015E</v>
          </cell>
        </row>
        <row r="33">
          <cell r="A33" t="str">
            <v>Store-based Retailing</v>
          </cell>
          <cell r="B33" t="str">
            <v>NM</v>
          </cell>
          <cell r="C33">
            <v>6.2734782280470247E-2</v>
          </cell>
          <cell r="D33">
            <v>7.1041103356728641E-2</v>
          </cell>
          <cell r="E33">
            <v>0.10517428250095673</v>
          </cell>
          <cell r="F33">
            <v>9.5409480734501617E-2</v>
          </cell>
          <cell r="G33">
            <v>0.13136040636585156</v>
          </cell>
          <cell r="H33">
            <v>0.10554880901335006</v>
          </cell>
          <cell r="I33">
            <v>0.14036152665658319</v>
          </cell>
          <cell r="J33">
            <v>0.13205898630712887</v>
          </cell>
          <cell r="K33">
            <v>0.11992918430907862</v>
          </cell>
          <cell r="L33">
            <v>9.0836708623332374E-2</v>
          </cell>
          <cell r="M33">
            <v>0.10837624150296232</v>
          </cell>
          <cell r="N33">
            <v>0.12148252686648653</v>
          </cell>
          <cell r="O33">
            <v>0.1094797747217191</v>
          </cell>
          <cell r="P33">
            <v>0.10272981979078377</v>
          </cell>
          <cell r="Q33">
            <v>9.7228153941409712E-2</v>
          </cell>
          <cell r="R33">
            <v>9.2032334473989064E-2</v>
          </cell>
        </row>
        <row r="34">
          <cell r="A34" t="str">
            <v>Grocery Retailers</v>
          </cell>
          <cell r="B34" t="str">
            <v>NM</v>
          </cell>
          <cell r="C34">
            <v>3.3331186743446928E-2</v>
          </cell>
          <cell r="D34">
            <v>5.423143944196207E-2</v>
          </cell>
          <cell r="E34">
            <v>8.4021611598205537E-2</v>
          </cell>
          <cell r="F34">
            <v>9.8657054604751826E-2</v>
          </cell>
          <cell r="G34">
            <v>8.7897334604705613E-2</v>
          </cell>
          <cell r="H34">
            <v>8.1320620860628967E-2</v>
          </cell>
          <cell r="I34">
            <v>8.0768988084108706E-2</v>
          </cell>
          <cell r="J34">
            <v>0.10186803409170131</v>
          </cell>
          <cell r="K34">
            <v>0.10988014251744493</v>
          </cell>
          <cell r="L34">
            <v>6.6697721090365869E-2</v>
          </cell>
          <cell r="M34">
            <v>8.4800235585981598E-2</v>
          </cell>
          <cell r="N34">
            <v>0.10236733521963925</v>
          </cell>
          <cell r="O34">
            <v>9.4214616574167742E-2</v>
          </cell>
          <cell r="P34">
            <v>8.9007962354734182E-2</v>
          </cell>
          <cell r="Q34">
            <v>8.5879686021937962E-2</v>
          </cell>
          <cell r="R34">
            <v>8.2726023321509912E-2</v>
          </cell>
        </row>
        <row r="35">
          <cell r="A35" t="str">
            <v>Hypermarkets</v>
          </cell>
          <cell r="B35" t="str">
            <v>NM</v>
          </cell>
          <cell r="C35" t="str">
            <v>NM</v>
          </cell>
          <cell r="D35" t="str">
            <v>NM</v>
          </cell>
          <cell r="E35" t="str">
            <v>NM</v>
          </cell>
          <cell r="F35">
            <v>0.69858567122652437</v>
          </cell>
          <cell r="G35">
            <v>0.40833040833040823</v>
          </cell>
          <cell r="H35">
            <v>0.32023483149178911</v>
          </cell>
          <cell r="I35">
            <v>0.24960671211326702</v>
          </cell>
          <cell r="J35">
            <v>0.1653378094838438</v>
          </cell>
          <cell r="K35">
            <v>0.20993878285920053</v>
          </cell>
          <cell r="L35">
            <v>0.13482142857142865</v>
          </cell>
          <cell r="M35">
            <v>0.16601101494885917</v>
          </cell>
          <cell r="N35">
            <v>0.15497076023391809</v>
          </cell>
          <cell r="O35">
            <v>0.14001947419668936</v>
          </cell>
          <cell r="P35">
            <v>0.12999658353262733</v>
          </cell>
          <cell r="Q35">
            <v>0.1200302343159485</v>
          </cell>
          <cell r="R35">
            <v>0.11000134970981246</v>
          </cell>
        </row>
        <row r="36">
          <cell r="A36" t="str">
            <v>Supermarkets</v>
          </cell>
          <cell r="B36" t="str">
            <v>NM</v>
          </cell>
          <cell r="C36" t="str">
            <v>NM</v>
          </cell>
          <cell r="D36" t="str">
            <v>NM</v>
          </cell>
          <cell r="E36" t="str">
            <v>NM</v>
          </cell>
          <cell r="F36">
            <v>0.34028479159688363</v>
          </cell>
          <cell r="G36">
            <v>0.19792779524434545</v>
          </cell>
          <cell r="H36">
            <v>0.19568419795357728</v>
          </cell>
          <cell r="I36">
            <v>0.17994139584443269</v>
          </cell>
          <cell r="J36">
            <v>0.16999661361327467</v>
          </cell>
          <cell r="K36">
            <v>0.14201640135069948</v>
          </cell>
          <cell r="L36">
            <v>8.203091999662071E-2</v>
          </cell>
          <cell r="M36">
            <v>9.7985633978763254E-2</v>
          </cell>
          <cell r="N36">
            <v>9.0023465832326011E-2</v>
          </cell>
          <cell r="O36">
            <v>8.4937047426446588E-2</v>
          </cell>
          <cell r="P36">
            <v>7.5040586855871672E-2</v>
          </cell>
          <cell r="Q36">
            <v>6.9970356283908464E-2</v>
          </cell>
          <cell r="R36">
            <v>6.502875065342395E-2</v>
          </cell>
        </row>
        <row r="37">
          <cell r="A37" t="str">
            <v>Discounters</v>
          </cell>
          <cell r="B37" t="str">
            <v>NM</v>
          </cell>
          <cell r="C37" t="str">
            <v>NM</v>
          </cell>
          <cell r="D37" t="str">
            <v>NM</v>
          </cell>
          <cell r="E37" t="str">
            <v>NM</v>
          </cell>
          <cell r="F37" t="str">
            <v>NM</v>
          </cell>
          <cell r="G37" t="str">
            <v>NM</v>
          </cell>
          <cell r="H37">
            <v>0.90217391304347827</v>
          </cell>
          <cell r="I37">
            <v>0.14285714285714279</v>
          </cell>
          <cell r="J37">
            <v>0.375</v>
          </cell>
          <cell r="K37">
            <v>0.36363636363636354</v>
          </cell>
          <cell r="L37">
            <v>0.10000000000000009</v>
          </cell>
          <cell r="M37">
            <v>0.18181818181818188</v>
          </cell>
          <cell r="N37">
            <v>0.12820512820512819</v>
          </cell>
          <cell r="O37">
            <v>0.13636363636363646</v>
          </cell>
          <cell r="P37">
            <v>0.10000000000000009</v>
          </cell>
          <cell r="Q37">
            <v>0.10909090909090913</v>
          </cell>
          <cell r="R37">
            <v>8.1967213114754189E-2</v>
          </cell>
        </row>
        <row r="38">
          <cell r="A38" t="str">
            <v>Small Grocery Retailers</v>
          </cell>
          <cell r="B38" t="str">
            <v>NM</v>
          </cell>
          <cell r="C38" t="str">
            <v>NM</v>
          </cell>
          <cell r="D38" t="str">
            <v>NM</v>
          </cell>
          <cell r="E38" t="str">
            <v>NM</v>
          </cell>
          <cell r="F38">
            <v>-2.4531699054072043E-2</v>
          </cell>
          <cell r="G38">
            <v>-0.13819536690023115</v>
          </cell>
          <cell r="H38">
            <v>3.7825384520644212E-2</v>
          </cell>
          <cell r="I38">
            <v>-7.8534031413612926E-3</v>
          </cell>
          <cell r="J38">
            <v>2.8144239226033374E-2</v>
          </cell>
          <cell r="K38">
            <v>4.7904191616766401E-2</v>
          </cell>
          <cell r="L38">
            <v>3.4285714285714253E-2</v>
          </cell>
          <cell r="M38">
            <v>4.0252565114443639E-2</v>
          </cell>
          <cell r="N38">
            <v>2.8072837632777015E-2</v>
          </cell>
          <cell r="O38">
            <v>2.3616236162361526E-2</v>
          </cell>
          <cell r="P38">
            <v>2.0187454938716654E-2</v>
          </cell>
          <cell r="Q38">
            <v>1.5547703180212036E-2</v>
          </cell>
          <cell r="R38">
            <v>1.2526096033402823E-2</v>
          </cell>
        </row>
        <row r="39">
          <cell r="A39" t="str">
            <v>Food/Drink/Tobacco Specialists</v>
          </cell>
          <cell r="B39" t="str">
            <v>NM</v>
          </cell>
          <cell r="C39" t="str">
            <v>NM</v>
          </cell>
          <cell r="D39" t="str">
            <v>NM</v>
          </cell>
          <cell r="E39" t="str">
            <v>NM</v>
          </cell>
          <cell r="F39">
            <v>1.5971907566832755E-2</v>
          </cell>
          <cell r="G39">
            <v>0.15933055126387718</v>
          </cell>
          <cell r="H39">
            <v>2.3557162238747016</v>
          </cell>
          <cell r="I39">
            <v>9.4165813715455515E-2</v>
          </cell>
          <cell r="J39">
            <v>0.11225444340505142</v>
          </cell>
          <cell r="K39">
            <v>0.13540790580319606</v>
          </cell>
          <cell r="L39">
            <v>9.7777777777777741E-2</v>
          </cell>
          <cell r="M39">
            <v>0.10998650472334681</v>
          </cell>
          <cell r="N39">
            <v>0.11975683890577504</v>
          </cell>
          <cell r="O39">
            <v>0.12486427795874055</v>
          </cell>
          <cell r="P39">
            <v>0.13030888030888033</v>
          </cell>
          <cell r="Q39">
            <v>0.13492741246797602</v>
          </cell>
          <cell r="R39">
            <v>0.13995485327313761</v>
          </cell>
        </row>
        <row r="40">
          <cell r="A40" t="str">
            <v>Other Grocery Retailers</v>
          </cell>
          <cell r="B40" t="str">
            <v>NM</v>
          </cell>
          <cell r="C40" t="str">
            <v>NM</v>
          </cell>
          <cell r="D40" t="str">
            <v>NM</v>
          </cell>
          <cell r="E40" t="str">
            <v>NM</v>
          </cell>
          <cell r="F40">
            <v>-1.4388603430233293E-2</v>
          </cell>
          <cell r="G40">
            <v>2.9644889358506621E-3</v>
          </cell>
          <cell r="H40">
            <v>-9.034254897553895E-2</v>
          </cell>
          <cell r="I40">
            <v>-2.9721413017010923E-2</v>
          </cell>
          <cell r="J40">
            <v>2.182464936125994E-2</v>
          </cell>
          <cell r="K40">
            <v>4.4909006642700033E-2</v>
          </cell>
          <cell r="L40">
            <v>2.2116136982347046E-2</v>
          </cell>
          <cell r="M40">
            <v>3.4982573984713827E-2</v>
          </cell>
          <cell r="N40">
            <v>0.10257949670356514</v>
          </cell>
          <cell r="O40">
            <v>8.8620979783573528E-2</v>
          </cell>
          <cell r="P40">
            <v>8.896961068064857E-2</v>
          </cell>
          <cell r="Q40">
            <v>8.9155434927944421E-2</v>
          </cell>
          <cell r="R40">
            <v>8.89777825208935E-2</v>
          </cell>
        </row>
        <row r="41">
          <cell r="A41" t="str">
            <v>Non-Grocery Retailers</v>
          </cell>
          <cell r="B41" t="str">
            <v>NM</v>
          </cell>
          <cell r="C41">
            <v>9.9409800148147154E-2</v>
          </cell>
          <cell r="D41">
            <v>9.0747574302350698E-2</v>
          </cell>
          <cell r="E41">
            <v>0.12914200387574382</v>
          </cell>
          <cell r="F41">
            <v>9.1876822641746125E-2</v>
          </cell>
          <cell r="G41">
            <v>0.1789332583746388</v>
          </cell>
          <cell r="H41">
            <v>0.13002022187966045</v>
          </cell>
          <cell r="I41">
            <v>0.1979583610242619</v>
          </cell>
          <cell r="J41">
            <v>0.15838434235529553</v>
          </cell>
          <cell r="K41">
            <v>0.1282640215483164</v>
          </cell>
          <cell r="L41">
            <v>0.11053186723296782</v>
          </cell>
          <cell r="M41">
            <v>0.12685273909107164</v>
          </cell>
          <cell r="N41">
            <v>0.13590405825936491</v>
          </cell>
          <cell r="O41">
            <v>0.12065660653689858</v>
          </cell>
          <cell r="P41">
            <v>0.11253962235898185</v>
          </cell>
          <cell r="Q41">
            <v>0.1051696105333646</v>
          </cell>
          <cell r="R41">
            <v>9.84310569623017E-2</v>
          </cell>
        </row>
        <row r="42">
          <cell r="A42" t="str">
            <v>Mixed Retailers</v>
          </cell>
          <cell r="B42" t="str">
            <v>NM</v>
          </cell>
          <cell r="C42" t="str">
            <v>NM</v>
          </cell>
          <cell r="D42" t="str">
            <v>NM</v>
          </cell>
          <cell r="E42" t="str">
            <v>NM</v>
          </cell>
          <cell r="F42">
            <v>-2.6603255509600854E-2</v>
          </cell>
          <cell r="G42">
            <v>0.11997426825345769</v>
          </cell>
          <cell r="H42">
            <v>0.14014933946008035</v>
          </cell>
          <cell r="I42">
            <v>0.10982367758186395</v>
          </cell>
          <cell r="J42">
            <v>0.13163867453472533</v>
          </cell>
          <cell r="K42">
            <v>0.14580826313678297</v>
          </cell>
          <cell r="L42">
            <v>0.11412567827761255</v>
          </cell>
          <cell r="M42">
            <v>0.13605655930871952</v>
          </cell>
          <cell r="N42">
            <v>0.11021988659936377</v>
          </cell>
          <cell r="O42">
            <v>9.0184354758345853E-2</v>
          </cell>
          <cell r="P42">
            <v>8.0095978062157291E-2</v>
          </cell>
          <cell r="Q42">
            <v>7.5108431185866964E-2</v>
          </cell>
          <cell r="R42">
            <v>7.0058053724294078E-2</v>
          </cell>
        </row>
        <row r="43">
          <cell r="A43" t="str">
            <v>Health &amp; Beauty Retailers</v>
          </cell>
          <cell r="B43" t="str">
            <v>NM</v>
          </cell>
          <cell r="C43" t="str">
            <v>NM</v>
          </cell>
          <cell r="D43" t="str">
            <v>NM</v>
          </cell>
          <cell r="E43" t="str">
            <v>NM</v>
          </cell>
          <cell r="F43">
            <v>1.1140137581312217</v>
          </cell>
          <cell r="G43">
            <v>0.20880849390483691</v>
          </cell>
          <cell r="H43">
            <v>0.10540013012361737</v>
          </cell>
          <cell r="I43">
            <v>0.27074749852854629</v>
          </cell>
          <cell r="J43">
            <v>7.1097730430754957E-2</v>
          </cell>
          <cell r="K43">
            <v>0.1096216216216217</v>
          </cell>
          <cell r="L43">
            <v>9.7233047544816875E-2</v>
          </cell>
          <cell r="M43">
            <v>0.11099271887764162</v>
          </cell>
          <cell r="N43">
            <v>0.11716751918158574</v>
          </cell>
          <cell r="O43">
            <v>0.10273286593217912</v>
          </cell>
          <cell r="P43">
            <v>9.3032308291163934E-2</v>
          </cell>
          <cell r="Q43">
            <v>8.3689458689458762E-2</v>
          </cell>
          <cell r="R43">
            <v>7.8650454595246E-2</v>
          </cell>
        </row>
        <row r="44">
          <cell r="A44" t="str">
            <v>Clothing &amp; footwear Retailers</v>
          </cell>
          <cell r="B44" t="str">
            <v>NM</v>
          </cell>
          <cell r="C44" t="str">
            <v>NM</v>
          </cell>
          <cell r="D44" t="str">
            <v>NM</v>
          </cell>
          <cell r="E44" t="str">
            <v>NM</v>
          </cell>
          <cell r="F44">
            <v>8.7604864507101476E-2</v>
          </cell>
          <cell r="G44">
            <v>4.8096192384769587E-2</v>
          </cell>
          <cell r="H44">
            <v>8.2177182919056735E-2</v>
          </cell>
          <cell r="I44">
            <v>9.7999571244145711E-2</v>
          </cell>
          <cell r="J44">
            <v>0.15200020597178732</v>
          </cell>
          <cell r="K44">
            <v>0.19800001117468247</v>
          </cell>
          <cell r="L44">
            <v>0.1369998511441497</v>
          </cell>
          <cell r="M44">
            <v>0.1550002153511898</v>
          </cell>
          <cell r="N44">
            <v>0.1399999999999999</v>
          </cell>
          <cell r="O44">
            <v>0.12499993509774043</v>
          </cell>
          <cell r="P44">
            <v>0.11499988807965211</v>
          </cell>
          <cell r="Q44">
            <v>0.10500014073476782</v>
          </cell>
          <cell r="R44">
            <v>9.4999889494939538E-2</v>
          </cell>
        </row>
        <row r="45">
          <cell r="A45" t="str">
            <v>Home &amp; Garden  Retailers</v>
          </cell>
          <cell r="B45" t="str">
            <v>NM</v>
          </cell>
          <cell r="C45" t="str">
            <v>NM</v>
          </cell>
          <cell r="D45" t="str">
            <v>NM</v>
          </cell>
          <cell r="E45" t="str">
            <v>NM</v>
          </cell>
          <cell r="F45">
            <v>0.15740840524209032</v>
          </cell>
          <cell r="G45">
            <v>0.25363128491620102</v>
          </cell>
          <cell r="H45">
            <v>0.17142008318478896</v>
          </cell>
          <cell r="I45">
            <v>0.15647983768704044</v>
          </cell>
          <cell r="J45">
            <v>0.16491228070175445</v>
          </cell>
          <cell r="K45">
            <v>6.5135542168674787E-2</v>
          </cell>
          <cell r="L45">
            <v>0.14528101802757165</v>
          </cell>
          <cell r="M45">
            <v>0.125</v>
          </cell>
          <cell r="N45">
            <v>0.10534979423868318</v>
          </cell>
          <cell r="O45">
            <v>9.6922313229089063E-2</v>
          </cell>
          <cell r="P45">
            <v>8.8471546555040081E-2</v>
          </cell>
          <cell r="Q45">
            <v>7.847417108408683E-2</v>
          </cell>
          <cell r="R45">
            <v>6.8427139552814209E-2</v>
          </cell>
        </row>
        <row r="46">
          <cell r="A46" t="str">
            <v>Electronics &amp; Appliances Retailers</v>
          </cell>
          <cell r="B46" t="str">
            <v>NM</v>
          </cell>
          <cell r="C46" t="str">
            <v>NM</v>
          </cell>
          <cell r="D46" t="str">
            <v>NM</v>
          </cell>
          <cell r="E46" t="str">
            <v>NM</v>
          </cell>
          <cell r="F46">
            <v>0.1589886198933419</v>
          </cell>
          <cell r="G46">
            <v>0.19596110695587132</v>
          </cell>
          <cell r="H46">
            <v>0.15113612674588284</v>
          </cell>
          <cell r="I46">
            <v>0.29989134371604487</v>
          </cell>
          <cell r="J46">
            <v>0.24003900808024525</v>
          </cell>
          <cell r="K46">
            <v>0.14998314796090328</v>
          </cell>
          <cell r="L46">
            <v>8.9976553341148957E-2</v>
          </cell>
          <cell r="M46">
            <v>0.12503361118580258</v>
          </cell>
          <cell r="N46">
            <v>9.9984066284257489E-2</v>
          </cell>
          <cell r="O46">
            <v>9.5024263054972025E-2</v>
          </cell>
          <cell r="P46">
            <v>8.9953039222170794E-2</v>
          </cell>
          <cell r="Q46">
            <v>8.5017294738758409E-2</v>
          </cell>
          <cell r="R46">
            <v>7.9977628635346854E-2</v>
          </cell>
        </row>
        <row r="47">
          <cell r="A47" t="str">
            <v>Leisure &amp; Personal Goods Retailers</v>
          </cell>
          <cell r="B47" t="str">
            <v>NM</v>
          </cell>
          <cell r="C47" t="str">
            <v>NM</v>
          </cell>
          <cell r="D47" t="str">
            <v>NM</v>
          </cell>
          <cell r="E47" t="str">
            <v>NM</v>
          </cell>
          <cell r="F47">
            <v>3.3175165497293602E-2</v>
          </cell>
          <cell r="G47">
            <v>0.26885775862068972</v>
          </cell>
          <cell r="H47">
            <v>0.15074309978768574</v>
          </cell>
          <cell r="I47">
            <v>0.16125461254612539</v>
          </cell>
          <cell r="J47">
            <v>0.13441372735938995</v>
          </cell>
          <cell r="K47">
            <v>0.13109243697478989</v>
          </cell>
          <cell r="L47">
            <v>0.11292719167904908</v>
          </cell>
          <cell r="M47">
            <v>0.12728081886960396</v>
          </cell>
          <cell r="N47">
            <v>0.11290959336754836</v>
          </cell>
          <cell r="O47">
            <v>0.10251862362539899</v>
          </cell>
          <cell r="P47">
            <v>9.3468468468468568E-2</v>
          </cell>
          <cell r="Q47">
            <v>8.5478887744593113E-2</v>
          </cell>
          <cell r="R47">
            <v>7.7256709135266943E-2</v>
          </cell>
        </row>
        <row r="48">
          <cell r="A48" t="str">
            <v>Other Non-Grocery Retailers</v>
          </cell>
          <cell r="B48" t="str">
            <v>NM</v>
          </cell>
          <cell r="C48" t="str">
            <v>NM</v>
          </cell>
          <cell r="D48" t="str">
            <v>NM</v>
          </cell>
          <cell r="E48" t="str">
            <v>NM</v>
          </cell>
          <cell r="F48">
            <v>-0.72085547578248788</v>
          </cell>
          <cell r="G48">
            <v>-0.16443657046948235</v>
          </cell>
          <cell r="H48">
            <v>-0.40925801931827932</v>
          </cell>
          <cell r="I48">
            <v>5.3255741954437052E-2</v>
          </cell>
          <cell r="J48">
            <v>-1.0018931845361401E-2</v>
          </cell>
          <cell r="K48">
            <v>3.2102219829015066E-2</v>
          </cell>
          <cell r="L48">
            <v>3.1240248088611366E-2</v>
          </cell>
          <cell r="M48">
            <v>2.6421428402553904E-2</v>
          </cell>
          <cell r="N48">
            <v>5.1072585140246503</v>
          </cell>
          <cell r="O48">
            <v>0.87537242171035401</v>
          </cell>
          <cell r="P48">
            <v>0.55350948283316614</v>
          </cell>
          <cell r="Q48">
            <v>0.41292023782247145</v>
          </cell>
          <cell r="R48">
            <v>0.33384126118559165</v>
          </cell>
        </row>
        <row r="49">
          <cell r="A49" t="str">
            <v>Non-Store Retailing</v>
          </cell>
          <cell r="B49" t="str">
            <v>NM</v>
          </cell>
          <cell r="C49">
            <v>2.6983499571089808E-2</v>
          </cell>
          <cell r="D49">
            <v>9.1524757502180254E-2</v>
          </cell>
          <cell r="E49">
            <v>0.1624753359191542</v>
          </cell>
          <cell r="F49">
            <v>0.24061052937285221</v>
          </cell>
          <cell r="G49">
            <v>0.29122481200856276</v>
          </cell>
          <cell r="H49">
            <v>3.6045872169500504E-2</v>
          </cell>
          <cell r="I49">
            <v>1.9659081850298632E-2</v>
          </cell>
          <cell r="J49">
            <v>0.15782528774207316</v>
          </cell>
          <cell r="K49">
            <v>0.13728515998129098</v>
          </cell>
          <cell r="L49">
            <v>0.20372019607417213</v>
          </cell>
          <cell r="M49">
            <v>0.83000836105313192</v>
          </cell>
          <cell r="N49">
            <v>0.56177789815319401</v>
          </cell>
          <cell r="O49">
            <v>0.3874472003283207</v>
          </cell>
          <cell r="P49">
            <v>0.26463589965757484</v>
          </cell>
          <cell r="Q49">
            <v>0.23144529282108306</v>
          </cell>
          <cell r="R49">
            <v>0.22399917401417424</v>
          </cell>
        </row>
        <row r="50">
          <cell r="A50" t="str">
            <v>Vending</v>
          </cell>
          <cell r="B50" t="str">
            <v>NM</v>
          </cell>
          <cell r="C50">
            <v>0.41915641476274179</v>
          </cell>
          <cell r="D50">
            <v>0.24195046439628487</v>
          </cell>
          <cell r="E50">
            <v>0.17786364202916616</v>
          </cell>
          <cell r="F50">
            <v>0.15121693121693136</v>
          </cell>
          <cell r="G50">
            <v>0.18407022704292664</v>
          </cell>
          <cell r="H50">
            <v>0.15269960796491078</v>
          </cell>
          <cell r="I50">
            <v>0.15105902953160255</v>
          </cell>
          <cell r="J50">
            <v>7.9132902319866583E-2</v>
          </cell>
          <cell r="K50">
            <v>0.10415311212318357</v>
          </cell>
          <cell r="L50">
            <v>4.1369997544807191E-2</v>
          </cell>
          <cell r="M50">
            <v>7.8274195449723027E-2</v>
          </cell>
          <cell r="N50">
            <v>0.10252541816989158</v>
          </cell>
          <cell r="O50">
            <v>0.11076074884975418</v>
          </cell>
          <cell r="P50">
            <v>9.7520041421914394E-2</v>
          </cell>
          <cell r="Q50">
            <v>8.5259715963625027E-2</v>
          </cell>
          <cell r="R50">
            <v>7.5083942918815261E-2</v>
          </cell>
        </row>
        <row r="51">
          <cell r="A51" t="str">
            <v>Homeshopping</v>
          </cell>
          <cell r="B51" t="str">
            <v>NM</v>
          </cell>
          <cell r="C51">
            <v>-0.19557952552691649</v>
          </cell>
          <cell r="D51">
            <v>-0.15154381923878468</v>
          </cell>
          <cell r="E51">
            <v>-0.1165748266890746</v>
          </cell>
          <cell r="F51">
            <v>4.9186924948325439E-2</v>
          </cell>
          <cell r="G51">
            <v>0.16538233550681669</v>
          </cell>
          <cell r="H51">
            <v>0.2221440967027708</v>
          </cell>
          <cell r="I51">
            <v>-3.0357558175119093E-2</v>
          </cell>
          <cell r="J51">
            <v>0.12451239064294994</v>
          </cell>
          <cell r="K51">
            <v>0.13368359603035596</v>
          </cell>
          <cell r="L51">
            <v>0.26000158440941146</v>
          </cell>
          <cell r="M51">
            <v>0.21999371266897216</v>
          </cell>
          <cell r="N51">
            <v>0.18750644197072774</v>
          </cell>
          <cell r="O51">
            <v>0.14240068569320652</v>
          </cell>
          <cell r="P51">
            <v>0.11180071133819891</v>
          </cell>
          <cell r="Q51">
            <v>0.10160037243788778</v>
          </cell>
          <cell r="R51">
            <v>8.1199281950674829E-2</v>
          </cell>
        </row>
        <row r="52">
          <cell r="A52" t="str">
            <v>Internet Retailing</v>
          </cell>
          <cell r="B52" t="str">
            <v>NM</v>
          </cell>
          <cell r="C52">
            <v>0.38154069767441867</v>
          </cell>
          <cell r="D52">
            <v>2.0510257759074171</v>
          </cell>
          <cell r="E52">
            <v>1.26051724137931</v>
          </cell>
          <cell r="F52">
            <v>0.95774540462207325</v>
          </cell>
          <cell r="G52">
            <v>0.49680536076047987</v>
          </cell>
          <cell r="H52">
            <v>0.4380791254554921</v>
          </cell>
          <cell r="I52">
            <v>0.34862717416879319</v>
          </cell>
          <cell r="J52">
            <v>0.39454860225732435</v>
          </cell>
          <cell r="K52">
            <v>0.23036800369543453</v>
          </cell>
          <cell r="L52">
            <v>0.58129057489245195</v>
          </cell>
          <cell r="M52">
            <v>2.9599936686320287</v>
          </cell>
          <cell r="N52">
            <v>0.94504886432904001</v>
          </cell>
          <cell r="O52">
            <v>0.53000016054714449</v>
          </cell>
          <cell r="P52">
            <v>0.32600007219374105</v>
          </cell>
          <cell r="Q52">
            <v>0.27499979424949506</v>
          </cell>
          <cell r="R52">
            <v>0.26072013060783505</v>
          </cell>
        </row>
        <row r="53">
          <cell r="A53" t="str">
            <v>Direct Selling</v>
          </cell>
          <cell r="B53" t="str">
            <v>NM</v>
          </cell>
          <cell r="C53">
            <v>0.14495616923504695</v>
          </cell>
          <cell r="D53">
            <v>0.16859246382739412</v>
          </cell>
          <cell r="E53">
            <v>0.22074683350469226</v>
          </cell>
          <cell r="F53">
            <v>0.252938857429575</v>
          </cell>
          <cell r="G53">
            <v>0.30649751855718765</v>
          </cell>
          <cell r="H53">
            <v>-4.8498067849675364E-2</v>
          </cell>
          <cell r="I53">
            <v>-3.2090314230243666E-2</v>
          </cell>
          <cell r="J53">
            <v>0.12125057203477962</v>
          </cell>
          <cell r="K53">
            <v>0.11573964873410181</v>
          </cell>
          <cell r="L53">
            <v>9.126301687443017E-2</v>
          </cell>
          <cell r="M53">
            <v>0.13104330961466037</v>
          </cell>
          <cell r="N53">
            <v>0.12349696699100865</v>
          </cell>
          <cell r="O53">
            <v>0.10848134679258026</v>
          </cell>
          <cell r="P53">
            <v>0.10291338351488211</v>
          </cell>
          <cell r="Q53">
            <v>9.384151074520064E-2</v>
          </cell>
          <cell r="R53">
            <v>9.4443377012642715E-2</v>
          </cell>
        </row>
        <row r="54">
          <cell r="A54" t="str">
            <v>Total Retailing</v>
          </cell>
          <cell r="B54" t="str">
            <v>NM</v>
          </cell>
          <cell r="C54">
            <v>6.2390439899321137E-2</v>
          </cell>
          <cell r="D54">
            <v>7.1231818683475057E-2</v>
          </cell>
          <cell r="E54">
            <v>0.10571789682863786</v>
          </cell>
          <cell r="F54">
            <v>9.6857710434515631E-2</v>
          </cell>
          <cell r="G54">
            <v>0.1331638586013244</v>
          </cell>
          <cell r="H54">
            <v>0.10465536946764908</v>
          </cell>
          <cell r="I54">
            <v>0.13890630128169779</v>
          </cell>
          <cell r="J54">
            <v>0.13233712756232707</v>
          </cell>
          <cell r="K54">
            <v>0.12012072072167057</v>
          </cell>
          <cell r="L54">
            <v>9.2101687957732326E-2</v>
          </cell>
          <cell r="M54">
            <v>0.11728939399032012</v>
          </cell>
          <cell r="N54">
            <v>0.13038985901928513</v>
          </cell>
          <cell r="O54">
            <v>0.11724917920381417</v>
          </cell>
          <cell r="P54">
            <v>0.10834964204516084</v>
          </cell>
          <cell r="Q54">
            <v>0.1025438117647417</v>
          </cell>
          <cell r="R54">
            <v>9.7869918209467777E-2</v>
          </cell>
        </row>
        <row r="57">
          <cell r="A57" t="str">
            <v>MIX of Total Retailing</v>
          </cell>
        </row>
        <row r="58">
          <cell r="A58" t="str">
            <v>Store-based Retailing</v>
          </cell>
          <cell r="B58">
            <v>0.99036839086451112</v>
          </cell>
          <cell r="C58">
            <v>0.99068938943256812</v>
          </cell>
          <cell r="D58">
            <v>0.99051301336968944</v>
          </cell>
          <cell r="E58">
            <v>0.99002603828556834</v>
          </cell>
          <cell r="F58">
            <v>0.9887188631626761</v>
          </cell>
          <cell r="G58">
            <v>0.9871452979359967</v>
          </cell>
          <cell r="H58">
            <v>0.98794369594401421</v>
          </cell>
          <cell r="I58">
            <v>0.98920603046062705</v>
          </cell>
          <cell r="J58">
            <v>0.98896304716504779</v>
          </cell>
          <cell r="K58">
            <v>0.98879393821925665</v>
          </cell>
          <cell r="L58">
            <v>0.9876486200573863</v>
          </cell>
          <cell r="M58">
            <v>0.97976967409956206</v>
          </cell>
          <cell r="N58">
            <v>0.97204921035795022</v>
          </cell>
          <cell r="O58">
            <v>0.96528953343685908</v>
          </cell>
          <cell r="P58">
            <v>0.96039508912421789</v>
          </cell>
          <cell r="Q58">
            <v>0.95576476821132705</v>
          </cell>
          <cell r="R58">
            <v>0.95068278465998479</v>
          </cell>
        </row>
        <row r="59">
          <cell r="A59" t="str">
            <v>Grocery Retailers</v>
          </cell>
          <cell r="B59">
            <v>0.54967525132654738</v>
          </cell>
          <cell r="C59">
            <v>0.53464014588703435</v>
          </cell>
          <cell r="D59">
            <v>0.52615544156879657</v>
          </cell>
          <cell r="E59">
            <v>0.51583127247597249</v>
          </cell>
          <cell r="F59">
            <v>0.51667746973941464</v>
          </cell>
          <cell r="G59">
            <v>0.49603774239112119</v>
          </cell>
          <cell r="H59">
            <v>0.48555943726699119</v>
          </cell>
          <cell r="I59">
            <v>0.46077327088204112</v>
          </cell>
          <cell r="J59">
            <v>0.44837471614287572</v>
          </cell>
          <cell r="K59">
            <v>0.44427550053109743</v>
          </cell>
          <cell r="L59">
            <v>0.43394096829849876</v>
          </cell>
          <cell r="M59">
            <v>0.42132259302973285</v>
          </cell>
          <cell r="N59">
            <v>0.4108779466130113</v>
          </cell>
          <cell r="O59">
            <v>0.40240678908560762</v>
          </cell>
          <cell r="P59">
            <v>0.39538443537655144</v>
          </cell>
          <cell r="Q59">
            <v>0.38940849512133718</v>
          </cell>
          <cell r="R59">
            <v>0.38403703788329463</v>
          </cell>
        </row>
        <row r="60">
          <cell r="A60" t="str">
            <v>Hypermarkets</v>
          </cell>
          <cell r="B60">
            <v>0</v>
          </cell>
          <cell r="C60">
            <v>0</v>
          </cell>
          <cell r="D60">
            <v>0</v>
          </cell>
          <cell r="E60">
            <v>1.9433929435480106E-2</v>
          </cell>
          <cell r="F60">
            <v>3.0095238207020519E-2</v>
          </cell>
          <cell r="G60">
            <v>3.7403274726048152E-2</v>
          </cell>
          <cell r="H60">
            <v>4.4702725818444908E-2</v>
          </cell>
          <cell r="I60">
            <v>4.9047780462381639E-2</v>
          </cell>
          <cell r="J60">
            <v>5.0477222421491427E-2</v>
          </cell>
          <cell r="K60">
            <v>5.4524791773714838E-2</v>
          </cell>
          <cell r="L60">
            <v>5.6657637997901841E-2</v>
          </cell>
          <cell r="M60">
            <v>5.9128306723290107E-2</v>
          </cell>
          <cell r="N60">
            <v>6.0414081763606464E-2</v>
          </cell>
          <cell r="O60">
            <v>6.1645361668829869E-2</v>
          </cell>
          <cell r="P60">
            <v>6.28493441364531E-2</v>
          </cell>
          <cell r="Q60">
            <v>6.3846139163470803E-2</v>
          </cell>
          <cell r="R60">
            <v>6.4551637192860598E-2</v>
          </cell>
        </row>
        <row r="61">
          <cell r="A61" t="str">
            <v>Supermarkets</v>
          </cell>
          <cell r="B61">
            <v>0</v>
          </cell>
          <cell r="C61">
            <v>0</v>
          </cell>
          <cell r="D61">
            <v>0</v>
          </cell>
          <cell r="E61">
            <v>0.12587317022805175</v>
          </cell>
          <cell r="F61">
            <v>0.15380836923680033</v>
          </cell>
          <cell r="G61">
            <v>0.16259900918247755</v>
          </cell>
          <cell r="H61">
            <v>0.17599793678284448</v>
          </cell>
          <cell r="I61">
            <v>0.18233918888637807</v>
          </cell>
          <cell r="J61">
            <v>0.18840346071255262</v>
          </cell>
          <cell r="K61">
            <v>0.19208629768614957</v>
          </cell>
          <cell r="L61">
            <v>0.19031498229140487</v>
          </cell>
          <cell r="M61">
            <v>0.1870268505284815</v>
          </cell>
          <cell r="N61">
            <v>0.1803480933504038</v>
          </cell>
          <cell r="O61">
            <v>0.17513221898092066</v>
          </cell>
          <cell r="P61">
            <v>0.16986899830924337</v>
          </cell>
          <cell r="Q61">
            <v>0.16485040385979166</v>
          </cell>
          <cell r="R61">
            <v>0.15991914593474488</v>
          </cell>
        </row>
        <row r="62">
          <cell r="A62" t="str">
            <v>Discounters</v>
          </cell>
          <cell r="B62">
            <v>0</v>
          </cell>
          <cell r="C62">
            <v>0</v>
          </cell>
          <cell r="D62">
            <v>0</v>
          </cell>
          <cell r="E62">
            <v>0</v>
          </cell>
          <cell r="F62">
            <v>0</v>
          </cell>
          <cell r="G62">
            <v>1.9058465701843926E-4</v>
          </cell>
          <cell r="H62">
            <v>3.2817942394243774E-4</v>
          </cell>
          <cell r="I62">
            <v>3.2931787133785406E-4</v>
          </cell>
          <cell r="J62">
            <v>3.9989157121815317E-4</v>
          </cell>
          <cell r="K62">
            <v>4.8682849797959682E-4</v>
          </cell>
          <cell r="L62">
            <v>4.9034934537916619E-4</v>
          </cell>
          <cell r="M62">
            <v>5.1866935722184307E-4</v>
          </cell>
          <cell r="N62">
            <v>5.1766691287218785E-4</v>
          </cell>
          <cell r="O62">
            <v>5.2652341705526021E-4</v>
          </cell>
          <cell r="P62">
            <v>5.2255690514057759E-4</v>
          </cell>
          <cell r="Q62">
            <v>5.2565993912427036E-4</v>
          </cell>
          <cell r="R62">
            <v>5.1804572649912449E-4</v>
          </cell>
        </row>
        <row r="63">
          <cell r="A63" t="str">
            <v>Small Grocery Retailers</v>
          </cell>
          <cell r="B63">
            <v>0</v>
          </cell>
          <cell r="C63">
            <v>0</v>
          </cell>
          <cell r="D63">
            <v>0</v>
          </cell>
          <cell r="E63">
            <v>4.2275764568479028E-2</v>
          </cell>
          <cell r="F63">
            <v>3.7597099279602787E-2</v>
          </cell>
          <cell r="G63">
            <v>2.8593706112606684E-2</v>
          </cell>
          <cell r="H63">
            <v>2.6863829988430975E-2</v>
          </cell>
          <cell r="I63">
            <v>2.3402151231946253E-2</v>
          </cell>
          <cell r="J63">
            <v>2.1248783943364595E-2</v>
          </cell>
          <cell r="K63">
            <v>1.9878830334166868E-2</v>
          </cell>
          <cell r="L63">
            <v>1.8826443048345562E-2</v>
          </cell>
          <cell r="M63">
            <v>1.7528364431240749E-2</v>
          </cell>
          <cell r="N63">
            <v>1.5941787885041237E-2</v>
          </cell>
          <cell r="O63">
            <v>1.4605759589112918E-2</v>
          </cell>
          <cell r="P63">
            <v>1.3443964014071223E-2</v>
          </cell>
          <cell r="Q63">
            <v>1.2383169385599614E-2</v>
          </cell>
          <cell r="R63">
            <v>1.1420553516003426E-2</v>
          </cell>
        </row>
        <row r="64">
          <cell r="A64" t="str">
            <v>Food/Drink/Tobacco Specialists</v>
          </cell>
          <cell r="B64">
            <v>0</v>
          </cell>
          <cell r="C64">
            <v>0</v>
          </cell>
          <cell r="D64">
            <v>0</v>
          </cell>
          <cell r="E64">
            <v>7.955609972474768E-3</v>
          </cell>
          <cell r="F64">
            <v>7.3689377963081365E-3</v>
          </cell>
          <cell r="G64">
            <v>7.5390991803849861E-3</v>
          </cell>
          <cell r="H64">
            <v>2.2902235513697262E-2</v>
          </cell>
          <cell r="I64">
            <v>2.2002550278760375E-2</v>
          </cell>
          <cell r="J64">
            <v>2.1612321735381097E-2</v>
          </cell>
          <cell r="K64">
            <v>2.1907282409081855E-2</v>
          </cell>
          <cell r="L64">
            <v>2.2021143328846193E-2</v>
          </cell>
          <cell r="M64">
            <v>2.1877207503331584E-2</v>
          </cell>
          <cell r="N64">
            <v>2.16714193979675E-2</v>
          </cell>
          <cell r="O64">
            <v>2.1819130402769983E-2</v>
          </cell>
          <cell r="P64">
            <v>2.2251423124349683E-2</v>
          </cell>
          <cell r="Q64">
            <v>2.2904985544136239E-2</v>
          </cell>
          <cell r="R64">
            <v>2.3783008352914352E-2</v>
          </cell>
        </row>
        <row r="65">
          <cell r="A65" t="str">
            <v>Other Grocery Retailers</v>
          </cell>
          <cell r="B65">
            <v>0</v>
          </cell>
          <cell r="C65">
            <v>0</v>
          </cell>
          <cell r="D65">
            <v>0</v>
          </cell>
          <cell r="E65">
            <v>0.32029279827148677</v>
          </cell>
          <cell r="F65">
            <v>0.2878078252196829</v>
          </cell>
          <cell r="G65">
            <v>0.25473900013851053</v>
          </cell>
          <cell r="H65">
            <v>0.20977151421822118</v>
          </cell>
          <cell r="I65">
            <v>0.17871251408116912</v>
          </cell>
          <cell r="J65">
            <v>0.16127074489784254</v>
          </cell>
          <cell r="K65">
            <v>0.15044204676721212</v>
          </cell>
          <cell r="L65">
            <v>0.14080121418818997</v>
          </cell>
          <cell r="M65">
            <v>0.13042887891400534</v>
          </cell>
          <cell r="N65">
            <v>0.12722000867327382</v>
          </cell>
          <cell r="O65">
            <v>0.12396014521010379</v>
          </cell>
          <cell r="P65">
            <v>0.12179264191422287</v>
          </cell>
          <cell r="Q65">
            <v>0.12031369316996685</v>
          </cell>
          <cell r="R65">
            <v>0.11933921917526474</v>
          </cell>
        </row>
        <row r="66">
          <cell r="A66" t="str">
            <v>Non-Grocery Retailers</v>
          </cell>
          <cell r="B66">
            <v>0.44069313953796369</v>
          </cell>
          <cell r="C66">
            <v>0.45604924354553372</v>
          </cell>
          <cell r="D66">
            <v>0.46435757180089288</v>
          </cell>
          <cell r="E66">
            <v>0.47419476580959585</v>
          </cell>
          <cell r="F66">
            <v>0.47204142276614802</v>
          </cell>
          <cell r="G66">
            <v>0.49110755554487551</v>
          </cell>
          <cell r="H66">
            <v>0.50238425867702308</v>
          </cell>
          <cell r="I66">
            <v>0.52843278016095285</v>
          </cell>
          <cell r="J66">
            <v>0.54058834919906174</v>
          </cell>
          <cell r="K66">
            <v>0.54451843768815922</v>
          </cell>
          <cell r="L66">
            <v>0.55370766661795867</v>
          </cell>
          <cell r="M66">
            <v>0.55844708106982921</v>
          </cell>
          <cell r="N66">
            <v>0.56117126374493886</v>
          </cell>
          <cell r="O66">
            <v>0.56288274435125141</v>
          </cell>
          <cell r="P66">
            <v>0.56501065374766657</v>
          </cell>
          <cell r="Q66">
            <v>0.56635627308998981</v>
          </cell>
          <cell r="R66">
            <v>0.56664574677669011</v>
          </cell>
        </row>
        <row r="67">
          <cell r="A67" t="str">
            <v>Mixed Retailers</v>
          </cell>
          <cell r="B67">
            <v>0</v>
          </cell>
          <cell r="C67">
            <v>0</v>
          </cell>
          <cell r="D67">
            <v>0</v>
          </cell>
          <cell r="E67">
            <v>0.10279783312748898</v>
          </cell>
          <cell r="F67">
            <v>9.1227034423020548E-2</v>
          </cell>
          <cell r="G67">
            <v>9.0165186920951837E-2</v>
          </cell>
          <cell r="H67">
            <v>9.3062308075105557E-2</v>
          </cell>
          <cell r="I67">
            <v>9.0685908819661556E-2</v>
          </cell>
          <cell r="J67">
            <v>9.0629971549714167E-2</v>
          </cell>
          <cell r="K67">
            <v>9.2708373631914545E-2</v>
          </cell>
          <cell r="L67">
            <v>9.4577987373890698E-2</v>
          </cell>
          <cell r="M67">
            <v>9.6166618514644794E-2</v>
          </cell>
          <cell r="N67">
            <v>9.4450681284952806E-2</v>
          </cell>
          <cell r="O67">
            <v>9.2162658921352753E-2</v>
          </cell>
          <cell r="P67">
            <v>8.9813280441706903E-2</v>
          </cell>
          <cell r="Q67">
            <v>8.7578392808523933E-2</v>
          </cell>
          <cell r="R67">
            <v>8.5359807207242094E-2</v>
          </cell>
        </row>
        <row r="68">
          <cell r="A68" t="str">
            <v>Health &amp; Beauty Retailers</v>
          </cell>
          <cell r="B68">
            <v>0</v>
          </cell>
          <cell r="C68">
            <v>0</v>
          </cell>
          <cell r="D68">
            <v>0</v>
          </cell>
          <cell r="E68">
            <v>3.8716106730772262E-2</v>
          </cell>
          <cell r="F68">
            <v>7.4618960610402463E-2</v>
          </cell>
          <cell r="G68">
            <v>7.960016789058183E-2</v>
          </cell>
          <cell r="H68">
            <v>7.9653834468314533E-2</v>
          </cell>
          <cell r="I68">
            <v>8.8874660527303362E-2</v>
          </cell>
          <cell r="J68">
            <v>8.4068114403816285E-2</v>
          </cell>
          <cell r="K68">
            <v>8.3280128387709693E-2</v>
          </cell>
          <cell r="L68">
            <v>8.3671429206972264E-2</v>
          </cell>
          <cell r="M68">
            <v>8.3199884584098729E-2</v>
          </cell>
          <cell r="N68">
            <v>8.222668304690274E-2</v>
          </cell>
          <cell r="O68">
            <v>8.1158319504897811E-2</v>
          </cell>
          <cell r="P68">
            <v>8.0036715798258634E-2</v>
          </cell>
          <cell r="Q68">
            <v>7.8668025971564984E-2</v>
          </cell>
          <cell r="R68">
            <v>7.7290852558134518E-2</v>
          </cell>
        </row>
        <row r="69">
          <cell r="A69" t="str">
            <v>Clothing &amp; footwear Retailers</v>
          </cell>
          <cell r="B69">
            <v>0</v>
          </cell>
          <cell r="C69">
            <v>0</v>
          </cell>
          <cell r="D69">
            <v>0</v>
          </cell>
          <cell r="E69">
            <v>4.430000616020352E-2</v>
          </cell>
          <cell r="F69">
            <v>4.3926301232313211E-2</v>
          </cell>
          <cell r="G69">
            <v>4.0628712888849346E-2</v>
          </cell>
          <cell r="H69">
            <v>3.980197559793764E-2</v>
          </cell>
          <cell r="I69">
            <v>3.8372385939057216E-2</v>
          </cell>
          <cell r="J69">
            <v>3.9038723918367373E-2</v>
          </cell>
          <cell r="K69">
            <v>4.175299217776951E-2</v>
          </cell>
          <cell r="L69">
            <v>4.3469528904147375E-2</v>
          </cell>
          <cell r="M69">
            <v>4.4936715156843221E-2</v>
          </cell>
          <cell r="N69">
            <v>4.5318749872053914E-2</v>
          </cell>
          <cell r="O69">
            <v>4.5633142197610596E-2</v>
          </cell>
          <cell r="P69">
            <v>4.5906947151777462E-2</v>
          </cell>
          <cell r="Q69">
            <v>4.6009222057328727E-2</v>
          </cell>
          <cell r="R69">
            <v>4.5888945705597553E-2</v>
          </cell>
        </row>
        <row r="70">
          <cell r="A70" t="str">
            <v>Home &amp; Garden  Retailers</v>
          </cell>
          <cell r="B70">
            <v>0</v>
          </cell>
          <cell r="C70">
            <v>0</v>
          </cell>
          <cell r="D70">
            <v>0</v>
          </cell>
          <cell r="E70">
            <v>7.4663919700813652E-2</v>
          </cell>
          <cell r="F70">
            <v>7.8785650506854349E-2</v>
          </cell>
          <cell r="G70">
            <v>8.7161407000552513E-2</v>
          </cell>
          <cell r="H70">
            <v>9.2429390614645141E-2</v>
          </cell>
          <cell r="I70">
            <v>9.3855593331288401E-2</v>
          </cell>
          <cell r="J70">
            <v>9.6555637559583171E-2</v>
          </cell>
          <cell r="K70">
            <v>9.1815854718951956E-2</v>
          </cell>
          <cell r="L70">
            <v>9.6286780547181733E-2</v>
          </cell>
          <cell r="M70">
            <v>9.6951272157621435E-2</v>
          </cell>
          <cell r="N70">
            <v>9.4803635998274752E-2</v>
          </cell>
          <cell r="O70">
            <v>9.3078809667028903E-2</v>
          </cell>
          <cell r="P70">
            <v>9.1409454261045395E-2</v>
          </cell>
          <cell r="Q70">
            <v>8.9413893907433262E-2</v>
          </cell>
          <cell r="R70">
            <v>8.7015983696504456E-2</v>
          </cell>
        </row>
        <row r="71">
          <cell r="A71" t="str">
            <v>Electronics &amp; Appliances Retailers</v>
          </cell>
          <cell r="B71">
            <v>0</v>
          </cell>
          <cell r="C71">
            <v>0</v>
          </cell>
          <cell r="D71">
            <v>0</v>
          </cell>
          <cell r="E71">
            <v>0.11138497660892832</v>
          </cell>
          <cell r="F71">
            <v>0.11769431813146845</v>
          </cell>
          <cell r="G71">
            <v>0.12421665757030613</v>
          </cell>
          <cell r="H71">
            <v>0.12944334135786723</v>
          </cell>
          <cell r="I71">
            <v>0.14774023002894476</v>
          </cell>
          <cell r="J71">
            <v>0.16179249433694462</v>
          </cell>
          <cell r="K71">
            <v>0.16610588351063843</v>
          </cell>
          <cell r="L71">
            <v>0.16578265595137448</v>
          </cell>
          <cell r="M71">
            <v>0.16693173773970704</v>
          </cell>
          <cell r="N71">
            <v>0.16244152422787039</v>
          </cell>
          <cell r="O71">
            <v>0.15921015084916959</v>
          </cell>
          <cell r="P71">
            <v>0.15656754981475596</v>
          </cell>
          <cell r="Q71">
            <v>0.15407868379576975</v>
          </cell>
          <cell r="R71">
            <v>0.15156762088936504</v>
          </cell>
        </row>
        <row r="72">
          <cell r="A72" t="str">
            <v>Leisure &amp; Personal Goods Retailers</v>
          </cell>
          <cell r="B72">
            <v>0</v>
          </cell>
          <cell r="C72">
            <v>0</v>
          </cell>
          <cell r="D72">
            <v>0</v>
          </cell>
          <cell r="E72">
            <v>5.7817211376923923E-2</v>
          </cell>
          <cell r="F72">
            <v>5.4460397519821853E-2</v>
          </cell>
          <cell r="G72">
            <v>6.0981911315003322E-2</v>
          </cell>
          <cell r="H72">
            <v>6.3526159920286165E-2</v>
          </cell>
          <cell r="I72">
            <v>6.4772708818764166E-2</v>
          </cell>
          <cell r="J72">
            <v>6.4891495874945762E-2</v>
          </cell>
          <cell r="K72">
            <v>6.5527115828053734E-2</v>
          </cell>
          <cell r="L72">
            <v>6.6776665397999174E-2</v>
          </cell>
          <cell r="M72">
            <v>6.7373819581688643E-2</v>
          </cell>
          <cell r="N72">
            <v>6.6331955790304431E-2</v>
          </cell>
          <cell r="O72">
            <v>6.5457391208309956E-2</v>
          </cell>
          <cell r="P72">
            <v>6.4578532440736469E-2</v>
          </cell>
          <cell r="Q72">
            <v>6.3579000505883054E-2</v>
          </cell>
          <cell r="R72">
            <v>6.238526415477335E-2</v>
          </cell>
        </row>
        <row r="73">
          <cell r="A73" t="str">
            <v>Other Non-Grocery Retailers</v>
          </cell>
          <cell r="B73">
            <v>0</v>
          </cell>
          <cell r="C73">
            <v>0</v>
          </cell>
          <cell r="D73">
            <v>0</v>
          </cell>
          <cell r="E73">
            <v>4.4514712104465282E-2</v>
          </cell>
          <cell r="F73">
            <v>1.1328760342267152E-2</v>
          </cell>
          <cell r="G73">
            <v>8.3535119586305179E-3</v>
          </cell>
          <cell r="H73">
            <v>4.4672486428667573E-3</v>
          </cell>
          <cell r="I73">
            <v>4.1312926959333786E-3</v>
          </cell>
          <cell r="J73">
            <v>3.6119115556903468E-3</v>
          </cell>
          <cell r="K73">
            <v>3.3280894331213636E-3</v>
          </cell>
          <cell r="L73">
            <v>3.1426192363929318E-3</v>
          </cell>
          <cell r="M73">
            <v>2.8870333352253434E-3</v>
          </cell>
          <cell r="N73">
            <v>1.5598033524579906E-2</v>
          </cell>
          <cell r="O73">
            <v>2.6182272002881809E-2</v>
          </cell>
          <cell r="P73">
            <v>3.6698173839385673E-2</v>
          </cell>
          <cell r="Q73">
            <v>4.7029054043486104E-2</v>
          </cell>
          <cell r="R73">
            <v>5.7137272565073081E-2</v>
          </cell>
        </row>
        <row r="74">
          <cell r="A74" t="str">
            <v>Non-Store Retailing</v>
          </cell>
          <cell r="B74">
            <v>9.6316091354888417E-3</v>
          </cell>
          <cell r="C74">
            <v>9.3106105674318675E-3</v>
          </cell>
          <cell r="D74">
            <v>9.4869866303104785E-3</v>
          </cell>
          <cell r="E74">
            <v>9.9739617144316318E-3</v>
          </cell>
          <cell r="F74">
            <v>1.1281136837323917E-2</v>
          </cell>
          <cell r="G74">
            <v>1.2854702064003352E-2</v>
          </cell>
          <cell r="H74">
            <v>1.2056304055985911E-2</v>
          </cell>
          <cell r="I74">
            <v>1.0793969539373009E-2</v>
          </cell>
          <cell r="J74">
            <v>1.1036934658062623E-2</v>
          </cell>
          <cell r="K74">
            <v>1.1206061780743348E-2</v>
          </cell>
          <cell r="L74">
            <v>1.2351379942613674E-2</v>
          </cell>
          <cell r="M74">
            <v>2.0230325900437933E-2</v>
          </cell>
          <cell r="N74">
            <v>2.795077787689269E-2</v>
          </cell>
          <cell r="O74">
            <v>3.4710456032672588E-2</v>
          </cell>
          <cell r="P74">
            <v>3.96049108757821E-2</v>
          </cell>
          <cell r="Q74">
            <v>4.4235231788672988E-2</v>
          </cell>
          <cell r="R74">
            <v>4.931721534001527E-2</v>
          </cell>
        </row>
        <row r="75">
          <cell r="A75" t="str">
            <v>Vending</v>
          </cell>
          <cell r="B75">
            <v>3.6872054214879993E-4</v>
          </cell>
          <cell r="C75">
            <v>4.9254219822879232E-4</v>
          </cell>
          <cell r="D75">
            <v>5.7103700726216292E-4</v>
          </cell>
          <cell r="E75">
            <v>6.0829595960811835E-4</v>
          </cell>
          <cell r="F75">
            <v>6.3844252652817026E-4</v>
          </cell>
          <cell r="G75">
            <v>6.6712398352799607E-4</v>
          </cell>
          <cell r="H75">
            <v>6.9613888234418373E-4</v>
          </cell>
          <cell r="I75">
            <v>7.0356704974636663E-4</v>
          </cell>
          <cell r="J75">
            <v>6.7050910359523798E-4</v>
          </cell>
          <cell r="K75">
            <v>6.6095082409029925E-4</v>
          </cell>
          <cell r="L75">
            <v>6.3024749952294949E-4</v>
          </cell>
          <cell r="M75">
            <v>6.0823956544976904E-4</v>
          </cell>
          <cell r="N75">
            <v>5.9324628215152715E-4</v>
          </cell>
          <cell r="O75">
            <v>5.8980100131696134E-4</v>
          </cell>
          <cell r="P75">
            <v>5.8403810028902626E-4</v>
          </cell>
          <cell r="Q75">
            <v>5.7488239112882494E-4</v>
          </cell>
          <cell r="R75">
            <v>5.6295087197338954E-4</v>
          </cell>
        </row>
        <row r="76">
          <cell r="A76" t="str">
            <v>Homeshopping</v>
          </cell>
          <cell r="B76">
            <v>3.6721795733841763E-3</v>
          </cell>
          <cell r="C76">
            <v>2.7804998274005574E-3</v>
          </cell>
          <cell r="D76">
            <v>2.2022611940922619E-3</v>
          </cell>
          <cell r="E76">
            <v>1.7595202018950381E-3</v>
          </cell>
          <cell r="F76">
            <v>1.6830492893006152E-3</v>
          </cell>
          <cell r="G76">
            <v>1.7309022844756185E-3</v>
          </cell>
          <cell r="H76">
            <v>1.9149972628663976E-3</v>
          </cell>
          <cell r="I76">
            <v>1.6303910338928396E-3</v>
          </cell>
          <cell r="J76">
            <v>1.6191246180831005E-3</v>
          </cell>
          <cell r="K76">
            <v>1.6387296346657199E-3</v>
          </cell>
          <cell r="L76">
            <v>1.8906682032134882E-3</v>
          </cell>
          <cell r="M76">
            <v>2.0644636323143882E-3</v>
          </cell>
          <cell r="N76">
            <v>2.1687772966351416E-3</v>
          </cell>
          <cell r="O76">
            <v>2.2176007974850039E-3</v>
          </cell>
          <cell r="P76">
            <v>2.2245057431141608E-3</v>
          </cell>
          <cell r="Q76">
            <v>2.2226022485060809E-3</v>
          </cell>
          <cell r="R76">
            <v>2.1888530829462403E-3</v>
          </cell>
        </row>
        <row r="77">
          <cell r="A77" t="str">
            <v>Internet Retailing</v>
          </cell>
          <cell r="B77">
            <v>5.5729291080486457E-5</v>
          </cell>
          <cell r="C77">
            <v>7.2470798671279735E-5</v>
          </cell>
          <cell r="D77">
            <v>2.0640749358846722E-4</v>
          </cell>
          <cell r="E77">
            <v>4.2197716012815019E-4</v>
          </cell>
          <cell r="F77">
            <v>7.5317321311357084E-4</v>
          </cell>
          <cell r="G77">
            <v>9.9487262535984176E-4</v>
          </cell>
          <cell r="H77">
            <v>1.2951600965888305E-3</v>
          </cell>
          <cell r="I77">
            <v>1.533653909187345E-3</v>
          </cell>
          <cell r="J77">
            <v>1.8887969522009425E-3</v>
          </cell>
          <cell r="K77">
            <v>2.0747007822230481E-3</v>
          </cell>
          <cell r="L77">
            <v>3.0040286805034931E-3</v>
          </cell>
          <cell r="M77">
            <v>1.0647138171335691E-2</v>
          </cell>
          <cell r="N77">
            <v>1.8320408523903386E-2</v>
          </cell>
          <cell r="O77">
            <v>2.5088609152379645E-2</v>
          </cell>
          <cell r="P77">
            <v>3.0015345596097049E-2</v>
          </cell>
          <cell r="Q77">
            <v>3.4710239222236997E-2</v>
          </cell>
          <cell r="R77">
            <v>3.9858909147503091E-2</v>
          </cell>
        </row>
        <row r="78">
          <cell r="A78" t="str">
            <v>Direct Selling</v>
          </cell>
          <cell r="B78">
            <v>5.5349392279370937E-3</v>
          </cell>
          <cell r="C78">
            <v>5.9650977431312379E-3</v>
          </cell>
          <cell r="D78">
            <v>6.5072453478686914E-3</v>
          </cell>
          <cell r="E78">
            <v>7.1842005777717315E-3</v>
          </cell>
          <cell r="F78">
            <v>8.2065011512681557E-3</v>
          </cell>
          <cell r="G78">
            <v>9.4618031706398941E-3</v>
          </cell>
          <cell r="H78">
            <v>8.1499843727990736E-3</v>
          </cell>
          <cell r="I78">
            <v>6.9263369641794983E-3</v>
          </cell>
          <cell r="J78">
            <v>6.8585221610729438E-3</v>
          </cell>
          <cell r="K78">
            <v>6.8316967673808801E-3</v>
          </cell>
          <cell r="L78">
            <v>6.8264504184448148E-3</v>
          </cell>
          <cell r="M78">
            <v>6.9104845313380818E-3</v>
          </cell>
          <cell r="N78">
            <v>6.868345774202634E-3</v>
          </cell>
          <cell r="O78">
            <v>6.814445081490976E-3</v>
          </cell>
          <cell r="P78">
            <v>6.7810214362818569E-3</v>
          </cell>
          <cell r="Q78">
            <v>6.7274993094250269E-3</v>
          </cell>
          <cell r="R78">
            <v>6.706502237592552E-3</v>
          </cell>
        </row>
        <row r="79">
          <cell r="A79" t="str">
            <v>Total Retailing</v>
          </cell>
          <cell r="B79">
            <v>1</v>
          </cell>
          <cell r="C79">
            <v>1</v>
          </cell>
          <cell r="D79">
            <v>1</v>
          </cell>
          <cell r="E79">
            <v>1</v>
          </cell>
          <cell r="F79">
            <v>1</v>
          </cell>
          <cell r="G79">
            <v>1</v>
          </cell>
          <cell r="H79">
            <v>1</v>
          </cell>
          <cell r="I79">
            <v>1</v>
          </cell>
          <cell r="J79">
            <v>1</v>
          </cell>
          <cell r="K79">
            <v>1</v>
          </cell>
          <cell r="L79">
            <v>1</v>
          </cell>
          <cell r="M79">
            <v>1</v>
          </cell>
          <cell r="N79">
            <v>1</v>
          </cell>
          <cell r="O79">
            <v>1</v>
          </cell>
          <cell r="P79">
            <v>1</v>
          </cell>
          <cell r="Q79">
            <v>1</v>
          </cell>
          <cell r="R79">
            <v>1</v>
          </cell>
        </row>
        <row r="82">
          <cell r="A82" t="str">
            <v># of Sites/outlets</v>
          </cell>
        </row>
        <row r="83">
          <cell r="A83" t="str">
            <v>Store-based Retailing</v>
          </cell>
          <cell r="B83">
            <v>7042597</v>
          </cell>
          <cell r="C83">
            <v>6720147</v>
          </cell>
          <cell r="D83">
            <v>6233078</v>
          </cell>
          <cell r="E83">
            <v>5749393</v>
          </cell>
          <cell r="F83">
            <v>5535194</v>
          </cell>
          <cell r="G83">
            <v>5263856</v>
          </cell>
          <cell r="H83">
            <v>5088854</v>
          </cell>
          <cell r="I83">
            <v>5135374</v>
          </cell>
          <cell r="J83">
            <v>5191774</v>
          </cell>
          <cell r="K83">
            <v>5282073</v>
          </cell>
          <cell r="L83">
            <v>5379952</v>
          </cell>
          <cell r="M83">
            <v>5493612</v>
          </cell>
          <cell r="N83">
            <v>5607527</v>
          </cell>
          <cell r="O83">
            <v>5721796</v>
          </cell>
          <cell r="P83">
            <v>5837322</v>
          </cell>
          <cell r="Q83">
            <v>5953695</v>
          </cell>
          <cell r="R83">
            <v>6070641</v>
          </cell>
        </row>
        <row r="84">
          <cell r="A84" t="str">
            <v>Grocery Retailers</v>
          </cell>
          <cell r="B84">
            <v>6318253</v>
          </cell>
          <cell r="C84">
            <v>5938690</v>
          </cell>
          <cell r="D84">
            <v>5403160</v>
          </cell>
          <cell r="E84">
            <v>4849010</v>
          </cell>
          <cell r="F84">
            <v>4561760</v>
          </cell>
          <cell r="G84">
            <v>4168584</v>
          </cell>
          <cell r="H84">
            <v>3887133</v>
          </cell>
          <cell r="I84">
            <v>3759563</v>
          </cell>
          <cell r="J84">
            <v>3692301</v>
          </cell>
          <cell r="K84">
            <v>3671990</v>
          </cell>
          <cell r="L84">
            <v>3658416</v>
          </cell>
          <cell r="M84">
            <v>3649275</v>
          </cell>
          <cell r="N84">
            <v>3645790</v>
          </cell>
          <cell r="O84">
            <v>3646259</v>
          </cell>
          <cell r="P84">
            <v>3653328</v>
          </cell>
          <cell r="Q84">
            <v>3664114</v>
          </cell>
          <cell r="R84">
            <v>3678616</v>
          </cell>
        </row>
        <row r="85">
          <cell r="A85" t="str">
            <v>Hypermarket</v>
          </cell>
          <cell r="G85">
            <v>1290</v>
          </cell>
          <cell r="H85">
            <v>1581</v>
          </cell>
          <cell r="I85">
            <v>1959</v>
          </cell>
          <cell r="J85">
            <v>2214</v>
          </cell>
          <cell r="K85">
            <v>2480</v>
          </cell>
          <cell r="L85">
            <v>2752</v>
          </cell>
          <cell r="M85">
            <v>3028</v>
          </cell>
          <cell r="N85">
            <v>3300</v>
          </cell>
          <cell r="O85">
            <v>3564</v>
          </cell>
          <cell r="P85">
            <v>3831</v>
          </cell>
          <cell r="Q85">
            <v>4100</v>
          </cell>
        </row>
        <row r="86">
          <cell r="A86" t="str">
            <v>Supermarket</v>
          </cell>
          <cell r="G86">
            <v>57600</v>
          </cell>
          <cell r="H86">
            <v>63300</v>
          </cell>
          <cell r="I86">
            <v>69100</v>
          </cell>
          <cell r="J86">
            <v>75500</v>
          </cell>
          <cell r="K86">
            <v>81600</v>
          </cell>
          <cell r="L86">
            <v>87300</v>
          </cell>
          <cell r="M86">
            <v>92500</v>
          </cell>
          <cell r="N86">
            <v>97600</v>
          </cell>
          <cell r="O86">
            <v>102500</v>
          </cell>
          <cell r="P86">
            <v>107300</v>
          </cell>
          <cell r="Q86">
            <v>111900</v>
          </cell>
        </row>
        <row r="87">
          <cell r="A87" t="str">
            <v>Convenience Stores</v>
          </cell>
          <cell r="G87">
            <v>8989</v>
          </cell>
          <cell r="H87">
            <v>10235</v>
          </cell>
          <cell r="I87">
            <v>11463</v>
          </cell>
          <cell r="J87">
            <v>12816</v>
          </cell>
          <cell r="K87">
            <v>14225</v>
          </cell>
          <cell r="L87">
            <v>15648</v>
          </cell>
          <cell r="M87">
            <v>16900</v>
          </cell>
          <cell r="N87">
            <v>18083</v>
          </cell>
          <cell r="O87">
            <v>19258</v>
          </cell>
          <cell r="P87">
            <v>20414</v>
          </cell>
          <cell r="Q87">
            <v>21536</v>
          </cell>
        </row>
        <row r="88">
          <cell r="A88" t="str">
            <v>Others</v>
          </cell>
          <cell r="G88">
            <v>4100705</v>
          </cell>
          <cell r="H88">
            <v>3812017</v>
          </cell>
          <cell r="I88">
            <v>3677041</v>
          </cell>
          <cell r="J88">
            <v>3601771</v>
          </cell>
          <cell r="K88">
            <v>3573685</v>
          </cell>
          <cell r="L88">
            <v>3552716</v>
          </cell>
          <cell r="M88">
            <v>3536847</v>
          </cell>
          <cell r="N88">
            <v>3526807</v>
          </cell>
          <cell r="O88">
            <v>3520937</v>
          </cell>
          <cell r="P88">
            <v>3521783</v>
          </cell>
          <cell r="Q88">
            <v>3526578</v>
          </cell>
        </row>
        <row r="89">
          <cell r="A89" t="str">
            <v>Non-Grocery Retailers</v>
          </cell>
          <cell r="B89">
            <v>724344</v>
          </cell>
          <cell r="C89">
            <v>781457</v>
          </cell>
          <cell r="D89">
            <v>829918</v>
          </cell>
          <cell r="E89">
            <v>900383</v>
          </cell>
          <cell r="F89">
            <v>973434</v>
          </cell>
          <cell r="G89">
            <v>1095272</v>
          </cell>
          <cell r="H89">
            <v>1201721</v>
          </cell>
          <cell r="I89">
            <v>1375811</v>
          </cell>
          <cell r="J89">
            <v>1499473</v>
          </cell>
          <cell r="K89">
            <v>1610083</v>
          </cell>
          <cell r="L89">
            <v>1721536</v>
          </cell>
          <cell r="M89">
            <v>1844337</v>
          </cell>
          <cell r="N89">
            <v>1961737</v>
          </cell>
          <cell r="O89">
            <v>2075537</v>
          </cell>
          <cell r="P89">
            <v>2183994</v>
          </cell>
          <cell r="Q89">
            <v>2289581</v>
          </cell>
          <cell r="R89">
            <v>2392025</v>
          </cell>
        </row>
        <row r="90">
          <cell r="A90" t="str">
            <v>Mixed Retailers</v>
          </cell>
          <cell r="H90">
            <v>5600</v>
          </cell>
          <cell r="I90">
            <v>5900</v>
          </cell>
          <cell r="J90">
            <v>6100</v>
          </cell>
          <cell r="K90">
            <v>6400</v>
          </cell>
          <cell r="L90">
            <v>6600</v>
          </cell>
          <cell r="M90">
            <v>6800</v>
          </cell>
          <cell r="N90">
            <v>7100</v>
          </cell>
          <cell r="O90">
            <v>7300</v>
          </cell>
          <cell r="P90">
            <v>7500</v>
          </cell>
          <cell r="Q90">
            <v>7800</v>
          </cell>
          <cell r="R90">
            <v>8100</v>
          </cell>
        </row>
        <row r="91">
          <cell r="A91" t="str">
            <v>Health &amp; Beauty Retailers</v>
          </cell>
          <cell r="H91">
            <v>290600</v>
          </cell>
          <cell r="I91">
            <v>371300</v>
          </cell>
          <cell r="J91">
            <v>394900</v>
          </cell>
          <cell r="K91">
            <v>424600</v>
          </cell>
          <cell r="L91">
            <v>452700</v>
          </cell>
          <cell r="M91">
            <v>479100</v>
          </cell>
          <cell r="N91">
            <v>503200</v>
          </cell>
          <cell r="O91">
            <v>526200</v>
          </cell>
          <cell r="P91">
            <v>547800</v>
          </cell>
          <cell r="Q91">
            <v>567100</v>
          </cell>
          <cell r="R91">
            <v>584900</v>
          </cell>
        </row>
        <row r="92">
          <cell r="A92" t="str">
            <v>Clothing &amp; Footwear Retailers</v>
          </cell>
          <cell r="H92">
            <v>248481</v>
          </cell>
          <cell r="I92">
            <v>275811</v>
          </cell>
          <cell r="J92">
            <v>309460</v>
          </cell>
          <cell r="K92">
            <v>341334</v>
          </cell>
          <cell r="L92">
            <v>369665</v>
          </cell>
          <cell r="M92">
            <v>403305</v>
          </cell>
          <cell r="N92">
            <v>437585</v>
          </cell>
          <cell r="O92">
            <v>470404</v>
          </cell>
          <cell r="P92">
            <v>500981</v>
          </cell>
          <cell r="Q92">
            <v>531040</v>
          </cell>
          <cell r="R92">
            <v>560247</v>
          </cell>
        </row>
        <row r="93">
          <cell r="A93" t="str">
            <v>Home &amp; Garden Retailers</v>
          </cell>
          <cell r="H93">
            <v>131405</v>
          </cell>
          <cell r="I93">
            <v>147173</v>
          </cell>
          <cell r="J93">
            <v>166306</v>
          </cell>
          <cell r="K93">
            <v>172958</v>
          </cell>
          <cell r="L93">
            <v>185930</v>
          </cell>
          <cell r="M93">
            <v>198016</v>
          </cell>
          <cell r="N93">
            <v>208906</v>
          </cell>
          <cell r="O93">
            <v>219770</v>
          </cell>
          <cell r="P93">
            <v>230318</v>
          </cell>
          <cell r="Q93">
            <v>240683</v>
          </cell>
          <cell r="R93">
            <v>250792</v>
          </cell>
        </row>
        <row r="94">
          <cell r="A94" t="str">
            <v>Electronics &amp; Appliances Retailers</v>
          </cell>
          <cell r="H94">
            <v>34700</v>
          </cell>
          <cell r="I94">
            <v>43300</v>
          </cell>
          <cell r="J94">
            <v>51600</v>
          </cell>
          <cell r="K94">
            <v>62900</v>
          </cell>
          <cell r="L94">
            <v>70800</v>
          </cell>
          <cell r="M94">
            <v>82100</v>
          </cell>
          <cell r="N94">
            <v>92400</v>
          </cell>
          <cell r="O94">
            <v>103000</v>
          </cell>
          <cell r="P94">
            <v>113800</v>
          </cell>
          <cell r="Q94">
            <v>125200</v>
          </cell>
          <cell r="R94">
            <v>136500</v>
          </cell>
        </row>
        <row r="95">
          <cell r="A95" t="str">
            <v>Leisure &amp; Personal goods</v>
          </cell>
          <cell r="H95">
            <v>190300</v>
          </cell>
          <cell r="I95">
            <v>213100</v>
          </cell>
          <cell r="J95">
            <v>234300</v>
          </cell>
          <cell r="K95">
            <v>252400</v>
          </cell>
          <cell r="L95">
            <v>272000</v>
          </cell>
          <cell r="M95">
            <v>295300</v>
          </cell>
          <cell r="N95">
            <v>318400</v>
          </cell>
          <cell r="O95">
            <v>340600</v>
          </cell>
          <cell r="P95">
            <v>362300</v>
          </cell>
          <cell r="Q95">
            <v>384300</v>
          </cell>
          <cell r="R95">
            <v>406500</v>
          </cell>
        </row>
        <row r="98">
          <cell r="A98" t="str">
            <v>YoY Growth</v>
          </cell>
        </row>
        <row r="99">
          <cell r="A99" t="str">
            <v>Store-based Retailing</v>
          </cell>
          <cell r="C99">
            <v>-4.5785666849885054E-2</v>
          </cell>
          <cell r="D99">
            <v>-7.2478920475995579E-2</v>
          </cell>
          <cell r="E99">
            <v>-7.7599702747182087E-2</v>
          </cell>
          <cell r="F99">
            <v>-3.7255932930658986E-2</v>
          </cell>
          <cell r="G99">
            <v>-4.902050406905345E-2</v>
          </cell>
          <cell r="H99">
            <v>-3.3245970254505486E-2</v>
          </cell>
          <cell r="I99">
            <v>9.1415473896481192E-3</v>
          </cell>
          <cell r="J99">
            <v>1.0982647028239922E-2</v>
          </cell>
          <cell r="K99">
            <v>1.7392706231049271E-2</v>
          </cell>
          <cell r="L99">
            <v>1.8530414100675907E-2</v>
          </cell>
          <cell r="M99">
            <v>2.1126582542000394E-2</v>
          </cell>
          <cell r="N99">
            <v>2.0735901989437977E-2</v>
          </cell>
          <cell r="O99">
            <v>2.0377788640161709E-2</v>
          </cell>
          <cell r="P99">
            <v>2.0190513607964977E-2</v>
          </cell>
          <cell r="Q99">
            <v>1.9936025458249462E-2</v>
          </cell>
          <cell r="R99">
            <v>1.9642591701455991E-2</v>
          </cell>
        </row>
        <row r="100">
          <cell r="A100" t="str">
            <v>Grocery Retailers</v>
          </cell>
          <cell r="C100">
            <v>-6.0074042619059465E-2</v>
          </cell>
          <cell r="D100">
            <v>-9.0176453056145411E-2</v>
          </cell>
          <cell r="E100">
            <v>-0.10256035357087334</v>
          </cell>
          <cell r="F100">
            <v>-5.9238896187056689E-2</v>
          </cell>
          <cell r="G100">
            <v>-8.6189540878959026E-2</v>
          </cell>
          <cell r="H100">
            <v>-6.7517171298455247E-2</v>
          </cell>
          <cell r="I100">
            <v>-3.2818532321893801E-2</v>
          </cell>
          <cell r="J100">
            <v>-1.7890909129598342E-2</v>
          </cell>
          <cell r="K100">
            <v>-5.5009058037250869E-3</v>
          </cell>
          <cell r="L100">
            <v>-3.6966331607657388E-3</v>
          </cell>
          <cell r="M100">
            <v>-2.498622354592861E-3</v>
          </cell>
          <cell r="N100">
            <v>-9.5498420919226668E-4</v>
          </cell>
          <cell r="O100">
            <v>1.2864152899649817E-4</v>
          </cell>
          <cell r="P100">
            <v>1.9386993628263127E-3</v>
          </cell>
          <cell r="Q100">
            <v>2.9523765728125539E-3</v>
          </cell>
          <cell r="R100">
            <v>3.9578462897169597E-3</v>
          </cell>
        </row>
        <row r="101">
          <cell r="A101" t="str">
            <v>Non-Grocery Retailers</v>
          </cell>
          <cell r="C101">
            <v>7.88478954750782E-2</v>
          </cell>
          <cell r="D101">
            <v>6.2013648863597171E-2</v>
          </cell>
          <cell r="E101">
            <v>8.4905978662952242E-2</v>
          </cell>
          <cell r="F101">
            <v>8.1133251072043722E-2</v>
          </cell>
          <cell r="G101">
            <v>0.12516308244832208</v>
          </cell>
          <cell r="H101">
            <v>9.7189556566770641E-2</v>
          </cell>
          <cell r="I101">
            <v>0.14486723623869424</v>
          </cell>
          <cell r="J101">
            <v>8.9882985380986158E-2</v>
          </cell>
          <cell r="K101">
            <v>7.3765916425304168E-2</v>
          </cell>
          <cell r="L101">
            <v>6.9221897256228404E-2</v>
          </cell>
          <cell r="M101">
            <v>7.1332228893267402E-2</v>
          </cell>
          <cell r="N101">
            <v>6.3654310464952957E-2</v>
          </cell>
          <cell r="O101">
            <v>5.8009814771297075E-2</v>
          </cell>
          <cell r="P101">
            <v>5.2254910415955091E-2</v>
          </cell>
          <cell r="Q101">
            <v>4.8345828788906919E-2</v>
          </cell>
          <cell r="R101">
            <v>4.4743557882424678E-2</v>
          </cell>
        </row>
        <row r="103">
          <cell r="A103" t="str">
            <v>Mix</v>
          </cell>
        </row>
        <row r="104">
          <cell r="A104" t="str">
            <v>Store-based Retailing</v>
          </cell>
          <cell r="C104">
            <v>1</v>
          </cell>
          <cell r="D104">
            <v>1</v>
          </cell>
          <cell r="E104">
            <v>1</v>
          </cell>
          <cell r="F104">
            <v>1</v>
          </cell>
          <cell r="G104">
            <v>1</v>
          </cell>
          <cell r="H104">
            <v>1</v>
          </cell>
          <cell r="I104">
            <v>1</v>
          </cell>
          <cell r="J104">
            <v>1</v>
          </cell>
          <cell r="K104">
            <v>1</v>
          </cell>
          <cell r="L104">
            <v>1</v>
          </cell>
          <cell r="M104">
            <v>1</v>
          </cell>
          <cell r="N104">
            <v>1</v>
          </cell>
          <cell r="O104">
            <v>1</v>
          </cell>
          <cell r="P104">
            <v>1</v>
          </cell>
          <cell r="Q104">
            <v>1</v>
          </cell>
          <cell r="R104">
            <v>1</v>
          </cell>
        </row>
        <row r="105">
          <cell r="A105" t="str">
            <v>Grocery Retailers</v>
          </cell>
          <cell r="C105">
            <v>0.88371429970207493</v>
          </cell>
          <cell r="D105">
            <v>0.86685262080788983</v>
          </cell>
          <cell r="E105">
            <v>0.84339512014572671</v>
          </cell>
          <cell r="F105">
            <v>0.8241373292426607</v>
          </cell>
          <cell r="G105">
            <v>0.79192591894611097</v>
          </cell>
          <cell r="H105">
            <v>0.76385233296140942</v>
          </cell>
          <cell r="I105">
            <v>0.73209137250763046</v>
          </cell>
          <cell r="J105">
            <v>0.71118292129048766</v>
          </cell>
          <cell r="K105">
            <v>0.69517971447952343</v>
          </cell>
          <cell r="L105">
            <v>0.6800090409728563</v>
          </cell>
          <cell r="M105">
            <v>0.66427607191771099</v>
          </cell>
          <cell r="N105">
            <v>0.65016004381253978</v>
          </cell>
          <cell r="O105">
            <v>0.6372577771035528</v>
          </cell>
          <cell r="P105">
            <v>0.62585685696283333</v>
          </cell>
          <cell r="Q105">
            <v>0.6154352885057095</v>
          </cell>
          <cell r="R105">
            <v>0.6059682988995726</v>
          </cell>
        </row>
        <row r="106">
          <cell r="A106" t="str">
            <v>Non-Grocery Retailers</v>
          </cell>
          <cell r="C106">
            <v>0.11628570029792502</v>
          </cell>
          <cell r="D106">
            <v>0.13314737919211023</v>
          </cell>
          <cell r="E106">
            <v>0.15660487985427332</v>
          </cell>
          <cell r="F106">
            <v>0.1758626707573393</v>
          </cell>
          <cell r="G106">
            <v>0.208074081053889</v>
          </cell>
          <cell r="H106">
            <v>0.23614766703859061</v>
          </cell>
          <cell r="I106">
            <v>0.2679086274923696</v>
          </cell>
          <cell r="J106">
            <v>0.2888170787095124</v>
          </cell>
          <cell r="K106">
            <v>0.30482028552047652</v>
          </cell>
          <cell r="L106">
            <v>0.31999095902714375</v>
          </cell>
          <cell r="M106">
            <v>0.33572392808228901</v>
          </cell>
          <cell r="N106">
            <v>0.34983995618746017</v>
          </cell>
          <cell r="O106">
            <v>0.3627422228964472</v>
          </cell>
          <cell r="P106">
            <v>0.37414314303716673</v>
          </cell>
          <cell r="Q106">
            <v>0.3845647114942905</v>
          </cell>
          <cell r="R106">
            <v>0.39403170110042746</v>
          </cell>
        </row>
        <row r="109">
          <cell r="A109" t="str">
            <v>Penetration</v>
          </cell>
        </row>
        <row r="110">
          <cell r="A110" t="str">
            <v># of Store per '000 Capita</v>
          </cell>
        </row>
        <row r="111">
          <cell r="A111" t="str">
            <v>Grocery Retailers</v>
          </cell>
          <cell r="B111">
            <v>5.0230176649229632</v>
          </cell>
          <cell r="C111">
            <v>4.6856157736521942</v>
          </cell>
          <cell r="D111">
            <v>4.2335555956028115</v>
          </cell>
          <cell r="E111">
            <v>3.7749293515916329</v>
          </cell>
          <cell r="F111">
            <v>3.5300362927252045</v>
          </cell>
          <cell r="G111">
            <v>3.2068990983783117</v>
          </cell>
          <cell r="H111">
            <v>2.9728142494417082</v>
          </cell>
          <cell r="I111">
            <v>2.8601142657172418</v>
          </cell>
          <cell r="J111">
            <v>2.7944667711100517</v>
          </cell>
          <cell r="K111">
            <v>2.7650110691104048</v>
          </cell>
          <cell r="L111">
            <v>2.7414132633945298</v>
          </cell>
          <cell r="M111">
            <v>2.7214913752600851</v>
          </cell>
          <cell r="N111">
            <v>2.7203059931061717</v>
          </cell>
          <cell r="O111">
            <v>2.7094160753708092</v>
          </cell>
          <cell r="P111">
            <v>2.7036526894525719</v>
          </cell>
          <cell r="Q111">
            <v>2.7009060727216974</v>
          </cell>
          <cell r="R111">
            <v>2.701237103348856</v>
          </cell>
        </row>
        <row r="112">
          <cell r="A112" t="str">
            <v>Non-Grocery Retailers</v>
          </cell>
          <cell r="B112">
            <v>0.57585422861049707</v>
          </cell>
          <cell r="C112">
            <v>0.61656817339024639</v>
          </cell>
          <cell r="D112">
            <v>0.65026836014322986</v>
          </cell>
          <cell r="E112">
            <v>0.70094353576794621</v>
          </cell>
          <cell r="F112">
            <v>0.75327447050538976</v>
          </cell>
          <cell r="G112">
            <v>0.84259470104932765</v>
          </cell>
          <cell r="H112">
            <v>0.91905610449998465</v>
          </cell>
          <cell r="I112">
            <v>1.0466579940356644</v>
          </cell>
          <cell r="J112">
            <v>1.1348553307752272</v>
          </cell>
          <cell r="K112">
            <v>1.2123936386500203</v>
          </cell>
          <cell r="L112">
            <v>1.2900232296740353</v>
          </cell>
          <cell r="M112">
            <v>1.3754368302123188</v>
          </cell>
          <cell r="N112">
            <v>1.4637499466502792</v>
          </cell>
          <cell r="O112">
            <v>1.5422638141796574</v>
          </cell>
          <cell r="P112">
            <v>1.6162691255338366</v>
          </cell>
          <cell r="Q112">
            <v>1.6877049204495866</v>
          </cell>
          <cell r="R112">
            <v>1.7564830583398883</v>
          </cell>
        </row>
        <row r="115">
          <cell r="A115" t="str">
            <v>Selling Space (mn sqm)</v>
          </cell>
        </row>
        <row r="116">
          <cell r="A116" t="str">
            <v>Grocery Retailers</v>
          </cell>
        </row>
        <row r="117">
          <cell r="A117" t="str">
            <v>Hypermarket</v>
          </cell>
          <cell r="G117">
            <v>9.5969999999999995</v>
          </cell>
          <cell r="H117">
            <v>11.9963</v>
          </cell>
          <cell r="I117">
            <v>15.055300000000001</v>
          </cell>
          <cell r="J117">
            <v>16.861899999999999</v>
          </cell>
          <cell r="K117">
            <v>19.289899999999999</v>
          </cell>
          <cell r="L117">
            <v>21.604700000000001</v>
          </cell>
          <cell r="M117">
            <v>23.981300000000001</v>
          </cell>
          <cell r="N117">
            <v>26.139600000000002</v>
          </cell>
          <cell r="O117">
            <v>28.230699999999999</v>
          </cell>
          <cell r="P117">
            <v>30.347999999999999</v>
          </cell>
          <cell r="Q117">
            <v>32.4724</v>
          </cell>
        </row>
        <row r="118">
          <cell r="A118" t="str">
            <v>Supermarket</v>
          </cell>
          <cell r="G118">
            <v>44.4</v>
          </cell>
          <cell r="H118">
            <v>52.9</v>
          </cell>
          <cell r="I118">
            <v>63.4</v>
          </cell>
          <cell r="J118">
            <v>73</v>
          </cell>
          <cell r="K118">
            <v>79.5</v>
          </cell>
          <cell r="L118">
            <v>85.1</v>
          </cell>
          <cell r="M118">
            <v>90</v>
          </cell>
          <cell r="N118">
            <v>94.7</v>
          </cell>
          <cell r="O118">
            <v>99</v>
          </cell>
          <cell r="P118">
            <v>103.2</v>
          </cell>
          <cell r="Q118">
            <v>107.4</v>
          </cell>
        </row>
        <row r="119">
          <cell r="A119" t="str">
            <v>Convenience Stores</v>
          </cell>
          <cell r="G119">
            <v>0.89890000000000003</v>
          </cell>
          <cell r="H119">
            <v>1.0235000000000001</v>
          </cell>
          <cell r="I119">
            <v>1.1463000000000001</v>
          </cell>
          <cell r="J119">
            <v>1.2816000000000001</v>
          </cell>
          <cell r="K119">
            <v>1.4226000000000001</v>
          </cell>
          <cell r="L119">
            <v>1.5862000000000001</v>
          </cell>
          <cell r="M119">
            <v>1.7289000000000001</v>
          </cell>
          <cell r="N119">
            <v>1.8672</v>
          </cell>
          <cell r="O119">
            <v>1.9979</v>
          </cell>
          <cell r="P119">
            <v>2.1278000000000001</v>
          </cell>
          <cell r="Q119">
            <v>2.2555000000000001</v>
          </cell>
        </row>
        <row r="120">
          <cell r="A120" t="str">
            <v>Non-grocery Retailers</v>
          </cell>
        </row>
        <row r="121">
          <cell r="A121" t="str">
            <v>Mixed Retailers</v>
          </cell>
          <cell r="H121">
            <v>55.8</v>
          </cell>
          <cell r="I121">
            <v>59.3</v>
          </cell>
          <cell r="J121">
            <v>62.8</v>
          </cell>
          <cell r="K121">
            <v>66.3</v>
          </cell>
          <cell r="L121">
            <v>69.400000000000006</v>
          </cell>
          <cell r="M121">
            <v>73.2</v>
          </cell>
          <cell r="N121">
            <v>76.900000000000006</v>
          </cell>
          <cell r="O121">
            <v>80.3</v>
          </cell>
          <cell r="P121">
            <v>83.6</v>
          </cell>
          <cell r="Q121">
            <v>86.5</v>
          </cell>
          <cell r="R121">
            <v>89.3</v>
          </cell>
        </row>
        <row r="122">
          <cell r="A122" t="str">
            <v>Health &amp; Beauty Retailers</v>
          </cell>
          <cell r="H122">
            <v>25.5</v>
          </cell>
          <cell r="I122">
            <v>32.1</v>
          </cell>
          <cell r="J122">
            <v>34.1</v>
          </cell>
          <cell r="K122">
            <v>37.4</v>
          </cell>
          <cell r="L122">
            <v>40.5</v>
          </cell>
          <cell r="M122">
            <v>43.6</v>
          </cell>
          <cell r="N122">
            <v>46.4</v>
          </cell>
          <cell r="O122">
            <v>48.9</v>
          </cell>
          <cell r="P122">
            <v>51.2</v>
          </cell>
          <cell r="Q122">
            <v>53.3</v>
          </cell>
          <cell r="R122">
            <v>55.1</v>
          </cell>
        </row>
        <row r="123">
          <cell r="A123" t="str">
            <v>Clothing &amp; Footwear Retailers</v>
          </cell>
          <cell r="H123">
            <v>22.777400000000004</v>
          </cell>
          <cell r="I123">
            <v>25.351299999999998</v>
          </cell>
          <cell r="J123">
            <v>28.5962</v>
          </cell>
          <cell r="K123">
            <v>31.942</v>
          </cell>
          <cell r="L123">
            <v>35.072300000000006</v>
          </cell>
          <cell r="M123">
            <v>38.754899999999999</v>
          </cell>
          <cell r="N123">
            <v>42.242900000000006</v>
          </cell>
          <cell r="O123">
            <v>45.411099999999998</v>
          </cell>
          <cell r="P123">
            <v>48.589800000000004</v>
          </cell>
          <cell r="Q123">
            <v>51.748199999999997</v>
          </cell>
          <cell r="R123">
            <v>54.853099999999998</v>
          </cell>
        </row>
        <row r="124">
          <cell r="A124" t="str">
            <v>Home &amp; Garden Retailers</v>
          </cell>
          <cell r="H124">
            <v>19.72</v>
          </cell>
          <cell r="I124">
            <v>22.480799999999999</v>
          </cell>
          <cell r="J124">
            <v>25.852499999999999</v>
          </cell>
          <cell r="K124">
            <v>26.757300000000001</v>
          </cell>
          <cell r="L124">
            <v>29.031700000000001</v>
          </cell>
          <cell r="M124">
            <v>31.0639</v>
          </cell>
          <cell r="N124">
            <v>33.083100000000002</v>
          </cell>
          <cell r="O124">
            <v>35.068100000000001</v>
          </cell>
          <cell r="P124">
            <v>36.9968</v>
          </cell>
          <cell r="Q124">
            <v>38.846699999999998</v>
          </cell>
          <cell r="R124">
            <v>40.594799999999999</v>
          </cell>
        </row>
        <row r="125">
          <cell r="A125" t="str">
            <v>Electronics &amp; Appliances Retailers</v>
          </cell>
          <cell r="H125">
            <v>30</v>
          </cell>
          <cell r="I125">
            <v>38.700000000000003</v>
          </cell>
          <cell r="J125">
            <v>47.6</v>
          </cell>
          <cell r="K125">
            <v>56.1</v>
          </cell>
          <cell r="L125">
            <v>61.8</v>
          </cell>
          <cell r="M125">
            <v>70.400000000000006</v>
          </cell>
          <cell r="N125">
            <v>78.2</v>
          </cell>
          <cell r="O125">
            <v>86</v>
          </cell>
          <cell r="P125">
            <v>94.1</v>
          </cell>
          <cell r="Q125">
            <v>102.6</v>
          </cell>
          <cell r="R125">
            <v>111.3</v>
          </cell>
        </row>
        <row r="126">
          <cell r="A126" t="str">
            <v>Leisure &amp; Personal goods</v>
          </cell>
          <cell r="H126">
            <v>28.6</v>
          </cell>
          <cell r="I126">
            <v>32</v>
          </cell>
          <cell r="J126">
            <v>35.200000000000003</v>
          </cell>
          <cell r="K126">
            <v>37.6</v>
          </cell>
          <cell r="L126">
            <v>40</v>
          </cell>
          <cell r="M126">
            <v>43</v>
          </cell>
          <cell r="N126">
            <v>45.6</v>
          </cell>
          <cell r="O126">
            <v>48.3</v>
          </cell>
          <cell r="P126">
            <v>50.7</v>
          </cell>
          <cell r="Q126">
            <v>53.2</v>
          </cell>
          <cell r="R126">
            <v>55.7</v>
          </cell>
        </row>
        <row r="128">
          <cell r="A128" t="str">
            <v>YoY Growth</v>
          </cell>
        </row>
        <row r="129">
          <cell r="A129" t="str">
            <v>Grocery Retailers</v>
          </cell>
        </row>
        <row r="130">
          <cell r="A130" t="str">
            <v>Hypermarket</v>
          </cell>
          <cell r="H130">
            <v>0.25000520996144626</v>
          </cell>
          <cell r="I130">
            <v>0.25499529021448297</v>
          </cell>
          <cell r="J130">
            <v>0.11999760881550015</v>
          </cell>
          <cell r="K130">
            <v>0.1439932629181766</v>
          </cell>
          <cell r="L130">
            <v>0.1200006220872063</v>
          </cell>
          <cell r="M130">
            <v>0.1100038417566549</v>
          </cell>
          <cell r="N130">
            <v>8.9999291114326585E-2</v>
          </cell>
          <cell r="O130">
            <v>7.9997398582992707E-2</v>
          </cell>
          <cell r="P130">
            <v>7.4999911443924594E-2</v>
          </cell>
          <cell r="Q130">
            <v>7.0001318044022653E-2</v>
          </cell>
        </row>
        <row r="131">
          <cell r="A131" t="str">
            <v>Supermarket</v>
          </cell>
          <cell r="H131">
            <v>0.19144144144144137</v>
          </cell>
          <cell r="I131">
            <v>0.19848771266540632</v>
          </cell>
          <cell r="J131">
            <v>0.1514195583596214</v>
          </cell>
          <cell r="K131">
            <v>8.9041095890410871E-2</v>
          </cell>
          <cell r="L131">
            <v>7.0440251572327028E-2</v>
          </cell>
          <cell r="M131">
            <v>5.7579318448883754E-2</v>
          </cell>
          <cell r="N131">
            <v>5.222222222222217E-2</v>
          </cell>
          <cell r="O131">
            <v>4.5406546990496288E-2</v>
          </cell>
          <cell r="P131">
            <v>4.2424242424242475E-2</v>
          </cell>
          <cell r="Q131">
            <v>4.0697674418604723E-2</v>
          </cell>
        </row>
        <row r="132">
          <cell r="A132" t="str">
            <v>Discounters</v>
          </cell>
          <cell r="H132">
            <v>0.13861386138613874</v>
          </cell>
          <cell r="I132">
            <v>0.11998045920859801</v>
          </cell>
          <cell r="J132">
            <v>0.11803192881444646</v>
          </cell>
          <cell r="K132">
            <v>0.11001872659176026</v>
          </cell>
          <cell r="L132">
            <v>0.11500070293828202</v>
          </cell>
          <cell r="M132">
            <v>8.996343462362888E-2</v>
          </cell>
          <cell r="N132">
            <v>7.9993059170570868E-2</v>
          </cell>
          <cell r="O132">
            <v>6.9997857754927173E-2</v>
          </cell>
          <cell r="P132">
            <v>6.5018269182641752E-2</v>
          </cell>
          <cell r="Q132">
            <v>6.0015039007425441E-2</v>
          </cell>
        </row>
        <row r="133">
          <cell r="A133" t="str">
            <v>Non-grocery Retailers</v>
          </cell>
        </row>
        <row r="134">
          <cell r="A134" t="str">
            <v>Mixed Retailers</v>
          </cell>
          <cell r="I134">
            <v>6.2724014336917655E-2</v>
          </cell>
          <cell r="J134">
            <v>5.9021922428330598E-2</v>
          </cell>
          <cell r="K134">
            <v>5.5732484076433053E-2</v>
          </cell>
          <cell r="L134">
            <v>4.6757164404223284E-2</v>
          </cell>
          <cell r="M134">
            <v>5.4755043227665556E-2</v>
          </cell>
          <cell r="N134">
            <v>5.0546448087431806E-2</v>
          </cell>
          <cell r="O134">
            <v>4.4213263979193673E-2</v>
          </cell>
          <cell r="P134">
            <v>4.1095890410958846E-2</v>
          </cell>
          <cell r="Q134">
            <v>3.4688995215311103E-2</v>
          </cell>
          <cell r="R134">
            <v>3.2369942196531776E-2</v>
          </cell>
        </row>
        <row r="135">
          <cell r="A135" t="str">
            <v>Health &amp; Beauty Retailers</v>
          </cell>
          <cell r="I135">
            <v>0.25882352941176467</v>
          </cell>
          <cell r="J135">
            <v>6.230529595015577E-2</v>
          </cell>
          <cell r="K135">
            <v>9.6774193548387011E-2</v>
          </cell>
          <cell r="L135">
            <v>8.2887700534759468E-2</v>
          </cell>
          <cell r="M135">
            <v>7.6543209876543283E-2</v>
          </cell>
          <cell r="N135">
            <v>6.4220183486238369E-2</v>
          </cell>
          <cell r="O135">
            <v>5.3879310344827624E-2</v>
          </cell>
          <cell r="P135">
            <v>4.7034764826175968E-2</v>
          </cell>
          <cell r="Q135">
            <v>4.1015624999999778E-2</v>
          </cell>
          <cell r="R135">
            <v>3.3771106941838713E-2</v>
          </cell>
        </row>
        <row r="136">
          <cell r="A136" t="str">
            <v>Clothing &amp; Footwear Retailers</v>
          </cell>
          <cell r="I136">
            <v>0.11300236199039371</v>
          </cell>
          <cell r="J136">
            <v>0.12799738080492928</v>
          </cell>
          <cell r="K136">
            <v>0.11700155964778536</v>
          </cell>
          <cell r="L136">
            <v>9.7999499092104703E-2</v>
          </cell>
          <cell r="M136">
            <v>0.10500024235650329</v>
          </cell>
          <cell r="N136">
            <v>9.0001522388136967E-2</v>
          </cell>
          <cell r="O136">
            <v>7.4999585729199181E-2</v>
          </cell>
          <cell r="P136">
            <v>6.9998304379325971E-2</v>
          </cell>
          <cell r="Q136">
            <v>6.5001296568415468E-2</v>
          </cell>
          <cell r="R136">
            <v>6.0000154594749278E-2</v>
          </cell>
        </row>
        <row r="137">
          <cell r="A137" t="str">
            <v>Home &amp; Garden Retailers</v>
          </cell>
          <cell r="I137">
            <v>0.1399999999999999</v>
          </cell>
          <cell r="J137">
            <v>0.1499813173908402</v>
          </cell>
          <cell r="K137">
            <v>3.4998549463301387E-2</v>
          </cell>
          <cell r="L137">
            <v>8.5001102502868298E-2</v>
          </cell>
          <cell r="M137">
            <v>6.9999345542975488E-2</v>
          </cell>
          <cell r="N137">
            <v>6.5001496914424806E-2</v>
          </cell>
          <cell r="O137">
            <v>6.0000423176788109E-2</v>
          </cell>
          <cell r="P137">
            <v>5.4998702524516663E-2</v>
          </cell>
          <cell r="Q137">
            <v>5.0001621761882165E-2</v>
          </cell>
          <cell r="R137">
            <v>4.4999961386681608E-2</v>
          </cell>
        </row>
        <row r="138">
          <cell r="A138" t="str">
            <v>Electronics &amp; Appliances Retailers</v>
          </cell>
          <cell r="I138">
            <v>0.29000000000000004</v>
          </cell>
          <cell r="J138">
            <v>0.22997416020671824</v>
          </cell>
          <cell r="K138">
            <v>0.1785714285714286</v>
          </cell>
          <cell r="L138">
            <v>0.10160427807486627</v>
          </cell>
          <cell r="M138">
            <v>0.13915857605178017</v>
          </cell>
          <cell r="N138">
            <v>0.11079545454545459</v>
          </cell>
          <cell r="O138">
            <v>9.9744245524296726E-2</v>
          </cell>
          <cell r="P138">
            <v>9.4186046511627763E-2</v>
          </cell>
          <cell r="Q138">
            <v>9.0329436769394311E-2</v>
          </cell>
          <cell r="R138">
            <v>8.4795321637426868E-2</v>
          </cell>
        </row>
        <row r="139">
          <cell r="A139" t="str">
            <v>Leisure &amp; Personal goods</v>
          </cell>
          <cell r="I139">
            <v>0.11888111888111874</v>
          </cell>
          <cell r="J139">
            <v>0.10000000000000009</v>
          </cell>
          <cell r="K139">
            <v>6.8181818181818121E-2</v>
          </cell>
          <cell r="L139">
            <v>6.3829787234042534E-2</v>
          </cell>
          <cell r="M139">
            <v>7.4999999999999956E-2</v>
          </cell>
          <cell r="N139">
            <v>6.0465116279069697E-2</v>
          </cell>
          <cell r="O139">
            <v>5.921052631578938E-2</v>
          </cell>
          <cell r="P139">
            <v>4.9689440993788914E-2</v>
          </cell>
          <cell r="Q139">
            <v>4.9309664694280109E-2</v>
          </cell>
          <cell r="R139">
            <v>4.6992481203007586E-2</v>
          </cell>
        </row>
        <row r="141">
          <cell r="A141" t="str">
            <v xml:space="preserve">Grocery Retailer - Traditional vs. Modern </v>
          </cell>
        </row>
        <row r="142">
          <cell r="A142" t="str">
            <v>Traditional</v>
          </cell>
          <cell r="D142">
            <v>0.79</v>
          </cell>
          <cell r="E142">
            <v>0.71830498184791558</v>
          </cell>
          <cell r="F142">
            <v>0.64406497628671078</v>
          </cell>
          <cell r="G142">
            <v>0.58639047107458286</v>
          </cell>
          <cell r="H142">
            <v>0.53451248148151898</v>
          </cell>
          <cell r="I142">
            <v>0.48639369892888207</v>
          </cell>
          <cell r="J142">
            <v>0.45527065471626893</v>
          </cell>
          <cell r="K142">
            <v>0.43267783004164484</v>
          </cell>
          <cell r="L142">
            <v>0.41860256079907476</v>
          </cell>
          <cell r="M142">
            <v>0.40309837084049371</v>
          </cell>
          <cell r="N142">
            <v>0.40117318857108697</v>
          </cell>
          <cell r="O142">
            <v>0.39856443666477637</v>
          </cell>
          <cell r="P142">
            <v>0.39831620812958213</v>
          </cell>
          <cell r="Q142">
            <v>0.39958514015267732</v>
          </cell>
          <cell r="R142">
            <v>0.40241634477752286</v>
          </cell>
        </row>
        <row r="143">
          <cell r="A143" t="str">
            <v>Modern</v>
          </cell>
          <cell r="D143">
            <v>0.21</v>
          </cell>
          <cell r="E143">
            <v>0.28169501815208442</v>
          </cell>
          <cell r="F143">
            <v>0.35593502371328928</v>
          </cell>
          <cell r="G143">
            <v>0.41360952892541708</v>
          </cell>
          <cell r="H143">
            <v>0.46548751851848097</v>
          </cell>
          <cell r="I143">
            <v>0.51360630107111793</v>
          </cell>
          <cell r="J143">
            <v>0.54472934528373107</v>
          </cell>
          <cell r="K143">
            <v>0.56732216995835516</v>
          </cell>
          <cell r="L143">
            <v>0.58139743920092524</v>
          </cell>
          <cell r="M143">
            <v>0.59690162915950629</v>
          </cell>
          <cell r="N143">
            <v>0.59882681142891303</v>
          </cell>
          <cell r="O143">
            <v>0.60143556333522363</v>
          </cell>
          <cell r="P143">
            <v>0.60168379187041787</v>
          </cell>
          <cell r="Q143">
            <v>0.60041485984732268</v>
          </cell>
          <cell r="R143">
            <v>0.59758365522247714</v>
          </cell>
        </row>
        <row r="145">
          <cell r="A145" t="str">
            <v>Macro Data</v>
          </cell>
        </row>
        <row r="146">
          <cell r="A146" t="str">
            <v>Population ('000 People)</v>
          </cell>
          <cell r="B146">
            <v>1257860.0000000002</v>
          </cell>
          <cell r="C146">
            <v>1267430</v>
          </cell>
          <cell r="D146">
            <v>1276270</v>
          </cell>
          <cell r="E146">
            <v>1284530</v>
          </cell>
          <cell r="F146">
            <v>1292270</v>
          </cell>
          <cell r="G146">
            <v>1299880</v>
          </cell>
          <cell r="H146">
            <v>1307560</v>
          </cell>
          <cell r="I146">
            <v>1314480</v>
          </cell>
          <cell r="J146">
            <v>1321290</v>
          </cell>
          <cell r="K146">
            <v>1328020</v>
          </cell>
          <cell r="L146">
            <v>1334500</v>
          </cell>
          <cell r="M146">
            <v>1340909.9999999998</v>
          </cell>
          <cell r="N146">
            <v>1340213.2</v>
          </cell>
          <cell r="O146">
            <v>1345773</v>
          </cell>
          <cell r="P146">
            <v>1351256.4</v>
          </cell>
          <cell r="Q146">
            <v>1356624</v>
          </cell>
          <cell r="R146">
            <v>1361826.4</v>
          </cell>
        </row>
        <row r="147">
          <cell r="A147" t="str">
            <v>Urban (mn ppl)</v>
          </cell>
          <cell r="B147">
            <v>437.48</v>
          </cell>
          <cell r="C147">
            <v>459.06</v>
          </cell>
          <cell r="D147">
            <v>480.64</v>
          </cell>
          <cell r="E147">
            <v>502.12</v>
          </cell>
          <cell r="F147">
            <v>523.75703099999998</v>
          </cell>
          <cell r="G147">
            <v>542.83000000000004</v>
          </cell>
          <cell r="H147">
            <v>562.12</v>
          </cell>
          <cell r="I147">
            <v>582.88</v>
          </cell>
          <cell r="J147">
            <v>606.33000000000004</v>
          </cell>
          <cell r="K147">
            <v>624.03</v>
          </cell>
          <cell r="L147">
            <v>645.12</v>
          </cell>
          <cell r="M147">
            <v>669.78</v>
          </cell>
        </row>
        <row r="148">
          <cell r="A148" t="str">
            <v>Rural (mn ppl)</v>
          </cell>
          <cell r="B148">
            <v>820.38</v>
          </cell>
          <cell r="C148">
            <v>808.37</v>
          </cell>
          <cell r="D148">
            <v>795.63</v>
          </cell>
          <cell r="E148">
            <v>782.41</v>
          </cell>
          <cell r="F148">
            <v>768.512969</v>
          </cell>
          <cell r="G148">
            <v>757.05</v>
          </cell>
          <cell r="H148">
            <v>745.44</v>
          </cell>
          <cell r="I148">
            <v>731.6</v>
          </cell>
          <cell r="J148">
            <v>714.96</v>
          </cell>
          <cell r="K148">
            <v>703.99</v>
          </cell>
          <cell r="L148">
            <v>689.38</v>
          </cell>
          <cell r="M148">
            <v>671.13</v>
          </cell>
        </row>
        <row r="150">
          <cell r="A150" t="str">
            <v>Total Income</v>
          </cell>
          <cell r="E150">
            <v>6228675.2974999994</v>
          </cell>
          <cell r="F150">
            <v>6997214.808084989</v>
          </cell>
          <cell r="G150">
            <v>7946479.9113000007</v>
          </cell>
          <cell r="H150">
            <v>9282401.5524000004</v>
          </cell>
          <cell r="I150">
            <v>10561053.4552</v>
          </cell>
          <cell r="J150">
            <v>12584595.1653</v>
          </cell>
          <cell r="K150">
            <v>14689590.343499998</v>
          </cell>
          <cell r="L150">
            <v>16488281.4968</v>
          </cell>
          <cell r="M150">
            <v>18845243.546399996</v>
          </cell>
        </row>
        <row r="151">
          <cell r="A151" t="str">
            <v>Urban - Income per Capita (Rmb)</v>
          </cell>
          <cell r="E151">
            <v>8177.4</v>
          </cell>
          <cell r="F151">
            <v>9061.2199999999993</v>
          </cell>
          <cell r="G151">
            <v>10128.51</v>
          </cell>
          <cell r="H151">
            <v>11320.77</v>
          </cell>
          <cell r="I151">
            <v>12719.19</v>
          </cell>
          <cell r="J151">
            <v>14908.61</v>
          </cell>
          <cell r="K151">
            <v>17067.78</v>
          </cell>
          <cell r="L151">
            <v>18858.09</v>
          </cell>
          <cell r="M151">
            <v>21033.42</v>
          </cell>
        </row>
        <row r="152">
          <cell r="A152" t="str">
            <v>Overall Urban Income (Rmb mn)</v>
          </cell>
          <cell r="E152">
            <v>4106036.088</v>
          </cell>
          <cell r="F152">
            <v>4745877.6844378198</v>
          </cell>
          <cell r="G152">
            <v>5498059.083300001</v>
          </cell>
          <cell r="H152">
            <v>6363631.2324000001</v>
          </cell>
          <cell r="I152">
            <v>7413761.4671999998</v>
          </cell>
          <cell r="J152">
            <v>9039537.5013000015</v>
          </cell>
          <cell r="K152">
            <v>10650806.753399998</v>
          </cell>
          <cell r="L152">
            <v>12165731.0208</v>
          </cell>
          <cell r="M152">
            <v>14087764.047599997</v>
          </cell>
        </row>
        <row r="153">
          <cell r="A153" t="str">
            <v>Rural - Income per Capita (Rmb)</v>
          </cell>
          <cell r="B153">
            <v>2206.69</v>
          </cell>
          <cell r="C153">
            <v>2381.6</v>
          </cell>
          <cell r="D153">
            <v>2534.71</v>
          </cell>
          <cell r="E153">
            <v>2712.95</v>
          </cell>
          <cell r="F153">
            <v>2929.471869</v>
          </cell>
          <cell r="G153">
            <v>3234.16</v>
          </cell>
          <cell r="H153">
            <v>3915.5</v>
          </cell>
          <cell r="I153">
            <v>4301.93</v>
          </cell>
          <cell r="J153">
            <v>4958.3999999999996</v>
          </cell>
          <cell r="K153">
            <v>5736.99</v>
          </cell>
          <cell r="L153">
            <v>6270.2</v>
          </cell>
          <cell r="M153">
            <v>7088.76</v>
          </cell>
        </row>
        <row r="154">
          <cell r="A154" t="str">
            <v>Overall Rural Income (Rmb mn)</v>
          </cell>
          <cell r="B154">
            <v>1810324.3422000001</v>
          </cell>
          <cell r="C154">
            <v>1925213.9919999999</v>
          </cell>
          <cell r="D154">
            <v>2016691.3173</v>
          </cell>
          <cell r="E154">
            <v>2122639.2094999999</v>
          </cell>
          <cell r="F154">
            <v>2251337.1236471692</v>
          </cell>
          <cell r="G154">
            <v>2448420.8279999997</v>
          </cell>
          <cell r="H154">
            <v>2918770.3200000003</v>
          </cell>
          <cell r="I154">
            <v>3147291.9880000004</v>
          </cell>
          <cell r="J154">
            <v>3545057.6639999999</v>
          </cell>
          <cell r="K154">
            <v>4038783.5900999997</v>
          </cell>
          <cell r="L154">
            <v>4322550.4759999998</v>
          </cell>
          <cell r="M154">
            <v>4757479.4988000002</v>
          </cell>
        </row>
        <row r="157">
          <cell r="A157" t="str">
            <v>Others</v>
          </cell>
        </row>
        <row r="158">
          <cell r="A158" t="str">
            <v xml:space="preserve">Domestic Travel &amp; Tourism Spending (local currency billion) </v>
          </cell>
          <cell r="B158">
            <v>447.77199999999999</v>
          </cell>
          <cell r="C158">
            <v>495.38299999999998</v>
          </cell>
          <cell r="D158">
            <v>517.34900000000005</v>
          </cell>
          <cell r="E158">
            <v>564.53099999999995</v>
          </cell>
          <cell r="F158">
            <v>688.36699999999996</v>
          </cell>
          <cell r="G158">
            <v>808.55</v>
          </cell>
          <cell r="H158">
            <v>950.31200000000001</v>
          </cell>
          <cell r="I158">
            <v>1092.8800000000001</v>
          </cell>
          <cell r="J158">
            <v>1282.67</v>
          </cell>
          <cell r="K158">
            <v>1403.38</v>
          </cell>
          <cell r="L158">
            <v>1483.35</v>
          </cell>
          <cell r="M158">
            <v>1695.34</v>
          </cell>
          <cell r="N158">
            <v>1934.37</v>
          </cell>
          <cell r="O158">
            <v>2186.83</v>
          </cell>
          <cell r="P158">
            <v>2471.33</v>
          </cell>
          <cell r="Q158">
            <v>2796.82</v>
          </cell>
          <cell r="R158">
            <v>3165.73</v>
          </cell>
        </row>
        <row r="159">
          <cell r="A159" t="str">
            <v>% of Retail Sales</v>
          </cell>
          <cell r="B159">
            <v>0.18135186137857254</v>
          </cell>
          <cell r="C159">
            <v>0.18885219178419027</v>
          </cell>
          <cell r="D159">
            <v>0.1841115696560344</v>
          </cell>
          <cell r="E159">
            <v>0.18169414093837599</v>
          </cell>
          <cell r="F159">
            <v>0.20198674816555609</v>
          </cell>
          <cell r="G159">
            <v>0.20937122884817808</v>
          </cell>
          <cell r="H159">
            <v>0.22276631766113278</v>
          </cell>
          <cell r="I159">
            <v>0.22494057201732121</v>
          </cell>
          <cell r="J159">
            <v>0.23314950984290389</v>
          </cell>
          <cell r="K159">
            <v>0.22773512583153552</v>
          </cell>
          <cell r="L159">
            <v>0.22041203074793522</v>
          </cell>
          <cell r="M159">
            <v>0.22546689950576396</v>
          </cell>
          <cell r="N159">
            <v>0.22758166960285772</v>
          </cell>
          <cell r="O159">
            <v>0.23028344082379093</v>
          </cell>
          <cell r="P159">
            <v>0.23480191934201156</v>
          </cell>
          <cell r="Q159">
            <v>0.24101249687566259</v>
          </cell>
          <cell r="R159">
            <v>0.24848377238637473</v>
          </cell>
        </row>
        <row r="161">
          <cell r="A161" t="str">
            <v>Sources:</v>
          </cell>
        </row>
        <row r="162">
          <cell r="A162" t="str">
            <v>1. Retailing: Euromonitor from trade sources/national statistics</v>
          </cell>
        </row>
        <row r="163">
          <cell r="A163" t="str">
            <v>2. Travelling Data: WTTC (Samsonite Folder)</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claimer"/>
      <sheetName val="Balance Sheet_VDF"/>
      <sheetName val="Income Statement_VDF"/>
      <sheetName val="Summary Page_VDF"/>
      <sheetName val="Invested capital_VDF"/>
      <sheetName val="NOPAT_VDF"/>
      <sheetName val="WACC_VDF"/>
      <sheetName val="DCF_VDF"/>
      <sheetName val="Charts_VDF"/>
      <sheetName val="PV of Op Leases_VDF"/>
      <sheetName val="teo model"/>
    </sheetNames>
    <sheetDataSet>
      <sheetData sheetId="0" refreshError="1"/>
      <sheetData sheetId="1" refreshError="1"/>
      <sheetData sheetId="2" refreshError="1">
        <row r="44">
          <cell r="R44" t="e">
            <v>#DIV/0!</v>
          </cell>
        </row>
      </sheetData>
      <sheetData sheetId="3" refreshError="1"/>
      <sheetData sheetId="4" refreshError="1">
        <row r="1">
          <cell r="P1" t="str">
            <v>Invested Capital</v>
          </cell>
        </row>
        <row r="2">
          <cell r="O2" t="str">
            <v>P-2</v>
          </cell>
          <cell r="P2" t="str">
            <v>P-1</v>
          </cell>
          <cell r="Q2" t="str">
            <v>Present (P)</v>
          </cell>
        </row>
        <row r="3">
          <cell r="O3">
            <v>1994</v>
          </cell>
          <cell r="P3">
            <v>1995</v>
          </cell>
          <cell r="Q3">
            <v>1996</v>
          </cell>
        </row>
        <row r="4">
          <cell r="O4">
            <v>0</v>
          </cell>
          <cell r="P4">
            <v>0</v>
          </cell>
          <cell r="Q4">
            <v>0</v>
          </cell>
        </row>
        <row r="5">
          <cell r="C5">
            <v>0</v>
          </cell>
          <cell r="D5">
            <v>0</v>
          </cell>
          <cell r="E5">
            <v>0</v>
          </cell>
          <cell r="F5">
            <v>0</v>
          </cell>
          <cell r="G5">
            <v>0</v>
          </cell>
          <cell r="H5">
            <v>0</v>
          </cell>
          <cell r="I5">
            <v>0</v>
          </cell>
          <cell r="J5">
            <v>0</v>
          </cell>
          <cell r="K5">
            <v>0</v>
          </cell>
          <cell r="L5">
            <v>0</v>
          </cell>
          <cell r="M5">
            <v>0</v>
          </cell>
          <cell r="N5">
            <v>0</v>
          </cell>
          <cell r="O5">
            <v>0</v>
          </cell>
          <cell r="P5">
            <v>0</v>
          </cell>
          <cell r="Q5">
            <v>0</v>
          </cell>
        </row>
        <row r="6">
          <cell r="O6">
            <v>0</v>
          </cell>
          <cell r="P6">
            <v>0</v>
          </cell>
          <cell r="Q6">
            <v>0</v>
          </cell>
        </row>
        <row r="7">
          <cell r="O7">
            <v>0</v>
          </cell>
          <cell r="P7">
            <v>0</v>
          </cell>
          <cell r="Q7">
            <v>0</v>
          </cell>
        </row>
        <row r="8">
          <cell r="O8">
            <v>0</v>
          </cell>
          <cell r="P8">
            <v>0</v>
          </cell>
          <cell r="Q8">
            <v>0</v>
          </cell>
        </row>
        <row r="9">
          <cell r="A9">
            <v>1</v>
          </cell>
          <cell r="O9">
            <v>0</v>
          </cell>
          <cell r="P9">
            <v>0</v>
          </cell>
          <cell r="Q9">
            <v>0</v>
          </cell>
        </row>
        <row r="10">
          <cell r="O10">
            <v>0</v>
          </cell>
          <cell r="P10">
            <v>0</v>
          </cell>
          <cell r="Q10">
            <v>0</v>
          </cell>
        </row>
        <row r="11">
          <cell r="O11">
            <v>0</v>
          </cell>
          <cell r="P11">
            <v>0</v>
          </cell>
          <cell r="Q11">
            <v>0</v>
          </cell>
        </row>
        <row r="12">
          <cell r="O12">
            <v>0</v>
          </cell>
          <cell r="P12">
            <v>0</v>
          </cell>
          <cell r="Q12">
            <v>0</v>
          </cell>
        </row>
        <row r="13">
          <cell r="O13">
            <v>0</v>
          </cell>
          <cell r="P13">
            <v>0</v>
          </cell>
          <cell r="Q13">
            <v>0</v>
          </cell>
          <cell r="R13">
            <v>0</v>
          </cell>
          <cell r="S13">
            <v>0</v>
          </cell>
          <cell r="T13">
            <v>0</v>
          </cell>
        </row>
        <row r="14">
          <cell r="O14">
            <v>0</v>
          </cell>
          <cell r="P14">
            <v>0</v>
          </cell>
          <cell r="Q14">
            <v>0</v>
          </cell>
        </row>
        <row r="15">
          <cell r="O15">
            <v>0</v>
          </cell>
          <cell r="P15">
            <v>0</v>
          </cell>
          <cell r="Q15">
            <v>0</v>
          </cell>
        </row>
        <row r="17">
          <cell r="O17">
            <v>0</v>
          </cell>
          <cell r="P17">
            <v>0</v>
          </cell>
          <cell r="Q17">
            <v>0</v>
          </cell>
        </row>
        <row r="18">
          <cell r="O18">
            <v>0</v>
          </cell>
          <cell r="P18">
            <v>0</v>
          </cell>
          <cell r="Q18">
            <v>0</v>
          </cell>
        </row>
        <row r="19">
          <cell r="O19">
            <v>0</v>
          </cell>
          <cell r="P19">
            <v>0</v>
          </cell>
          <cell r="Q19">
            <v>0</v>
          </cell>
        </row>
        <row r="20">
          <cell r="O20">
            <v>0</v>
          </cell>
          <cell r="P20">
            <v>0</v>
          </cell>
          <cell r="Q20">
            <v>0</v>
          </cell>
        </row>
        <row r="21">
          <cell r="O21">
            <v>0</v>
          </cell>
          <cell r="P21">
            <v>0</v>
          </cell>
          <cell r="Q21">
            <v>0</v>
          </cell>
        </row>
        <row r="22">
          <cell r="O22">
            <v>0</v>
          </cell>
          <cell r="P22">
            <v>0</v>
          </cell>
          <cell r="Q22">
            <v>0</v>
          </cell>
        </row>
        <row r="23">
          <cell r="O23">
            <v>0</v>
          </cell>
          <cell r="P23">
            <v>0</v>
          </cell>
          <cell r="Q23">
            <v>0</v>
          </cell>
        </row>
        <row r="24">
          <cell r="O24">
            <v>0</v>
          </cell>
          <cell r="P24">
            <v>0</v>
          </cell>
          <cell r="Q24">
            <v>0</v>
          </cell>
        </row>
        <row r="26">
          <cell r="O26">
            <v>0</v>
          </cell>
          <cell r="P26">
            <v>0</v>
          </cell>
          <cell r="Q26">
            <v>0</v>
          </cell>
        </row>
        <row r="28">
          <cell r="C28">
            <v>0</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row>
        <row r="29">
          <cell r="O29">
            <v>0</v>
          </cell>
          <cell r="P29">
            <v>0</v>
          </cell>
          <cell r="Q29">
            <v>0</v>
          </cell>
          <cell r="R29">
            <v>0</v>
          </cell>
          <cell r="S29">
            <v>0</v>
          </cell>
          <cell r="T29">
            <v>0</v>
          </cell>
        </row>
        <row r="30">
          <cell r="O30">
            <v>0</v>
          </cell>
          <cell r="P30">
            <v>0</v>
          </cell>
          <cell r="Q30">
            <v>0</v>
          </cell>
          <cell r="R30">
            <v>0</v>
          </cell>
          <cell r="S30">
            <v>0</v>
          </cell>
          <cell r="T30">
            <v>0</v>
          </cell>
        </row>
        <row r="31">
          <cell r="C31">
            <v>0</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row>
        <row r="32">
          <cell r="O32">
            <v>0</v>
          </cell>
          <cell r="P32">
            <v>0</v>
          </cell>
          <cell r="Q32">
            <v>0</v>
          </cell>
          <cell r="R32">
            <v>0</v>
          </cell>
          <cell r="S32">
            <v>0</v>
          </cell>
          <cell r="T32">
            <v>0</v>
          </cell>
        </row>
        <row r="33">
          <cell r="O33">
            <v>0</v>
          </cell>
          <cell r="P33">
            <v>0</v>
          </cell>
          <cell r="Q33">
            <v>0</v>
          </cell>
        </row>
        <row r="34">
          <cell r="A34">
            <v>1</v>
          </cell>
          <cell r="O34">
            <v>0</v>
          </cell>
          <cell r="P34">
            <v>0</v>
          </cell>
          <cell r="Q34">
            <v>0</v>
          </cell>
        </row>
        <row r="35">
          <cell r="O35">
            <v>0</v>
          </cell>
          <cell r="P35">
            <v>0</v>
          </cell>
          <cell r="Q35">
            <v>0</v>
          </cell>
        </row>
        <row r="36">
          <cell r="O36">
            <v>0</v>
          </cell>
          <cell r="P36">
            <v>0</v>
          </cell>
          <cell r="Q36">
            <v>0</v>
          </cell>
        </row>
        <row r="37">
          <cell r="O37">
            <v>0</v>
          </cell>
          <cell r="P37">
            <v>0</v>
          </cell>
          <cell r="Q37">
            <v>0</v>
          </cell>
        </row>
        <row r="38">
          <cell r="O38">
            <v>0</v>
          </cell>
          <cell r="P38">
            <v>0</v>
          </cell>
          <cell r="Q38">
            <v>0</v>
          </cell>
        </row>
        <row r="39">
          <cell r="O39">
            <v>0</v>
          </cell>
          <cell r="P39">
            <v>0</v>
          </cell>
          <cell r="Q39">
            <v>0</v>
          </cell>
        </row>
        <row r="40">
          <cell r="O40">
            <v>0</v>
          </cell>
          <cell r="P40">
            <v>0</v>
          </cell>
          <cell r="Q40">
            <v>0</v>
          </cell>
        </row>
        <row r="41">
          <cell r="O41">
            <v>0</v>
          </cell>
          <cell r="P41">
            <v>0</v>
          </cell>
          <cell r="Q41">
            <v>0</v>
          </cell>
        </row>
        <row r="42">
          <cell r="O42">
            <v>0</v>
          </cell>
          <cell r="P42">
            <v>0</v>
          </cell>
          <cell r="Q42">
            <v>0</v>
          </cell>
        </row>
        <row r="43">
          <cell r="O43">
            <v>0</v>
          </cell>
          <cell r="P43">
            <v>0</v>
          </cell>
          <cell r="Q43">
            <v>0</v>
          </cell>
        </row>
        <row r="45">
          <cell r="O45">
            <v>0</v>
          </cell>
          <cell r="P45">
            <v>0</v>
          </cell>
          <cell r="Q45">
            <v>0</v>
          </cell>
        </row>
        <row r="46">
          <cell r="O46">
            <v>0</v>
          </cell>
          <cell r="P46">
            <v>0</v>
          </cell>
          <cell r="Q46">
            <v>0</v>
          </cell>
        </row>
        <row r="47">
          <cell r="O47">
            <v>0</v>
          </cell>
          <cell r="P47">
            <v>0</v>
          </cell>
          <cell r="Q47">
            <v>0</v>
          </cell>
        </row>
        <row r="50">
          <cell r="O50">
            <v>0</v>
          </cell>
          <cell r="P50">
            <v>0</v>
          </cell>
          <cell r="Q50">
            <v>0</v>
          </cell>
        </row>
        <row r="53">
          <cell r="O53">
            <v>0</v>
          </cell>
          <cell r="P53">
            <v>0</v>
          </cell>
          <cell r="Q53">
            <v>0</v>
          </cell>
        </row>
        <row r="54">
          <cell r="O54">
            <v>0</v>
          </cell>
          <cell r="P54">
            <v>0</v>
          </cell>
          <cell r="Q54">
            <v>0</v>
          </cell>
        </row>
        <row r="55">
          <cell r="O55">
            <v>0</v>
          </cell>
          <cell r="P55">
            <v>0</v>
          </cell>
          <cell r="Q55">
            <v>0</v>
          </cell>
        </row>
        <row r="56">
          <cell r="O56">
            <v>0</v>
          </cell>
          <cell r="P56">
            <v>0</v>
          </cell>
          <cell r="Q56">
            <v>0</v>
          </cell>
        </row>
        <row r="57">
          <cell r="O57">
            <v>0</v>
          </cell>
          <cell r="P57">
            <v>0</v>
          </cell>
          <cell r="Q57">
            <v>0</v>
          </cell>
        </row>
        <row r="58">
          <cell r="O58">
            <v>0</v>
          </cell>
          <cell r="P58">
            <v>0</v>
          </cell>
          <cell r="Q58">
            <v>0</v>
          </cell>
        </row>
        <row r="59">
          <cell r="O59">
            <v>0</v>
          </cell>
          <cell r="P59">
            <v>0</v>
          </cell>
          <cell r="Q59">
            <v>0</v>
          </cell>
        </row>
        <row r="60">
          <cell r="O60">
            <v>0</v>
          </cell>
          <cell r="P60">
            <v>0</v>
          </cell>
          <cell r="Q60">
            <v>0</v>
          </cell>
        </row>
        <row r="61">
          <cell r="C61">
            <v>0</v>
          </cell>
          <cell r="D61">
            <v>0</v>
          </cell>
          <cell r="E61">
            <v>0</v>
          </cell>
          <cell r="F61">
            <v>0</v>
          </cell>
          <cell r="G61">
            <v>0</v>
          </cell>
          <cell r="H61">
            <v>0</v>
          </cell>
          <cell r="I61">
            <v>0</v>
          </cell>
          <cell r="J61">
            <v>0</v>
          </cell>
          <cell r="K61">
            <v>0</v>
          </cell>
          <cell r="L61">
            <v>0</v>
          </cell>
          <cell r="M61">
            <v>0</v>
          </cell>
          <cell r="N61">
            <v>0</v>
          </cell>
          <cell r="O61">
            <v>0</v>
          </cell>
          <cell r="P61">
            <v>0</v>
          </cell>
          <cell r="Q61">
            <v>0</v>
          </cell>
        </row>
        <row r="63">
          <cell r="O63">
            <v>0</v>
          </cell>
          <cell r="P63">
            <v>0</v>
          </cell>
          <cell r="Q63">
            <v>0</v>
          </cell>
        </row>
        <row r="64">
          <cell r="O64">
            <v>0</v>
          </cell>
          <cell r="P64">
            <v>0</v>
          </cell>
          <cell r="Q64">
            <v>0</v>
          </cell>
        </row>
        <row r="65">
          <cell r="O65">
            <v>0</v>
          </cell>
          <cell r="P65">
            <v>0</v>
          </cell>
          <cell r="Q65">
            <v>0</v>
          </cell>
        </row>
        <row r="66">
          <cell r="O66">
            <v>0</v>
          </cell>
          <cell r="P66">
            <v>0</v>
          </cell>
          <cell r="Q66">
            <v>0</v>
          </cell>
        </row>
        <row r="67">
          <cell r="O67">
            <v>0</v>
          </cell>
          <cell r="P67">
            <v>0</v>
          </cell>
          <cell r="Q67">
            <v>0</v>
          </cell>
        </row>
        <row r="68">
          <cell r="O68">
            <v>0</v>
          </cell>
          <cell r="P68">
            <v>0</v>
          </cell>
          <cell r="Q68">
            <v>0</v>
          </cell>
        </row>
        <row r="69">
          <cell r="O69">
            <v>0</v>
          </cell>
          <cell r="P69">
            <v>0</v>
          </cell>
          <cell r="Q69">
            <v>0</v>
          </cell>
        </row>
        <row r="70">
          <cell r="O70">
            <v>0</v>
          </cell>
          <cell r="P70">
            <v>0</v>
          </cell>
          <cell r="Q70">
            <v>0</v>
          </cell>
        </row>
        <row r="72">
          <cell r="O72">
            <v>0</v>
          </cell>
          <cell r="P72">
            <v>0</v>
          </cell>
          <cell r="Q72">
            <v>0</v>
          </cell>
        </row>
        <row r="73">
          <cell r="O73">
            <v>0</v>
          </cell>
          <cell r="P73">
            <v>0</v>
          </cell>
          <cell r="Q73">
            <v>0</v>
          </cell>
        </row>
        <row r="74">
          <cell r="O74">
            <v>0</v>
          </cell>
          <cell r="P74">
            <v>0</v>
          </cell>
          <cell r="Q74">
            <v>0</v>
          </cell>
        </row>
        <row r="76">
          <cell r="O76">
            <v>0</v>
          </cell>
          <cell r="P76">
            <v>0</v>
          </cell>
          <cell r="Q76">
            <v>0</v>
          </cell>
        </row>
        <row r="78">
          <cell r="O78">
            <v>0</v>
          </cell>
          <cell r="P78">
            <v>0</v>
          </cell>
          <cell r="Q78">
            <v>0</v>
          </cell>
        </row>
        <row r="79">
          <cell r="O79">
            <v>0</v>
          </cell>
          <cell r="P79">
            <v>0</v>
          </cell>
          <cell r="Q79">
            <v>0</v>
          </cell>
          <cell r="R79">
            <v>0</v>
          </cell>
          <cell r="S79">
            <v>0</v>
          </cell>
          <cell r="T79">
            <v>0</v>
          </cell>
        </row>
        <row r="80">
          <cell r="O80">
            <v>0</v>
          </cell>
          <cell r="P80">
            <v>0</v>
          </cell>
          <cell r="Q80">
            <v>0</v>
          </cell>
        </row>
        <row r="81">
          <cell r="O81">
            <v>0</v>
          </cell>
          <cell r="P81">
            <v>0</v>
          </cell>
          <cell r="Q81">
            <v>0</v>
          </cell>
        </row>
        <row r="83">
          <cell r="O83">
            <v>0</v>
          </cell>
          <cell r="P83">
            <v>0</v>
          </cell>
          <cell r="Q83">
            <v>0</v>
          </cell>
        </row>
        <row r="84">
          <cell r="O84">
            <v>0</v>
          </cell>
          <cell r="P84">
            <v>0</v>
          </cell>
          <cell r="Q84">
            <v>0</v>
          </cell>
        </row>
        <row r="85">
          <cell r="O85" t="str">
            <v xml:space="preserve">--  </v>
          </cell>
          <cell r="P85" t="str">
            <v xml:space="preserve">--  </v>
          </cell>
          <cell r="Q85" t="str">
            <v xml:space="preserve">--  </v>
          </cell>
        </row>
        <row r="87">
          <cell r="C87">
            <v>0</v>
          </cell>
          <cell r="D87">
            <v>0</v>
          </cell>
          <cell r="E87">
            <v>0</v>
          </cell>
          <cell r="F87">
            <v>0</v>
          </cell>
          <cell r="G87">
            <v>0</v>
          </cell>
          <cell r="H87">
            <v>0</v>
          </cell>
          <cell r="I87">
            <v>0</v>
          </cell>
          <cell r="J87">
            <v>0</v>
          </cell>
          <cell r="K87">
            <v>0</v>
          </cell>
          <cell r="L87">
            <v>0</v>
          </cell>
          <cell r="M87">
            <v>0</v>
          </cell>
          <cell r="N87">
            <v>0</v>
          </cell>
          <cell r="O87">
            <v>0</v>
          </cell>
          <cell r="P87">
            <v>0</v>
          </cell>
          <cell r="Q87">
            <v>0</v>
          </cell>
        </row>
        <row r="88">
          <cell r="O88" t="str">
            <v xml:space="preserve">--  </v>
          </cell>
          <cell r="P88" t="str">
            <v xml:space="preserve">--  </v>
          </cell>
          <cell r="Q88" t="str">
            <v xml:space="preserve">--  </v>
          </cell>
        </row>
        <row r="89">
          <cell r="C89">
            <v>0</v>
          </cell>
          <cell r="D89">
            <v>0</v>
          </cell>
          <cell r="E89">
            <v>0</v>
          </cell>
          <cell r="F89">
            <v>0</v>
          </cell>
          <cell r="G89">
            <v>0</v>
          </cell>
          <cell r="H89">
            <v>0</v>
          </cell>
          <cell r="I89">
            <v>0</v>
          </cell>
          <cell r="J89">
            <v>0</v>
          </cell>
          <cell r="K89">
            <v>0</v>
          </cell>
          <cell r="L89">
            <v>0</v>
          </cell>
          <cell r="M89">
            <v>0</v>
          </cell>
          <cell r="N89">
            <v>0</v>
          </cell>
          <cell r="O89">
            <v>0</v>
          </cell>
          <cell r="P89">
            <v>0</v>
          </cell>
          <cell r="Q89">
            <v>0</v>
          </cell>
        </row>
        <row r="95">
          <cell r="O95" t="str">
            <v xml:space="preserve">--  </v>
          </cell>
          <cell r="P95" t="str">
            <v xml:space="preserve">--  </v>
          </cell>
          <cell r="Q95" t="str">
            <v xml:space="preserve">--  </v>
          </cell>
        </row>
        <row r="96">
          <cell r="O96" t="str">
            <v xml:space="preserve">--  </v>
          </cell>
          <cell r="P96" t="str">
            <v xml:space="preserve">--  </v>
          </cell>
          <cell r="Q96" t="str">
            <v xml:space="preserve">--  </v>
          </cell>
        </row>
        <row r="97">
          <cell r="C97" t="str">
            <v>--</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cell r="N97" t="str">
            <v xml:space="preserve">--  </v>
          </cell>
          <cell r="O97" t="str">
            <v xml:space="preserve">--  </v>
          </cell>
          <cell r="P97" t="str">
            <v xml:space="preserve">--  </v>
          </cell>
          <cell r="Q97" t="str">
            <v xml:space="preserve">--  </v>
          </cell>
        </row>
        <row r="98">
          <cell r="O98" t="str">
            <v xml:space="preserve">--  </v>
          </cell>
          <cell r="P98" t="str">
            <v xml:space="preserve">--  </v>
          </cell>
          <cell r="Q98" t="str">
            <v xml:space="preserve">--  </v>
          </cell>
        </row>
        <row r="99">
          <cell r="C99" t="str">
            <v>--</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cell r="N99" t="str">
            <v xml:space="preserve">--  </v>
          </cell>
          <cell r="O99" t="str">
            <v xml:space="preserve">--  </v>
          </cell>
          <cell r="P99" t="str">
            <v xml:space="preserve">--  </v>
          </cell>
          <cell r="Q99" t="str">
            <v xml:space="preserve">--  </v>
          </cell>
        </row>
        <row r="100">
          <cell r="O100" t="str">
            <v xml:space="preserve">--  </v>
          </cell>
          <cell r="P100" t="str">
            <v xml:space="preserve">--  </v>
          </cell>
          <cell r="Q100" t="str">
            <v xml:space="preserve">--  </v>
          </cell>
        </row>
        <row r="101">
          <cell r="B101" t="str">
            <v xml:space="preserve"> Total other assets turns</v>
          </cell>
          <cell r="C101" t="str">
            <v>--</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cell r="N101" t="str">
            <v xml:space="preserve">--  </v>
          </cell>
          <cell r="O101" t="str">
            <v xml:space="preserve">--  </v>
          </cell>
          <cell r="P101" t="str">
            <v xml:space="preserve">--  </v>
          </cell>
          <cell r="Q101" t="str">
            <v xml:space="preserve">--  </v>
          </cell>
        </row>
        <row r="102">
          <cell r="C102" t="str">
            <v>--</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cell r="N102" t="str">
            <v xml:space="preserve">--  </v>
          </cell>
          <cell r="O102" t="str">
            <v xml:space="preserve">--  </v>
          </cell>
          <cell r="P102" t="str">
            <v xml:space="preserve">--  </v>
          </cell>
          <cell r="Q102" t="str">
            <v xml:space="preserve">--  </v>
          </cell>
        </row>
        <row r="105">
          <cell r="O105" t="str">
            <v xml:space="preserve">--  </v>
          </cell>
          <cell r="P105" t="str">
            <v xml:space="preserve">--  </v>
          </cell>
          <cell r="Q105" t="str">
            <v xml:space="preserve">--  </v>
          </cell>
        </row>
        <row r="106">
          <cell r="O106" t="str">
            <v xml:space="preserve">--  </v>
          </cell>
          <cell r="P106" t="str">
            <v xml:space="preserve">--  </v>
          </cell>
          <cell r="Q106" t="str">
            <v xml:space="preserve">--  </v>
          </cell>
        </row>
        <row r="107">
          <cell r="O107" t="str">
            <v xml:space="preserve">--  </v>
          </cell>
          <cell r="P107" t="str">
            <v xml:space="preserve">--  </v>
          </cell>
          <cell r="Q107" t="str">
            <v xml:space="preserve">--  </v>
          </cell>
        </row>
        <row r="108">
          <cell r="O108" t="str">
            <v xml:space="preserve">--  </v>
          </cell>
          <cell r="P108" t="str">
            <v xml:space="preserve">--  </v>
          </cell>
          <cell r="Q108" t="str">
            <v xml:space="preserve">--  </v>
          </cell>
        </row>
        <row r="109">
          <cell r="O109" t="str">
            <v>NM</v>
          </cell>
          <cell r="P109" t="str">
            <v>NM</v>
          </cell>
          <cell r="Q109" t="str">
            <v>NM</v>
          </cell>
        </row>
      </sheetData>
      <sheetData sheetId="5" refreshError="1">
        <row r="1">
          <cell r="O1" t="e">
            <v>#DIV/0!</v>
          </cell>
          <cell r="P1" t="e">
            <v>#DIV/0!</v>
          </cell>
          <cell r="Q1" t="e">
            <v>#DIV/0!</v>
          </cell>
        </row>
        <row r="2">
          <cell r="P2" t="str">
            <v>NOPAT Statement</v>
          </cell>
        </row>
        <row r="3">
          <cell r="O3" t="str">
            <v>P-2</v>
          </cell>
          <cell r="P3" t="str">
            <v>P-1</v>
          </cell>
          <cell r="Q3" t="str">
            <v>Present (P)</v>
          </cell>
        </row>
        <row r="4">
          <cell r="O4">
            <v>1994</v>
          </cell>
          <cell r="P4">
            <v>1995</v>
          </cell>
          <cell r="Q4">
            <v>1996</v>
          </cell>
        </row>
        <row r="5">
          <cell r="C5">
            <v>0</v>
          </cell>
          <cell r="D5">
            <v>0</v>
          </cell>
          <cell r="E5">
            <v>0</v>
          </cell>
          <cell r="F5">
            <v>0</v>
          </cell>
          <cell r="G5">
            <v>0</v>
          </cell>
          <cell r="H5">
            <v>0</v>
          </cell>
          <cell r="I5">
            <v>0</v>
          </cell>
          <cell r="J5">
            <v>0</v>
          </cell>
          <cell r="K5">
            <v>0</v>
          </cell>
          <cell r="L5">
            <v>0</v>
          </cell>
          <cell r="M5">
            <v>0</v>
          </cell>
          <cell r="N5">
            <v>0</v>
          </cell>
          <cell r="O5">
            <v>0</v>
          </cell>
          <cell r="P5">
            <v>0</v>
          </cell>
          <cell r="Q5">
            <v>0</v>
          </cell>
        </row>
        <row r="6">
          <cell r="C6">
            <v>0</v>
          </cell>
          <cell r="D6">
            <v>0</v>
          </cell>
          <cell r="E6">
            <v>0</v>
          </cell>
          <cell r="F6">
            <v>0</v>
          </cell>
          <cell r="G6">
            <v>0</v>
          </cell>
          <cell r="H6">
            <v>0</v>
          </cell>
          <cell r="I6">
            <v>0</v>
          </cell>
          <cell r="J6">
            <v>0</v>
          </cell>
          <cell r="K6">
            <v>0</v>
          </cell>
          <cell r="L6">
            <v>0</v>
          </cell>
          <cell r="M6">
            <v>0</v>
          </cell>
          <cell r="N6">
            <v>0</v>
          </cell>
          <cell r="O6">
            <v>0</v>
          </cell>
          <cell r="P6">
            <v>0</v>
          </cell>
          <cell r="Q6">
            <v>0</v>
          </cell>
        </row>
        <row r="7">
          <cell r="C7">
            <v>0</v>
          </cell>
          <cell r="D7">
            <v>0</v>
          </cell>
          <cell r="E7">
            <v>0</v>
          </cell>
          <cell r="F7">
            <v>0</v>
          </cell>
          <cell r="G7">
            <v>0</v>
          </cell>
          <cell r="H7">
            <v>0</v>
          </cell>
          <cell r="I7">
            <v>0</v>
          </cell>
          <cell r="J7">
            <v>0</v>
          </cell>
          <cell r="K7">
            <v>0</v>
          </cell>
          <cell r="L7">
            <v>0</v>
          </cell>
          <cell r="M7">
            <v>0</v>
          </cell>
          <cell r="N7">
            <v>0</v>
          </cell>
          <cell r="O7">
            <v>0</v>
          </cell>
          <cell r="P7">
            <v>0</v>
          </cell>
          <cell r="Q7">
            <v>0</v>
          </cell>
        </row>
        <row r="8">
          <cell r="C8">
            <v>0</v>
          </cell>
          <cell r="D8">
            <v>0</v>
          </cell>
          <cell r="E8">
            <v>0</v>
          </cell>
          <cell r="F8">
            <v>0</v>
          </cell>
          <cell r="G8">
            <v>0</v>
          </cell>
          <cell r="H8">
            <v>0</v>
          </cell>
          <cell r="I8">
            <v>0</v>
          </cell>
          <cell r="J8">
            <v>0</v>
          </cell>
          <cell r="K8">
            <v>0</v>
          </cell>
          <cell r="L8">
            <v>0</v>
          </cell>
          <cell r="M8">
            <v>0</v>
          </cell>
          <cell r="N8">
            <v>0</v>
          </cell>
          <cell r="O8">
            <v>0</v>
          </cell>
          <cell r="P8">
            <v>0</v>
          </cell>
          <cell r="Q8">
            <v>0</v>
          </cell>
        </row>
        <row r="9">
          <cell r="C9">
            <v>0</v>
          </cell>
          <cell r="D9">
            <v>0</v>
          </cell>
          <cell r="E9">
            <v>0</v>
          </cell>
          <cell r="F9">
            <v>0</v>
          </cell>
          <cell r="G9">
            <v>0</v>
          </cell>
          <cell r="H9">
            <v>0</v>
          </cell>
          <cell r="I9">
            <v>0</v>
          </cell>
          <cell r="J9">
            <v>0</v>
          </cell>
          <cell r="K9">
            <v>0</v>
          </cell>
          <cell r="L9">
            <v>0</v>
          </cell>
          <cell r="M9">
            <v>0</v>
          </cell>
          <cell r="N9">
            <v>0</v>
          </cell>
          <cell r="O9">
            <v>0</v>
          </cell>
          <cell r="P9">
            <v>0</v>
          </cell>
          <cell r="Q9">
            <v>0</v>
          </cell>
        </row>
        <row r="10">
          <cell r="C10">
            <v>0</v>
          </cell>
          <cell r="D10">
            <v>0</v>
          </cell>
          <cell r="E10">
            <v>0</v>
          </cell>
          <cell r="F10">
            <v>0</v>
          </cell>
          <cell r="G10">
            <v>0</v>
          </cell>
          <cell r="H10">
            <v>0</v>
          </cell>
          <cell r="I10">
            <v>0</v>
          </cell>
          <cell r="J10">
            <v>0</v>
          </cell>
          <cell r="K10">
            <v>0</v>
          </cell>
          <cell r="L10">
            <v>0</v>
          </cell>
          <cell r="M10">
            <v>0</v>
          </cell>
          <cell r="N10">
            <v>0</v>
          </cell>
          <cell r="O10">
            <v>0</v>
          </cell>
          <cell r="P10">
            <v>0</v>
          </cell>
          <cell r="Q10">
            <v>0</v>
          </cell>
        </row>
        <row r="12">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row>
        <row r="13">
          <cell r="O13">
            <v>0</v>
          </cell>
          <cell r="P13">
            <v>0</v>
          </cell>
          <cell r="Q13">
            <v>0</v>
          </cell>
        </row>
        <row r="14">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row>
        <row r="15">
          <cell r="O15">
            <v>0</v>
          </cell>
          <cell r="P15">
            <v>0</v>
          </cell>
          <cell r="Q15">
            <v>0</v>
          </cell>
        </row>
        <row r="17">
          <cell r="O17">
            <v>0</v>
          </cell>
          <cell r="P17">
            <v>0</v>
          </cell>
          <cell r="Q17">
            <v>0</v>
          </cell>
        </row>
        <row r="18">
          <cell r="C18">
            <v>0</v>
          </cell>
          <cell r="D18">
            <v>0</v>
          </cell>
          <cell r="E18">
            <v>0</v>
          </cell>
          <cell r="F18">
            <v>0</v>
          </cell>
          <cell r="G18">
            <v>0</v>
          </cell>
          <cell r="H18">
            <v>0</v>
          </cell>
          <cell r="I18">
            <v>0</v>
          </cell>
          <cell r="J18">
            <v>0</v>
          </cell>
          <cell r="K18">
            <v>0</v>
          </cell>
          <cell r="L18">
            <v>0</v>
          </cell>
          <cell r="M18">
            <v>0</v>
          </cell>
          <cell r="N18">
            <v>0</v>
          </cell>
          <cell r="O18">
            <v>0</v>
          </cell>
          <cell r="P18">
            <v>0</v>
          </cell>
          <cell r="Q18">
            <v>0</v>
          </cell>
        </row>
        <row r="19">
          <cell r="O19">
            <v>0</v>
          </cell>
          <cell r="P19">
            <v>0</v>
          </cell>
          <cell r="Q19">
            <v>0</v>
          </cell>
        </row>
        <row r="21">
          <cell r="O21">
            <v>0</v>
          </cell>
          <cell r="P21">
            <v>0</v>
          </cell>
          <cell r="Q21">
            <v>0</v>
          </cell>
        </row>
        <row r="22">
          <cell r="C22">
            <v>0</v>
          </cell>
          <cell r="D22">
            <v>0</v>
          </cell>
          <cell r="E22">
            <v>0</v>
          </cell>
          <cell r="F22">
            <v>0</v>
          </cell>
          <cell r="G22">
            <v>0</v>
          </cell>
          <cell r="H22">
            <v>0</v>
          </cell>
          <cell r="I22">
            <v>0</v>
          </cell>
          <cell r="J22">
            <v>0</v>
          </cell>
          <cell r="K22">
            <v>0</v>
          </cell>
          <cell r="L22">
            <v>0</v>
          </cell>
          <cell r="M22">
            <v>0</v>
          </cell>
          <cell r="N22">
            <v>0</v>
          </cell>
          <cell r="O22">
            <v>0</v>
          </cell>
          <cell r="P22">
            <v>0</v>
          </cell>
          <cell r="Q22">
            <v>0</v>
          </cell>
        </row>
        <row r="23">
          <cell r="C23">
            <v>0</v>
          </cell>
          <cell r="D23">
            <v>0</v>
          </cell>
          <cell r="E23">
            <v>0</v>
          </cell>
          <cell r="F23">
            <v>0</v>
          </cell>
          <cell r="G23">
            <v>0</v>
          </cell>
          <cell r="H23">
            <v>0</v>
          </cell>
          <cell r="I23">
            <v>0</v>
          </cell>
          <cell r="J23">
            <v>0</v>
          </cell>
          <cell r="K23">
            <v>0</v>
          </cell>
          <cell r="L23">
            <v>0</v>
          </cell>
          <cell r="M23">
            <v>0</v>
          </cell>
          <cell r="N23">
            <v>0</v>
          </cell>
          <cell r="O23">
            <v>0</v>
          </cell>
          <cell r="P23">
            <v>0</v>
          </cell>
          <cell r="Q23">
            <v>0</v>
          </cell>
        </row>
        <row r="24">
          <cell r="O24">
            <v>0</v>
          </cell>
          <cell r="P24">
            <v>0</v>
          </cell>
          <cell r="Q24">
            <v>0</v>
          </cell>
        </row>
        <row r="26">
          <cell r="C26">
            <v>0</v>
          </cell>
          <cell r="D26">
            <v>0</v>
          </cell>
          <cell r="E26">
            <v>0</v>
          </cell>
          <cell r="F26">
            <v>0</v>
          </cell>
          <cell r="G26">
            <v>0</v>
          </cell>
          <cell r="H26">
            <v>0</v>
          </cell>
          <cell r="I26">
            <v>0</v>
          </cell>
          <cell r="J26">
            <v>0</v>
          </cell>
          <cell r="K26">
            <v>0</v>
          </cell>
          <cell r="L26">
            <v>0</v>
          </cell>
          <cell r="M26">
            <v>0</v>
          </cell>
          <cell r="N26">
            <v>0</v>
          </cell>
          <cell r="O26">
            <v>0</v>
          </cell>
          <cell r="P26">
            <v>0</v>
          </cell>
          <cell r="Q26">
            <v>0</v>
          </cell>
        </row>
        <row r="28">
          <cell r="O28">
            <v>0</v>
          </cell>
          <cell r="P28">
            <v>0</v>
          </cell>
          <cell r="Q28">
            <v>0</v>
          </cell>
        </row>
        <row r="29">
          <cell r="O29">
            <v>0</v>
          </cell>
          <cell r="P29">
            <v>0</v>
          </cell>
          <cell r="Q29">
            <v>0</v>
          </cell>
        </row>
        <row r="30">
          <cell r="C30">
            <v>0</v>
          </cell>
          <cell r="D30">
            <v>0</v>
          </cell>
          <cell r="E30">
            <v>0</v>
          </cell>
          <cell r="F30">
            <v>0</v>
          </cell>
          <cell r="G30">
            <v>0</v>
          </cell>
          <cell r="H30">
            <v>0</v>
          </cell>
          <cell r="I30">
            <v>0</v>
          </cell>
          <cell r="J30">
            <v>0</v>
          </cell>
          <cell r="K30">
            <v>0</v>
          </cell>
          <cell r="L30">
            <v>0</v>
          </cell>
          <cell r="M30">
            <v>0</v>
          </cell>
          <cell r="N30">
            <v>0</v>
          </cell>
          <cell r="O30">
            <v>0</v>
          </cell>
          <cell r="P30">
            <v>0</v>
          </cell>
          <cell r="Q30">
            <v>0</v>
          </cell>
        </row>
        <row r="32">
          <cell r="C32">
            <v>0</v>
          </cell>
          <cell r="D32">
            <v>0</v>
          </cell>
          <cell r="E32">
            <v>0</v>
          </cell>
          <cell r="F32">
            <v>0</v>
          </cell>
          <cell r="G32">
            <v>0</v>
          </cell>
          <cell r="H32">
            <v>0</v>
          </cell>
          <cell r="I32">
            <v>0</v>
          </cell>
          <cell r="J32">
            <v>0</v>
          </cell>
          <cell r="K32">
            <v>0</v>
          </cell>
          <cell r="L32">
            <v>0</v>
          </cell>
          <cell r="M32">
            <v>0</v>
          </cell>
          <cell r="N32">
            <v>0</v>
          </cell>
          <cell r="O32">
            <v>0</v>
          </cell>
          <cell r="P32">
            <v>0</v>
          </cell>
          <cell r="Q32">
            <v>0</v>
          </cell>
        </row>
        <row r="34">
          <cell r="C34">
            <v>0</v>
          </cell>
          <cell r="D34">
            <v>0</v>
          </cell>
          <cell r="E34">
            <v>0</v>
          </cell>
          <cell r="F34">
            <v>0</v>
          </cell>
          <cell r="G34">
            <v>0</v>
          </cell>
          <cell r="H34">
            <v>0</v>
          </cell>
          <cell r="I34">
            <v>0</v>
          </cell>
          <cell r="J34">
            <v>0</v>
          </cell>
          <cell r="K34">
            <v>0</v>
          </cell>
          <cell r="L34">
            <v>0</v>
          </cell>
          <cell r="M34">
            <v>0</v>
          </cell>
          <cell r="N34">
            <v>0</v>
          </cell>
          <cell r="O34">
            <v>0</v>
          </cell>
          <cell r="P34">
            <v>0</v>
          </cell>
          <cell r="Q34">
            <v>0</v>
          </cell>
        </row>
        <row r="35">
          <cell r="O35">
            <v>0</v>
          </cell>
          <cell r="P35">
            <v>0</v>
          </cell>
          <cell r="Q35">
            <v>0</v>
          </cell>
        </row>
        <row r="36">
          <cell r="O36">
            <v>0</v>
          </cell>
          <cell r="P36">
            <v>0</v>
          </cell>
          <cell r="Q36">
            <v>0</v>
          </cell>
        </row>
        <row r="37">
          <cell r="O37">
            <v>0</v>
          </cell>
          <cell r="P37">
            <v>0</v>
          </cell>
          <cell r="Q37">
            <v>0</v>
          </cell>
        </row>
        <row r="38">
          <cell r="O38">
            <v>0</v>
          </cell>
          <cell r="P38">
            <v>0</v>
          </cell>
          <cell r="Q38">
            <v>0</v>
          </cell>
        </row>
        <row r="39">
          <cell r="C39">
            <v>0</v>
          </cell>
          <cell r="D39">
            <v>0</v>
          </cell>
          <cell r="E39">
            <v>0</v>
          </cell>
          <cell r="F39">
            <v>0</v>
          </cell>
          <cell r="G39">
            <v>0</v>
          </cell>
          <cell r="H39">
            <v>0</v>
          </cell>
          <cell r="I39">
            <v>0</v>
          </cell>
          <cell r="J39">
            <v>0</v>
          </cell>
          <cell r="K39">
            <v>0</v>
          </cell>
          <cell r="L39">
            <v>0</v>
          </cell>
          <cell r="M39">
            <v>0</v>
          </cell>
          <cell r="N39">
            <v>0</v>
          </cell>
          <cell r="O39">
            <v>0</v>
          </cell>
          <cell r="P39">
            <v>0</v>
          </cell>
          <cell r="Q39">
            <v>0</v>
          </cell>
        </row>
        <row r="41">
          <cell r="C41">
            <v>0</v>
          </cell>
          <cell r="D41">
            <v>0</v>
          </cell>
          <cell r="E41">
            <v>0</v>
          </cell>
          <cell r="F41">
            <v>0</v>
          </cell>
          <cell r="G41">
            <v>0</v>
          </cell>
          <cell r="H41">
            <v>0</v>
          </cell>
          <cell r="I41">
            <v>0</v>
          </cell>
          <cell r="J41">
            <v>0</v>
          </cell>
          <cell r="K41">
            <v>0</v>
          </cell>
          <cell r="L41">
            <v>0</v>
          </cell>
          <cell r="M41">
            <v>0</v>
          </cell>
          <cell r="N41">
            <v>0</v>
          </cell>
          <cell r="O41">
            <v>0</v>
          </cell>
          <cell r="P41">
            <v>0</v>
          </cell>
          <cell r="Q41">
            <v>0</v>
          </cell>
        </row>
        <row r="43">
          <cell r="O43">
            <v>0</v>
          </cell>
          <cell r="P43">
            <v>0</v>
          </cell>
          <cell r="Q43">
            <v>0</v>
          </cell>
        </row>
        <row r="44">
          <cell r="O44">
            <v>0</v>
          </cell>
          <cell r="P44">
            <v>0</v>
          </cell>
          <cell r="Q44">
            <v>0</v>
          </cell>
        </row>
        <row r="45">
          <cell r="O45">
            <v>0</v>
          </cell>
          <cell r="P45">
            <v>0</v>
          </cell>
          <cell r="Q45">
            <v>0</v>
          </cell>
        </row>
        <row r="46">
          <cell r="O46">
            <v>0</v>
          </cell>
          <cell r="P46">
            <v>0</v>
          </cell>
          <cell r="Q46">
            <v>0</v>
          </cell>
        </row>
        <row r="48">
          <cell r="C48">
            <v>0</v>
          </cell>
          <cell r="D48">
            <v>0</v>
          </cell>
          <cell r="E48">
            <v>0</v>
          </cell>
          <cell r="F48">
            <v>0</v>
          </cell>
          <cell r="G48">
            <v>0</v>
          </cell>
          <cell r="H48">
            <v>0</v>
          </cell>
          <cell r="I48">
            <v>0</v>
          </cell>
          <cell r="J48">
            <v>0</v>
          </cell>
          <cell r="K48">
            <v>0</v>
          </cell>
          <cell r="L48">
            <v>0</v>
          </cell>
          <cell r="M48">
            <v>0</v>
          </cell>
          <cell r="N48">
            <v>0</v>
          </cell>
          <cell r="O48">
            <v>0</v>
          </cell>
          <cell r="P48">
            <v>0</v>
          </cell>
          <cell r="Q48">
            <v>0</v>
          </cell>
        </row>
        <row r="49">
          <cell r="O49">
            <v>0</v>
          </cell>
          <cell r="P49">
            <v>0</v>
          </cell>
          <cell r="Q49">
            <v>0</v>
          </cell>
        </row>
        <row r="50">
          <cell r="O50">
            <v>0</v>
          </cell>
          <cell r="P50">
            <v>0</v>
          </cell>
          <cell r="Q50">
            <v>0</v>
          </cell>
        </row>
        <row r="51">
          <cell r="O51">
            <v>0</v>
          </cell>
          <cell r="P51">
            <v>0</v>
          </cell>
          <cell r="Q51">
            <v>0</v>
          </cell>
        </row>
        <row r="52">
          <cell r="O52">
            <v>0</v>
          </cell>
          <cell r="P52">
            <v>0</v>
          </cell>
          <cell r="Q52">
            <v>0</v>
          </cell>
        </row>
        <row r="53">
          <cell r="O53">
            <v>0</v>
          </cell>
          <cell r="P53">
            <v>0</v>
          </cell>
          <cell r="Q53">
            <v>0</v>
          </cell>
        </row>
        <row r="54">
          <cell r="O54">
            <v>0</v>
          </cell>
          <cell r="P54">
            <v>0</v>
          </cell>
          <cell r="Q54">
            <v>0</v>
          </cell>
        </row>
        <row r="55">
          <cell r="O55">
            <v>0</v>
          </cell>
          <cell r="P55">
            <v>0</v>
          </cell>
          <cell r="Q55">
            <v>0</v>
          </cell>
        </row>
        <row r="57">
          <cell r="O57">
            <v>0</v>
          </cell>
          <cell r="P57">
            <v>0</v>
          </cell>
          <cell r="Q57">
            <v>0</v>
          </cell>
        </row>
        <row r="58">
          <cell r="C58">
            <v>0</v>
          </cell>
          <cell r="D58">
            <v>0</v>
          </cell>
          <cell r="E58">
            <v>0</v>
          </cell>
          <cell r="F58">
            <v>0</v>
          </cell>
          <cell r="G58">
            <v>0</v>
          </cell>
          <cell r="H58">
            <v>0</v>
          </cell>
          <cell r="I58">
            <v>0</v>
          </cell>
          <cell r="J58">
            <v>0</v>
          </cell>
          <cell r="K58">
            <v>0</v>
          </cell>
          <cell r="L58">
            <v>0</v>
          </cell>
          <cell r="M58">
            <v>0</v>
          </cell>
          <cell r="N58">
            <v>0</v>
          </cell>
          <cell r="O58">
            <v>0</v>
          </cell>
          <cell r="P58">
            <v>0</v>
          </cell>
          <cell r="Q58">
            <v>0</v>
          </cell>
        </row>
        <row r="59">
          <cell r="C59">
            <v>0</v>
          </cell>
          <cell r="D59">
            <v>0</v>
          </cell>
          <cell r="E59">
            <v>0</v>
          </cell>
          <cell r="F59">
            <v>0</v>
          </cell>
          <cell r="G59">
            <v>0</v>
          </cell>
          <cell r="H59">
            <v>0</v>
          </cell>
          <cell r="I59">
            <v>0</v>
          </cell>
          <cell r="J59">
            <v>0</v>
          </cell>
          <cell r="K59">
            <v>0</v>
          </cell>
          <cell r="L59">
            <v>0</v>
          </cell>
          <cell r="M59">
            <v>0</v>
          </cell>
          <cell r="N59">
            <v>0</v>
          </cell>
          <cell r="O59">
            <v>0</v>
          </cell>
          <cell r="P59">
            <v>0</v>
          </cell>
          <cell r="Q59">
            <v>0</v>
          </cell>
        </row>
        <row r="60">
          <cell r="O60">
            <v>0</v>
          </cell>
          <cell r="P60">
            <v>0</v>
          </cell>
          <cell r="Q60">
            <v>0</v>
          </cell>
        </row>
        <row r="61">
          <cell r="O61">
            <v>0</v>
          </cell>
          <cell r="P61">
            <v>0</v>
          </cell>
          <cell r="Q61">
            <v>0</v>
          </cell>
        </row>
        <row r="63">
          <cell r="C63">
            <v>0</v>
          </cell>
          <cell r="D63">
            <v>0</v>
          </cell>
          <cell r="E63">
            <v>0</v>
          </cell>
          <cell r="F63">
            <v>0</v>
          </cell>
          <cell r="G63">
            <v>0</v>
          </cell>
          <cell r="H63">
            <v>0</v>
          </cell>
          <cell r="I63">
            <v>0</v>
          </cell>
          <cell r="J63">
            <v>0</v>
          </cell>
          <cell r="K63">
            <v>0</v>
          </cell>
          <cell r="L63">
            <v>0</v>
          </cell>
          <cell r="M63">
            <v>0</v>
          </cell>
          <cell r="N63">
            <v>0</v>
          </cell>
          <cell r="O63">
            <v>0</v>
          </cell>
          <cell r="P63">
            <v>0</v>
          </cell>
          <cell r="Q63">
            <v>0</v>
          </cell>
        </row>
        <row r="64">
          <cell r="O64">
            <v>0</v>
          </cell>
          <cell r="P64">
            <v>0</v>
          </cell>
          <cell r="Q64">
            <v>0</v>
          </cell>
        </row>
        <row r="65">
          <cell r="O65">
            <v>0</v>
          </cell>
          <cell r="P65">
            <v>0</v>
          </cell>
          <cell r="Q65">
            <v>0</v>
          </cell>
        </row>
        <row r="66">
          <cell r="O66">
            <v>0</v>
          </cell>
          <cell r="P66">
            <v>0</v>
          </cell>
          <cell r="Q66">
            <v>0</v>
          </cell>
        </row>
        <row r="67">
          <cell r="O67">
            <v>0</v>
          </cell>
          <cell r="P67">
            <v>0</v>
          </cell>
          <cell r="Q67">
            <v>0</v>
          </cell>
        </row>
        <row r="69">
          <cell r="O69">
            <v>0</v>
          </cell>
          <cell r="P69">
            <v>0</v>
          </cell>
          <cell r="Q69">
            <v>0</v>
          </cell>
        </row>
        <row r="71">
          <cell r="O71" t="str">
            <v>P-2</v>
          </cell>
          <cell r="P71" t="str">
            <v>P-1</v>
          </cell>
          <cell r="Q71" t="str">
            <v>Present (P)</v>
          </cell>
        </row>
        <row r="72">
          <cell r="O72">
            <v>1994</v>
          </cell>
          <cell r="P72">
            <v>1995</v>
          </cell>
          <cell r="Q72">
            <v>1996</v>
          </cell>
        </row>
        <row r="73">
          <cell r="O73">
            <v>0</v>
          </cell>
          <cell r="P73">
            <v>0</v>
          </cell>
          <cell r="Q73">
            <v>0</v>
          </cell>
        </row>
        <row r="74">
          <cell r="O74">
            <v>0</v>
          </cell>
          <cell r="P74">
            <v>0</v>
          </cell>
          <cell r="Q74">
            <v>0</v>
          </cell>
        </row>
        <row r="75">
          <cell r="O75">
            <v>0</v>
          </cell>
          <cell r="P75">
            <v>0</v>
          </cell>
          <cell r="Q75">
            <v>0</v>
          </cell>
        </row>
        <row r="76">
          <cell r="O76">
            <v>0</v>
          </cell>
          <cell r="P76">
            <v>0</v>
          </cell>
          <cell r="Q76">
            <v>0</v>
          </cell>
        </row>
        <row r="77">
          <cell r="O77">
            <v>0</v>
          </cell>
          <cell r="P77">
            <v>0</v>
          </cell>
          <cell r="Q77">
            <v>0</v>
          </cell>
        </row>
        <row r="78">
          <cell r="O78">
            <v>0</v>
          </cell>
          <cell r="P78">
            <v>0</v>
          </cell>
          <cell r="Q78">
            <v>0</v>
          </cell>
        </row>
        <row r="79">
          <cell r="O79">
            <v>0</v>
          </cell>
          <cell r="P79">
            <v>0</v>
          </cell>
          <cell r="Q79">
            <v>0</v>
          </cell>
        </row>
        <row r="80">
          <cell r="O80">
            <v>0</v>
          </cell>
          <cell r="P80">
            <v>0</v>
          </cell>
          <cell r="Q80">
            <v>0</v>
          </cell>
        </row>
        <row r="81">
          <cell r="O81">
            <v>0</v>
          </cell>
          <cell r="P81">
            <v>0</v>
          </cell>
          <cell r="Q81">
            <v>0</v>
          </cell>
        </row>
        <row r="82">
          <cell r="O82">
            <v>0</v>
          </cell>
          <cell r="P82">
            <v>0</v>
          </cell>
          <cell r="Q82">
            <v>0</v>
          </cell>
        </row>
        <row r="84">
          <cell r="O84">
            <v>0</v>
          </cell>
          <cell r="P84">
            <v>0</v>
          </cell>
          <cell r="Q84">
            <v>0</v>
          </cell>
        </row>
        <row r="85">
          <cell r="O85">
            <v>0</v>
          </cell>
          <cell r="P85">
            <v>0</v>
          </cell>
          <cell r="Q85">
            <v>0</v>
          </cell>
        </row>
        <row r="86">
          <cell r="O86">
            <v>0</v>
          </cell>
          <cell r="P86">
            <v>0</v>
          </cell>
          <cell r="Q86">
            <v>0</v>
          </cell>
        </row>
        <row r="87">
          <cell r="O87">
            <v>0</v>
          </cell>
          <cell r="P87">
            <v>0</v>
          </cell>
          <cell r="Q87">
            <v>0</v>
          </cell>
        </row>
        <row r="88">
          <cell r="O88">
            <v>0</v>
          </cell>
          <cell r="P88">
            <v>0</v>
          </cell>
          <cell r="Q88">
            <v>0</v>
          </cell>
        </row>
        <row r="89">
          <cell r="O89">
            <v>0</v>
          </cell>
          <cell r="P89">
            <v>0</v>
          </cell>
          <cell r="Q89">
            <v>0</v>
          </cell>
        </row>
        <row r="90">
          <cell r="C90">
            <v>0</v>
          </cell>
          <cell r="D90">
            <v>0</v>
          </cell>
          <cell r="E90">
            <v>0</v>
          </cell>
          <cell r="F90">
            <v>0</v>
          </cell>
          <cell r="G90">
            <v>0</v>
          </cell>
          <cell r="H90">
            <v>0</v>
          </cell>
          <cell r="I90">
            <v>0</v>
          </cell>
          <cell r="J90">
            <v>0</v>
          </cell>
          <cell r="K90">
            <v>0</v>
          </cell>
          <cell r="L90">
            <v>0</v>
          </cell>
          <cell r="M90">
            <v>0</v>
          </cell>
          <cell r="N90">
            <v>0</v>
          </cell>
          <cell r="O90">
            <v>0</v>
          </cell>
          <cell r="P90">
            <v>0</v>
          </cell>
          <cell r="Q90">
            <v>0</v>
          </cell>
        </row>
        <row r="91">
          <cell r="O91">
            <v>0</v>
          </cell>
          <cell r="P91">
            <v>0</v>
          </cell>
          <cell r="Q91">
            <v>0</v>
          </cell>
        </row>
        <row r="92">
          <cell r="O92">
            <v>0</v>
          </cell>
          <cell r="P92">
            <v>0</v>
          </cell>
          <cell r="Q92">
            <v>0</v>
          </cell>
        </row>
        <row r="93">
          <cell r="O93">
            <v>0</v>
          </cell>
          <cell r="P93">
            <v>0</v>
          </cell>
          <cell r="Q93">
            <v>0</v>
          </cell>
        </row>
        <row r="94">
          <cell r="C94">
            <v>0</v>
          </cell>
          <cell r="D94">
            <v>0</v>
          </cell>
          <cell r="E94">
            <v>0</v>
          </cell>
          <cell r="F94">
            <v>0</v>
          </cell>
          <cell r="G94">
            <v>0</v>
          </cell>
          <cell r="H94">
            <v>0</v>
          </cell>
          <cell r="I94">
            <v>0</v>
          </cell>
          <cell r="J94">
            <v>0</v>
          </cell>
          <cell r="K94">
            <v>0</v>
          </cell>
          <cell r="L94">
            <v>0</v>
          </cell>
          <cell r="M94">
            <v>0</v>
          </cell>
          <cell r="N94">
            <v>0</v>
          </cell>
          <cell r="O94">
            <v>0</v>
          </cell>
          <cell r="P94">
            <v>0</v>
          </cell>
          <cell r="Q94">
            <v>0</v>
          </cell>
        </row>
        <row r="95">
          <cell r="O95">
            <v>1139.98</v>
          </cell>
        </row>
        <row r="96">
          <cell r="C96">
            <v>0</v>
          </cell>
          <cell r="D96">
            <v>0</v>
          </cell>
          <cell r="E96">
            <v>0</v>
          </cell>
          <cell r="F96">
            <v>0</v>
          </cell>
          <cell r="G96">
            <v>0</v>
          </cell>
          <cell r="H96">
            <v>0</v>
          </cell>
          <cell r="I96">
            <v>0</v>
          </cell>
          <cell r="J96">
            <v>0</v>
          </cell>
          <cell r="K96">
            <v>0</v>
          </cell>
          <cell r="L96">
            <v>0</v>
          </cell>
          <cell r="M96">
            <v>0</v>
          </cell>
          <cell r="N96">
            <v>0</v>
          </cell>
          <cell r="O96">
            <v>0</v>
          </cell>
          <cell r="P96">
            <v>0</v>
          </cell>
          <cell r="Q96">
            <v>0</v>
          </cell>
        </row>
        <row r="97">
          <cell r="O97">
            <v>0</v>
          </cell>
          <cell r="P97">
            <v>0</v>
          </cell>
          <cell r="Q97">
            <v>0</v>
          </cell>
        </row>
        <row r="98">
          <cell r="O98">
            <v>0</v>
          </cell>
          <cell r="P98">
            <v>0</v>
          </cell>
          <cell r="Q98">
            <v>0</v>
          </cell>
        </row>
        <row r="100">
          <cell r="C100">
            <v>0</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row>
        <row r="101">
          <cell r="C101">
            <v>0</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row>
        <row r="102">
          <cell r="C102">
            <v>0</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row>
        <row r="103">
          <cell r="O103">
            <v>0</v>
          </cell>
          <cell r="P103">
            <v>0</v>
          </cell>
          <cell r="Q103">
            <v>0</v>
          </cell>
        </row>
        <row r="104">
          <cell r="O104">
            <v>0</v>
          </cell>
          <cell r="P104">
            <v>0</v>
          </cell>
          <cell r="Q104">
            <v>0</v>
          </cell>
        </row>
        <row r="105">
          <cell r="O105">
            <v>0</v>
          </cell>
          <cell r="P105">
            <v>0</v>
          </cell>
          <cell r="Q105">
            <v>0</v>
          </cell>
        </row>
        <row r="108">
          <cell r="O108" t="str">
            <v xml:space="preserve">--  </v>
          </cell>
          <cell r="P108" t="str">
            <v xml:space="preserve">--  </v>
          </cell>
          <cell r="Q108" t="str">
            <v xml:space="preserve">--  </v>
          </cell>
        </row>
        <row r="109">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cell r="N109" t="str">
            <v xml:space="preserve">--  </v>
          </cell>
          <cell r="O109" t="str">
            <v xml:space="preserve">--  </v>
          </cell>
          <cell r="P109" t="str">
            <v xml:space="preserve">--  </v>
          </cell>
          <cell r="Q109" t="str">
            <v xml:space="preserve">--  </v>
          </cell>
        </row>
        <row r="110">
          <cell r="O110" t="str">
            <v xml:space="preserve">--  </v>
          </cell>
          <cell r="P110" t="str">
            <v xml:space="preserve">--  </v>
          </cell>
          <cell r="Q110" t="str">
            <v xml:space="preserve">--  </v>
          </cell>
        </row>
        <row r="111">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cell r="N111" t="str">
            <v xml:space="preserve">--  </v>
          </cell>
          <cell r="O111" t="str">
            <v xml:space="preserve">--  </v>
          </cell>
          <cell r="P111" t="str">
            <v xml:space="preserve">--  </v>
          </cell>
          <cell r="Q111" t="str">
            <v xml:space="preserve">--  </v>
          </cell>
        </row>
        <row r="112">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cell r="N112" t="str">
            <v xml:space="preserve">--  </v>
          </cell>
          <cell r="O112" t="str">
            <v xml:space="preserve">--  </v>
          </cell>
          <cell r="P112" t="str">
            <v xml:space="preserve">--  </v>
          </cell>
          <cell r="Q112" t="str">
            <v xml:space="preserve">--  </v>
          </cell>
        </row>
        <row r="113">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cell r="N113" t="str">
            <v xml:space="preserve">--  </v>
          </cell>
          <cell r="O113" t="str">
            <v xml:space="preserve">--  </v>
          </cell>
          <cell r="P113" t="str">
            <v xml:space="preserve">--  </v>
          </cell>
          <cell r="Q113" t="str">
            <v xml:space="preserve">--  </v>
          </cell>
        </row>
        <row r="114">
          <cell r="O114" t="str">
            <v xml:space="preserve">--  </v>
          </cell>
          <cell r="P114" t="str">
            <v xml:space="preserve">--  </v>
          </cell>
          <cell r="Q114" t="str">
            <v xml:space="preserve">--  </v>
          </cell>
        </row>
        <row r="115">
          <cell r="O115" t="str">
            <v xml:space="preserve">--  </v>
          </cell>
          <cell r="P115" t="str">
            <v xml:space="preserve">--  </v>
          </cell>
          <cell r="Q115" t="str">
            <v xml:space="preserve">--  </v>
          </cell>
        </row>
        <row r="119">
          <cell r="O119" t="str">
            <v xml:space="preserve">--  </v>
          </cell>
          <cell r="P119" t="str">
            <v xml:space="preserve">--  </v>
          </cell>
          <cell r="Q119" t="str">
            <v xml:space="preserve">--  </v>
          </cell>
        </row>
        <row r="120">
          <cell r="O120" t="str">
            <v xml:space="preserve">--  </v>
          </cell>
          <cell r="P120" t="str">
            <v xml:space="preserve">--  </v>
          </cell>
          <cell r="Q120" t="str">
            <v xml:space="preserve">--  </v>
          </cell>
        </row>
        <row r="121">
          <cell r="O121" t="str">
            <v xml:space="preserve">--  </v>
          </cell>
          <cell r="P121" t="str">
            <v xml:space="preserve">--  </v>
          </cell>
          <cell r="Q121" t="str">
            <v xml:space="preserve">--  </v>
          </cell>
        </row>
        <row r="122">
          <cell r="O122" t="str">
            <v>NM</v>
          </cell>
          <cell r="P122" t="str">
            <v>NM</v>
          </cell>
          <cell r="Q122" t="str">
            <v>NM</v>
          </cell>
        </row>
        <row r="123">
          <cell r="O123" t="str">
            <v xml:space="preserve">--  </v>
          </cell>
          <cell r="P123" t="str">
            <v xml:space="preserve">--  </v>
          </cell>
          <cell r="Q123" t="str">
            <v xml:space="preserve">--  </v>
          </cell>
        </row>
        <row r="124">
          <cell r="O124" t="str">
            <v xml:space="preserve">--  </v>
          </cell>
          <cell r="P124" t="str">
            <v xml:space="preserve">--  </v>
          </cell>
          <cell r="Q124" t="str">
            <v xml:space="preserve">--  </v>
          </cell>
        </row>
        <row r="125">
          <cell r="O125" t="str">
            <v xml:space="preserve">--  </v>
          </cell>
          <cell r="P125" t="str">
            <v xml:space="preserve">--  </v>
          </cell>
          <cell r="Q125" t="str">
            <v xml:space="preserve">--  </v>
          </cell>
        </row>
        <row r="128">
          <cell r="O128" t="str">
            <v xml:space="preserve">--  </v>
          </cell>
          <cell r="P128" t="str">
            <v xml:space="preserve">--  </v>
          </cell>
          <cell r="Q128" t="str">
            <v xml:space="preserve">--  </v>
          </cell>
        </row>
        <row r="129">
          <cell r="O129" t="str">
            <v xml:space="preserve">--  </v>
          </cell>
          <cell r="P129" t="str">
            <v xml:space="preserve">--  </v>
          </cell>
          <cell r="Q129" t="str">
            <v xml:space="preserve">--  </v>
          </cell>
        </row>
        <row r="130">
          <cell r="O130" t="str">
            <v xml:space="preserve">--  </v>
          </cell>
          <cell r="P130" t="str">
            <v xml:space="preserve">--  </v>
          </cell>
          <cell r="Q130" t="str">
            <v xml:space="preserve">--  </v>
          </cell>
        </row>
        <row r="131">
          <cell r="O131" t="str">
            <v xml:space="preserve">--  </v>
          </cell>
          <cell r="P131" t="str">
            <v xml:space="preserve">--  </v>
          </cell>
          <cell r="Q131" t="str">
            <v xml:space="preserve">--  </v>
          </cell>
        </row>
        <row r="132">
          <cell r="O132" t="str">
            <v xml:space="preserve">--  </v>
          </cell>
          <cell r="P132" t="str">
            <v xml:space="preserve">--  </v>
          </cell>
          <cell r="Q132" t="str">
            <v xml:space="preserve">--  </v>
          </cell>
        </row>
        <row r="133">
          <cell r="O133" t="str">
            <v xml:space="preserve">--  </v>
          </cell>
          <cell r="P133" t="str">
            <v xml:space="preserve">--  </v>
          </cell>
          <cell r="Q133" t="str">
            <v xml:space="preserve">--  </v>
          </cell>
        </row>
        <row r="134">
          <cell r="O134" t="e">
            <v>#DIV/0!</v>
          </cell>
          <cell r="P134" t="e">
            <v>#DIV/0!</v>
          </cell>
          <cell r="Q134" t="e">
            <v>#DIV/0!</v>
          </cell>
        </row>
        <row r="135">
          <cell r="O135" t="str">
            <v xml:space="preserve">--  </v>
          </cell>
          <cell r="P135" t="str">
            <v xml:space="preserve">--  </v>
          </cell>
          <cell r="Q135" t="str">
            <v xml:space="preserve">--  </v>
          </cell>
        </row>
        <row r="138">
          <cell r="O138" t="str">
            <v xml:space="preserve">--  </v>
          </cell>
          <cell r="P138" t="str">
            <v xml:space="preserve">--  </v>
          </cell>
          <cell r="Q138" t="str">
            <v xml:space="preserve">--  </v>
          </cell>
        </row>
        <row r="139">
          <cell r="O139" t="str">
            <v xml:space="preserve">--  </v>
          </cell>
          <cell r="P139" t="str">
            <v xml:space="preserve">--  </v>
          </cell>
          <cell r="Q139" t="str">
            <v xml:space="preserve">--  </v>
          </cell>
        </row>
        <row r="140">
          <cell r="O140" t="str">
            <v xml:space="preserve">--  </v>
          </cell>
          <cell r="P140" t="str">
            <v xml:space="preserve">--  </v>
          </cell>
          <cell r="Q140" t="str">
            <v xml:space="preserve">--  </v>
          </cell>
        </row>
        <row r="141">
          <cell r="O141" t="str">
            <v xml:space="preserve">--  </v>
          </cell>
          <cell r="P141" t="str">
            <v xml:space="preserve">--  </v>
          </cell>
          <cell r="Q141" t="str">
            <v xml:space="preserve">--  </v>
          </cell>
        </row>
        <row r="142">
          <cell r="O142" t="str">
            <v xml:space="preserve">--  </v>
          </cell>
          <cell r="P142" t="str">
            <v xml:space="preserve">--  </v>
          </cell>
          <cell r="Q142" t="str">
            <v xml:space="preserve">--  </v>
          </cell>
        </row>
        <row r="143">
          <cell r="O143" t="str">
            <v xml:space="preserve">--  </v>
          </cell>
          <cell r="P143" t="str">
            <v xml:space="preserve">--  </v>
          </cell>
          <cell r="Q143" t="str">
            <v xml:space="preserve">--  </v>
          </cell>
        </row>
        <row r="144">
          <cell r="O144" t="str">
            <v xml:space="preserve">--  </v>
          </cell>
          <cell r="P144" t="str">
            <v xml:space="preserve">--  </v>
          </cell>
          <cell r="Q144" t="str">
            <v xml:space="preserve">--  </v>
          </cell>
        </row>
        <row r="145">
          <cell r="O145">
            <v>0</v>
          </cell>
          <cell r="P145">
            <v>0</v>
          </cell>
          <cell r="Q145">
            <v>0</v>
          </cell>
        </row>
        <row r="146">
          <cell r="O146" t="str">
            <v xml:space="preserve">--  </v>
          </cell>
          <cell r="P146" t="str">
            <v xml:space="preserve">--  </v>
          </cell>
          <cell r="Q146" t="str">
            <v xml:space="preserve">--  </v>
          </cell>
        </row>
        <row r="147">
          <cell r="O147">
            <v>0</v>
          </cell>
          <cell r="P147">
            <v>0</v>
          </cell>
          <cell r="Q147">
            <v>0</v>
          </cell>
        </row>
        <row r="148">
          <cell r="O148">
            <v>0</v>
          </cell>
          <cell r="P148">
            <v>0</v>
          </cell>
          <cell r="Q148">
            <v>0</v>
          </cell>
        </row>
        <row r="149">
          <cell r="O149">
            <v>0</v>
          </cell>
          <cell r="P149">
            <v>0</v>
          </cell>
          <cell r="Q149">
            <v>0</v>
          </cell>
        </row>
        <row r="150">
          <cell r="O150" t="str">
            <v xml:space="preserve">--  </v>
          </cell>
          <cell r="P150" t="str">
            <v xml:space="preserve">--  </v>
          </cell>
          <cell r="Q150" t="str">
            <v xml:space="preserve">--  </v>
          </cell>
        </row>
        <row r="151">
          <cell r="M151" t="str">
            <v xml:space="preserve">--  </v>
          </cell>
          <cell r="N151" t="str">
            <v xml:space="preserve">--  </v>
          </cell>
          <cell r="O151" t="str">
            <v xml:space="preserve">--  </v>
          </cell>
          <cell r="P151" t="str">
            <v xml:space="preserve">--  </v>
          </cell>
          <cell r="Q151" t="str">
            <v xml:space="preserve">--  </v>
          </cell>
        </row>
        <row r="152">
          <cell r="O152" t="str">
            <v xml:space="preserve">--  </v>
          </cell>
          <cell r="P152" t="str">
            <v xml:space="preserve">--  </v>
          </cell>
          <cell r="Q152" t="str">
            <v xml:space="preserve">--  </v>
          </cell>
        </row>
        <row r="153">
          <cell r="M153" t="str">
            <v>--</v>
          </cell>
          <cell r="N153">
            <v>0</v>
          </cell>
          <cell r="O153">
            <v>0</v>
          </cell>
          <cell r="P153">
            <v>0</v>
          </cell>
          <cell r="Q153">
            <v>0</v>
          </cell>
        </row>
        <row r="154">
          <cell r="O154">
            <v>0</v>
          </cell>
          <cell r="P154">
            <v>0</v>
          </cell>
          <cell r="Q154">
            <v>0</v>
          </cell>
        </row>
        <row r="155">
          <cell r="O155">
            <v>0</v>
          </cell>
          <cell r="P155">
            <v>0</v>
          </cell>
          <cell r="Q155">
            <v>0</v>
          </cell>
        </row>
        <row r="159">
          <cell r="P159" t="str">
            <v>5 year CAGR</v>
          </cell>
        </row>
        <row r="160">
          <cell r="P160" t="str">
            <v>Sales</v>
          </cell>
          <cell r="Q160" t="e">
            <v>#DIV/0!</v>
          </cell>
        </row>
        <row r="161">
          <cell r="P161" t="str">
            <v>EBITDA</v>
          </cell>
          <cell r="Q161" t="e">
            <v>#DIV/0!</v>
          </cell>
        </row>
        <row r="162">
          <cell r="P162" t="str">
            <v>NOPAT</v>
          </cell>
          <cell r="Q162" t="e">
            <v>#DIV/0!</v>
          </cell>
        </row>
      </sheetData>
      <sheetData sheetId="6" refreshError="1">
        <row r="11">
          <cell r="D11" t="e">
            <v>#VALUE!</v>
          </cell>
        </row>
        <row r="21">
          <cell r="J21" t="e">
            <v>#VALUE!</v>
          </cell>
        </row>
        <row r="23">
          <cell r="U23" t="e">
            <v>#DIV/0!</v>
          </cell>
        </row>
      </sheetData>
      <sheetData sheetId="7" refreshError="1">
        <row r="1">
          <cell r="F1" t="str">
            <v>Discounted Cash Flow</v>
          </cell>
        </row>
        <row r="2">
          <cell r="D2">
            <v>1</v>
          </cell>
          <cell r="E2">
            <v>2</v>
          </cell>
          <cell r="F2">
            <v>3</v>
          </cell>
          <cell r="G2">
            <v>4</v>
          </cell>
          <cell r="H2">
            <v>5</v>
          </cell>
          <cell r="L2">
            <v>9</v>
          </cell>
          <cell r="M2">
            <v>10</v>
          </cell>
          <cell r="Q2">
            <v>14</v>
          </cell>
          <cell r="R2">
            <v>15</v>
          </cell>
          <cell r="AA2">
            <v>24</v>
          </cell>
          <cell r="AB2">
            <v>25</v>
          </cell>
        </row>
        <row r="3">
          <cell r="C3" t="str">
            <v>Present(P)</v>
          </cell>
          <cell r="D3" t="str">
            <v>Estimated Year 1</v>
          </cell>
          <cell r="E3" t="str">
            <v>EY 2</v>
          </cell>
          <cell r="F3" t="str">
            <v>EY 3</v>
          </cell>
          <cell r="G3" t="str">
            <v>EY 4</v>
          </cell>
          <cell r="H3" t="str">
            <v>EY 5</v>
          </cell>
          <cell r="L3" t="str">
            <v>EY 9</v>
          </cell>
          <cell r="M3" t="str">
            <v>EY 10</v>
          </cell>
          <cell r="Q3" t="str">
            <v>EY 14</v>
          </cell>
          <cell r="R3" t="str">
            <v>EY 15</v>
          </cell>
          <cell r="AA3" t="str">
            <v>EY 24</v>
          </cell>
          <cell r="AB3" t="str">
            <v>EY 25</v>
          </cell>
        </row>
        <row r="4">
          <cell r="C4">
            <v>1996</v>
          </cell>
          <cell r="D4" t="str">
            <v>1997E</v>
          </cell>
          <cell r="E4" t="str">
            <v>1998E</v>
          </cell>
          <cell r="F4" t="str">
            <v>1999E</v>
          </cell>
          <cell r="G4" t="str">
            <v>2000E</v>
          </cell>
          <cell r="H4" t="str">
            <v>2001E</v>
          </cell>
          <cell r="L4" t="str">
            <v>2005E</v>
          </cell>
          <cell r="M4" t="str">
            <v>2006E</v>
          </cell>
          <cell r="Q4" t="str">
            <v>2010E</v>
          </cell>
          <cell r="R4" t="str">
            <v>2011E</v>
          </cell>
          <cell r="AA4" t="str">
            <v>2020E</v>
          </cell>
          <cell r="AB4" t="str">
            <v>2021E</v>
          </cell>
        </row>
        <row r="6">
          <cell r="C6">
            <v>0</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T6">
            <v>0</v>
          </cell>
          <cell r="U6">
            <v>0</v>
          </cell>
          <cell r="V6">
            <v>0</v>
          </cell>
          <cell r="W6">
            <v>0</v>
          </cell>
          <cell r="X6">
            <v>0</v>
          </cell>
          <cell r="Y6">
            <v>0</v>
          </cell>
          <cell r="Z6">
            <v>0</v>
          </cell>
          <cell r="AA6">
            <v>0</v>
          </cell>
          <cell r="AB6">
            <v>0</v>
          </cell>
          <cell r="AC6">
            <v>0</v>
          </cell>
        </row>
        <row r="7">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T7">
            <v>0</v>
          </cell>
          <cell r="U7">
            <v>0</v>
          </cell>
          <cell r="V7">
            <v>0</v>
          </cell>
          <cell r="W7">
            <v>0</v>
          </cell>
          <cell r="X7">
            <v>0</v>
          </cell>
          <cell r="Y7">
            <v>0</v>
          </cell>
          <cell r="Z7">
            <v>0</v>
          </cell>
          <cell r="AA7">
            <v>0</v>
          </cell>
          <cell r="AB7">
            <v>0</v>
          </cell>
          <cell r="AC7">
            <v>0</v>
          </cell>
        </row>
        <row r="8">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T8">
            <v>0</v>
          </cell>
          <cell r="U8">
            <v>0</v>
          </cell>
          <cell r="V8">
            <v>0</v>
          </cell>
          <cell r="W8">
            <v>0</v>
          </cell>
          <cell r="X8">
            <v>0</v>
          </cell>
          <cell r="Y8">
            <v>0</v>
          </cell>
          <cell r="Z8">
            <v>0</v>
          </cell>
          <cell r="AA8">
            <v>0</v>
          </cell>
          <cell r="AB8">
            <v>0</v>
          </cell>
          <cell r="AC8">
            <v>0</v>
          </cell>
        </row>
        <row r="9">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row>
        <row r="10">
          <cell r="C10" t="str">
            <v xml:space="preserve">--  </v>
          </cell>
          <cell r="D10" t="str">
            <v xml:space="preserve">--  </v>
          </cell>
          <cell r="E10" t="str">
            <v xml:space="preserve">--  </v>
          </cell>
          <cell r="F10" t="str">
            <v xml:space="preserve">--  </v>
          </cell>
          <cell r="G10" t="str">
            <v xml:space="preserve">--  </v>
          </cell>
          <cell r="H10" t="str">
            <v xml:space="preserve">--  </v>
          </cell>
          <cell r="L10" t="str">
            <v xml:space="preserve">--  </v>
          </cell>
          <cell r="M10" t="str">
            <v xml:space="preserve">--  </v>
          </cell>
          <cell r="Q10" t="str">
            <v xml:space="preserve">--  </v>
          </cell>
          <cell r="R10" t="str">
            <v xml:space="preserve">--  </v>
          </cell>
          <cell r="AA10" t="str">
            <v xml:space="preserve">--  </v>
          </cell>
          <cell r="AB10" t="str">
            <v xml:space="preserve">--  </v>
          </cell>
        </row>
        <row r="12">
          <cell r="C12">
            <v>0</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row>
        <row r="13">
          <cell r="C13" t="str">
            <v xml:space="preserve">--  </v>
          </cell>
          <cell r="D13" t="str">
            <v xml:space="preserve">--  </v>
          </cell>
          <cell r="E13" t="str">
            <v xml:space="preserve">--  </v>
          </cell>
          <cell r="F13" t="str">
            <v xml:space="preserve">--  </v>
          </cell>
          <cell r="G13" t="str">
            <v xml:space="preserve">--  </v>
          </cell>
          <cell r="H13" t="str">
            <v xml:space="preserve">--  </v>
          </cell>
          <cell r="L13" t="str">
            <v xml:space="preserve">--  </v>
          </cell>
          <cell r="M13" t="str">
            <v xml:space="preserve">--  </v>
          </cell>
          <cell r="Q13" t="str">
            <v xml:space="preserve">--  </v>
          </cell>
          <cell r="R13" t="str">
            <v xml:space="preserve">--  </v>
          </cell>
          <cell r="AA13" t="str">
            <v xml:space="preserve">--  </v>
          </cell>
          <cell r="AB13" t="str">
            <v xml:space="preserve">--  </v>
          </cell>
        </row>
        <row r="15">
          <cell r="C15">
            <v>0</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row>
        <row r="18">
          <cell r="C18">
            <v>0</v>
          </cell>
          <cell r="D18">
            <v>0</v>
          </cell>
          <cell r="E18">
            <v>0</v>
          </cell>
          <cell r="F18">
            <v>0</v>
          </cell>
          <cell r="G18">
            <v>0</v>
          </cell>
          <cell r="H18">
            <v>0</v>
          </cell>
          <cell r="L18">
            <v>0</v>
          </cell>
          <cell r="M18">
            <v>0</v>
          </cell>
          <cell r="Q18">
            <v>0</v>
          </cell>
          <cell r="R18">
            <v>0</v>
          </cell>
          <cell r="AA18">
            <v>0</v>
          </cell>
          <cell r="AB18">
            <v>0</v>
          </cell>
        </row>
        <row r="19">
          <cell r="C19">
            <v>0</v>
          </cell>
          <cell r="D19">
            <v>0</v>
          </cell>
          <cell r="E19">
            <v>0</v>
          </cell>
          <cell r="F19">
            <v>0</v>
          </cell>
          <cell r="G19">
            <v>0</v>
          </cell>
          <cell r="H19">
            <v>0</v>
          </cell>
          <cell r="L19">
            <v>0</v>
          </cell>
          <cell r="M19">
            <v>0</v>
          </cell>
          <cell r="Q19">
            <v>0</v>
          </cell>
          <cell r="R19">
            <v>0</v>
          </cell>
          <cell r="AA19">
            <v>0</v>
          </cell>
          <cell r="AB19">
            <v>0</v>
          </cell>
        </row>
        <row r="20">
          <cell r="C20">
            <v>0</v>
          </cell>
          <cell r="D20">
            <v>0</v>
          </cell>
          <cell r="E20">
            <v>0</v>
          </cell>
          <cell r="F20">
            <v>0</v>
          </cell>
          <cell r="G20">
            <v>0</v>
          </cell>
          <cell r="H20">
            <v>0</v>
          </cell>
          <cell r="L20">
            <v>0</v>
          </cell>
          <cell r="M20">
            <v>0</v>
          </cell>
          <cell r="Q20">
            <v>0</v>
          </cell>
          <cell r="R20">
            <v>0</v>
          </cell>
          <cell r="AA20">
            <v>0</v>
          </cell>
          <cell r="AB20">
            <v>0</v>
          </cell>
        </row>
        <row r="21">
          <cell r="C21">
            <v>0</v>
          </cell>
          <cell r="D21">
            <v>0</v>
          </cell>
          <cell r="E21">
            <v>0</v>
          </cell>
          <cell r="F21">
            <v>0</v>
          </cell>
          <cell r="G21">
            <v>0</v>
          </cell>
          <cell r="H21">
            <v>0</v>
          </cell>
          <cell r="L21">
            <v>0</v>
          </cell>
          <cell r="M21">
            <v>0</v>
          </cell>
          <cell r="Q21">
            <v>0</v>
          </cell>
          <cell r="R21">
            <v>0</v>
          </cell>
          <cell r="AA21">
            <v>0</v>
          </cell>
          <cell r="AB21">
            <v>0</v>
          </cell>
        </row>
        <row r="23">
          <cell r="C23">
            <v>0</v>
          </cell>
          <cell r="D23">
            <v>0</v>
          </cell>
          <cell r="E23">
            <v>0</v>
          </cell>
          <cell r="F23">
            <v>0</v>
          </cell>
          <cell r="G23">
            <v>0</v>
          </cell>
          <cell r="H23">
            <v>0</v>
          </cell>
          <cell r="L23">
            <v>0</v>
          </cell>
          <cell r="M23">
            <v>0</v>
          </cell>
          <cell r="Q23">
            <v>0</v>
          </cell>
          <cell r="R23">
            <v>0</v>
          </cell>
          <cell r="AA23">
            <v>0</v>
          </cell>
          <cell r="AB23">
            <v>0</v>
          </cell>
        </row>
        <row r="26">
          <cell r="C26">
            <v>0</v>
          </cell>
          <cell r="D26" t="e">
            <v>#VALUE!</v>
          </cell>
          <cell r="E26" t="e">
            <v>#VALUE!</v>
          </cell>
          <cell r="F26" t="e">
            <v>#VALUE!</v>
          </cell>
          <cell r="G26" t="e">
            <v>#VALUE!</v>
          </cell>
          <cell r="H26" t="e">
            <v>#VALUE!</v>
          </cell>
          <cell r="L26" t="e">
            <v>#VALUE!</v>
          </cell>
          <cell r="M26" t="e">
            <v>#VALUE!</v>
          </cell>
          <cell r="Q26" t="e">
            <v>#VALUE!</v>
          </cell>
          <cell r="R26" t="e">
            <v>#VALUE!</v>
          </cell>
          <cell r="AA26" t="e">
            <v>#VALUE!</v>
          </cell>
          <cell r="AB26" t="e">
            <v>#VALUE!</v>
          </cell>
        </row>
        <row r="27">
          <cell r="C27">
            <v>0</v>
          </cell>
          <cell r="D27" t="e">
            <v>#VALUE!</v>
          </cell>
          <cell r="E27" t="e">
            <v>#VALUE!</v>
          </cell>
          <cell r="F27" t="e">
            <v>#VALUE!</v>
          </cell>
          <cell r="G27" t="e">
            <v>#VALUE!</v>
          </cell>
          <cell r="H27" t="e">
            <v>#VALUE!</v>
          </cell>
          <cell r="L27" t="e">
            <v>#VALUE!</v>
          </cell>
          <cell r="M27" t="e">
            <v>#VALUE!</v>
          </cell>
          <cell r="Q27" t="e">
            <v>#VALUE!</v>
          </cell>
          <cell r="R27" t="e">
            <v>#VALUE!</v>
          </cell>
          <cell r="AA27" t="e">
            <v>#VALUE!</v>
          </cell>
          <cell r="AB27" t="e">
            <v>#VALUE!</v>
          </cell>
        </row>
        <row r="29">
          <cell r="C29" t="str">
            <v xml:space="preserve">--  </v>
          </cell>
          <cell r="D29" t="e">
            <v>#VALUE!</v>
          </cell>
          <cell r="E29" t="e">
            <v>#VALUE!</v>
          </cell>
          <cell r="F29" t="e">
            <v>#VALUE!</v>
          </cell>
          <cell r="G29" t="e">
            <v>#VALUE!</v>
          </cell>
          <cell r="H29" t="e">
            <v>#VALUE!</v>
          </cell>
          <cell r="L29" t="e">
            <v>#VALUE!</v>
          </cell>
          <cell r="M29" t="e">
            <v>#VALUE!</v>
          </cell>
          <cell r="Q29" t="e">
            <v>#VALUE!</v>
          </cell>
          <cell r="R29" t="e">
            <v>#VALUE!</v>
          </cell>
          <cell r="AA29" t="e">
            <v>#VALUE!</v>
          </cell>
          <cell r="AB29" t="e">
            <v>#VALUE!</v>
          </cell>
        </row>
        <row r="30">
          <cell r="C30" t="str">
            <v xml:space="preserve">--  </v>
          </cell>
          <cell r="D30" t="e">
            <v>#VALUE!</v>
          </cell>
          <cell r="E30" t="e">
            <v>#VALUE!</v>
          </cell>
          <cell r="F30" t="e">
            <v>#VALUE!</v>
          </cell>
          <cell r="G30" t="e">
            <v>#VALUE!</v>
          </cell>
          <cell r="H30" t="e">
            <v>#VALUE!</v>
          </cell>
          <cell r="L30" t="e">
            <v>#VALUE!</v>
          </cell>
          <cell r="M30" t="e">
            <v>#VALUE!</v>
          </cell>
          <cell r="Q30" t="e">
            <v>#VALUE!</v>
          </cell>
          <cell r="R30" t="e">
            <v>#VALUE!</v>
          </cell>
          <cell r="AA30" t="e">
            <v>#VALUE!</v>
          </cell>
          <cell r="AB30" t="e">
            <v>#VALUE!</v>
          </cell>
        </row>
        <row r="32">
          <cell r="C32">
            <v>0</v>
          </cell>
          <cell r="D32" t="e">
            <v>#VALUE!</v>
          </cell>
          <cell r="E32" t="e">
            <v>#VALUE!</v>
          </cell>
          <cell r="F32">
            <v>0</v>
          </cell>
          <cell r="G32" t="e">
            <v>#VALUE!</v>
          </cell>
          <cell r="H32" t="e">
            <v>#VALUE!</v>
          </cell>
          <cell r="L32" t="e">
            <v>#VALUE!</v>
          </cell>
          <cell r="M32" t="e">
            <v>#VALUE!</v>
          </cell>
          <cell r="Q32" t="e">
            <v>#VALUE!</v>
          </cell>
          <cell r="R32" t="e">
            <v>#VALUE!</v>
          </cell>
          <cell r="AA32" t="e">
            <v>#VALUE!</v>
          </cell>
          <cell r="AB32" t="e">
            <v>#VALUE!</v>
          </cell>
        </row>
        <row r="33">
          <cell r="C33">
            <v>0</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row>
        <row r="34">
          <cell r="C34" t="e">
            <v>#VALUE!</v>
          </cell>
          <cell r="D34" t="e">
            <v>#VALUE!</v>
          </cell>
          <cell r="E34" t="e">
            <v>#VALUE!</v>
          </cell>
          <cell r="F34" t="e">
            <v>#VALUE!</v>
          </cell>
          <cell r="G34" t="e">
            <v>#VALUE!</v>
          </cell>
          <cell r="H34" t="e">
            <v>#VALUE!</v>
          </cell>
          <cell r="L34" t="e">
            <v>#VALUE!</v>
          </cell>
          <cell r="M34" t="e">
            <v>#VALUE!</v>
          </cell>
          <cell r="Q34" t="e">
            <v>#VALUE!</v>
          </cell>
          <cell r="R34" t="e">
            <v>#VALUE!</v>
          </cell>
          <cell r="AA34" t="e">
            <v>#VALUE!</v>
          </cell>
          <cell r="AB34" t="e">
            <v>#VALUE!</v>
          </cell>
        </row>
        <row r="35">
          <cell r="C35">
            <v>0</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row>
        <row r="36">
          <cell r="C36" t="e">
            <v>#VALUE!</v>
          </cell>
          <cell r="D36" t="e">
            <v>#VALUE!</v>
          </cell>
          <cell r="E36" t="e">
            <v>#VALUE!</v>
          </cell>
          <cell r="F36" t="e">
            <v>#VALUE!</v>
          </cell>
          <cell r="G36" t="e">
            <v>#VALUE!</v>
          </cell>
          <cell r="H36" t="e">
            <v>#VALUE!</v>
          </cell>
          <cell r="L36" t="e">
            <v>#VALUE!</v>
          </cell>
          <cell r="M36" t="e">
            <v>#VALUE!</v>
          </cell>
          <cell r="Q36" t="e">
            <v>#VALUE!</v>
          </cell>
          <cell r="R36" t="e">
            <v>#VALUE!</v>
          </cell>
          <cell r="AA36" t="e">
            <v>#VALUE!</v>
          </cell>
          <cell r="AB36" t="e">
            <v>#VALUE!</v>
          </cell>
        </row>
        <row r="37">
          <cell r="C37">
            <v>0</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row>
        <row r="39">
          <cell r="C39" t="str">
            <v xml:space="preserve">--  </v>
          </cell>
          <cell r="D39" t="str">
            <v xml:space="preserve">--  </v>
          </cell>
          <cell r="E39" t="str">
            <v xml:space="preserve">--  </v>
          </cell>
          <cell r="F39" t="str">
            <v xml:space="preserve">--  </v>
          </cell>
          <cell r="G39" t="str">
            <v xml:space="preserve">--  </v>
          </cell>
          <cell r="H39" t="str">
            <v xml:space="preserve">--  </v>
          </cell>
          <cell r="L39" t="str">
            <v xml:space="preserve">--  </v>
          </cell>
          <cell r="M39" t="str">
            <v xml:space="preserve">--  </v>
          </cell>
          <cell r="Q39" t="str">
            <v xml:space="preserve">--  </v>
          </cell>
          <cell r="R39" t="str">
            <v xml:space="preserve">--  </v>
          </cell>
          <cell r="AA39" t="str">
            <v xml:space="preserve">--  </v>
          </cell>
          <cell r="AB39" t="str">
            <v xml:space="preserve">--  </v>
          </cell>
        </row>
        <row r="41">
          <cell r="D41">
            <v>1</v>
          </cell>
          <cell r="E41">
            <v>2</v>
          </cell>
          <cell r="F41">
            <v>3</v>
          </cell>
          <cell r="G41">
            <v>4</v>
          </cell>
          <cell r="H41">
            <v>5</v>
          </cell>
          <cell r="L41">
            <v>9</v>
          </cell>
          <cell r="M41">
            <v>10</v>
          </cell>
          <cell r="Q41">
            <v>14</v>
          </cell>
          <cell r="R41">
            <v>15</v>
          </cell>
          <cell r="AA41">
            <v>24</v>
          </cell>
          <cell r="AB41">
            <v>25</v>
          </cell>
        </row>
        <row r="44">
          <cell r="C44" t="str">
            <v xml:space="preserve">--  </v>
          </cell>
          <cell r="D44" t="str">
            <v xml:space="preserve">--  </v>
          </cell>
          <cell r="E44" t="str">
            <v xml:space="preserve">--  </v>
          </cell>
          <cell r="F44" t="str">
            <v xml:space="preserve">--  </v>
          </cell>
          <cell r="G44" t="str">
            <v xml:space="preserve">--  </v>
          </cell>
          <cell r="H44" t="str">
            <v xml:space="preserve">--  </v>
          </cell>
          <cell r="L44" t="str">
            <v xml:space="preserve">--  </v>
          </cell>
          <cell r="M44" t="str">
            <v xml:space="preserve">--  </v>
          </cell>
          <cell r="Q44" t="str">
            <v xml:space="preserve">--  </v>
          </cell>
          <cell r="R44" t="str">
            <v xml:space="preserve">--  </v>
          </cell>
          <cell r="AA44" t="str">
            <v xml:space="preserve">--  </v>
          </cell>
          <cell r="AB44" t="str">
            <v xml:space="preserve">--  </v>
          </cell>
        </row>
        <row r="45">
          <cell r="C45" t="str">
            <v xml:space="preserve">--  </v>
          </cell>
          <cell r="D45" t="str">
            <v xml:space="preserve">--  </v>
          </cell>
          <cell r="E45" t="str">
            <v xml:space="preserve">--  </v>
          </cell>
          <cell r="F45" t="str">
            <v xml:space="preserve">--  </v>
          </cell>
          <cell r="G45" t="str">
            <v xml:space="preserve">--  </v>
          </cell>
          <cell r="H45" t="str">
            <v xml:space="preserve">--  </v>
          </cell>
          <cell r="L45" t="str">
            <v xml:space="preserve">--  </v>
          </cell>
          <cell r="M45" t="str">
            <v xml:space="preserve">--  </v>
          </cell>
          <cell r="Q45" t="str">
            <v xml:space="preserve">--  </v>
          </cell>
          <cell r="R45" t="str">
            <v xml:space="preserve">--  </v>
          </cell>
          <cell r="AA45" t="str">
            <v xml:space="preserve">--  </v>
          </cell>
          <cell r="AB45" t="str">
            <v xml:space="preserve">--  </v>
          </cell>
        </row>
        <row r="46">
          <cell r="C46" t="str">
            <v>NM</v>
          </cell>
          <cell r="D46" t="str">
            <v>NM</v>
          </cell>
          <cell r="E46" t="str">
            <v>NM</v>
          </cell>
          <cell r="F46" t="str">
            <v>NM</v>
          </cell>
          <cell r="G46" t="str">
            <v>NM</v>
          </cell>
          <cell r="H46" t="str">
            <v>NM</v>
          </cell>
          <cell r="L46" t="str">
            <v>NM</v>
          </cell>
          <cell r="M46" t="str">
            <v>NM</v>
          </cell>
          <cell r="Q46" t="str">
            <v>NM</v>
          </cell>
          <cell r="R46" t="str">
            <v>NM</v>
          </cell>
          <cell r="AA46" t="str">
            <v>NM</v>
          </cell>
          <cell r="AB46" t="str">
            <v>NM</v>
          </cell>
        </row>
        <row r="47">
          <cell r="C47" t="str">
            <v>NM</v>
          </cell>
          <cell r="D47" t="str">
            <v>NM</v>
          </cell>
          <cell r="E47" t="str">
            <v>NM</v>
          </cell>
          <cell r="F47" t="str">
            <v>NM</v>
          </cell>
          <cell r="G47" t="str">
            <v>NM</v>
          </cell>
          <cell r="H47" t="str">
            <v>NM</v>
          </cell>
          <cell r="L47" t="str">
            <v>NM</v>
          </cell>
          <cell r="M47" t="str">
            <v>NM</v>
          </cell>
          <cell r="Q47" t="str">
            <v>NM</v>
          </cell>
          <cell r="R47" t="str">
            <v>NM</v>
          </cell>
          <cell r="AA47" t="str">
            <v>NM</v>
          </cell>
          <cell r="AB47" t="str">
            <v>NM</v>
          </cell>
        </row>
        <row r="48">
          <cell r="C48">
            <v>0</v>
          </cell>
          <cell r="D48">
            <v>0</v>
          </cell>
          <cell r="E48" t="e">
            <v>#VALUE!</v>
          </cell>
          <cell r="F48" t="e">
            <v>#VALUE!</v>
          </cell>
          <cell r="G48" t="e">
            <v>#VALUE!</v>
          </cell>
          <cell r="H48" t="e">
            <v>#VALUE!</v>
          </cell>
          <cell r="L48" t="e">
            <v>#VALUE!</v>
          </cell>
          <cell r="M48" t="e">
            <v>#VALUE!</v>
          </cell>
          <cell r="Q48" t="e">
            <v>#VALUE!</v>
          </cell>
          <cell r="R48" t="e">
            <v>#VALUE!</v>
          </cell>
          <cell r="AA48" t="e">
            <v>#VALUE!</v>
          </cell>
          <cell r="AB48" t="e">
            <v>#VALUE!</v>
          </cell>
        </row>
        <row r="49">
          <cell r="C49" t="str">
            <v xml:space="preserve"> =Economic_profit_dcf</v>
          </cell>
          <cell r="D49" t="str">
            <v xml:space="preserve"> =Economic_profit_dcf/(1+WACC_fore)^Years_into_future</v>
          </cell>
          <cell r="E49" t="e">
            <v>#VALUE!</v>
          </cell>
          <cell r="F49" t="e">
            <v>#VALUE!</v>
          </cell>
          <cell r="G49" t="e">
            <v>#VALUE!</v>
          </cell>
          <cell r="H49" t="e">
            <v>#VALUE!</v>
          </cell>
          <cell r="L49" t="e">
            <v>#VALUE!</v>
          </cell>
          <cell r="M49" t="e">
            <v>#VALUE!</v>
          </cell>
          <cell r="Q49" t="e">
            <v>#VALUE!</v>
          </cell>
          <cell r="R49" t="e">
            <v>#VALUE!</v>
          </cell>
          <cell r="AA49" t="e">
            <v>#VALUE!</v>
          </cell>
          <cell r="AB49" t="e">
            <v>#VALUE!</v>
          </cell>
        </row>
        <row r="50">
          <cell r="C50" t="str">
            <v xml:space="preserve"> =Economic_profit DCF_P</v>
          </cell>
          <cell r="D50" t="str">
            <v xml:space="preserve"> = PV_of_Economic_Profit DCF_EY1</v>
          </cell>
          <cell r="E50" t="e">
            <v>#VALUE!</v>
          </cell>
          <cell r="F50" t="e">
            <v>#VALUE!</v>
          </cell>
          <cell r="G50" t="e">
            <v>#VALUE!</v>
          </cell>
          <cell r="H50" t="e">
            <v>#VALUE!</v>
          </cell>
          <cell r="L50" t="e">
            <v>#VALUE!</v>
          </cell>
          <cell r="M50" t="e">
            <v>#VALUE!</v>
          </cell>
          <cell r="Q50" t="e">
            <v>#VALUE!</v>
          </cell>
          <cell r="R50" t="e">
            <v>#VALUE!</v>
          </cell>
          <cell r="AA50" t="e">
            <v>#VALUE!</v>
          </cell>
          <cell r="AB50" t="e">
            <v>#VALUE!</v>
          </cell>
        </row>
        <row r="52">
          <cell r="C52" t="str">
            <v xml:space="preserve"> =Invested_capital IC_P</v>
          </cell>
          <cell r="D52" t="str">
            <v xml:space="preserve"> =Invested_capital_DCF DCF_EY1</v>
          </cell>
          <cell r="E52">
            <v>0</v>
          </cell>
          <cell r="F52">
            <v>0</v>
          </cell>
          <cell r="G52">
            <v>0</v>
          </cell>
          <cell r="H52">
            <v>0</v>
          </cell>
          <cell r="L52">
            <v>0</v>
          </cell>
          <cell r="M52">
            <v>0</v>
          </cell>
          <cell r="Q52">
            <v>0</v>
          </cell>
          <cell r="R52">
            <v>0</v>
          </cell>
          <cell r="AA52">
            <v>0</v>
          </cell>
          <cell r="AB52">
            <v>0</v>
          </cell>
        </row>
        <row r="54">
          <cell r="C54" t="str">
            <v xml:space="preserve"> =Economic_profit_dcf/WACC_fore</v>
          </cell>
          <cell r="D54" t="str">
            <v xml:space="preserve"> =Economic_profit_dcf/WACC_fore</v>
          </cell>
          <cell r="E54" t="e">
            <v>#VALUE!</v>
          </cell>
          <cell r="F54" t="e">
            <v>#VALUE!</v>
          </cell>
          <cell r="G54" t="e">
            <v>#VALUE!</v>
          </cell>
          <cell r="H54" t="e">
            <v>#VALUE!</v>
          </cell>
          <cell r="L54" t="e">
            <v>#VALUE!</v>
          </cell>
          <cell r="M54" t="e">
            <v>#VALUE!</v>
          </cell>
          <cell r="Q54" t="e">
            <v>#VALUE!</v>
          </cell>
          <cell r="R54" t="e">
            <v>#VALUE!</v>
          </cell>
          <cell r="AA54" t="e">
            <v>#VALUE!</v>
          </cell>
          <cell r="AB54" t="e">
            <v>#VALUE!</v>
          </cell>
        </row>
        <row r="55">
          <cell r="C55" t="str">
            <v xml:space="preserve"> =(Economic_profit_dcf/WACC_fore)/((1+WACC_fore)^Years_into_future)</v>
          </cell>
          <cell r="D55" t="str">
            <v xml:space="preserve"> =(Economic_profit_dcf/WACC_fore)/((1+WACC_fore)^Years_into_future)</v>
          </cell>
          <cell r="E55" t="e">
            <v>#VALUE!</v>
          </cell>
          <cell r="F55" t="e">
            <v>#VALUE!</v>
          </cell>
          <cell r="G55" t="e">
            <v>#VALUE!</v>
          </cell>
          <cell r="H55" t="e">
            <v>#VALUE!</v>
          </cell>
          <cell r="L55" t="e">
            <v>#VALUE!</v>
          </cell>
          <cell r="M55" t="e">
            <v>#VALUE!</v>
          </cell>
          <cell r="Q55" t="e">
            <v>#VALUE!</v>
          </cell>
          <cell r="R55" t="e">
            <v>#VALUE!</v>
          </cell>
          <cell r="AA55" t="e">
            <v>#VALUE!</v>
          </cell>
          <cell r="AB55" t="e">
            <v>#VALUE!</v>
          </cell>
        </row>
        <row r="56">
          <cell r="C56" t="str">
            <v xml:space="preserve"> =C46+C51</v>
          </cell>
          <cell r="D56" t="str">
            <v xml:space="preserve"> =D46+D51</v>
          </cell>
          <cell r="E56" t="e">
            <v>#VALUE!</v>
          </cell>
          <cell r="F56" t="e">
            <v>#VALUE!</v>
          </cell>
          <cell r="G56" t="e">
            <v>#VALUE!</v>
          </cell>
          <cell r="H56" t="e">
            <v>#VALUE!</v>
          </cell>
          <cell r="L56" t="e">
            <v>#VALUE!</v>
          </cell>
          <cell r="M56" t="e">
            <v>#VALUE!</v>
          </cell>
          <cell r="Q56" t="e">
            <v>#VALUE!</v>
          </cell>
          <cell r="R56" t="e">
            <v>#VALUE!</v>
          </cell>
          <cell r="AA56" t="e">
            <v>#VALUE!</v>
          </cell>
          <cell r="AB56" t="e">
            <v>#VALUE!</v>
          </cell>
        </row>
        <row r="58">
          <cell r="C58" t="str">
            <v xml:space="preserve"> =C52+C48</v>
          </cell>
          <cell r="D58" t="str">
            <v xml:space="preserve"> =D52+D48</v>
          </cell>
          <cell r="E58" t="e">
            <v>#VALUE!</v>
          </cell>
          <cell r="F58" t="e">
            <v>#VALUE!</v>
          </cell>
          <cell r="G58" t="e">
            <v>#VALUE!</v>
          </cell>
          <cell r="H58" t="e">
            <v>#VALUE!</v>
          </cell>
          <cell r="L58" t="e">
            <v>#VALUE!</v>
          </cell>
          <cell r="M58" t="e">
            <v>#VALUE!</v>
          </cell>
          <cell r="Q58" t="e">
            <v>#VALUE!</v>
          </cell>
          <cell r="R58" t="e">
            <v>#VALUE!</v>
          </cell>
          <cell r="AA58" t="e">
            <v>#VALUE!</v>
          </cell>
          <cell r="AB58" t="e">
            <v>#VALUE!</v>
          </cell>
        </row>
        <row r="59">
          <cell r="C59" t="str">
            <v xml:space="preserve"> =Cash IC_P</v>
          </cell>
          <cell r="D59" t="str">
            <v xml:space="preserve"> =Cash_fore Expl_forecast_1st_yr</v>
          </cell>
          <cell r="E59">
            <v>0</v>
          </cell>
          <cell r="F59">
            <v>0</v>
          </cell>
          <cell r="G59">
            <v>0</v>
          </cell>
          <cell r="H59">
            <v>0</v>
          </cell>
          <cell r="L59">
            <v>0</v>
          </cell>
          <cell r="M59">
            <v>0</v>
          </cell>
          <cell r="Q59">
            <v>0</v>
          </cell>
          <cell r="R59">
            <v>0</v>
          </cell>
          <cell r="AA59">
            <v>0</v>
          </cell>
          <cell r="AB59">
            <v>0</v>
          </cell>
        </row>
        <row r="60">
          <cell r="C60" t="str">
            <v xml:space="preserve"> =(Total_debt IC_P)</v>
          </cell>
          <cell r="D60" t="str">
            <v xml:space="preserve"> =Total_debt_fore Expl_forecast_1st_yr</v>
          </cell>
          <cell r="E60">
            <v>0</v>
          </cell>
          <cell r="F60">
            <v>0</v>
          </cell>
          <cell r="G60">
            <v>0</v>
          </cell>
          <cell r="H60">
            <v>0</v>
          </cell>
          <cell r="L60">
            <v>0</v>
          </cell>
          <cell r="M60">
            <v>0</v>
          </cell>
          <cell r="Q60">
            <v>0</v>
          </cell>
          <cell r="R60">
            <v>0</v>
          </cell>
          <cell r="AA60">
            <v>0</v>
          </cell>
          <cell r="AB60">
            <v>0</v>
          </cell>
        </row>
        <row r="61">
          <cell r="C61" t="str">
            <v xml:space="preserve"> =Value_of_Firm+Cash IC_P-(Total_debt IC_P)</v>
          </cell>
          <cell r="D61" t="str">
            <v xml:space="preserve"> =Value_of_Firm+Cash_DCF-Total_debt_DCF</v>
          </cell>
          <cell r="E61" t="e">
            <v>#VALUE!</v>
          </cell>
          <cell r="F61" t="e">
            <v>#VALUE!</v>
          </cell>
          <cell r="G61" t="e">
            <v>#VALUE!</v>
          </cell>
          <cell r="H61" t="e">
            <v>#VALUE!</v>
          </cell>
          <cell r="L61" t="e">
            <v>#VALUE!</v>
          </cell>
          <cell r="M61" t="e">
            <v>#VALUE!</v>
          </cell>
          <cell r="Q61" t="e">
            <v>#VALUE!</v>
          </cell>
          <cell r="R61" t="e">
            <v>#VALUE!</v>
          </cell>
          <cell r="AA61" t="e">
            <v>#VALUE!</v>
          </cell>
          <cell r="AB61" t="e">
            <v>#VALUE!</v>
          </cell>
        </row>
        <row r="62">
          <cell r="C62" t="str">
            <v xml:space="preserve"> =Shares IC_P</v>
          </cell>
          <cell r="D62" t="str">
            <v xml:space="preserve"> =Shares_fore Expl_forecast_1st_yr</v>
          </cell>
          <cell r="E62">
            <v>0</v>
          </cell>
          <cell r="F62">
            <v>0</v>
          </cell>
          <cell r="G62">
            <v>0</v>
          </cell>
          <cell r="H62">
            <v>0</v>
          </cell>
          <cell r="L62">
            <v>0</v>
          </cell>
          <cell r="M62">
            <v>0</v>
          </cell>
          <cell r="Q62">
            <v>0</v>
          </cell>
          <cell r="R62">
            <v>0</v>
          </cell>
          <cell r="AA62">
            <v>0</v>
          </cell>
          <cell r="AB62">
            <v>0</v>
          </cell>
        </row>
        <row r="64">
          <cell r="C64" t="str">
            <v xml:space="preserve"> =Shareholder_Value_EVA/Shares_DCF</v>
          </cell>
          <cell r="D64" t="str">
            <v xml:space="preserve"> =Shareholder_Value_EVA/Shares_DCF</v>
          </cell>
          <cell r="E64" t="e">
            <v>#VALUE!</v>
          </cell>
          <cell r="F64" t="e">
            <v>#VALUE!</v>
          </cell>
          <cell r="G64" t="e">
            <v>#VALUE!</v>
          </cell>
          <cell r="H64" t="e">
            <v>#VALUE!</v>
          </cell>
          <cell r="L64" t="e">
            <v>#VALUE!</v>
          </cell>
          <cell r="M64" t="e">
            <v>#VALUE!</v>
          </cell>
          <cell r="Q64" t="e">
            <v>#VALUE!</v>
          </cell>
          <cell r="R64" t="e">
            <v>#VALUE!</v>
          </cell>
          <cell r="AA64" t="e">
            <v>#VALUE!</v>
          </cell>
          <cell r="AB64" t="e">
            <v>#VALUE!</v>
          </cell>
        </row>
        <row r="65">
          <cell r="C65">
            <v>0</v>
          </cell>
          <cell r="D65">
            <v>0</v>
          </cell>
          <cell r="E65" t="e">
            <v>#VALUE!</v>
          </cell>
          <cell r="F65" t="e">
            <v>#VALUE!</v>
          </cell>
          <cell r="G65" t="e">
            <v>#VALUE!</v>
          </cell>
          <cell r="H65" t="e">
            <v>#VALUE!</v>
          </cell>
          <cell r="L65" t="e">
            <v>#VALUE!</v>
          </cell>
          <cell r="M65" t="e">
            <v>#VALUE!</v>
          </cell>
          <cell r="Q65" t="e">
            <v>#VALUE!</v>
          </cell>
          <cell r="R65" t="e">
            <v>#VALUE!</v>
          </cell>
          <cell r="AA65" t="e">
            <v>#VALUE!</v>
          </cell>
          <cell r="AB65" t="e">
            <v>#VALUE!</v>
          </cell>
        </row>
        <row r="68">
          <cell r="C68" t="str">
            <v xml:space="preserve">--  </v>
          </cell>
          <cell r="D68" t="str">
            <v xml:space="preserve">--  </v>
          </cell>
          <cell r="E68" t="str">
            <v xml:space="preserve">--  </v>
          </cell>
          <cell r="F68" t="str">
            <v xml:space="preserve">--  </v>
          </cell>
          <cell r="G68" t="str">
            <v xml:space="preserve">--  </v>
          </cell>
          <cell r="H68" t="str">
            <v xml:space="preserve">--  </v>
          </cell>
          <cell r="L68" t="str">
            <v xml:space="preserve">--  </v>
          </cell>
          <cell r="M68" t="str">
            <v xml:space="preserve">--  </v>
          </cell>
          <cell r="Q68" t="str">
            <v xml:space="preserve">--  </v>
          </cell>
          <cell r="R68" t="str">
            <v xml:space="preserve">--  </v>
          </cell>
          <cell r="AA68" t="str">
            <v xml:space="preserve">--  </v>
          </cell>
          <cell r="AB68" t="str">
            <v xml:space="preserve">--  </v>
          </cell>
        </row>
        <row r="69">
          <cell r="C69" t="str">
            <v xml:space="preserve">--  </v>
          </cell>
          <cell r="D69" t="str">
            <v xml:space="preserve">--  </v>
          </cell>
          <cell r="E69" t="str">
            <v xml:space="preserve">--  </v>
          </cell>
          <cell r="F69" t="str">
            <v xml:space="preserve">--  </v>
          </cell>
          <cell r="G69" t="str">
            <v xml:space="preserve">--  </v>
          </cell>
          <cell r="H69" t="str">
            <v xml:space="preserve">--  </v>
          </cell>
          <cell r="L69" t="str">
            <v xml:space="preserve">--  </v>
          </cell>
          <cell r="M69" t="str">
            <v xml:space="preserve">--  </v>
          </cell>
          <cell r="Q69" t="str">
            <v xml:space="preserve">--  </v>
          </cell>
          <cell r="R69" t="str">
            <v xml:space="preserve">--  </v>
          </cell>
          <cell r="AA69" t="str">
            <v xml:space="preserve">--  </v>
          </cell>
          <cell r="AB69" t="str">
            <v xml:space="preserve">--  </v>
          </cell>
        </row>
        <row r="70">
          <cell r="C70" t="str">
            <v xml:space="preserve">--  </v>
          </cell>
          <cell r="D70" t="str">
            <v xml:space="preserve">--  </v>
          </cell>
          <cell r="E70" t="str">
            <v xml:space="preserve">--  </v>
          </cell>
          <cell r="F70" t="str">
            <v xml:space="preserve">--  </v>
          </cell>
          <cell r="G70" t="str">
            <v xml:space="preserve">--  </v>
          </cell>
          <cell r="H70" t="str">
            <v xml:space="preserve">--  </v>
          </cell>
          <cell r="L70" t="str">
            <v xml:space="preserve">--  </v>
          </cell>
          <cell r="M70" t="str">
            <v xml:space="preserve">--  </v>
          </cell>
          <cell r="Q70" t="str">
            <v xml:space="preserve">--  </v>
          </cell>
          <cell r="R70" t="str">
            <v xml:space="preserve">--  </v>
          </cell>
          <cell r="AA70" t="str">
            <v xml:space="preserve">--  </v>
          </cell>
          <cell r="AB70" t="str">
            <v xml:space="preserve">--  </v>
          </cell>
        </row>
        <row r="71">
          <cell r="C71" t="str">
            <v xml:space="preserve">--  </v>
          </cell>
          <cell r="D71" t="str">
            <v xml:space="preserve">--  </v>
          </cell>
          <cell r="E71" t="str">
            <v xml:space="preserve">--  </v>
          </cell>
          <cell r="F71" t="str">
            <v xml:space="preserve">--  </v>
          </cell>
          <cell r="G71" t="str">
            <v xml:space="preserve">--  </v>
          </cell>
          <cell r="H71" t="str">
            <v xml:space="preserve">--  </v>
          </cell>
          <cell r="L71" t="str">
            <v xml:space="preserve">--  </v>
          </cell>
          <cell r="M71" t="str">
            <v xml:space="preserve">--  </v>
          </cell>
          <cell r="Q71" t="str">
            <v xml:space="preserve">--  </v>
          </cell>
          <cell r="R71" t="str">
            <v xml:space="preserve">--  </v>
          </cell>
          <cell r="AA71" t="str">
            <v xml:space="preserve">--  </v>
          </cell>
          <cell r="AB71" t="str">
            <v xml:space="preserve">--  </v>
          </cell>
        </row>
        <row r="74">
          <cell r="C74">
            <v>0</v>
          </cell>
          <cell r="D74">
            <v>0</v>
          </cell>
          <cell r="E74">
            <v>0</v>
          </cell>
          <cell r="F74">
            <v>0</v>
          </cell>
          <cell r="G74">
            <v>0</v>
          </cell>
          <cell r="H74">
            <v>0</v>
          </cell>
          <cell r="L74">
            <v>0</v>
          </cell>
          <cell r="M74">
            <v>0</v>
          </cell>
          <cell r="Q74">
            <v>0</v>
          </cell>
          <cell r="R74">
            <v>0</v>
          </cell>
          <cell r="AA74">
            <v>0</v>
          </cell>
          <cell r="AB74">
            <v>0</v>
          </cell>
        </row>
        <row r="75">
          <cell r="C75">
            <v>0</v>
          </cell>
          <cell r="D75">
            <v>0</v>
          </cell>
          <cell r="E75">
            <v>0</v>
          </cell>
          <cell r="F75">
            <v>0</v>
          </cell>
          <cell r="G75">
            <v>0</v>
          </cell>
          <cell r="H75">
            <v>0</v>
          </cell>
          <cell r="L75">
            <v>0</v>
          </cell>
          <cell r="M75">
            <v>0</v>
          </cell>
          <cell r="Q75">
            <v>0</v>
          </cell>
          <cell r="R75">
            <v>0</v>
          </cell>
          <cell r="AA75">
            <v>0</v>
          </cell>
          <cell r="AB75">
            <v>0</v>
          </cell>
        </row>
        <row r="76">
          <cell r="C76">
            <v>0</v>
          </cell>
          <cell r="D76">
            <v>0</v>
          </cell>
          <cell r="E76">
            <v>0</v>
          </cell>
          <cell r="F76">
            <v>0</v>
          </cell>
          <cell r="G76">
            <v>0</v>
          </cell>
          <cell r="H76">
            <v>0</v>
          </cell>
          <cell r="L76">
            <v>0</v>
          </cell>
          <cell r="M76">
            <v>0</v>
          </cell>
          <cell r="Q76">
            <v>0</v>
          </cell>
          <cell r="R76">
            <v>0</v>
          </cell>
          <cell r="AA76">
            <v>0</v>
          </cell>
          <cell r="AB76">
            <v>0</v>
          </cell>
        </row>
        <row r="77">
          <cell r="C77">
            <v>0</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row>
        <row r="78">
          <cell r="C78">
            <v>0</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row>
        <row r="79">
          <cell r="C79" t="str">
            <v xml:space="preserve">--  </v>
          </cell>
          <cell r="D79" t="str">
            <v xml:space="preserve">--  </v>
          </cell>
          <cell r="E79" t="str">
            <v xml:space="preserve">--  </v>
          </cell>
          <cell r="F79" t="str">
            <v xml:space="preserve">--  </v>
          </cell>
          <cell r="G79" t="str">
            <v xml:space="preserve">--  </v>
          </cell>
          <cell r="H79" t="str">
            <v xml:space="preserve">--  </v>
          </cell>
          <cell r="L79" t="str">
            <v xml:space="preserve">--  </v>
          </cell>
          <cell r="M79" t="str">
            <v xml:space="preserve">--  </v>
          </cell>
          <cell r="Q79" t="str">
            <v xml:space="preserve">--  </v>
          </cell>
          <cell r="R79" t="str">
            <v xml:space="preserve">--  </v>
          </cell>
          <cell r="AA79" t="str">
            <v xml:space="preserve">--  </v>
          </cell>
          <cell r="AB79" t="str">
            <v xml:space="preserve">--  </v>
          </cell>
        </row>
        <row r="80">
          <cell r="C80" t="str">
            <v xml:space="preserve">--  </v>
          </cell>
          <cell r="D80" t="str">
            <v xml:space="preserve">--  </v>
          </cell>
          <cell r="E80" t="str">
            <v xml:space="preserve">--  </v>
          </cell>
          <cell r="F80" t="str">
            <v xml:space="preserve">--  </v>
          </cell>
          <cell r="G80" t="str">
            <v xml:space="preserve">--  </v>
          </cell>
          <cell r="H80" t="str">
            <v xml:space="preserve">--  </v>
          </cell>
          <cell r="L80" t="str">
            <v xml:space="preserve">--  </v>
          </cell>
          <cell r="M80" t="str">
            <v xml:space="preserve">--  </v>
          </cell>
          <cell r="Q80" t="str">
            <v xml:space="preserve">--  </v>
          </cell>
          <cell r="R80" t="str">
            <v xml:space="preserve">--  </v>
          </cell>
          <cell r="AA80" t="str">
            <v xml:space="preserve">--  </v>
          </cell>
          <cell r="AB80" t="str">
            <v xml:space="preserve">--  </v>
          </cell>
        </row>
        <row r="81">
          <cell r="C81" t="str">
            <v xml:space="preserve">--  </v>
          </cell>
          <cell r="D81" t="str">
            <v xml:space="preserve">--  </v>
          </cell>
          <cell r="E81" t="str">
            <v xml:space="preserve">--  </v>
          </cell>
          <cell r="F81" t="str">
            <v xml:space="preserve">--  </v>
          </cell>
          <cell r="G81" t="str">
            <v xml:space="preserve">--  </v>
          </cell>
          <cell r="H81" t="str">
            <v xml:space="preserve">--  </v>
          </cell>
          <cell r="L81" t="str">
            <v xml:space="preserve">--  </v>
          </cell>
          <cell r="M81" t="str">
            <v xml:space="preserve">--  </v>
          </cell>
          <cell r="Q81" t="str">
            <v xml:space="preserve">--  </v>
          </cell>
          <cell r="R81" t="str">
            <v xml:space="preserve">--  </v>
          </cell>
          <cell r="AA81" t="str">
            <v xml:space="preserve">--  </v>
          </cell>
          <cell r="AB81" t="str">
            <v xml:space="preserve">--  </v>
          </cell>
        </row>
        <row r="82">
          <cell r="C82" t="str">
            <v xml:space="preserve">--  </v>
          </cell>
          <cell r="D82" t="str">
            <v xml:space="preserve">--  </v>
          </cell>
          <cell r="E82" t="str">
            <v xml:space="preserve">--  </v>
          </cell>
          <cell r="F82" t="str">
            <v xml:space="preserve">--  </v>
          </cell>
          <cell r="G82" t="str">
            <v xml:space="preserve">--  </v>
          </cell>
          <cell r="H82" t="str">
            <v xml:space="preserve">--  </v>
          </cell>
          <cell r="L82" t="str">
            <v xml:space="preserve">--  </v>
          </cell>
          <cell r="M82" t="str">
            <v xml:space="preserve">--  </v>
          </cell>
          <cell r="Q82" t="str">
            <v xml:space="preserve">--  </v>
          </cell>
          <cell r="R82" t="str">
            <v xml:space="preserve">--  </v>
          </cell>
          <cell r="AA82" t="str">
            <v xml:space="preserve">--  </v>
          </cell>
          <cell r="AB82" t="str">
            <v xml:space="preserve">--  </v>
          </cell>
        </row>
        <row r="83">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cell r="N83" t="str">
            <v xml:space="preserve">--  </v>
          </cell>
          <cell r="O83" t="str">
            <v xml:space="preserve">--  </v>
          </cell>
          <cell r="P83" t="str">
            <v xml:space="preserve">--  </v>
          </cell>
          <cell r="Q83" t="str">
            <v xml:space="preserve">--  </v>
          </cell>
          <cell r="R83" t="str">
            <v xml:space="preserve">--  </v>
          </cell>
          <cell r="S83" t="str">
            <v xml:space="preserve">--  </v>
          </cell>
          <cell r="T83" t="str">
            <v xml:space="preserve">--  </v>
          </cell>
          <cell r="U83" t="str">
            <v xml:space="preserve">--  </v>
          </cell>
          <cell r="V83" t="str">
            <v xml:space="preserve">--  </v>
          </cell>
          <cell r="W83" t="str">
            <v xml:space="preserve">--  </v>
          </cell>
          <cell r="X83" t="str">
            <v xml:space="preserve">--  </v>
          </cell>
          <cell r="Y83" t="str">
            <v xml:space="preserve">--  </v>
          </cell>
          <cell r="Z83" t="str">
            <v xml:space="preserve">--  </v>
          </cell>
          <cell r="AA83" t="str">
            <v xml:space="preserve">--  </v>
          </cell>
          <cell r="AB83" t="str">
            <v xml:space="preserve">--  </v>
          </cell>
        </row>
        <row r="87">
          <cell r="C87" t="str">
            <v>N/A</v>
          </cell>
          <cell r="D87" t="str">
            <v>N/A</v>
          </cell>
          <cell r="E87" t="str">
            <v>NM</v>
          </cell>
          <cell r="F87" t="str">
            <v>NM</v>
          </cell>
          <cell r="G87" t="str">
            <v>NM</v>
          </cell>
          <cell r="H87" t="str">
            <v>NM</v>
          </cell>
          <cell r="L87" t="str">
            <v>NM</v>
          </cell>
          <cell r="M87" t="str">
            <v>NM</v>
          </cell>
          <cell r="Q87" t="str">
            <v>NM</v>
          </cell>
        </row>
        <row r="88">
          <cell r="C88" t="str">
            <v>NM</v>
          </cell>
          <cell r="D88" t="str">
            <v>NM</v>
          </cell>
          <cell r="E88" t="str">
            <v>NM</v>
          </cell>
          <cell r="F88" t="str">
            <v>NM</v>
          </cell>
          <cell r="G88" t="str">
            <v>NM</v>
          </cell>
          <cell r="H88" t="str">
            <v>NM</v>
          </cell>
          <cell r="L88" t="str">
            <v>NM</v>
          </cell>
          <cell r="M88" t="str">
            <v>NM</v>
          </cell>
          <cell r="Q88" t="str">
            <v>NM</v>
          </cell>
          <cell r="R88" t="str">
            <v>NM</v>
          </cell>
          <cell r="AA88" t="str">
            <v>NM</v>
          </cell>
          <cell r="AB88" t="str">
            <v>NM</v>
          </cell>
        </row>
        <row r="89">
          <cell r="C89" t="str">
            <v>NM</v>
          </cell>
          <cell r="D89" t="str">
            <v>NM</v>
          </cell>
          <cell r="E89" t="str">
            <v>NM</v>
          </cell>
          <cell r="F89" t="str">
            <v>NM</v>
          </cell>
          <cell r="G89" t="str">
            <v>NM</v>
          </cell>
          <cell r="H89" t="str">
            <v>NM</v>
          </cell>
          <cell r="L89" t="str">
            <v>NM</v>
          </cell>
          <cell r="M89" t="str">
            <v>NM</v>
          </cell>
          <cell r="Q89" t="str">
            <v>NM</v>
          </cell>
          <cell r="R89" t="str">
            <v>NM</v>
          </cell>
          <cell r="AA89" t="str">
            <v>NM</v>
          </cell>
          <cell r="AB89" t="str">
            <v>NM</v>
          </cell>
        </row>
      </sheetData>
      <sheetData sheetId="8" refreshError="1"/>
      <sheetData sheetId="9" refreshError="1">
        <row r="19">
          <cell r="AD19" t="str">
            <v>PV of Operating Leases</v>
          </cell>
          <cell r="AF19" t="str">
            <v>PV of Operating Leases</v>
          </cell>
        </row>
        <row r="21">
          <cell r="AD21">
            <v>0</v>
          </cell>
          <cell r="AF21">
            <v>0</v>
          </cell>
        </row>
        <row r="22">
          <cell r="AD22">
            <v>0</v>
          </cell>
          <cell r="AF22">
            <v>0</v>
          </cell>
        </row>
        <row r="23">
          <cell r="AD23">
            <v>0</v>
          </cell>
          <cell r="AF23">
            <v>0</v>
          </cell>
        </row>
        <row r="24">
          <cell r="AD24">
            <v>0</v>
          </cell>
          <cell r="AF24">
            <v>0</v>
          </cell>
        </row>
        <row r="25">
          <cell r="AD25">
            <v>0</v>
          </cell>
          <cell r="AF25">
            <v>0</v>
          </cell>
        </row>
        <row r="26">
          <cell r="AD26">
            <v>0</v>
          </cell>
          <cell r="AF26">
            <v>0</v>
          </cell>
        </row>
        <row r="27">
          <cell r="AD27">
            <v>0</v>
          </cell>
          <cell r="AF27">
            <v>0</v>
          </cell>
        </row>
        <row r="28">
          <cell r="AD28">
            <v>0</v>
          </cell>
          <cell r="AF28">
            <v>0</v>
          </cell>
        </row>
        <row r="29">
          <cell r="AD29">
            <v>0</v>
          </cell>
          <cell r="AF29">
            <v>0</v>
          </cell>
        </row>
        <row r="30">
          <cell r="AD30">
            <v>0</v>
          </cell>
          <cell r="AF30">
            <v>0</v>
          </cell>
        </row>
        <row r="31">
          <cell r="AD31">
            <v>0</v>
          </cell>
          <cell r="AF31">
            <v>0</v>
          </cell>
        </row>
        <row r="32">
          <cell r="AD32">
            <v>0</v>
          </cell>
          <cell r="AF32">
            <v>0</v>
          </cell>
        </row>
        <row r="33">
          <cell r="AD33">
            <v>0</v>
          </cell>
          <cell r="AF33">
            <v>0</v>
          </cell>
        </row>
        <row r="34">
          <cell r="AD34">
            <v>0</v>
          </cell>
          <cell r="AF34">
            <v>0</v>
          </cell>
        </row>
        <row r="35">
          <cell r="AD35">
            <v>0</v>
          </cell>
          <cell r="AF35">
            <v>0</v>
          </cell>
        </row>
        <row r="36">
          <cell r="AD36">
            <v>0</v>
          </cell>
          <cell r="AF36">
            <v>0</v>
          </cell>
        </row>
        <row r="37">
          <cell r="AD37">
            <v>0</v>
          </cell>
          <cell r="AF37">
            <v>0</v>
          </cell>
        </row>
        <row r="38">
          <cell r="AD38">
            <v>0</v>
          </cell>
          <cell r="AF38">
            <v>0</v>
          </cell>
        </row>
        <row r="39">
          <cell r="AD39">
            <v>0</v>
          </cell>
          <cell r="AF39">
            <v>0</v>
          </cell>
        </row>
        <row r="40">
          <cell r="AD40">
            <v>0</v>
          </cell>
          <cell r="AF40">
            <v>0</v>
          </cell>
        </row>
        <row r="41">
          <cell r="AD41">
            <v>0</v>
          </cell>
          <cell r="AF41">
            <v>0</v>
          </cell>
        </row>
        <row r="42">
          <cell r="AD42">
            <v>0</v>
          </cell>
          <cell r="AF42">
            <v>0</v>
          </cell>
        </row>
        <row r="43">
          <cell r="AD43">
            <v>0</v>
          </cell>
          <cell r="AF43">
            <v>0</v>
          </cell>
        </row>
        <row r="44">
          <cell r="AD44">
            <v>0</v>
          </cell>
          <cell r="AF44">
            <v>0</v>
          </cell>
        </row>
        <row r="45">
          <cell r="AD45">
            <v>0</v>
          </cell>
          <cell r="AF45">
            <v>0</v>
          </cell>
        </row>
        <row r="46">
          <cell r="AD46">
            <v>0</v>
          </cell>
          <cell r="AF46">
            <v>0</v>
          </cell>
        </row>
        <row r="47">
          <cell r="AD47">
            <v>0</v>
          </cell>
          <cell r="AF47">
            <v>0</v>
          </cell>
        </row>
        <row r="48">
          <cell r="AD48">
            <v>0</v>
          </cell>
          <cell r="AF48">
            <v>0</v>
          </cell>
        </row>
        <row r="49">
          <cell r="AD49">
            <v>0</v>
          </cell>
          <cell r="AF49">
            <v>0</v>
          </cell>
        </row>
        <row r="51">
          <cell r="D51">
            <v>0</v>
          </cell>
          <cell r="F51">
            <v>0</v>
          </cell>
          <cell r="H51">
            <v>0</v>
          </cell>
          <cell r="J51">
            <v>0</v>
          </cell>
          <cell r="L51">
            <v>0</v>
          </cell>
          <cell r="N51">
            <v>0</v>
          </cell>
          <cell r="P51">
            <v>0</v>
          </cell>
          <cell r="R51">
            <v>0</v>
          </cell>
          <cell r="T51">
            <v>0</v>
          </cell>
          <cell r="V51">
            <v>0</v>
          </cell>
          <cell r="X51">
            <v>0</v>
          </cell>
          <cell r="Z51">
            <v>0</v>
          </cell>
          <cell r="AB51">
            <v>0</v>
          </cell>
          <cell r="AD51">
            <v>0</v>
          </cell>
          <cell r="AF51">
            <v>0</v>
          </cell>
        </row>
        <row r="52">
          <cell r="AD52">
            <v>0</v>
          </cell>
          <cell r="AF52">
            <v>0</v>
          </cell>
        </row>
      </sheetData>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reciation"/>
      <sheetName val="Factsheet"/>
      <sheetName val="Results"/>
      <sheetName val="P&amp;L"/>
      <sheetName val="Revenue"/>
      <sheetName val="Rev-qrt"/>
      <sheetName val="Costs"/>
      <sheetName val="Cost-qrt"/>
      <sheetName val="Balance"/>
      <sheetName val="Cashflow"/>
      <sheetName val="DCF"/>
      <sheetName val="DCF 2.5G"/>
      <sheetName val="DCF 3G"/>
      <sheetName val="EVA1"/>
      <sheetName val="EVA 2 "/>
      <sheetName val="NX"/>
      <sheetName val="F-PNL"/>
      <sheetName val="F-Balance"/>
      <sheetName val="F-Cash Flow"/>
      <sheetName val="F-WACC"/>
      <sheetName val="F-DCF"/>
      <sheetName val="F-Assumption"/>
      <sheetName val="DATA"/>
      <sheetName val="Calculation (2)"/>
      <sheetName val="CF"/>
      <sheetName val="MODEL"/>
      <sheetName val="Claims &amp; benefits"/>
      <sheetName val="Premiums"/>
      <sheetName val="Reserves &amp; provis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hanges"/>
      <sheetName val="Qtly"/>
      <sheetName val="PNL"/>
      <sheetName val="Revenues"/>
      <sheetName val="Costs"/>
      <sheetName val="External"/>
      <sheetName val="Depreciation"/>
      <sheetName val="Balance Sheet"/>
      <sheetName val="Cash Flow"/>
      <sheetName val="Capital Structure"/>
      <sheetName val="Assoc"/>
      <sheetName val="Detailed DCF"/>
      <sheetName val="GS PNL-F"/>
      <sheetName val="GS BS-F"/>
      <sheetName val="GS-CF"/>
      <sheetName val="GS Assumes"/>
      <sheetName val="F-data"/>
      <sheetName val="CROCI"/>
      <sheetName val="Comps"/>
      <sheetName val="company profile"/>
      <sheetName val="GS data"/>
      <sheetName val="GEM"/>
      <sheetName val="Interim"/>
      <sheetName val="GS-Capex"/>
      <sheetName val="DCF"/>
      <sheetName val="EROCE"/>
      <sheetName val="GS-DCF-F1"/>
      <sheetName val="WACC"/>
      <sheetName val="ROIC"/>
      <sheetName val="DATA"/>
      <sheetName val="Concession Conversion"/>
      <sheetName val="Facts &amp; Audit"/>
      <sheetName val="Net add cht"/>
      <sheetName val="margin cht"/>
      <sheetName val="F-Assumptions"/>
      <sheetName val="NotesXpress"/>
      <sheetName val="EVA1"/>
      <sheetName val="Factsheet"/>
      <sheetName val="Quarterly "/>
      <sheetName val="Sensitivities"/>
      <sheetName val="v.data"/>
      <sheetName val="EVA 2 "/>
      <sheetName val="sample NV_data"/>
      <sheetName val="GS Balance"/>
      <sheetName val="GS Cashflow"/>
      <sheetName val="GS Assumptions"/>
      <sheetName val="GS- WACC"/>
      <sheetName val="GS- DCF"/>
      <sheetName val="Macro1"/>
      <sheetName val="NV-data"/>
      <sheetName val="CF"/>
      <sheetName val="BS"/>
      <sheetName val="DCF-F1"/>
      <sheetName val="EVA"/>
      <sheetName val="EM-TAC"/>
      <sheetName val="DCF &amp; WACC"/>
      <sheetName val="GS Assumptions-F"/>
      <sheetName val="#REF"/>
      <sheetName val="Report"/>
      <sheetName val="Old Qtly Sheet"/>
      <sheetName val="Quarterly"/>
      <sheetName val="EVA 2"/>
      <sheetName val="GEMS"/>
      <sheetName val="Sheet1"/>
      <sheetName val="Company profile back-up"/>
      <sheetName val="GS data back-up"/>
      <sheetName val="Company profile "/>
      <sheetName val="F-Qtly"/>
      <sheetName val="tables"/>
      <sheetName val="Oaktree"/>
      <sheetName val="GQ"/>
      <sheetName val="DCF Template"/>
      <sheetName val="DCF Sensitivity"/>
      <sheetName val="Q-PreARPU"/>
      <sheetName val="Q-PostARPU"/>
      <sheetName val="Q-EBITDA (2)"/>
      <sheetName val="8 kÿÊ0 _x0000__x0000__x0000_F_x0001__x0000__x0000_t"/>
      <sheetName val=""/>
      <sheetName val="F-DCF"/>
      <sheetName val="Financials"/>
      <sheetName val="Operations"/>
      <sheetName val="Bloomberg"/>
      <sheetName val="Beef_Lamb_Prices"/>
      <sheetName val="DCF_Multiple"/>
      <sheetName val="inputs"/>
      <sheetName val="8 kÿÊ0 F_x0001__x0000_t"/>
      <sheetName val="MODEL"/>
      <sheetName val="BSheet"/>
      <sheetName val="CFlow"/>
      <sheetName val="Ratios"/>
      <sheetName val="EM HK Australia"/>
      <sheetName val="Settings"/>
      <sheetName val="Lists"/>
      <sheetName val="ListMaster"/>
      <sheetName val="ABG"/>
      <sheetName val="Variables"/>
      <sheetName val="EUROPE"/>
      <sheetName val="RUSSIA_CASPIAN"/>
      <sheetName val="DRAMJOCI"/>
      <sheetName val="HC"/>
      <sheetName val=" DOE model"/>
      <sheetName val="acctmod"/>
      <sheetName val="prices"/>
      <sheetName val="8 kÿÊ0 ???F_x0001_??t"/>
      <sheetName val="data.exp"/>
      <sheetName val="Sheet2"/>
      <sheetName val="PB band"/>
      <sheetName val="8 kÿÊ0 _x005f_x0000__x005f_x0000__x005f_x0000_F_x"/>
      <sheetName val="Royal Carib. Model"/>
      <sheetName val="Profit and loss"/>
      <sheetName val="AMOY"/>
      <sheetName val="board"/>
      <sheetName val="sales"/>
      <sheetName val="main"/>
      <sheetName val="pl_related"/>
      <sheetName val="shareholding"/>
      <sheetName val="8 kÿÊ0 F_x0001_?t"/>
      <sheetName val="Criteria"/>
      <sheetName val="MTNL"/>
      <sheetName val="Interface"/>
      <sheetName val="SOTP"/>
      <sheetName val="TABLE"/>
      <sheetName val="CHARTS"/>
      <sheetName val="INTERIMS"/>
      <sheetName val="VALUATION"/>
      <sheetName val="COST ASSUMPTIONS"/>
      <sheetName val="USDEAL"/>
      <sheetName val="PROFIT &amp; LOSS"/>
      <sheetName val="GROWTH ASSUMPTION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row r="11">
          <cell r="S11">
            <v>2052.9206671054394</v>
          </cell>
        </row>
      </sheetData>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ctsheet"/>
      <sheetName val="Subscribers"/>
      <sheetName val="Results"/>
      <sheetName val="P&amp;L"/>
      <sheetName val="Revenue"/>
      <sheetName val="Rev-qrt"/>
      <sheetName val="Costs"/>
      <sheetName val="Costs-qrt"/>
      <sheetName val="Depreciation"/>
      <sheetName val="Balance"/>
      <sheetName val="Cash Flow"/>
      <sheetName val="DCF"/>
      <sheetName val="DCF 2.5G"/>
      <sheetName val="DCF 3G"/>
      <sheetName val="EVA1"/>
      <sheetName val="EVA 2 "/>
      <sheetName val="Temp Link"/>
      <sheetName val="sample NV_data"/>
      <sheetName val="F-PNL"/>
      <sheetName val="F-Balance"/>
      <sheetName val="F-Cash Flow"/>
      <sheetName val="F-Assumptions"/>
      <sheetName val="GS-WACC"/>
      <sheetName val="GS_DCF"/>
      <sheetName val="NotesXpress"/>
      <sheetName val="Fidelity"/>
      <sheetName val="DATA"/>
      <sheetName val="Quarterlies"/>
      <sheetName val="DCF Internet"/>
      <sheetName val="Interims"/>
      <sheetName val="v.data"/>
      <sheetName val="Quarterly"/>
      <sheetName val="EM-SKTelecom"/>
      <sheetName val="Control Panel"/>
      <sheetName val="F-data"/>
      <sheetName val="#REF"/>
      <sheetName val="EVA"/>
      <sheetName val="CAMELOT (f)"/>
      <sheetName val="FX Liabilities (f)"/>
      <sheetName val="Sheet3"/>
      <sheetName val="Snapshot (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BITDA"/>
      <sheetName val="Sheet1"/>
      <sheetName val="DDETABLE "/>
      <sheetName val="Control"/>
      <sheetName val="Comments"/>
    </sheetNames>
    <sheetDataSet>
      <sheetData sheetId="0" refreshError="1"/>
      <sheetData sheetId="1" refreshError="1"/>
      <sheetData sheetId="2" refreshError="1">
        <row r="2">
          <cell r="AC2" t="str">
            <v>Setup</v>
          </cell>
          <cell r="AG2" t="str">
            <v>Global_cellular.xls</v>
          </cell>
          <cell r="AH2" t="str">
            <v>M:\GENERAL\TELECOMS\VALUATION\valuation\New valuation</v>
          </cell>
          <cell r="AJ2">
            <v>1</v>
          </cell>
          <cell r="AK2" t="str">
            <v>YES</v>
          </cell>
          <cell r="AL2" t="str">
            <v>Static</v>
          </cell>
          <cell r="AM2" t="str">
            <v>S</v>
          </cell>
          <cell r="AN2" t="str">
            <v>No Headings</v>
          </cell>
          <cell r="AO2" t="str">
            <v>X</v>
          </cell>
          <cell r="AP2" t="str">
            <v>D</v>
          </cell>
          <cell r="AQ2">
            <v>1</v>
          </cell>
        </row>
        <row r="3">
          <cell r="AD3" t="str">
            <v>I:\Datastrm.22\DSDDE</v>
          </cell>
          <cell r="AJ3">
            <v>2</v>
          </cell>
          <cell r="AK3" t="str">
            <v>NO</v>
          </cell>
          <cell r="AL3" t="str">
            <v>Timeseries</v>
          </cell>
          <cell r="AM3" t="str">
            <v>TS</v>
          </cell>
          <cell r="AN3" t="str">
            <v>Row Headings</v>
          </cell>
          <cell r="AO3" t="str">
            <v>R</v>
          </cell>
          <cell r="AP3" t="str">
            <v>W</v>
          </cell>
          <cell r="AQ3">
            <v>2</v>
          </cell>
        </row>
        <row r="4">
          <cell r="AD4" t="str">
            <v>I:\Datastrm.22\DSWindow</v>
          </cell>
          <cell r="AJ4">
            <v>3</v>
          </cell>
          <cell r="AM4" t="str">
            <v>CAF</v>
          </cell>
          <cell r="AN4" t="str">
            <v>Col Headings</v>
          </cell>
          <cell r="AO4" t="str">
            <v>C</v>
          </cell>
          <cell r="AP4" t="str">
            <v>M</v>
          </cell>
          <cell r="AQ4">
            <v>1</v>
          </cell>
        </row>
        <row r="5">
          <cell r="H5">
            <v>62</v>
          </cell>
          <cell r="AD5" t="str">
            <v>I:\Datastrm.22\DSDDE</v>
          </cell>
          <cell r="AJ5">
            <v>4</v>
          </cell>
          <cell r="AN5" t="str">
            <v>Row/Col Headings</v>
          </cell>
          <cell r="AO5" t="str">
            <v>RC</v>
          </cell>
          <cell r="AP5" t="str">
            <v>Q</v>
          </cell>
          <cell r="AQ5">
            <v>1</v>
          </cell>
        </row>
        <row r="6">
          <cell r="E6" t="str">
            <v>Global_cellular</v>
          </cell>
          <cell r="H6">
            <v>40</v>
          </cell>
          <cell r="AJ6">
            <v>5</v>
          </cell>
          <cell r="AN6" t="str">
            <v>Titles/ Row Col Heading</v>
          </cell>
          <cell r="AO6" t="str">
            <v>RCH</v>
          </cell>
          <cell r="AP6" t="str">
            <v>Y</v>
          </cell>
        </row>
        <row r="7">
          <cell r="AJ7">
            <v>6</v>
          </cell>
          <cell r="AN7" t="str">
            <v>Titles/Row Headings</v>
          </cell>
          <cell r="AO7" t="str">
            <v>RH</v>
          </cell>
        </row>
        <row r="8">
          <cell r="AD8" t="str">
            <v>8.0d</v>
          </cell>
          <cell r="AJ8">
            <v>7</v>
          </cell>
          <cell r="AN8" t="str">
            <v>Transposed/No Heading</v>
          </cell>
          <cell r="AO8" t="str">
            <v>T</v>
          </cell>
        </row>
        <row r="9">
          <cell r="E9" t="str">
            <v>Last Updated : 13 Feb 1998  10:02</v>
          </cell>
          <cell r="AD9" t="str">
            <v>Windows (32-bit) NT 4.00</v>
          </cell>
          <cell r="AJ9">
            <v>8</v>
          </cell>
          <cell r="AN9" t="str">
            <v>Transposed/Row Heading</v>
          </cell>
          <cell r="AO9" t="str">
            <v>TR</v>
          </cell>
        </row>
        <row r="10">
          <cell r="AD10">
            <v>2180640</v>
          </cell>
          <cell r="AJ10">
            <v>9</v>
          </cell>
          <cell r="AN10" t="str">
            <v>Transposed/Col Heading</v>
          </cell>
          <cell r="AO10" t="str">
            <v>TC</v>
          </cell>
        </row>
        <row r="11">
          <cell r="AD11">
            <v>1048576</v>
          </cell>
          <cell r="AJ11">
            <v>10</v>
          </cell>
          <cell r="AN11" t="str">
            <v>Transposed/Row Col Heading</v>
          </cell>
          <cell r="AO11" t="str">
            <v>HC</v>
          </cell>
        </row>
        <row r="12">
          <cell r="AO12" t="str">
            <v>HRC</v>
          </cell>
        </row>
        <row r="13">
          <cell r="AH13" t="b">
            <v>0</v>
          </cell>
          <cell r="AO13" t="str">
            <v>HRCT</v>
          </cell>
        </row>
        <row r="14">
          <cell r="AO14" t="str">
            <v>TRCH</v>
          </cell>
        </row>
        <row r="15">
          <cell r="AO15" t="str">
            <v>TRC</v>
          </cell>
        </row>
      </sheetData>
      <sheetData sheetId="3" refreshError="1"/>
      <sheetData sheetId="4"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commerce macro"/>
      <sheetName val="Ad"/>
      <sheetName val="Lazada"/>
      <sheetName val="Cloud"/>
      <sheetName val="Cloud business"/>
      <sheetName val="Youku"/>
      <sheetName val="Youku Impact"/>
      <sheetName val="Lottery"/>
      <sheetName val="EBITDA"/>
      <sheetName val="Shareholding"/>
    </sheetNames>
    <definedNames>
      <definedName name="Choices" sheetId="8"/>
      <definedName name="Choices_Wrapper" sheetId="8"/>
      <definedName name="Wrapper" sheetId="8"/>
    </definedNames>
    <sheetDataSet>
      <sheetData sheetId="0"/>
      <sheetData sheetId="1"/>
      <sheetData sheetId="2"/>
      <sheetData sheetId="3"/>
      <sheetData sheetId="4">
        <row r="87">
          <cell r="F87" t="str">
            <v>Rmbmn</v>
          </cell>
          <cell r="G87" t="str">
            <v>FY13</v>
          </cell>
          <cell r="H87" t="str">
            <v>FY14</v>
          </cell>
          <cell r="I87" t="str">
            <v>FY15</v>
          </cell>
          <cell r="J87" t="str">
            <v>FY16e</v>
          </cell>
          <cell r="K87" t="str">
            <v>FY17e</v>
          </cell>
        </row>
        <row r="88">
          <cell r="F88" t="str">
            <v>Alibaba PBT</v>
          </cell>
          <cell r="G88">
            <v>10112</v>
          </cell>
          <cell r="H88">
            <v>26802</v>
          </cell>
          <cell r="I88">
            <v>32326</v>
          </cell>
          <cell r="J88">
            <v>81468</v>
          </cell>
          <cell r="K88">
            <v>60029</v>
          </cell>
        </row>
        <row r="89">
          <cell r="F89" t="str">
            <v>Alibaba PBT (non-GAAP)</v>
          </cell>
          <cell r="G89">
            <v>15332</v>
          </cell>
          <cell r="H89">
            <v>31673</v>
          </cell>
          <cell r="I89">
            <v>42987</v>
          </cell>
          <cell r="J89">
            <v>52846</v>
          </cell>
          <cell r="K89">
            <v>76499</v>
          </cell>
        </row>
        <row r="90">
          <cell r="F90" t="str">
            <v>Alibaba Adj. PBT*</v>
          </cell>
          <cell r="G90">
            <v>15332</v>
          </cell>
          <cell r="H90">
            <v>31673</v>
          </cell>
          <cell r="I90">
            <v>42987</v>
          </cell>
          <cell r="J90">
            <v>51117</v>
          </cell>
          <cell r="K90">
            <v>74770</v>
          </cell>
        </row>
        <row r="91">
          <cell r="F91" t="str">
            <v>Royalty Fees from AF</v>
          </cell>
          <cell r="G91">
            <v>0</v>
          </cell>
          <cell r="H91">
            <v>0</v>
          </cell>
          <cell r="I91">
            <v>0</v>
          </cell>
          <cell r="J91">
            <v>1729</v>
          </cell>
          <cell r="K91">
            <v>1729</v>
          </cell>
        </row>
        <row r="92">
          <cell r="F92" t="str">
            <v>÷ 37.5% = Implied AF PBT**</v>
          </cell>
          <cell r="G92">
            <v>0</v>
          </cell>
          <cell r="H92">
            <v>2132</v>
          </cell>
          <cell r="I92">
            <v>3925</v>
          </cell>
          <cell r="J92">
            <v>4611</v>
          </cell>
          <cell r="K92">
            <v>4611</v>
          </cell>
        </row>
        <row r="93">
          <cell r="F93" t="str">
            <v>Implied AF PBT vs Alibaba Adj. PBT</v>
          </cell>
          <cell r="G93">
            <v>0</v>
          </cell>
          <cell r="H93">
            <v>6.7312853218829918E-2</v>
          </cell>
          <cell r="I93">
            <v>9.1306674110777683E-2</v>
          </cell>
          <cell r="J93">
            <v>9.0204824226773866E-2</v>
          </cell>
          <cell r="K93">
            <v>6.1669118630466764E-2</v>
          </cell>
        </row>
        <row r="94">
          <cell r="F94" t="str">
            <v>Royalty Fees As % Non-GAAP Net Income</v>
          </cell>
          <cell r="G94">
            <v>0</v>
          </cell>
          <cell r="H94">
            <v>0</v>
          </cell>
          <cell r="I94">
            <v>0</v>
          </cell>
          <cell r="J94">
            <v>4.0361361408095618E-2</v>
          </cell>
          <cell r="K94">
            <v>2.874719428048882E-2</v>
          </cell>
        </row>
        <row r="104">
          <cell r="F104">
            <v>0</v>
          </cell>
          <cell r="G104" t="str">
            <v>US</v>
          </cell>
          <cell r="H104">
            <v>0</v>
          </cell>
          <cell r="I104" t="str">
            <v>China</v>
          </cell>
          <cell r="J104">
            <v>0</v>
          </cell>
        </row>
        <row r="105">
          <cell r="F105">
            <v>0</v>
          </cell>
          <cell r="G105" t="str">
            <v>US$mn</v>
          </cell>
          <cell r="H105" t="str">
            <v>Mix</v>
          </cell>
          <cell r="I105" t="str">
            <v>US$mn</v>
          </cell>
          <cell r="J105" t="str">
            <v>Mix</v>
          </cell>
        </row>
        <row r="106">
          <cell r="F106" t="str">
            <v>IT Spending</v>
          </cell>
          <cell r="G106">
            <v>658949.80844456574</v>
          </cell>
          <cell r="H106">
            <v>1</v>
          </cell>
          <cell r="I106">
            <v>175506.23673538107</v>
          </cell>
          <cell r="J106">
            <v>1</v>
          </cell>
        </row>
        <row r="107">
          <cell r="F107" t="str">
            <v>Hardware spending</v>
          </cell>
          <cell r="G107">
            <v>246848.56627883192</v>
          </cell>
          <cell r="H107">
            <v>0.37460905688934287</v>
          </cell>
          <cell r="I107">
            <v>147182.78706743941</v>
          </cell>
          <cell r="J107">
            <v>0.83861855740975033</v>
          </cell>
        </row>
        <row r="108">
          <cell r="F108" t="str">
            <v>Software spending</v>
          </cell>
          <cell r="G108">
            <v>175888.55745119959</v>
          </cell>
          <cell r="H108">
            <v>0.26692254128790183</v>
          </cell>
          <cell r="I108">
            <v>9531.8548225495997</v>
          </cell>
          <cell r="J108">
            <v>5.4310633056996266E-2</v>
          </cell>
        </row>
        <row r="109">
          <cell r="F109" t="str">
            <v>IT service spending</v>
          </cell>
          <cell r="G109">
            <v>236212.68471453417</v>
          </cell>
          <cell r="H109">
            <v>0.35846840182275524</v>
          </cell>
          <cell r="I109">
            <v>18791.594845392072</v>
          </cell>
          <cell r="J109">
            <v>0.10707080953325343</v>
          </cell>
        </row>
        <row r="110">
          <cell r="F110">
            <v>0</v>
          </cell>
          <cell r="G110">
            <v>0</v>
          </cell>
          <cell r="H110">
            <v>0</v>
          </cell>
          <cell r="I110">
            <v>0</v>
          </cell>
          <cell r="J110">
            <v>0</v>
          </cell>
        </row>
        <row r="111">
          <cell r="F111" t="str">
            <v>Cloud Spending</v>
          </cell>
          <cell r="G111">
            <v>26794.2</v>
          </cell>
          <cell r="H111">
            <v>1</v>
          </cell>
          <cell r="I111">
            <v>983.7</v>
          </cell>
          <cell r="J111">
            <v>1</v>
          </cell>
        </row>
        <row r="112">
          <cell r="F112" t="str">
            <v>SaaS</v>
          </cell>
          <cell r="G112">
            <v>17538.8</v>
          </cell>
          <cell r="H112">
            <v>0.65457449746586949</v>
          </cell>
          <cell r="I112">
            <v>424.1</v>
          </cell>
          <cell r="J112">
            <v>0.43112737623259123</v>
          </cell>
        </row>
        <row r="113">
          <cell r="F113" t="str">
            <v>PaaS</v>
          </cell>
          <cell r="G113">
            <v>3130.2</v>
          </cell>
          <cell r="H113">
            <v>0.11682379022325726</v>
          </cell>
          <cell r="I113">
            <v>88.7</v>
          </cell>
          <cell r="J113">
            <v>9.0169767205448809E-2</v>
          </cell>
        </row>
        <row r="114">
          <cell r="F114" t="str">
            <v>IaaS</v>
          </cell>
          <cell r="G114">
            <v>6125.2</v>
          </cell>
          <cell r="H114">
            <v>0.22860171231087323</v>
          </cell>
          <cell r="I114">
            <v>470.9</v>
          </cell>
          <cell r="J114">
            <v>0.47870285656195988</v>
          </cell>
        </row>
      </sheetData>
      <sheetData sheetId="5"/>
      <sheetData sheetId="6"/>
      <sheetData sheetId="7">
        <row r="59">
          <cell r="Q59">
            <v>5.4344766051310227</v>
          </cell>
        </row>
      </sheetData>
      <sheetData sheetId="8"/>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s"/>
      <sheetName val="Interim"/>
      <sheetName val="PNL"/>
      <sheetName val="Revenues"/>
      <sheetName val="Costs"/>
      <sheetName val="Depreciation"/>
      <sheetName val="Balance Sheet"/>
      <sheetName val="Cash Flow"/>
      <sheetName val="Capital Structure"/>
      <sheetName val="DCF"/>
      <sheetName val="Macau"/>
      <sheetName val="GS Assumes"/>
      <sheetName val="GS PNL"/>
      <sheetName val="GS BS"/>
      <sheetName val="GS CF"/>
      <sheetName val="GS DCF"/>
      <sheetName val="GS WACC"/>
      <sheetName val="Company profile"/>
      <sheetName val="GS data"/>
      <sheetName val="GEM"/>
      <sheetName val="F-data"/>
      <sheetName val="CROCI"/>
      <sheetName val="Comps"/>
      <sheetName val="Revision"/>
      <sheetName val="Capex and Depreciation"/>
      <sheetName val="Special Dividend"/>
      <sheetName val="HoH"/>
      <sheetName val="NX"/>
      <sheetName val="Oaktree"/>
      <sheetName val="#REF"/>
      <sheetName val="PROFSVC"/>
      <sheetName val="Q_MODEL"/>
      <sheetName val="DRM"/>
      <sheetName val="Weights"/>
    </sheetNames>
    <sheetDataSet>
      <sheetData sheetId="0"/>
      <sheetData sheetId="1"/>
      <sheetData sheetId="2" refreshError="1">
        <row r="24">
          <cell r="A24" t="str">
            <v>Number of Ordinary Shares</v>
          </cell>
        </row>
        <row r="29">
          <cell r="A29" t="str">
            <v>Extraordinary items</v>
          </cell>
          <cell r="C29">
            <v>4.7050000000000001</v>
          </cell>
          <cell r="D29">
            <v>4.7050000000000001</v>
          </cell>
          <cell r="E29">
            <v>0</v>
          </cell>
          <cell r="F29">
            <v>0</v>
          </cell>
          <cell r="G29">
            <v>0</v>
          </cell>
          <cell r="H29">
            <v>0</v>
          </cell>
          <cell r="I29">
            <v>0</v>
          </cell>
          <cell r="J29">
            <v>0</v>
          </cell>
          <cell r="K29">
            <v>-488.21100000000001</v>
          </cell>
          <cell r="L29">
            <v>-167.71199999999999</v>
          </cell>
          <cell r="M29">
            <v>-122.495</v>
          </cell>
          <cell r="N29">
            <v>0</v>
          </cell>
          <cell r="O29">
            <v>0</v>
          </cell>
          <cell r="P29">
            <v>0</v>
          </cell>
          <cell r="Q29">
            <v>0</v>
          </cell>
          <cell r="R29">
            <v>0</v>
          </cell>
          <cell r="S29">
            <v>0</v>
          </cell>
          <cell r="T29">
            <v>0</v>
          </cell>
          <cell r="U29">
            <v>0</v>
          </cell>
          <cell r="V29">
            <v>0</v>
          </cell>
          <cell r="W29">
            <v>0</v>
          </cell>
          <cell r="X29">
            <v>0</v>
          </cell>
          <cell r="Z29">
            <v>0</v>
          </cell>
          <cell r="AA29">
            <v>0</v>
          </cell>
        </row>
        <row r="34">
          <cell r="A34" t="str">
            <v>Interest income</v>
          </cell>
          <cell r="C34">
            <v>0.95350757575757572</v>
          </cell>
          <cell r="D34">
            <v>0.95350757575757572</v>
          </cell>
          <cell r="E34">
            <v>1.141</v>
          </cell>
          <cell r="F34">
            <v>12.000999999999999</v>
          </cell>
          <cell r="G34">
            <v>26.329000000000001</v>
          </cell>
          <cell r="H34">
            <v>96.66</v>
          </cell>
          <cell r="I34">
            <v>162.22</v>
          </cell>
          <cell r="J34">
            <v>109.05200000000001</v>
          </cell>
          <cell r="K34">
            <v>227.964</v>
          </cell>
          <cell r="L34">
            <v>197.57599999999999</v>
          </cell>
          <cell r="M34">
            <v>86.108000000000004</v>
          </cell>
          <cell r="N34">
            <v>85.235239766277118</v>
          </cell>
          <cell r="O34">
            <v>98.47880997011768</v>
          </cell>
          <cell r="P34">
            <v>95.407020919407969</v>
          </cell>
          <cell r="Q34">
            <v>93.730574489604805</v>
          </cell>
          <cell r="R34">
            <v>95.916691765062467</v>
          </cell>
          <cell r="S34">
            <v>98.37348268298075</v>
          </cell>
          <cell r="T34">
            <v>104.46602772376302</v>
          </cell>
          <cell r="U34">
            <v>113.14399263114845</v>
          </cell>
          <cell r="V34">
            <v>120.85797475799998</v>
          </cell>
          <cell r="W34">
            <v>124.27383243368473</v>
          </cell>
          <cell r="X34">
            <v>129.46955988440408</v>
          </cell>
          <cell r="Z34">
            <v>-0.15987711845584215</v>
          </cell>
          <cell r="AA34">
            <v>-0.11919086782088477</v>
          </cell>
        </row>
        <row r="35">
          <cell r="A35" t="str">
            <v>Interest expense</v>
          </cell>
          <cell r="E35">
            <v>-9.641</v>
          </cell>
          <cell r="F35">
            <v>-22.789000000000001</v>
          </cell>
          <cell r="G35">
            <v>-29.367999999999999</v>
          </cell>
          <cell r="H35">
            <v>-32.578000000000003</v>
          </cell>
          <cell r="I35">
            <v>-7.0279999999999996</v>
          </cell>
          <cell r="J35">
            <v>-0.02</v>
          </cell>
          <cell r="K35">
            <v>0</v>
          </cell>
          <cell r="L35">
            <v>0</v>
          </cell>
          <cell r="M35">
            <v>0</v>
          </cell>
          <cell r="N35">
            <v>0</v>
          </cell>
          <cell r="O35">
            <v>0</v>
          </cell>
          <cell r="P35">
            <v>0</v>
          </cell>
          <cell r="Q35">
            <v>0</v>
          </cell>
          <cell r="R35">
            <v>0</v>
          </cell>
          <cell r="S35">
            <v>0</v>
          </cell>
          <cell r="T35">
            <v>0</v>
          </cell>
          <cell r="U35">
            <v>0</v>
          </cell>
          <cell r="V35">
            <v>0</v>
          </cell>
          <cell r="W35">
            <v>0</v>
          </cell>
          <cell r="X35">
            <v>0</v>
          </cell>
          <cell r="Z35">
            <v>0</v>
          </cell>
          <cell r="AA35">
            <v>0</v>
          </cell>
        </row>
        <row r="36">
          <cell r="A36" t="str">
            <v>Other income</v>
          </cell>
          <cell r="E36">
            <v>-2.9155600000000002</v>
          </cell>
          <cell r="F36">
            <v>11.522</v>
          </cell>
          <cell r="G36">
            <v>4.7E-2</v>
          </cell>
          <cell r="H36">
            <v>-0.46500000000000002</v>
          </cell>
          <cell r="I36">
            <v>-0.17699999999999999</v>
          </cell>
          <cell r="J36">
            <v>79</v>
          </cell>
          <cell r="K36">
            <v>5.4</v>
          </cell>
          <cell r="L36">
            <v>5.33</v>
          </cell>
          <cell r="M36">
            <v>0.2</v>
          </cell>
          <cell r="N36">
            <v>0</v>
          </cell>
          <cell r="O36">
            <v>0</v>
          </cell>
          <cell r="P36">
            <v>0</v>
          </cell>
          <cell r="Q36">
            <v>0</v>
          </cell>
          <cell r="R36">
            <v>0</v>
          </cell>
          <cell r="S36">
            <v>0</v>
          </cell>
          <cell r="T36">
            <v>0</v>
          </cell>
          <cell r="U36">
            <v>0</v>
          </cell>
          <cell r="V36">
            <v>0</v>
          </cell>
          <cell r="W36">
            <v>0</v>
          </cell>
          <cell r="X36">
            <v>0</v>
          </cell>
          <cell r="Z36">
            <v>0</v>
          </cell>
          <cell r="AA36">
            <v>0</v>
          </cell>
        </row>
        <row r="38">
          <cell r="A38" t="str">
            <v>Tax</v>
          </cell>
          <cell r="C38">
            <v>0</v>
          </cell>
          <cell r="D38">
            <v>0</v>
          </cell>
          <cell r="E38">
            <v>0</v>
          </cell>
          <cell r="F38">
            <v>0</v>
          </cell>
          <cell r="G38">
            <v>9.7184337642734633</v>
          </cell>
          <cell r="H38">
            <v>251.55563979142903</v>
          </cell>
          <cell r="I38">
            <v>195.68330423508621</v>
          </cell>
          <cell r="J38">
            <v>46.581232813516706</v>
          </cell>
          <cell r="K38">
            <v>19.413403397999964</v>
          </cell>
          <cell r="L38">
            <v>0</v>
          </cell>
          <cell r="M38">
            <v>0</v>
          </cell>
          <cell r="N38">
            <v>0</v>
          </cell>
          <cell r="O38">
            <v>0</v>
          </cell>
          <cell r="P38">
            <v>86.312452118973923</v>
          </cell>
          <cell r="Q38">
            <v>79.865927098694172</v>
          </cell>
          <cell r="R38">
            <v>79.32941452971879</v>
          </cell>
          <cell r="S38">
            <v>80.969883196008084</v>
          </cell>
          <cell r="T38">
            <v>83.269156744670639</v>
          </cell>
          <cell r="U38">
            <v>87.114414558197893</v>
          </cell>
          <cell r="V38">
            <v>87.75161643083193</v>
          </cell>
          <cell r="W38">
            <v>87.848140686969813</v>
          </cell>
          <cell r="X38">
            <v>89.812692714830845</v>
          </cell>
          <cell r="Z38">
            <v>0</v>
          </cell>
          <cell r="AA38">
            <v>0</v>
          </cell>
        </row>
        <row r="39">
          <cell r="A39" t="str">
            <v>Minority interest</v>
          </cell>
          <cell r="C39">
            <v>0</v>
          </cell>
          <cell r="D39">
            <v>0</v>
          </cell>
          <cell r="E39">
            <v>0</v>
          </cell>
          <cell r="F39">
            <v>0</v>
          </cell>
          <cell r="G39">
            <v>0</v>
          </cell>
          <cell r="H39">
            <v>0</v>
          </cell>
          <cell r="I39">
            <v>0</v>
          </cell>
          <cell r="J39">
            <v>0</v>
          </cell>
          <cell r="K39">
            <v>0</v>
          </cell>
          <cell r="L39">
            <v>1.613</v>
          </cell>
          <cell r="M39">
            <v>6.2</v>
          </cell>
          <cell r="N39">
            <v>0</v>
          </cell>
          <cell r="O39">
            <v>0</v>
          </cell>
          <cell r="P39">
            <v>0</v>
          </cell>
          <cell r="Q39">
            <v>0</v>
          </cell>
          <cell r="R39">
            <v>0</v>
          </cell>
          <cell r="S39">
            <v>0</v>
          </cell>
          <cell r="T39">
            <v>0</v>
          </cell>
          <cell r="U39">
            <v>0</v>
          </cell>
          <cell r="V39">
            <v>0</v>
          </cell>
          <cell r="W39">
            <v>0</v>
          </cell>
          <cell r="X39">
            <v>0</v>
          </cell>
          <cell r="Z39">
            <v>0</v>
          </cell>
          <cell r="AA39">
            <v>0</v>
          </cell>
        </row>
      </sheetData>
      <sheetData sheetId="3" refreshError="1">
        <row r="25">
          <cell r="A25" t="str">
            <v>Total subscribers ('000)</v>
          </cell>
          <cell r="C25">
            <v>112.60109600351814</v>
          </cell>
          <cell r="D25">
            <v>275.35026000000005</v>
          </cell>
          <cell r="E25">
            <v>55.783999999999999</v>
          </cell>
          <cell r="F25">
            <v>112.699</v>
          </cell>
          <cell r="G25">
            <v>212.61199999999999</v>
          </cell>
          <cell r="H25">
            <v>381.09500000000003</v>
          </cell>
          <cell r="I25">
            <v>523.09100000000001</v>
          </cell>
          <cell r="J25">
            <v>617.99300000000005</v>
          </cell>
          <cell r="K25">
            <v>866.99299999999994</v>
          </cell>
          <cell r="L25">
            <v>979.79299999999989</v>
          </cell>
          <cell r="M25">
            <v>983.99299999999994</v>
          </cell>
          <cell r="N25">
            <v>947.69299999999998</v>
          </cell>
          <cell r="O25">
            <v>947.69299999999998</v>
          </cell>
          <cell r="P25">
            <v>950.99299999999994</v>
          </cell>
          <cell r="Q25">
            <v>955.79300000000001</v>
          </cell>
          <cell r="R25">
            <v>961.79300000000001</v>
          </cell>
          <cell r="S25">
            <v>967.79300000000001</v>
          </cell>
          <cell r="T25">
            <v>973.79300000000012</v>
          </cell>
          <cell r="U25">
            <v>978.59300000000007</v>
          </cell>
          <cell r="V25">
            <v>980.99300000000005</v>
          </cell>
          <cell r="W25">
            <v>981.89300000000003</v>
          </cell>
          <cell r="X25">
            <v>982.79300000000001</v>
          </cell>
          <cell r="Z25">
            <v>1.866725458710785E-2</v>
          </cell>
          <cell r="AA25">
            <v>2.5014628514225718E-2</v>
          </cell>
        </row>
        <row r="63">
          <cell r="A63" t="str">
            <v>Total</v>
          </cell>
          <cell r="E63">
            <v>251.828</v>
          </cell>
          <cell r="F63">
            <v>294.62299999999999</v>
          </cell>
          <cell r="G63">
            <v>411.04700000000003</v>
          </cell>
          <cell r="H63">
            <v>869.30700000000002</v>
          </cell>
          <cell r="I63">
            <v>913.56</v>
          </cell>
          <cell r="J63">
            <v>298.178</v>
          </cell>
          <cell r="K63">
            <v>465</v>
          </cell>
          <cell r="L63">
            <v>202.75578616461775</v>
          </cell>
          <cell r="M63">
            <v>177.79277393999996</v>
          </cell>
          <cell r="N63">
            <v>439.21713263999987</v>
          </cell>
          <cell r="O63">
            <v>457.5415766129999</v>
          </cell>
          <cell r="P63">
            <v>386.25673449824995</v>
          </cell>
          <cell r="Q63">
            <v>388.9143814247999</v>
          </cell>
          <cell r="R63">
            <v>391.7808021030749</v>
          </cell>
          <cell r="S63">
            <v>393.89295147221242</v>
          </cell>
          <cell r="T63">
            <v>396.02734108678123</v>
          </cell>
          <cell r="U63">
            <v>396.93478553406555</v>
          </cell>
          <cell r="V63">
            <v>396.4300055977078</v>
          </cell>
          <cell r="W63">
            <v>395.92800569202876</v>
          </cell>
          <cell r="X63">
            <v>396.27606958918938</v>
          </cell>
          <cell r="Z63">
            <v>-3.6426999833586542E-2</v>
          </cell>
          <cell r="AA63">
            <v>-3.1403906487554319E-2</v>
          </cell>
        </row>
        <row r="80">
          <cell r="A80" t="str">
            <v>Total Mobile Revenues</v>
          </cell>
          <cell r="E80">
            <v>222.45856000000001</v>
          </cell>
          <cell r="F80">
            <v>680.20900000000006</v>
          </cell>
          <cell r="G80">
            <v>1196.548</v>
          </cell>
          <cell r="H80">
            <v>2414.88294</v>
          </cell>
          <cell r="I80">
            <v>3162.3221279999998</v>
          </cell>
          <cell r="J80">
            <v>2700.425072</v>
          </cell>
          <cell r="K80">
            <v>2356.1051279999997</v>
          </cell>
          <cell r="L80">
            <v>2211.7570936799998</v>
          </cell>
          <cell r="M80">
            <v>2105.4527699999994</v>
          </cell>
          <cell r="N80">
            <v>2188.5568943999997</v>
          </cell>
          <cell r="O80">
            <v>2295.2352840959998</v>
          </cell>
          <cell r="P80">
            <v>2377.9862798438398</v>
          </cell>
          <cell r="Q80">
            <v>2406.7930727691269</v>
          </cell>
          <cell r="R80">
            <v>2439.7855049152113</v>
          </cell>
          <cell r="S80">
            <v>2474.9036230178563</v>
          </cell>
          <cell r="T80">
            <v>2488.8235372713498</v>
          </cell>
          <cell r="U80">
            <v>2500.9994658159267</v>
          </cell>
          <cell r="V80">
            <v>2508.8234229426735</v>
          </cell>
          <cell r="W80">
            <v>2512.2994050788179</v>
          </cell>
          <cell r="X80">
            <v>2514.0353979332754</v>
          </cell>
          <cell r="Z80">
            <v>1.8505386263465236E-3</v>
          </cell>
          <cell r="AA80">
            <v>1.2640018436792131E-2</v>
          </cell>
        </row>
        <row r="84">
          <cell r="A84" t="str">
            <v>GS Post paid ARPU (voice only) (HK$)</v>
          </cell>
          <cell r="I84">
            <v>582.90405735103172</v>
          </cell>
          <cell r="J84">
            <v>403.89385152766727</v>
          </cell>
          <cell r="K84">
            <v>287.99514823234136</v>
          </cell>
          <cell r="L84">
            <v>201.99999999999997</v>
          </cell>
          <cell r="M84">
            <v>208</v>
          </cell>
          <cell r="N84">
            <v>217.35999999999996</v>
          </cell>
          <cell r="O84">
            <v>226.05439999999999</v>
          </cell>
          <cell r="P84">
            <v>235.096576</v>
          </cell>
          <cell r="Q84">
            <v>237.44754176000001</v>
          </cell>
          <cell r="R84">
            <v>239.8220171776</v>
          </cell>
          <cell r="S84">
            <v>242.22023734937599</v>
          </cell>
          <cell r="T84">
            <v>242.22023734937599</v>
          </cell>
          <cell r="U84">
            <v>242.22023734937596</v>
          </cell>
          <cell r="V84">
            <v>242.22023734937599</v>
          </cell>
          <cell r="W84">
            <v>242.22023734937596</v>
          </cell>
          <cell r="X84">
            <v>242.22023734937596</v>
          </cell>
          <cell r="Z84">
            <v>-3.9776729794673928E-2</v>
          </cell>
          <cell r="AA84">
            <v>-3.4026859400714253E-2</v>
          </cell>
          <cell r="AB84">
            <v>4.4999999999999707E-2</v>
          </cell>
        </row>
        <row r="134">
          <cell r="A134" t="str">
            <v>Total Internet access revenue</v>
          </cell>
          <cell r="J134">
            <v>24</v>
          </cell>
          <cell r="K134">
            <v>51</v>
          </cell>
          <cell r="L134">
            <v>48.449999999999996</v>
          </cell>
          <cell r="M134">
            <v>52.154000000000003</v>
          </cell>
          <cell r="N134">
            <v>20</v>
          </cell>
          <cell r="O134">
            <v>20</v>
          </cell>
          <cell r="P134">
            <v>20</v>
          </cell>
          <cell r="Q134">
            <v>20</v>
          </cell>
          <cell r="R134">
            <v>20</v>
          </cell>
          <cell r="S134">
            <v>20</v>
          </cell>
          <cell r="T134">
            <v>20</v>
          </cell>
          <cell r="U134">
            <v>20</v>
          </cell>
          <cell r="V134">
            <v>20</v>
          </cell>
          <cell r="W134">
            <v>20</v>
          </cell>
          <cell r="X134">
            <v>20</v>
          </cell>
        </row>
        <row r="136">
          <cell r="A136" t="str">
            <v>Other revenue</v>
          </cell>
          <cell r="E136">
            <v>0</v>
          </cell>
          <cell r="F136">
            <v>12.918000000000006</v>
          </cell>
          <cell r="G136">
            <v>14.390999999999963</v>
          </cell>
          <cell r="H136">
            <v>23.810060000000249</v>
          </cell>
          <cell r="I136">
            <v>16.435872</v>
          </cell>
          <cell r="J136">
            <v>51.745527999999922</v>
          </cell>
          <cell r="K136">
            <v>67.5</v>
          </cell>
          <cell r="L136">
            <v>22.390999999999998</v>
          </cell>
          <cell r="M136">
            <v>0</v>
          </cell>
          <cell r="N136">
            <v>0</v>
          </cell>
          <cell r="O136">
            <v>0</v>
          </cell>
          <cell r="P136">
            <v>0</v>
          </cell>
          <cell r="Q136">
            <v>0</v>
          </cell>
          <cell r="R136">
            <v>0</v>
          </cell>
          <cell r="S136">
            <v>0</v>
          </cell>
          <cell r="T136">
            <v>0</v>
          </cell>
          <cell r="U136">
            <v>0</v>
          </cell>
          <cell r="V136">
            <v>0</v>
          </cell>
          <cell r="W136">
            <v>0</v>
          </cell>
          <cell r="X136">
            <v>0</v>
          </cell>
        </row>
      </sheetData>
      <sheetData sheetId="4" refreshError="1">
        <row r="15">
          <cell r="A15" t="str">
            <v>Total handset costs</v>
          </cell>
          <cell r="G15">
            <v>0</v>
          </cell>
          <cell r="H15">
            <v>0</v>
          </cell>
          <cell r="I15">
            <v>0</v>
          </cell>
          <cell r="J15">
            <v>106</v>
          </cell>
          <cell r="K15">
            <v>666.44065833000002</v>
          </cell>
          <cell r="L15">
            <v>362.75151567499995</v>
          </cell>
          <cell r="M15">
            <v>226.16145759449995</v>
          </cell>
          <cell r="N15">
            <v>406.45905234450004</v>
          </cell>
          <cell r="O15">
            <v>411.52639950000003</v>
          </cell>
          <cell r="P15">
            <v>283.27412450000003</v>
          </cell>
          <cell r="Q15">
            <v>284.82146900000004</v>
          </cell>
          <cell r="R15">
            <v>287.89211750000004</v>
          </cell>
          <cell r="S15">
            <v>288.78966050000002</v>
          </cell>
          <cell r="T15">
            <v>291.15017262500004</v>
          </cell>
          <cell r="U15">
            <v>291.69855837500006</v>
          </cell>
          <cell r="V15">
            <v>291.92238640625004</v>
          </cell>
          <cell r="W15">
            <v>291.74088284375</v>
          </cell>
          <cell r="X15">
            <v>291.65531485156248</v>
          </cell>
          <cell r="Z15">
            <v>-0.15726877793310734</v>
          </cell>
          <cell r="AA15">
            <v>-0.15218482994360305</v>
          </cell>
        </row>
        <row r="21">
          <cell r="A21" t="str">
            <v>Total mobile service costs  (HK$mn)</v>
          </cell>
          <cell r="G21">
            <v>21</v>
          </cell>
          <cell r="H21">
            <v>46.540691730000006</v>
          </cell>
          <cell r="I21">
            <v>74.513968260000013</v>
          </cell>
          <cell r="J21">
            <v>92.017013759999998</v>
          </cell>
          <cell r="K21">
            <v>153.96334847999998</v>
          </cell>
          <cell r="L21">
            <v>228.88548583919993</v>
          </cell>
          <cell r="M21">
            <v>199.646339904</v>
          </cell>
          <cell r="N21">
            <v>225.49516964999995</v>
          </cell>
          <cell r="O21">
            <v>263.82189563999992</v>
          </cell>
          <cell r="P21">
            <v>297.16614725129995</v>
          </cell>
          <cell r="Q21">
            <v>312.40102696793315</v>
          </cell>
          <cell r="R21">
            <v>323.94007695851286</v>
          </cell>
          <cell r="S21">
            <v>332.25416206901343</v>
          </cell>
          <cell r="T21">
            <v>338.22842244075252</v>
          </cell>
          <cell r="U21">
            <v>360.13778186168662</v>
          </cell>
          <cell r="V21">
            <v>381.38986049999266</v>
          </cell>
          <cell r="W21">
            <v>402.00437677914954</v>
          </cell>
          <cell r="X21">
            <v>422.00045756993165</v>
          </cell>
          <cell r="Z21">
            <v>0.14055543188808331</v>
          </cell>
          <cell r="AA21">
            <v>0.19892042511409216</v>
          </cell>
        </row>
        <row r="26">
          <cell r="A26" t="str">
            <v>Cost</v>
          </cell>
          <cell r="E26">
            <v>1089.6130000000001</v>
          </cell>
          <cell r="F26">
            <v>301.53699999999998</v>
          </cell>
          <cell r="G26">
            <v>0</v>
          </cell>
          <cell r="H26">
            <v>0</v>
          </cell>
          <cell r="I26">
            <v>0</v>
          </cell>
          <cell r="J26">
            <v>27.599999999999998</v>
          </cell>
          <cell r="K26">
            <v>63.75</v>
          </cell>
          <cell r="L26">
            <v>201.0675</v>
          </cell>
          <cell r="M26">
            <v>57.369400000000006</v>
          </cell>
          <cell r="N26">
            <v>20</v>
          </cell>
          <cell r="O26">
            <v>20</v>
          </cell>
          <cell r="P26">
            <v>20</v>
          </cell>
          <cell r="Q26">
            <v>20</v>
          </cell>
          <cell r="R26">
            <v>20</v>
          </cell>
          <cell r="S26">
            <v>20</v>
          </cell>
          <cell r="T26">
            <v>20</v>
          </cell>
          <cell r="U26">
            <v>20</v>
          </cell>
          <cell r="V26">
            <v>20</v>
          </cell>
          <cell r="W26">
            <v>20</v>
          </cell>
          <cell r="X26">
            <v>20</v>
          </cell>
          <cell r="Z26">
            <v>-0.20693284968350351</v>
          </cell>
          <cell r="AA26">
            <v>-0.20693284968350351</v>
          </cell>
        </row>
        <row r="30">
          <cell r="A30" t="str">
            <v>Other COGS</v>
          </cell>
          <cell r="F30">
            <v>570.49649999999997</v>
          </cell>
          <cell r="G30">
            <v>60.598920833333295</v>
          </cell>
          <cell r="H30">
            <v>174.15230826999993</v>
          </cell>
          <cell r="I30">
            <v>347.9260317400001</v>
          </cell>
          <cell r="J30">
            <v>106.85024744999998</v>
          </cell>
          <cell r="K30">
            <v>231.00443186999996</v>
          </cell>
          <cell r="L30">
            <v>64.095126210725027</v>
          </cell>
          <cell r="M30">
            <v>98.964265508732765</v>
          </cell>
          <cell r="N30">
            <v>101.00877200410865</v>
          </cell>
          <cell r="O30">
            <v>107.68082992204748</v>
          </cell>
          <cell r="P30">
            <v>114.67631370915359</v>
          </cell>
          <cell r="Q30">
            <v>118.8861912450907</v>
          </cell>
          <cell r="R30">
            <v>122.56586827304679</v>
          </cell>
          <cell r="S30">
            <v>127.57681833234194</v>
          </cell>
          <cell r="T30">
            <v>131.65420802505977</v>
          </cell>
          <cell r="U30">
            <v>139.76340845522176</v>
          </cell>
          <cell r="V30">
            <v>138.61660466403222</v>
          </cell>
          <cell r="W30">
            <v>137.87372685018045</v>
          </cell>
          <cell r="X30">
            <v>136.34634993617013</v>
          </cell>
          <cell r="Z30">
            <v>-0.13069799279884856</v>
          </cell>
          <cell r="AA30">
            <v>-9.710138057418613E-2</v>
          </cell>
        </row>
        <row r="39">
          <cell r="A39" t="str">
            <v>Total network costs</v>
          </cell>
          <cell r="G39">
            <v>118.6</v>
          </cell>
          <cell r="H39">
            <v>168.15</v>
          </cell>
          <cell r="I39">
            <v>276.45</v>
          </cell>
          <cell r="J39">
            <v>406</v>
          </cell>
          <cell r="K39">
            <v>469.71699999999998</v>
          </cell>
          <cell r="L39">
            <v>447.49500000000023</v>
          </cell>
          <cell r="M39">
            <v>459.43005311326465</v>
          </cell>
          <cell r="N39">
            <v>460.95862462086649</v>
          </cell>
          <cell r="O39">
            <v>456.81931169066928</v>
          </cell>
          <cell r="P39">
            <v>453.03851949963911</v>
          </cell>
          <cell r="Q39">
            <v>450.42151855452272</v>
          </cell>
          <cell r="R39">
            <v>448.44297057881903</v>
          </cell>
          <cell r="S39">
            <v>460.27425282821588</v>
          </cell>
          <cell r="T39">
            <v>472.39940917935706</v>
          </cell>
          <cell r="U39">
            <v>475.02711334447622</v>
          </cell>
          <cell r="V39">
            <v>476.77891612122238</v>
          </cell>
          <cell r="W39">
            <v>477.58182572723092</v>
          </cell>
          <cell r="X39">
            <v>478.01977642141748</v>
          </cell>
          <cell r="Z39">
            <v>-7.2045681319580354E-3</v>
          </cell>
          <cell r="AA39">
            <v>2.9889599669715343E-3</v>
          </cell>
        </row>
        <row r="43">
          <cell r="A43" t="str">
            <v>Total rental costs</v>
          </cell>
          <cell r="F43">
            <v>407.56131999999997</v>
          </cell>
          <cell r="G43">
            <v>0</v>
          </cell>
          <cell r="H43">
            <v>0</v>
          </cell>
          <cell r="I43">
            <v>0</v>
          </cell>
          <cell r="J43">
            <v>155</v>
          </cell>
          <cell r="K43">
            <v>135.70400000000001</v>
          </cell>
          <cell r="L43">
            <v>142.14600000000002</v>
          </cell>
          <cell r="M43">
            <v>118.09906912709837</v>
          </cell>
          <cell r="N43">
            <v>182.61869094399998</v>
          </cell>
          <cell r="O43">
            <v>196.64790932915199</v>
          </cell>
          <cell r="P43">
            <v>209.42313833208831</v>
          </cell>
          <cell r="Q43">
            <v>217.11126273243983</v>
          </cell>
          <cell r="R43">
            <v>223.83112916621366</v>
          </cell>
          <cell r="S43">
            <v>232.98218097020262</v>
          </cell>
          <cell r="T43">
            <v>240.42835462222257</v>
          </cell>
          <cell r="U43">
            <v>255.23746513963619</v>
          </cell>
          <cell r="V43">
            <v>253.14315951335684</v>
          </cell>
          <cell r="W43">
            <v>251.78650792470626</v>
          </cell>
          <cell r="X43">
            <v>248.99719549913175</v>
          </cell>
          <cell r="Z43">
            <v>9.0652509255100669E-2</v>
          </cell>
          <cell r="AA43">
            <v>0.13280383195052872</v>
          </cell>
        </row>
        <row r="50">
          <cell r="A50" t="str">
            <v>Total (HK$ m)</v>
          </cell>
          <cell r="F50">
            <v>154.66</v>
          </cell>
          <cell r="G50">
            <v>284.64</v>
          </cell>
          <cell r="H50">
            <v>437.19</v>
          </cell>
          <cell r="I50">
            <v>612.75</v>
          </cell>
          <cell r="J50">
            <v>331</v>
          </cell>
          <cell r="K50">
            <v>364.33199999999999</v>
          </cell>
          <cell r="L50">
            <v>410.21453495110467</v>
          </cell>
          <cell r="M50">
            <v>377.30782123148657</v>
          </cell>
          <cell r="N50">
            <v>380.92109848422109</v>
          </cell>
          <cell r="O50">
            <v>394.3104750959414</v>
          </cell>
          <cell r="P50">
            <v>408.17048829556364</v>
          </cell>
          <cell r="Q50">
            <v>422.5176809591527</v>
          </cell>
          <cell r="R50">
            <v>437.36917744486686</v>
          </cell>
          <cell r="S50">
            <v>452.74270403205384</v>
          </cell>
          <cell r="T50">
            <v>468.65661007878049</v>
          </cell>
          <cell r="U50">
            <v>485.12988992304952</v>
          </cell>
          <cell r="V50">
            <v>502.18220555384471</v>
          </cell>
          <cell r="W50">
            <v>519.83391007906232</v>
          </cell>
          <cell r="X50">
            <v>538.10607201834125</v>
          </cell>
          <cell r="Z50">
            <v>2.2984036397200182E-2</v>
          </cell>
          <cell r="AA50">
            <v>6.6283773820326825E-2</v>
          </cell>
        </row>
        <row r="56">
          <cell r="A56" t="str">
            <v>Total (HK$ m)</v>
          </cell>
          <cell r="G56">
            <v>130.46</v>
          </cell>
          <cell r="H56">
            <v>358.72</v>
          </cell>
          <cell r="I56">
            <v>383.32499999999999</v>
          </cell>
          <cell r="J56">
            <v>326</v>
          </cell>
          <cell r="K56">
            <v>324.762</v>
          </cell>
          <cell r="L56">
            <v>275.18940501669215</v>
          </cell>
          <cell r="M56">
            <v>176.82044049623553</v>
          </cell>
          <cell r="N56">
            <v>76.01148589695805</v>
          </cell>
          <cell r="O56">
            <v>89.260844961602288</v>
          </cell>
          <cell r="P56">
            <v>94.300066727427975</v>
          </cell>
          <cell r="Q56">
            <v>99.107187821551278</v>
          </cell>
          <cell r="R56">
            <v>105.0898042055568</v>
          </cell>
          <cell r="S56">
            <v>110.99649562840597</v>
          </cell>
          <cell r="T56">
            <v>117.24433361397126</v>
          </cell>
          <cell r="U56">
            <v>123.2738669890207</v>
          </cell>
          <cell r="V56">
            <v>128.89810985385654</v>
          </cell>
          <cell r="W56">
            <v>134.94316678251883</v>
          </cell>
          <cell r="X56">
            <v>141.8838316317005</v>
          </cell>
          <cell r="Z56">
            <v>-0.21911090402953759</v>
          </cell>
          <cell r="AA56">
            <v>-0.16874117625406881</v>
          </cell>
        </row>
        <row r="62">
          <cell r="A62" t="str">
            <v>Total customer retention costs</v>
          </cell>
          <cell r="N62">
            <v>54.439015388799987</v>
          </cell>
          <cell r="O62">
            <v>116.62561772909599</v>
          </cell>
          <cell r="P62">
            <v>165.22252800071445</v>
          </cell>
          <cell r="Q62">
            <v>170.65428410691638</v>
          </cell>
          <cell r="R62">
            <v>175.43184541744102</v>
          </cell>
          <cell r="S62">
            <v>198.3702128159847</v>
          </cell>
          <cell r="T62">
            <v>204.08290643187379</v>
          </cell>
          <cell r="U62">
            <v>215.24418598677107</v>
          </cell>
          <cell r="V62">
            <v>213.64316997088008</v>
          </cell>
          <cell r="W62">
            <v>212.59556128505139</v>
          </cell>
          <cell r="X62">
            <v>210.52446079970017</v>
          </cell>
        </row>
        <row r="66">
          <cell r="A66" t="str">
            <v>Total (HK$ m)</v>
          </cell>
          <cell r="F66">
            <v>331.46499999999997</v>
          </cell>
          <cell r="G66">
            <v>59.3</v>
          </cell>
          <cell r="H66">
            <v>156.94</v>
          </cell>
          <cell r="I66">
            <v>152.47499999999999</v>
          </cell>
          <cell r="J66">
            <v>195</v>
          </cell>
          <cell r="K66">
            <v>205.87299999999999</v>
          </cell>
          <cell r="L66">
            <v>246.67183239506386</v>
          </cell>
          <cell r="M66">
            <v>111.22596141524285</v>
          </cell>
          <cell r="N66">
            <v>114.13668183999999</v>
          </cell>
          <cell r="O66">
            <v>172.06692066300801</v>
          </cell>
          <cell r="P66">
            <v>246.07218754020377</v>
          </cell>
          <cell r="Q66">
            <v>298.52798625710477</v>
          </cell>
          <cell r="R66">
            <v>321.75724817643214</v>
          </cell>
          <cell r="S66">
            <v>364.03465776594157</v>
          </cell>
          <cell r="T66">
            <v>381.68001296277833</v>
          </cell>
          <cell r="U66">
            <v>446.66556399436337</v>
          </cell>
          <cell r="V66">
            <v>386.04331825786915</v>
          </cell>
          <cell r="W66">
            <v>330.46979165117693</v>
          </cell>
          <cell r="X66">
            <v>264.55952021782747</v>
          </cell>
          <cell r="Z66">
            <v>3.6317011691155102E-2</v>
          </cell>
          <cell r="AA66">
            <v>0.13398505086876214</v>
          </cell>
        </row>
      </sheetData>
      <sheetData sheetId="5" refreshError="1">
        <row r="7">
          <cell r="A7" t="str">
            <v xml:space="preserve">  Total Depreciation &amp; Amortization</v>
          </cell>
          <cell r="E7">
            <v>70.935000000000002</v>
          </cell>
          <cell r="F7">
            <v>96.566999999999993</v>
          </cell>
          <cell r="G7">
            <v>154.74600000000001</v>
          </cell>
          <cell r="H7">
            <v>242.44399999999999</v>
          </cell>
          <cell r="I7">
            <v>364.125</v>
          </cell>
          <cell r="J7">
            <v>435.31799999999998</v>
          </cell>
          <cell r="K7">
            <v>428</v>
          </cell>
          <cell r="L7">
            <v>427.59199999999998</v>
          </cell>
          <cell r="M7">
            <v>422.447</v>
          </cell>
          <cell r="N7">
            <v>431.18274962503233</v>
          </cell>
          <cell r="O7">
            <v>456.89973876852923</v>
          </cell>
          <cell r="P7">
            <v>442.26224276979826</v>
          </cell>
          <cell r="Q7">
            <v>483.43945902526906</v>
          </cell>
          <cell r="R7">
            <v>510.67928976887981</v>
          </cell>
          <cell r="S7">
            <v>523.18019371222988</v>
          </cell>
          <cell r="T7">
            <v>539.79239374844315</v>
          </cell>
          <cell r="U7">
            <v>575.83219629802693</v>
          </cell>
          <cell r="V7">
            <v>571.65191667267277</v>
          </cell>
          <cell r="W7">
            <v>552.24811925320478</v>
          </cell>
          <cell r="X7">
            <v>535.31272559896479</v>
          </cell>
        </row>
      </sheetData>
      <sheetData sheetId="6"/>
      <sheetData sheetId="7"/>
      <sheetData sheetId="8" refreshError="1">
        <row r="7">
          <cell r="A7" t="str">
            <v xml:space="preserve">  Total Depreciation &amp; Amortization</v>
          </cell>
        </row>
        <row r="24">
          <cell r="A24" t="str">
            <v>Number of Ordinary Shares</v>
          </cell>
          <cell r="H24">
            <v>480</v>
          </cell>
          <cell r="I24">
            <v>478.09550000000002</v>
          </cell>
          <cell r="J24">
            <v>601.87225000000001</v>
          </cell>
          <cell r="K24">
            <v>602.38909999999998</v>
          </cell>
          <cell r="L24">
            <v>592.27884199999994</v>
          </cell>
          <cell r="M24">
            <v>584.3528419999999</v>
          </cell>
          <cell r="N24">
            <v>582.3528419999999</v>
          </cell>
          <cell r="O24">
            <v>582.3528419999999</v>
          </cell>
          <cell r="P24">
            <v>582.3528419999999</v>
          </cell>
          <cell r="Q24">
            <v>582.3528419999999</v>
          </cell>
          <cell r="R24">
            <v>582.3528419999999</v>
          </cell>
          <cell r="S24">
            <v>582.3528419999999</v>
          </cell>
          <cell r="T24">
            <v>582.3528419999999</v>
          </cell>
          <cell r="U24">
            <v>582.3528419999999</v>
          </cell>
          <cell r="V24">
            <v>582.3528419999999</v>
          </cell>
          <cell r="W24">
            <v>582.3528419999999</v>
          </cell>
          <cell r="X24">
            <v>582.3528419999999</v>
          </cell>
        </row>
      </sheetData>
      <sheetData sheetId="9"/>
      <sheetData sheetId="10" refreshError="1">
        <row r="15">
          <cell r="A15" t="str">
            <v>Total handset costs</v>
          </cell>
        </row>
        <row r="31">
          <cell r="A31" t="str">
            <v>Voice revenues</v>
          </cell>
          <cell r="L31">
            <v>0</v>
          </cell>
          <cell r="M31">
            <v>9.3119999999999994</v>
          </cell>
          <cell r="N31">
            <v>24.327599999999997</v>
          </cell>
          <cell r="O31">
            <v>33.616319999999995</v>
          </cell>
          <cell r="P31">
            <v>41.915348999999992</v>
          </cell>
          <cell r="Q31">
            <v>49.300434299999992</v>
          </cell>
          <cell r="R31">
            <v>53.590520169374976</v>
          </cell>
          <cell r="S31">
            <v>55.189228964343727</v>
          </cell>
          <cell r="T31">
            <v>56.494090579392164</v>
          </cell>
          <cell r="U31">
            <v>57.530492960524896</v>
          </cell>
          <cell r="V31">
            <v>58.322019877095883</v>
          </cell>
        </row>
        <row r="33">
          <cell r="A33" t="str">
            <v>Costs</v>
          </cell>
          <cell r="M33">
            <v>8.3807999999999989</v>
          </cell>
          <cell r="N33">
            <v>19.46208</v>
          </cell>
          <cell r="O33">
            <v>26.893055999999998</v>
          </cell>
          <cell r="P33">
            <v>33.532279199999998</v>
          </cell>
          <cell r="Q33">
            <v>39.440347439999996</v>
          </cell>
          <cell r="R33">
            <v>41.80060573211248</v>
          </cell>
          <cell r="S33">
            <v>40.840029433614355</v>
          </cell>
          <cell r="T33">
            <v>40.675745217162358</v>
          </cell>
          <cell r="U33">
            <v>40.846650001972677</v>
          </cell>
          <cell r="V33">
            <v>40.825413913967118</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refreshError="1"/>
      <sheetData sheetId="24" refreshError="1"/>
      <sheetData sheetId="25" refreshError="1"/>
      <sheetData sheetId="26" refreshError="1"/>
      <sheetData sheetId="27" refreshError="1"/>
      <sheetData sheetId="28"/>
      <sheetData sheetId="29" refreshError="1"/>
      <sheetData sheetId="30" refreshError="1"/>
      <sheetData sheetId="31" refreshError="1"/>
      <sheetData sheetId="32" refreshError="1"/>
      <sheetData sheetId="3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 val="Report Title"/>
      <sheetName val="amazon.fr"/>
      <sheetName val="Display"/>
      <sheetName val="Transform"/>
      <sheetName val="Data"/>
      <sheetName val="Measure Guide"/>
    </sheetNames>
    <sheetDataSet>
      <sheetData sheetId="0"/>
      <sheetData sheetId="1" refreshError="1"/>
      <sheetData sheetId="2" refreshError="1"/>
      <sheetData sheetId="3" refreshError="1"/>
      <sheetData sheetId="4">
        <row r="2">
          <cell r="K2">
            <v>43</v>
          </cell>
        </row>
        <row r="3">
          <cell r="K3">
            <v>15</v>
          </cell>
        </row>
        <row r="4">
          <cell r="AE4">
            <v>5</v>
          </cell>
        </row>
        <row r="5">
          <cell r="J5">
            <v>57</v>
          </cell>
        </row>
        <row r="6">
          <cell r="J6" t="str">
            <v>Month</v>
          </cell>
          <cell r="K6" t="str">
            <v>Sum of Sales Index</v>
          </cell>
          <cell r="M6" t="str">
            <v>Sum of Dollars Per Buyer</v>
          </cell>
          <cell r="O6" t="str">
            <v>Sum of WW Buyer Conversion</v>
          </cell>
        </row>
        <row r="7">
          <cell r="J7">
            <v>37257</v>
          </cell>
          <cell r="K7">
            <v>100</v>
          </cell>
          <cell r="M7">
            <v>33.511780761641539</v>
          </cell>
          <cell r="O7">
            <v>5.5203763825705965E-2</v>
          </cell>
          <cell r="AE7" t="str">
            <v>1-800-flowers</v>
          </cell>
        </row>
      </sheetData>
      <sheetData sheetId="5"/>
      <sheetData sheetId="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ajor Issuer Data"/>
      <sheetName val="UniqueVisitorData"/>
      <sheetName val="VisitorCountsNEW"/>
      <sheetName val="By Major Issuer_2001"/>
      <sheetName val="By Major Issuer_2002"/>
      <sheetName val="Trended"/>
      <sheetName val="Demographic Report Q4 01"/>
      <sheetName val="Demographic Report Q1 02"/>
      <sheetName val="Demographic Report Q2 02"/>
      <sheetName val="Income Demographic Charts Q4 01"/>
      <sheetName val="Income Demographic Charts Q1 02"/>
      <sheetName val="Income Demographic Charts Q2 02"/>
      <sheetName val="Traffic Generators"/>
      <sheetName val="Amex Q2 Extended SOT"/>
    </sheetNames>
    <sheetDataSet>
      <sheetData sheetId="0">
        <row r="14">
          <cell r="G14" t="str">
            <v>Online Applications - Overview</v>
          </cell>
        </row>
        <row r="15">
          <cell r="G15" t="str">
            <v>Online Applications - By Major Issuer</v>
          </cell>
        </row>
        <row r="16">
          <cell r="G16" t="str">
            <v>Online Applications - Trended Share by Major Issuer</v>
          </cell>
        </row>
        <row r="17">
          <cell r="G17" t="str">
            <v>All Applicants - Demographics</v>
          </cell>
          <cell r="N17" t="str">
            <v xml:space="preserve"> </v>
          </cell>
        </row>
        <row r="18">
          <cell r="G18" t="str">
            <v>All Applicants - Web Interests</v>
          </cell>
        </row>
        <row r="19">
          <cell r="G19" t="str">
            <v>Consumer Segment - Demographics</v>
          </cell>
        </row>
        <row r="20">
          <cell r="G20" t="str">
            <v>Consumer Segment - Web Interests</v>
          </cell>
        </row>
        <row r="21">
          <cell r="G21" t="str">
            <v>Selected Card Site - Traffic Generators</v>
          </cell>
        </row>
        <row r="22">
          <cell r="G22" t="str">
            <v>Measure Guide</v>
          </cell>
        </row>
        <row r="24">
          <cell r="A24" t="str">
            <v xml:space="preserve">Copyright and Trademark 2001-2002, comScore Networks, Incorporated.  All Rights Reserved. </v>
          </cell>
        </row>
        <row r="26">
          <cell r="A26" t="str">
            <v>Version 5.0</v>
          </cell>
        </row>
        <row r="27">
          <cell r="A27" t="str">
            <v>Date: 5/3/2002</v>
          </cell>
        </row>
      </sheetData>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1"/>
      <sheetName val="Scenario"/>
      <sheetName val="Sheet1"/>
      <sheetName val="ImportantDisclosures"/>
      <sheetName val="IndexInformation"/>
      <sheetName val="Income"/>
      <sheetName val="GWP"/>
      <sheetName val="Income Statement"/>
      <sheetName val="Margins"/>
      <sheetName val="Euro vs. PM"/>
      <sheetName val="Ruble"/>
      <sheetName val="Comps"/>
      <sheetName val="Switches"/>
      <sheetName val="MS_IRI_Methodology"/>
      <sheetName val="MARKET_SHARE ($)_RAW_DATA"/>
      <sheetName val="NEXXUS_RAW_DATA"/>
      <sheetName val="HAIR_CARE_MARKET SHARE ROLL-UP"/>
      <sheetName val="TOTAL_ACV_DOLLAR_SALES"/>
      <sheetName val="SSB Nielsen Sales"/>
      <sheetName val="EBITDA"/>
      <sheetName val="TimeSeries"/>
      <sheetName val="Valuation Analyzer"/>
      <sheetName val="GWP-WLine"/>
      <sheetName val="TS_Stnd_Dev_Band"/>
      <sheetName val="Print "/>
      <sheetName val="Lookup"/>
      <sheetName val="Input"/>
      <sheetName val="99 cons YTD"/>
      <sheetName val="KPN"/>
      <sheetName val="B"/>
      <sheetName val="Ratios"/>
      <sheetName val="C"/>
      <sheetName val="SOP"/>
      <sheetName val="Realizations vs Average"/>
      <sheetName val="summary"/>
      <sheetName val="BBG"/>
      <sheetName val="Data2"/>
      <sheetName val="Val"/>
      <sheetName val="Mom"/>
      <sheetName val="Prod"/>
      <sheetName val="Pro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Quarterly"/>
      <sheetName val="Interims"/>
      <sheetName val="Acquisition"/>
      <sheetName val="PNL"/>
      <sheetName val="GS-PL"/>
      <sheetName val="Depreciation"/>
      <sheetName val="GS-CF"/>
      <sheetName val="CF"/>
      <sheetName val="Comps"/>
      <sheetName val="BS"/>
      <sheetName val="GS-BS"/>
      <sheetName val="DCF"/>
      <sheetName val="Acqn DCF"/>
      <sheetName val="GS-WACC"/>
      <sheetName val="GS-FCF"/>
      <sheetName val="GS-Con"/>
      <sheetName val="Company profile"/>
      <sheetName val="GS data"/>
      <sheetName val="F-data"/>
      <sheetName val="CROCI"/>
      <sheetName val="GEM"/>
      <sheetName val="Company profile back-up"/>
      <sheetName val="Variance"/>
      <sheetName val="Revision"/>
      <sheetName val="Costs"/>
      <sheetName val="Revenues"/>
      <sheetName val="Macau"/>
      <sheetName val="Capital Structure"/>
      <sheetName val="ANNUL  PRODUCTION"/>
      <sheetName val="output-dep"/>
      <sheetName val="output-5bk"/>
      <sheetName val="Output-LDR,LiquidReserves"/>
      <sheetName val="output-spread"/>
      <sheetName val="output-i"/>
      <sheetName val="Valuation"/>
    </sheetNames>
    <sheetDataSet>
      <sheetData sheetId="0"/>
      <sheetData sheetId="1"/>
      <sheetData sheetId="2"/>
      <sheetData sheetId="3"/>
      <sheetData sheetId="4"/>
      <sheetData sheetId="5"/>
      <sheetData sheetId="6"/>
      <sheetData sheetId="7"/>
      <sheetData sheetId="8"/>
      <sheetData sheetId="9"/>
      <sheetData sheetId="10"/>
      <sheetData sheetId="11" refreshError="1">
        <row r="21">
          <cell r="A21" t="str">
            <v>Enterprise value</v>
          </cell>
          <cell r="I21">
            <v>461519.74765369017</v>
          </cell>
          <cell r="J21">
            <v>55604.788873938567</v>
          </cell>
          <cell r="K21">
            <v>431937.9999727548</v>
          </cell>
        </row>
      </sheetData>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aluation"/>
      <sheetName val="RATIOS"/>
      <sheetName val="A_MODEL"/>
      <sheetName val="Q_MODEL"/>
      <sheetName val="CONNECT"/>
      <sheetName val="DATCENT"/>
      <sheetName val="PROFSVC"/>
      <sheetName val="WACC"/>
      <sheetName val="CASH"/>
      <sheetName val="DCF"/>
      <sheetName val="BS"/>
      <sheetName val="CAPEX"/>
      <sheetName val="IDC"/>
      <sheetName val="Revenue"/>
    </sheetNames>
    <sheetDataSet>
      <sheetData sheetId="0" refreshError="1"/>
      <sheetData sheetId="1" refreshError="1"/>
      <sheetData sheetId="2" refreshError="1"/>
      <sheetData sheetId="3" refreshError="1"/>
      <sheetData sheetId="4" refreshError="1"/>
      <sheetData sheetId="5" refreshError="1"/>
      <sheetData sheetId="6" refreshError="1">
        <row r="16">
          <cell r="A16" t="str">
            <v>Target gross margin (%)</v>
          </cell>
          <cell r="E16">
            <v>85</v>
          </cell>
          <cell r="F16">
            <v>85</v>
          </cell>
          <cell r="G16">
            <v>85</v>
          </cell>
          <cell r="H16">
            <v>85</v>
          </cell>
          <cell r="I16">
            <v>85</v>
          </cell>
          <cell r="J16">
            <v>80</v>
          </cell>
          <cell r="K16">
            <v>80</v>
          </cell>
          <cell r="L16">
            <v>80</v>
          </cell>
          <cell r="M16">
            <v>80</v>
          </cell>
          <cell r="N16">
            <v>75</v>
          </cell>
          <cell r="O16">
            <v>75</v>
          </cell>
          <cell r="P16">
            <v>75</v>
          </cell>
          <cell r="Q16">
            <v>75</v>
          </cell>
        </row>
        <row r="22">
          <cell r="A22" t="str">
            <v>Growth rates (%)</v>
          </cell>
        </row>
        <row r="23">
          <cell r="A23" t="str">
            <v>Professional services</v>
          </cell>
        </row>
        <row r="24">
          <cell r="A24" t="str">
            <v>Professional services conversion rate</v>
          </cell>
          <cell r="C24">
            <v>0</v>
          </cell>
          <cell r="D24">
            <v>0</v>
          </cell>
          <cell r="E24">
            <v>0</v>
          </cell>
          <cell r="F24">
            <v>30</v>
          </cell>
          <cell r="G24">
            <v>30</v>
          </cell>
          <cell r="H24">
            <v>30</v>
          </cell>
          <cell r="I24">
            <v>30</v>
          </cell>
          <cell r="J24">
            <v>15</v>
          </cell>
          <cell r="K24">
            <v>15</v>
          </cell>
          <cell r="L24">
            <v>15</v>
          </cell>
          <cell r="M24">
            <v>15</v>
          </cell>
          <cell r="N24">
            <v>0.15</v>
          </cell>
          <cell r="O24">
            <v>0.15</v>
          </cell>
          <cell r="P24">
            <v>0.15</v>
          </cell>
          <cell r="Q24">
            <v>0.15</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ajor Issuer Data"/>
      <sheetName val="UniqueVisitorData"/>
      <sheetName val="VisitorCountsNEW"/>
      <sheetName val="By Major Issuer_2001"/>
      <sheetName val="By Major Issuer_2002"/>
      <sheetName val="Trended"/>
      <sheetName val="Demographic Report Q4 01"/>
      <sheetName val="Demographic Report Q1 02"/>
      <sheetName val="Demographic Report Q2 02"/>
      <sheetName val="Income Demographic Charts Q4 01"/>
      <sheetName val="Income Demographic Charts Q1 02"/>
      <sheetName val="Income Demographic Charts Q2 02"/>
      <sheetName val="Traffic Generators"/>
      <sheetName val="Amex Q2 Extended SOT"/>
    </sheetNames>
    <sheetDataSet>
      <sheetData sheetId="0"/>
      <sheetData sheetId="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Module1"/>
      <sheetName val="Module2"/>
      <sheetName val="Chart1"/>
      <sheetName val="Data for price chart"/>
      <sheetName val="NOPAT_VDF"/>
      <sheetName val="Invested capital_VDF"/>
      <sheetName val="Operating Model"/>
      <sheetName val="HDF"/>
      <sheetName val="teo model"/>
      <sheetName val="Monthly figures"/>
      <sheetName val="NEW SUMMARY SHEET"/>
      <sheetName val="EuroAirlines"/>
      <sheetName val="Exchange"/>
      <sheetName val="Airlines"/>
    </sheetNames>
    <sheetDataSet>
      <sheetData sheetId="0" refreshError="1">
        <row r="1">
          <cell r="A1" t="str">
            <v>HNGKNGI(PI)</v>
          </cell>
          <cell r="B1" t="str">
            <v>HSI</v>
          </cell>
        </row>
        <row r="2">
          <cell r="A2" t="str">
            <v>HKHSCAC(PI)</v>
          </cell>
          <cell r="B2" t="str">
            <v>HSCCI</v>
          </cell>
        </row>
        <row r="3">
          <cell r="A3" t="str">
            <v>HKHSCEI(PI)</v>
          </cell>
          <cell r="B3" t="str">
            <v>HSCEI</v>
          </cell>
        </row>
        <row r="4">
          <cell r="A4" t="str">
            <v>IBOMSEN(PI)</v>
          </cell>
          <cell r="B4" t="str">
            <v>BSE-30</v>
          </cell>
        </row>
        <row r="5">
          <cell r="A5" t="str">
            <v>JAKCOMP(PI)</v>
          </cell>
          <cell r="B5" t="str">
            <v>JCI</v>
          </cell>
        </row>
        <row r="6">
          <cell r="A6" t="str">
            <v>MANCOMP(PI)</v>
          </cell>
          <cell r="B6" t="str">
            <v>PCI</v>
          </cell>
        </row>
        <row r="7">
          <cell r="A7" t="str">
            <v>SNDBS50(PI)</v>
          </cell>
          <cell r="B7" t="str">
            <v>DBS-50</v>
          </cell>
        </row>
        <row r="8">
          <cell r="A8" t="str">
            <v>KORCOMP(PI)</v>
          </cell>
          <cell r="B8" t="str">
            <v>KOSPI</v>
          </cell>
        </row>
        <row r="9">
          <cell r="A9" t="str">
            <v>TAIWGHT(PI)</v>
          </cell>
          <cell r="B9" t="str">
            <v>TWI</v>
          </cell>
        </row>
        <row r="10">
          <cell r="A10" t="str">
            <v>BNGKSET(PI)</v>
          </cell>
          <cell r="B10" t="str">
            <v>SET</v>
          </cell>
        </row>
        <row r="11">
          <cell r="A11" t="str">
            <v>AUSTALL(PI)</v>
          </cell>
          <cell r="B11" t="str">
            <v>AOI</v>
          </cell>
        </row>
        <row r="12">
          <cell r="A12" t="str">
            <v>JAPNK50(PI)</v>
          </cell>
          <cell r="B12" t="str">
            <v>Nikkei</v>
          </cell>
        </row>
        <row r="13">
          <cell r="A13" t="str">
            <v>KLPCOMP(PI)</v>
          </cell>
          <cell r="B13" t="str">
            <v>KLCI</v>
          </cell>
        </row>
        <row r="14">
          <cell r="A14" t="str">
            <v>NZ40CAP(PI)</v>
          </cell>
          <cell r="B14" t="str">
            <v>NZ-40</v>
          </cell>
        </row>
        <row r="15">
          <cell r="A15" t="str">
            <v>NASCOMP(PI)</v>
          </cell>
          <cell r="B15" t="str">
            <v>Nasdaq</v>
          </cell>
        </row>
      </sheetData>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HH"/>
      <sheetName val="Dem-Indiv"/>
      <sheetName val="Output"/>
      <sheetName val="Tables"/>
      <sheetName val="Rev sum"/>
      <sheetName val="chem"/>
      <sheetName val="row"/>
      <sheetName val="NAf, MEast"/>
      <sheetName val="chems"/>
      <sheetName val="LPG"/>
      <sheetName val="projections"/>
      <sheetName val="r&amp;m"/>
      <sheetName val="group E&amp;P"/>
      <sheetName val="LatAm"/>
      <sheetName val="debt"/>
      <sheetName val="GAS"/>
      <sheetName val="WIRE"/>
      <sheetName val="AssetListing for Upload"/>
      <sheetName val="AR1-F20"/>
      <sheetName val="Model"/>
    </sheetNames>
    <sheetDataSet>
      <sheetData sheetId="0" refreshError="1">
        <row r="13">
          <cell r="I13">
            <v>36.4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ontrol Sheet"/>
      <sheetName val="IS Output"/>
      <sheetName val="Rev Breakdown"/>
      <sheetName val="COGS Breakdown"/>
      <sheetName val="S&amp;M Breakdown"/>
      <sheetName val="G&amp;A Breakdown"/>
      <sheetName val="Income Statement"/>
      <sheetName val="Module1"/>
      <sheetName val="Balance Sheet"/>
      <sheetName val="Cash Flow"/>
      <sheetName val="Revenue Buildup"/>
      <sheetName val="COGS &amp; OPEX"/>
      <sheetName val="Drivers"/>
      <sheetName val="Key Operating Data (USD)"/>
      <sheetName val="Key Operating Data (RMB)"/>
      <sheetName val="Time Slot Data"/>
      <sheetName val="CAPEEX"/>
      <sheetName val="Summary"/>
      <sheetName val="Hist. PL(Quarter-US$)"/>
      <sheetName val="Hist. PL(Quarter-RMB)"/>
      <sheetName val="PL(07Q1-Q2)"/>
      <sheetName val="BS(07.9.14)"/>
      <sheetName val="BS(US$)"/>
      <sheetName val="BS(RMB)"/>
      <sheetName val="PrintManagerCode"/>
      <sheetName val="Co B"/>
      <sheetName val="AdditionalPrintCode"/>
      <sheetName val="MainPrintCode"/>
      <sheetName val="Template"/>
      <sheetName val="Key Operating Data (U)"/>
      <sheetName val="Key Operating Data (US)"/>
    </sheetNames>
    <sheetDataSet>
      <sheetData sheetId="0"/>
      <sheetData sheetId="1" refreshError="1">
        <row r="3">
          <cell r="D3">
            <v>8.0815264387137447</v>
          </cell>
        </row>
        <row r="4">
          <cell r="D4">
            <v>7.9609594548334961</v>
          </cell>
        </row>
        <row r="5">
          <cell r="D5">
            <v>7.7036260968037604</v>
          </cell>
        </row>
        <row r="6">
          <cell r="D6">
            <v>7.6522218226061938</v>
          </cell>
        </row>
      </sheetData>
      <sheetData sheetId="2"/>
      <sheetData sheetId="3"/>
      <sheetData sheetId="4"/>
      <sheetData sheetId="5"/>
      <sheetData sheetId="6"/>
      <sheetData sheetId="7"/>
      <sheetData sheetId="8" refreshError="1"/>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efreshError="1"/>
      <sheetData sheetId="26"/>
      <sheetData sheetId="27" refreshError="1"/>
      <sheetData sheetId="28" refreshError="1"/>
      <sheetData sheetId="29"/>
      <sheetData sheetId="30" refreshError="1"/>
      <sheetData sheetId="31" refreshError="1"/>
    </sheetDataSet>
  </externalBook>
</externalLink>
</file>

<file path=xl/theme/theme1.xml><?xml version="1.0" encoding="utf-8"?>
<a:theme xmlns:a="http://schemas.openxmlformats.org/drawingml/2006/main" name="XP Theme Colors">
  <a:themeElements>
    <a:clrScheme name="Research">
      <a:dk1>
        <a:sysClr val="windowText" lastClr="000000"/>
      </a:dk1>
      <a:lt1>
        <a:sysClr val="window" lastClr="FFFFFF"/>
      </a:lt1>
      <a:dk2>
        <a:srgbClr val="003366"/>
      </a:dk2>
      <a:lt2>
        <a:srgbClr val="C6D9E2"/>
      </a:lt2>
      <a:accent1>
        <a:srgbClr val="137CB1"/>
      </a:accent1>
      <a:accent2>
        <a:srgbClr val="EACC80"/>
      </a:accent2>
      <a:accent3>
        <a:srgbClr val="4AAC6B"/>
      </a:accent3>
      <a:accent4>
        <a:srgbClr val="A8D7E2"/>
      </a:accent4>
      <a:accent5>
        <a:srgbClr val="E58061"/>
      </a:accent5>
      <a:accent6>
        <a:srgbClr val="BCE3A1"/>
      </a:accent6>
      <a:hlink>
        <a:srgbClr val="0000FF"/>
      </a:hlink>
      <a:folHlink>
        <a:srgbClr val="800080"/>
      </a:folHlink>
    </a:clrScheme>
    <a:fontScheme name="Office Classic 2">
      <a:maj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quity">
      <a:fillStyleLst>
        <a:solidFill>
          <a:schemeClr val="phClr"/>
        </a:solidFill>
        <a:blipFill>
          <a:blip xmlns:r="http://schemas.openxmlformats.org/officeDocument/2006/relationships">
            <a:duotone>
              <a:schemeClr val="phClr">
                <a:tint val="30000"/>
                <a:satMod val="300000"/>
              </a:schemeClr>
              <a:schemeClr val="phClr">
                <a:tint val="40000"/>
                <a:satMod val="200000"/>
              </a:schemeClr>
            </a:duotone>
          </a:blip>
          <a:tile tx="0" ty="0" sx="70000" sy="70000" flip="none" algn="ctr"/>
        </a:blipFill>
        <a:blipFill>
          <a:blip xmlns:r="http://schemas.openxmlformats.org/officeDocument/2006/relationships">
            <a:duotone>
              <a:schemeClr val="phClr">
                <a:shade val="22000"/>
                <a:satMod val="160000"/>
              </a:schemeClr>
              <a:schemeClr val="phClr">
                <a:shade val="45000"/>
                <a:satMod val="100000"/>
              </a:schemeClr>
            </a:duotone>
          </a:blip>
          <a:tile tx="0" ty="0" sx="65000" sy="65000" flip="none" algn="ctr"/>
        </a:blipFill>
      </a:fillStyleLst>
      <a:lnStyleLst>
        <a:ln w="9525" cap="flat" cmpd="sng" algn="ctr">
          <a:solidFill>
            <a:schemeClr val="phClr">
              <a:shade val="60000"/>
              <a:satMod val="110000"/>
            </a:schemeClr>
          </a:solidFill>
          <a:prstDash val="solid"/>
        </a:ln>
        <a:ln w="127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algn="t" rotWithShape="0">
              <a:srgbClr val="000000">
                <a:alpha val="50000"/>
              </a:srgbClr>
            </a:outerShdw>
          </a:effectLst>
        </a:effectStyle>
        <a:effectStyle>
          <a:effectLst>
            <a:outerShdw blurRad="38100" dist="25400" dir="5400000" algn="t" rotWithShape="0">
              <a:srgbClr val="000000">
                <a:alpha val="50000"/>
              </a:srgbClr>
            </a:outerShdw>
          </a:effectLst>
        </a:effectStyle>
        <a:effectStyle>
          <a:effectLst>
            <a:outerShdw blurRad="50800" dist="50800" dir="5400000" algn="t" rotWithShape="0">
              <a:srgbClr val="000000">
                <a:alpha val="60000"/>
              </a:srgbClr>
            </a:outerShdw>
          </a:effectLst>
          <a:scene3d>
            <a:camera prst="isometricBottomUp" fov="0">
              <a:rot lat="0" lon="0" rev="0"/>
            </a:camera>
            <a:lightRig rig="soft" dir="b">
              <a:rot lat="0" lon="0" rev="9000000"/>
            </a:lightRig>
          </a:scene3d>
          <a:sp3d contourW="35000" prstMaterial="matte">
            <a:bevelT w="45000" h="38100" prst="convex"/>
            <a:contourClr>
              <a:schemeClr val="phClr">
                <a:tint val="10000"/>
                <a:satMod val="130000"/>
              </a:schemeClr>
            </a:contourClr>
          </a:sp3d>
        </a:effectStyle>
      </a:effectStyleLst>
      <a:bgFillStyleLst>
        <a:solidFill>
          <a:schemeClr val="phClr"/>
        </a:solidFill>
        <a:gradFill rotWithShape="1">
          <a:gsLst>
            <a:gs pos="0">
              <a:schemeClr val="phClr">
                <a:shade val="40000"/>
                <a:satMod val="165000"/>
              </a:schemeClr>
            </a:gs>
            <a:gs pos="50000">
              <a:schemeClr val="phClr">
                <a:shade val="80000"/>
                <a:satMod val="155000"/>
              </a:schemeClr>
            </a:gs>
            <a:gs pos="100000">
              <a:schemeClr val="phClr">
                <a:tint val="95000"/>
                <a:satMod val="200000"/>
              </a:schemeClr>
            </a:gs>
          </a:gsLst>
          <a:lin ang="16200000" scaled="1"/>
        </a:gradFill>
        <a:blipFill>
          <a:blip xmlns:r="http://schemas.openxmlformats.org/officeDocument/2006/relationships">
            <a:duotone>
              <a:schemeClr val="phClr">
                <a:tint val="95000"/>
                <a:satMod val="200000"/>
              </a:schemeClr>
              <a:schemeClr val="phClr">
                <a:shade val="80000"/>
                <a:satMod val="100000"/>
              </a:schemeClr>
            </a:duotone>
          </a:blip>
          <a:tile tx="0" ty="0" sx="55000" sy="55000" flip="none" algn="tl"/>
        </a:blip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drawing1.xml" Type="http://schemas.openxmlformats.org/officeDocument/2006/relationships/drawing"/>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trlProps/ctrlProp4.xml" Type="http://schemas.openxmlformats.org/officeDocument/2006/relationships/ctrlProp"/>
<Relationship Id="rId8" Target="../ctrlProps/ctrlProp5.xml" Type="http://schemas.openxmlformats.org/officeDocument/2006/relationships/ctrlProp"/>
<Relationship Id="rId9" Target="../comments2.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2" Target="../drawings/drawing3.xml" Type="http://schemas.openxmlformats.org/officeDocument/2006/relationships/drawing"/>
<Relationship Id="rId3" Target="../drawings/vmlDrawing3.vml" Type="http://schemas.openxmlformats.org/officeDocument/2006/relationships/vmlDrawing"/>
<Relationship Id="rId4" Target="../ctrlProps/ctrlProp6.xml" Type="http://schemas.openxmlformats.org/officeDocument/2006/relationships/ctrlProp"/>
<Relationship Id="rId5" Target="../ctrlProps/ctrlProp7.xml" Type="http://schemas.openxmlformats.org/officeDocument/2006/relationships/ctrlProp"/>
<Relationship Id="rId6" Target="../comments3.xml" Type="http://schemas.openxmlformats.org/officeDocument/2006/relationships/comment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 Id="rId2" Target="../drawings/drawing4.xml" Type="http://schemas.openxmlformats.org/officeDocument/2006/relationships/drawing"/>
<Relationship Id="rId3" Target="../drawings/vmlDrawing4.vml" Type="http://schemas.openxmlformats.org/officeDocument/2006/relationships/vmlDrawing"/>
<Relationship Id="rId4" Target="../ctrlProps/ctrlProp8.xml" Type="http://schemas.openxmlformats.org/officeDocument/2006/relationships/ctrlProp"/>
<Relationship Id="rId5" Target="../comments4.xml" Type="http://schemas.openxmlformats.org/officeDocument/2006/relationships/comment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412"/>
  <sheetViews>
    <sheetView showGridLines="0" tabSelected="1" workbookViewId="0">
      <selection activeCell="Z1" sqref="Z1"/>
    </sheetView>
  </sheetViews>
  <sheetFormatPr defaultRowHeight="12.75"/>
  <cols>
    <col min="1" max="1" width="25.7109375" style="1597" customWidth="1"/>
    <col min="2" max="5" width="9.140625" style="1597"/>
    <col min="6" max="6" width="18.7109375" style="1597" customWidth="1"/>
    <col min="7" max="256" width="9.140625" style="1597"/>
    <col min="257" max="257" width="100.7109375" style="1597" customWidth="1"/>
    <col min="258" max="512" width="9.140625" style="1597"/>
    <col min="513" max="513" width="100.7109375" style="1597" customWidth="1"/>
    <col min="514" max="768" width="9.140625" style="1597"/>
    <col min="769" max="769" width="100.7109375" style="1597" customWidth="1"/>
    <col min="770" max="1024" width="9.140625" style="1597"/>
    <col min="1025" max="1025" width="100.7109375" style="1597" customWidth="1"/>
    <col min="1026" max="1280" width="9.140625" style="1597"/>
    <col min="1281" max="1281" width="100.7109375" style="1597" customWidth="1"/>
    <col min="1282" max="1536" width="9.140625" style="1597"/>
    <col min="1537" max="1537" width="100.7109375" style="1597" customWidth="1"/>
    <col min="1538" max="1792" width="9.140625" style="1597"/>
    <col min="1793" max="1793" width="100.7109375" style="1597" customWidth="1"/>
    <col min="1794" max="2048" width="9.140625" style="1597"/>
    <col min="2049" max="2049" width="100.7109375" style="1597" customWidth="1"/>
    <col min="2050" max="2304" width="9.140625" style="1597"/>
    <col min="2305" max="2305" width="100.7109375" style="1597" customWidth="1"/>
    <col min="2306" max="2560" width="9.140625" style="1597"/>
    <col min="2561" max="2561" width="100.7109375" style="1597" customWidth="1"/>
    <col min="2562" max="2816" width="9.140625" style="1597"/>
    <col min="2817" max="2817" width="100.7109375" style="1597" customWidth="1"/>
    <col min="2818" max="3072" width="9.140625" style="1597"/>
    <col min="3073" max="3073" width="100.7109375" style="1597" customWidth="1"/>
    <col min="3074" max="3328" width="9.140625" style="1597"/>
    <col min="3329" max="3329" width="100.7109375" style="1597" customWidth="1"/>
    <col min="3330" max="3584" width="9.140625" style="1597"/>
    <col min="3585" max="3585" width="100.7109375" style="1597" customWidth="1"/>
    <col min="3586" max="3840" width="9.140625" style="1597"/>
    <col min="3841" max="3841" width="100.7109375" style="1597" customWidth="1"/>
    <col min="3842" max="4096" width="9.140625" style="1597"/>
    <col min="4097" max="4097" width="100.7109375" style="1597" customWidth="1"/>
    <col min="4098" max="4352" width="9.140625" style="1597"/>
    <col min="4353" max="4353" width="100.7109375" style="1597" customWidth="1"/>
    <col min="4354" max="4608" width="9.140625" style="1597"/>
    <col min="4609" max="4609" width="100.7109375" style="1597" customWidth="1"/>
    <col min="4610" max="4864" width="9.140625" style="1597"/>
    <col min="4865" max="4865" width="100.7109375" style="1597" customWidth="1"/>
    <col min="4866" max="5120" width="9.140625" style="1597"/>
    <col min="5121" max="5121" width="100.7109375" style="1597" customWidth="1"/>
    <col min="5122" max="5376" width="9.140625" style="1597"/>
    <col min="5377" max="5377" width="100.7109375" style="1597" customWidth="1"/>
    <col min="5378" max="5632" width="9.140625" style="1597"/>
    <col min="5633" max="5633" width="100.7109375" style="1597" customWidth="1"/>
    <col min="5634" max="5888" width="9.140625" style="1597"/>
    <col min="5889" max="5889" width="100.7109375" style="1597" customWidth="1"/>
    <col min="5890" max="6144" width="9.140625" style="1597"/>
    <col min="6145" max="6145" width="100.7109375" style="1597" customWidth="1"/>
    <col min="6146" max="6400" width="9.140625" style="1597"/>
    <col min="6401" max="6401" width="100.7109375" style="1597" customWidth="1"/>
    <col min="6402" max="6656" width="9.140625" style="1597"/>
    <col min="6657" max="6657" width="100.7109375" style="1597" customWidth="1"/>
    <col min="6658" max="6912" width="9.140625" style="1597"/>
    <col min="6913" max="6913" width="100.7109375" style="1597" customWidth="1"/>
    <col min="6914" max="7168" width="9.140625" style="1597"/>
    <col min="7169" max="7169" width="100.7109375" style="1597" customWidth="1"/>
    <col min="7170" max="7424" width="9.140625" style="1597"/>
    <col min="7425" max="7425" width="100.7109375" style="1597" customWidth="1"/>
    <col min="7426" max="7680" width="9.140625" style="1597"/>
    <col min="7681" max="7681" width="100.7109375" style="1597" customWidth="1"/>
    <col min="7682" max="7936" width="9.140625" style="1597"/>
    <col min="7937" max="7937" width="100.7109375" style="1597" customWidth="1"/>
    <col min="7938" max="8192" width="9.140625" style="1597"/>
    <col min="8193" max="8193" width="100.7109375" style="1597" customWidth="1"/>
    <col min="8194" max="8448" width="9.140625" style="1597"/>
    <col min="8449" max="8449" width="100.7109375" style="1597" customWidth="1"/>
    <col min="8450" max="8704" width="9.140625" style="1597"/>
    <col min="8705" max="8705" width="100.7109375" style="1597" customWidth="1"/>
    <col min="8706" max="8960" width="9.140625" style="1597"/>
    <col min="8961" max="8961" width="100.7109375" style="1597" customWidth="1"/>
    <col min="8962" max="9216" width="9.140625" style="1597"/>
    <col min="9217" max="9217" width="100.7109375" style="1597" customWidth="1"/>
    <col min="9218" max="9472" width="9.140625" style="1597"/>
    <col min="9473" max="9473" width="100.7109375" style="1597" customWidth="1"/>
    <col min="9474" max="9728" width="9.140625" style="1597"/>
    <col min="9729" max="9729" width="100.7109375" style="1597" customWidth="1"/>
    <col min="9730" max="9984" width="9.140625" style="1597"/>
    <col min="9985" max="9985" width="100.7109375" style="1597" customWidth="1"/>
    <col min="9986" max="10240" width="9.140625" style="1597"/>
    <col min="10241" max="10241" width="100.7109375" style="1597" customWidth="1"/>
    <col min="10242" max="10496" width="9.140625" style="1597"/>
    <col min="10497" max="10497" width="100.7109375" style="1597" customWidth="1"/>
    <col min="10498" max="10752" width="9.140625" style="1597"/>
    <col min="10753" max="10753" width="100.7109375" style="1597" customWidth="1"/>
    <col min="10754" max="11008" width="9.140625" style="1597"/>
    <col min="11009" max="11009" width="100.7109375" style="1597" customWidth="1"/>
    <col min="11010" max="11264" width="9.140625" style="1597"/>
    <col min="11265" max="11265" width="100.7109375" style="1597" customWidth="1"/>
    <col min="11266" max="11520" width="9.140625" style="1597"/>
    <col min="11521" max="11521" width="100.7109375" style="1597" customWidth="1"/>
    <col min="11522" max="11776" width="9.140625" style="1597"/>
    <col min="11777" max="11777" width="100.7109375" style="1597" customWidth="1"/>
    <col min="11778" max="12032" width="9.140625" style="1597"/>
    <col min="12033" max="12033" width="100.7109375" style="1597" customWidth="1"/>
    <col min="12034" max="12288" width="9.140625" style="1597"/>
    <col min="12289" max="12289" width="100.7109375" style="1597" customWidth="1"/>
    <col min="12290" max="12544" width="9.140625" style="1597"/>
    <col min="12545" max="12545" width="100.7109375" style="1597" customWidth="1"/>
    <col min="12546" max="12800" width="9.140625" style="1597"/>
    <col min="12801" max="12801" width="100.7109375" style="1597" customWidth="1"/>
    <col min="12802" max="13056" width="9.140625" style="1597"/>
    <col min="13057" max="13057" width="100.7109375" style="1597" customWidth="1"/>
    <col min="13058" max="13312" width="9.140625" style="1597"/>
    <col min="13313" max="13313" width="100.7109375" style="1597" customWidth="1"/>
    <col min="13314" max="13568" width="9.140625" style="1597"/>
    <col min="13569" max="13569" width="100.7109375" style="1597" customWidth="1"/>
    <col min="13570" max="13824" width="9.140625" style="1597"/>
    <col min="13825" max="13825" width="100.7109375" style="1597" customWidth="1"/>
    <col min="13826" max="14080" width="9.140625" style="1597"/>
    <col min="14081" max="14081" width="100.7109375" style="1597" customWidth="1"/>
    <col min="14082" max="14336" width="9.140625" style="1597"/>
    <col min="14337" max="14337" width="100.7109375" style="1597" customWidth="1"/>
    <col min="14338" max="14592" width="9.140625" style="1597"/>
    <col min="14593" max="14593" width="100.7109375" style="1597" customWidth="1"/>
    <col min="14594" max="14848" width="9.140625" style="1597"/>
    <col min="14849" max="14849" width="100.7109375" style="1597" customWidth="1"/>
    <col min="14850" max="15104" width="9.140625" style="1597"/>
    <col min="15105" max="15105" width="100.7109375" style="1597" customWidth="1"/>
    <col min="15106" max="15360" width="9.140625" style="1597"/>
    <col min="15361" max="15361" width="100.7109375" style="1597" customWidth="1"/>
    <col min="15362" max="15616" width="9.140625" style="1597"/>
    <col min="15617" max="15617" width="100.7109375" style="1597" customWidth="1"/>
    <col min="15618" max="15872" width="9.140625" style="1597"/>
    <col min="15873" max="15873" width="100.7109375" style="1597" customWidth="1"/>
    <col min="15874" max="16128" width="9.140625" style="1597"/>
    <col min="16129" max="16129" width="100.7109375" style="1597" customWidth="1"/>
    <col min="16130" max="16384" width="9.140625" style="1597"/>
  </cols>
  <sheetData>
    <row r="1" spans="1:8" ht="30" customHeight="1">
      <c r="A1" s="1595"/>
      <c r="B1" s="1596"/>
      <c r="C1" s="1596"/>
      <c r="D1" s="1596"/>
      <c r="E1" s="1596"/>
      <c r="F1" s="1596"/>
      <c r="G1" s="1596"/>
      <c r="H1" s="1596"/>
    </row>
    <row r="2" spans="1:8" ht="14.25">
      <c r="A2" s="1598" t="s">
        <v>900</v>
      </c>
      <c r="B2" s="1596"/>
      <c r="C2" s="1596"/>
      <c r="D2" s="1596"/>
      <c r="E2" s="1596"/>
      <c r="F2" s="1596"/>
      <c r="G2" s="1596"/>
      <c r="H2" s="1596"/>
    </row>
    <row r="3" spans="1:8" ht="14.25">
      <c r="A3" s="1598" t="s">
        <v>901</v>
      </c>
      <c r="B3" s="1596"/>
      <c r="C3" s="1596"/>
      <c r="D3" s="1596"/>
      <c r="E3" s="1596"/>
      <c r="F3" s="1596"/>
      <c r="G3" s="1596"/>
      <c r="H3" s="1596"/>
    </row>
    <row r="4" spans="1:8" ht="14.25">
      <c r="A4" s="1598" t="s">
        <v>794</v>
      </c>
      <c r="B4" s="1596"/>
      <c r="C4" s="1596"/>
      <c r="D4" s="1596"/>
      <c r="E4" s="1596"/>
      <c r="F4" s="1596"/>
      <c r="G4" s="1596"/>
      <c r="H4" s="1596"/>
    </row>
    <row r="5" spans="1:8" ht="14.25">
      <c r="A5" s="1598" t="s">
        <v>902</v>
      </c>
      <c r="B5" s="1596"/>
      <c r="C5" s="1596"/>
      <c r="D5" s="1596"/>
      <c r="E5" s="1596"/>
      <c r="F5" s="1596"/>
      <c r="G5" s="1596"/>
      <c r="H5" s="1596"/>
    </row>
    <row r="6" spans="1:8" ht="14.25">
      <c r="A6" s="1598"/>
      <c r="B6" s="1596"/>
      <c r="C6" s="1596"/>
      <c r="D6" s="1596"/>
      <c r="E6" s="1596"/>
      <c r="F6" s="1596"/>
      <c r="G6" s="1596"/>
      <c r="H6" s="1596"/>
    </row>
    <row r="7" spans="1:8">
      <c r="A7" s="1595" t="s">
        <v>903</v>
      </c>
      <c r="B7" s="1596"/>
      <c r="C7" s="1596"/>
      <c r="D7" s="1596"/>
      <c r="E7" s="1596"/>
      <c r="F7" s="1596"/>
      <c r="G7" s="1596"/>
      <c r="H7" s="1596"/>
    </row>
    <row r="8" spans="1:8">
      <c r="A8" s="1595" t="s">
        <v>904</v>
      </c>
      <c r="B8" s="1596"/>
      <c r="C8" s="1596"/>
      <c r="D8" s="1596"/>
      <c r="E8" s="1596"/>
      <c r="F8" s="1596"/>
      <c r="G8" s="1596"/>
      <c r="H8" s="1596"/>
    </row>
    <row r="9" spans="1:8">
      <c r="A9" s="1595"/>
      <c r="B9" s="1596"/>
      <c r="C9" s="1596"/>
      <c r="D9" s="1596"/>
      <c r="E9" s="1596"/>
      <c r="F9" s="1596"/>
      <c r="G9" s="1596"/>
      <c r="H9" s="1596"/>
    </row>
    <row r="10" spans="1:8">
      <c r="A10" s="1599" t="s">
        <v>905</v>
      </c>
      <c r="B10" s="1596"/>
      <c r="C10" s="1596"/>
      <c r="D10" s="1596"/>
      <c r="E10" s="1596"/>
      <c r="F10" s="1596"/>
      <c r="G10" s="1596"/>
      <c r="H10" s="1596"/>
    </row>
    <row r="11" spans="1:8">
      <c r="A11" s="1599" t="s">
        <v>906</v>
      </c>
      <c r="B11" s="1596"/>
      <c r="C11" s="1596"/>
      <c r="D11" s="1596"/>
      <c r="E11" s="1596"/>
      <c r="F11" s="1596"/>
      <c r="G11" s="1596"/>
      <c r="H11" s="1596"/>
    </row>
    <row r="12" spans="1:8">
      <c r="A12" s="1599" t="s">
        <v>907</v>
      </c>
      <c r="B12" s="1596"/>
      <c r="C12" s="1596"/>
      <c r="D12" s="1596"/>
      <c r="E12" s="1596"/>
      <c r="F12" s="1596"/>
      <c r="G12" s="1596"/>
      <c r="H12" s="1596"/>
    </row>
    <row r="13" spans="1:8">
      <c r="A13" s="1599" t="s">
        <v>908</v>
      </c>
      <c r="B13" s="1596"/>
      <c r="C13" s="1596"/>
      <c r="D13" s="1596"/>
      <c r="E13" s="1596"/>
      <c r="F13" s="1596"/>
      <c r="G13" s="1596"/>
      <c r="H13" s="1596"/>
    </row>
    <row r="14" spans="1:8">
      <c r="A14" s="1599" t="s">
        <v>909</v>
      </c>
      <c r="B14" s="1596"/>
      <c r="C14" s="1596"/>
      <c r="D14" s="1596"/>
      <c r="E14" s="1596"/>
      <c r="F14" s="1596"/>
      <c r="G14" s="1596"/>
      <c r="H14" s="1596"/>
    </row>
    <row r="15" spans="1:8">
      <c r="A15" s="1599" t="s">
        <v>910</v>
      </c>
      <c r="B15" s="1596"/>
      <c r="C15" s="1596"/>
      <c r="D15" s="1596"/>
      <c r="E15" s="1596"/>
      <c r="F15" s="1596"/>
      <c r="G15" s="1596"/>
      <c r="H15" s="1596"/>
    </row>
    <row r="16" spans="1:8">
      <c r="A16" s="1599"/>
      <c r="B16" s="1596"/>
      <c r="C16" s="1596"/>
      <c r="D16" s="1596"/>
      <c r="E16" s="1596"/>
      <c r="F16" s="1596"/>
      <c r="G16" s="1596"/>
      <c r="H16" s="1596"/>
    </row>
    <row r="17" spans="1:8">
      <c r="A17" s="1599" t="s">
        <v>897</v>
      </c>
      <c r="B17" s="1596"/>
      <c r="C17" s="1596"/>
      <c r="D17" s="1596"/>
      <c r="E17" s="1596"/>
      <c r="F17" s="1596"/>
      <c r="G17" s="1596"/>
      <c r="H17" s="1596"/>
    </row>
    <row r="18" spans="1:8">
      <c r="A18" s="1599"/>
      <c r="B18" s="1596"/>
      <c r="C18" s="1596"/>
      <c r="D18" s="1596"/>
      <c r="E18" s="1596"/>
      <c r="F18" s="1596"/>
      <c r="G18" s="1596"/>
      <c r="H18" s="1596"/>
    </row>
    <row r="19" spans="1:8">
      <c r="A19" s="1599" t="s">
        <v>898</v>
      </c>
      <c r="B19" s="1596"/>
      <c r="C19" s="1596"/>
      <c r="D19" s="1596"/>
      <c r="E19" s="1596"/>
      <c r="F19" s="1596"/>
      <c r="G19" s="1596"/>
      <c r="H19" s="1596"/>
    </row>
    <row r="20" spans="1:8">
      <c r="A20" s="1595"/>
      <c r="B20" s="1596"/>
      <c r="C20" s="1596"/>
      <c r="D20" s="1596"/>
      <c r="E20" s="1596"/>
      <c r="F20" s="1596"/>
      <c r="G20" s="1596"/>
      <c r="H20" s="1596"/>
    </row>
    <row r="21" spans="1:8">
      <c r="A21" s="1600" t="s">
        <v>899</v>
      </c>
      <c r="B21" s="1596"/>
      <c r="C21" s="1596"/>
      <c r="D21" s="1596"/>
      <c r="E21" s="1596"/>
      <c r="F21" s="1596"/>
      <c r="G21" s="1596"/>
      <c r="H21" s="1596"/>
    </row>
    <row r="22" spans="1:8">
      <c r="A22" s="1601"/>
      <c r="B22" s="1601"/>
      <c r="C22" s="1601"/>
      <c r="D22" s="1601"/>
      <c r="E22" s="1601"/>
      <c r="F22" s="1601"/>
      <c r="G22" s="1601"/>
      <c r="H22" s="1601"/>
    </row>
    <row r="23" spans="1:8">
      <c r="A23" s="1602" t="s">
        <v>1207</v>
      </c>
      <c r="B23" s="1601"/>
      <c r="C23" s="1601"/>
      <c r="D23" s="1601"/>
      <c r="E23" s="1601"/>
      <c r="F23" s="1601"/>
      <c r="G23" s="1601"/>
      <c r="H23" s="1601"/>
    </row>
    <row r="24" spans="1:8">
      <c r="A24" s="1602" t="s">
        <v>1208</v>
      </c>
      <c r="B24" s="1601"/>
      <c r="C24" s="1601"/>
      <c r="D24" s="1601"/>
      <c r="E24" s="1601"/>
      <c r="F24" s="1601"/>
      <c r="G24" s="1601"/>
      <c r="H24" s="1601"/>
    </row>
    <row r="25" spans="1:8">
      <c r="A25" s="1602" t="s">
        <v>1209</v>
      </c>
      <c r="B25" s="1601"/>
      <c r="C25" s="1601"/>
      <c r="D25" s="1601"/>
      <c r="E25" s="1601"/>
      <c r="F25" s="1601"/>
      <c r="G25" s="1601"/>
      <c r="H25" s="1601"/>
    </row>
    <row r="26" spans="1:8">
      <c r="A26" s="1602" t="s">
        <v>1210</v>
      </c>
      <c r="B26" s="1601"/>
      <c r="C26" s="1601"/>
      <c r="D26" s="1601"/>
      <c r="E26" s="1601"/>
      <c r="F26" s="1601"/>
      <c r="G26" s="1601"/>
      <c r="H26" s="1601"/>
    </row>
    <row r="27" spans="1:8">
      <c r="A27" s="1601"/>
      <c r="B27" s="1601"/>
      <c r="C27" s="1601"/>
      <c r="D27" s="1601"/>
      <c r="E27" s="1601"/>
      <c r="F27" s="1601"/>
      <c r="G27" s="1601"/>
      <c r="H27" s="1601"/>
    </row>
    <row r="28" spans="1:8">
      <c r="A28" s="1601"/>
      <c r="B28" s="1601"/>
      <c r="C28" s="1601"/>
      <c r="D28" s="1601"/>
      <c r="E28" s="1601"/>
      <c r="F28" s="1601"/>
      <c r="G28" s="1601"/>
      <c r="H28" s="1601"/>
    </row>
    <row r="29" spans="1:8">
      <c r="A29" s="1602" t="s">
        <v>1190</v>
      </c>
      <c r="B29" s="1601"/>
      <c r="C29" s="1601"/>
      <c r="D29" s="1601"/>
      <c r="E29" s="1601"/>
      <c r="F29" s="1601"/>
      <c r="G29" s="1601"/>
      <c r="H29" s="1601"/>
    </row>
    <row r="30" spans="1:8">
      <c r="A30" s="1602" t="s">
        <v>1191</v>
      </c>
      <c r="B30" s="1601"/>
      <c r="C30" s="1601"/>
      <c r="D30" s="1601"/>
      <c r="E30" s="1601"/>
      <c r="F30" s="1601"/>
      <c r="G30" s="1601"/>
      <c r="H30" s="1601"/>
    </row>
    <row r="31" spans="1:8">
      <c r="A31" s="1602" t="s">
        <v>1192</v>
      </c>
      <c r="B31" s="1601"/>
      <c r="C31" s="1601"/>
      <c r="D31" s="1601"/>
      <c r="E31" s="1601"/>
      <c r="F31" s="1601"/>
      <c r="G31" s="1601"/>
      <c r="H31" s="1601"/>
    </row>
    <row r="32" spans="1:8">
      <c r="A32" s="1602" t="s">
        <v>1193</v>
      </c>
      <c r="B32" s="1601"/>
      <c r="C32" s="1601"/>
      <c r="D32" s="1601"/>
      <c r="E32" s="1601"/>
      <c r="F32" s="1601"/>
      <c r="G32" s="1601"/>
      <c r="H32" s="1601"/>
    </row>
    <row r="33" spans="1:8">
      <c r="A33" s="1602" t="s">
        <v>1194</v>
      </c>
      <c r="B33" s="1601"/>
      <c r="C33" s="1601"/>
      <c r="D33" s="1601"/>
      <c r="E33" s="1601"/>
      <c r="F33" s="1601"/>
      <c r="G33" s="1601"/>
      <c r="H33" s="1601"/>
    </row>
    <row r="34" spans="1:8">
      <c r="A34" s="1602" t="s">
        <v>1195</v>
      </c>
      <c r="B34" s="1601"/>
      <c r="C34" s="1601"/>
      <c r="D34" s="1601"/>
      <c r="E34" s="1601"/>
      <c r="F34" s="1601"/>
      <c r="G34" s="1601"/>
      <c r="H34" s="1601"/>
    </row>
    <row r="35" spans="1:8">
      <c r="A35" s="1602" t="s">
        <v>1196</v>
      </c>
      <c r="B35" s="1601"/>
      <c r="C35" s="1601"/>
      <c r="D35" s="1601"/>
      <c r="E35" s="1601"/>
      <c r="F35" s="1601"/>
      <c r="G35" s="1601"/>
      <c r="H35" s="1601"/>
    </row>
    <row r="36" spans="1:8">
      <c r="A36" s="1602" t="s">
        <v>1197</v>
      </c>
      <c r="B36" s="1601"/>
      <c r="C36" s="1601"/>
      <c r="D36" s="1601"/>
      <c r="E36" s="1601"/>
      <c r="F36" s="1601"/>
      <c r="G36" s="1601"/>
      <c r="H36" s="1601"/>
    </row>
    <row r="37" spans="1:8">
      <c r="A37" s="1602" t="s">
        <v>1198</v>
      </c>
      <c r="B37" s="1601"/>
      <c r="C37" s="1601"/>
      <c r="D37" s="1601"/>
      <c r="E37" s="1601"/>
      <c r="F37" s="1601"/>
      <c r="G37" s="1601"/>
      <c r="H37" s="1601"/>
    </row>
    <row r="38" spans="1:8">
      <c r="A38" s="1602" t="s">
        <v>1199</v>
      </c>
      <c r="B38" s="1601"/>
      <c r="C38" s="1601"/>
      <c r="D38" s="1601"/>
      <c r="E38" s="1601"/>
      <c r="F38" s="1601"/>
      <c r="G38" s="1601"/>
      <c r="H38" s="1601"/>
    </row>
    <row r="39" spans="1:8">
      <c r="A39" s="1602" t="s">
        <v>1200</v>
      </c>
      <c r="B39" s="1601"/>
      <c r="C39" s="1601"/>
      <c r="D39" s="1601"/>
      <c r="E39" s="1601"/>
      <c r="F39" s="1601"/>
      <c r="G39" s="1601"/>
      <c r="H39" s="1601"/>
    </row>
    <row r="40" spans="1:8">
      <c r="A40" s="1602" t="s">
        <v>1201</v>
      </c>
      <c r="B40" s="1601"/>
      <c r="C40" s="1601"/>
      <c r="D40" s="1601"/>
      <c r="E40" s="1601"/>
      <c r="F40" s="1601"/>
      <c r="G40" s="1601"/>
      <c r="H40" s="1601"/>
    </row>
    <row r="41" spans="1:8">
      <c r="A41" s="1602" t="s">
        <v>1202</v>
      </c>
      <c r="B41" s="1601"/>
      <c r="C41" s="1601"/>
      <c r="D41" s="1601"/>
      <c r="E41" s="1601"/>
      <c r="F41" s="1601"/>
      <c r="G41" s="1601"/>
      <c r="H41" s="1601"/>
    </row>
    <row r="42" spans="1:8">
      <c r="A42" s="1602" t="s">
        <v>1203</v>
      </c>
      <c r="B42" s="1601"/>
      <c r="C42" s="1601"/>
      <c r="D42" s="1601"/>
      <c r="E42" s="1601"/>
      <c r="F42" s="1601"/>
      <c r="G42" s="1601"/>
      <c r="H42" s="1601"/>
    </row>
    <row r="43" spans="1:8">
      <c r="A43" s="1602" t="s">
        <v>1204</v>
      </c>
      <c r="B43" s="1601"/>
      <c r="C43" s="1601"/>
      <c r="D43" s="1601"/>
      <c r="E43" s="1601"/>
      <c r="F43" s="1601"/>
      <c r="G43" s="1601"/>
      <c r="H43" s="1601"/>
    </row>
    <row r="44" spans="1:8">
      <c r="A44" s="1602" t="s">
        <v>1205</v>
      </c>
      <c r="B44" s="1601"/>
      <c r="C44" s="1601"/>
      <c r="D44" s="1601"/>
      <c r="E44" s="1601"/>
      <c r="F44" s="1601"/>
      <c r="G44" s="1601"/>
      <c r="H44" s="1601"/>
    </row>
    <row r="45" spans="1:8">
      <c r="A45" s="1602" t="s">
        <v>1206</v>
      </c>
      <c r="B45" s="1601"/>
      <c r="C45" s="1601"/>
      <c r="D45" s="1601"/>
      <c r="E45" s="1601"/>
      <c r="F45" s="1601"/>
      <c r="G45" s="1601"/>
      <c r="H45" s="1601"/>
    </row>
    <row r="46" spans="1:8">
      <c r="A46" s="1601"/>
      <c r="B46" s="1601"/>
      <c r="C46" s="1601"/>
      <c r="D46" s="1601"/>
      <c r="E46" s="1601"/>
      <c r="F46" s="1601"/>
      <c r="G46" s="1601"/>
      <c r="H46" s="1601"/>
    </row>
    <row r="47" spans="1:8">
      <c r="A47" s="1602" t="s">
        <v>1186</v>
      </c>
      <c r="B47" s="1601"/>
      <c r="C47" s="1601"/>
      <c r="D47" s="1601"/>
      <c r="E47" s="1601"/>
      <c r="F47" s="1601"/>
      <c r="G47" s="1601"/>
      <c r="H47" s="1601"/>
    </row>
    <row r="48" spans="1:8">
      <c r="A48" s="1602" t="s">
        <v>1187</v>
      </c>
      <c r="B48" s="1601"/>
      <c r="C48" s="1601"/>
      <c r="D48" s="1601"/>
      <c r="E48" s="1601"/>
      <c r="F48" s="1601"/>
      <c r="G48" s="1601"/>
      <c r="H48" s="1601"/>
    </row>
    <row r="49" spans="1:8">
      <c r="A49" s="1602" t="s">
        <v>1188</v>
      </c>
      <c r="B49" s="1601"/>
      <c r="C49" s="1601"/>
      <c r="D49" s="1601"/>
      <c r="E49" s="1601"/>
      <c r="F49" s="1601"/>
      <c r="G49" s="1601"/>
      <c r="H49" s="1601"/>
    </row>
    <row r="50" spans="1:8">
      <c r="A50" s="1602" t="s">
        <v>1189</v>
      </c>
      <c r="B50" s="1601"/>
      <c r="C50" s="1601"/>
      <c r="D50" s="1601"/>
      <c r="E50" s="1601"/>
      <c r="F50" s="1601"/>
      <c r="G50" s="1601"/>
      <c r="H50" s="1601"/>
    </row>
    <row r="51" spans="1:8">
      <c r="A51" s="1601"/>
      <c r="B51" s="1601"/>
      <c r="C51" s="1601"/>
      <c r="D51" s="1601"/>
      <c r="E51" s="1601"/>
      <c r="F51" s="1601"/>
      <c r="G51" s="1601"/>
      <c r="H51" s="1601"/>
    </row>
    <row r="52" spans="1:8">
      <c r="A52" s="1602" t="s">
        <v>1180</v>
      </c>
      <c r="B52" s="1601"/>
      <c r="C52" s="1601"/>
      <c r="D52" s="1601"/>
      <c r="E52" s="1601"/>
      <c r="F52" s="1601"/>
      <c r="G52" s="1601"/>
      <c r="H52" s="1601"/>
    </row>
    <row r="53" spans="1:8">
      <c r="A53" s="1602" t="s">
        <v>1181</v>
      </c>
      <c r="B53" s="1601"/>
      <c r="C53" s="1601"/>
      <c r="D53" s="1601"/>
      <c r="E53" s="1601"/>
      <c r="F53" s="1601"/>
      <c r="G53" s="1601"/>
      <c r="H53" s="1601"/>
    </row>
    <row r="54" spans="1:8">
      <c r="A54" s="1602" t="s">
        <v>1182</v>
      </c>
      <c r="B54" s="1601"/>
      <c r="C54" s="1601"/>
      <c r="D54" s="1601"/>
      <c r="E54" s="1601"/>
      <c r="F54" s="1601"/>
      <c r="G54" s="1601"/>
      <c r="H54" s="1601"/>
    </row>
    <row r="55" spans="1:8">
      <c r="A55" s="1602" t="s">
        <v>1183</v>
      </c>
      <c r="B55" s="1601"/>
      <c r="C55" s="1601"/>
      <c r="D55" s="1601"/>
      <c r="E55" s="1601"/>
      <c r="F55" s="1601"/>
      <c r="G55" s="1601"/>
      <c r="H55" s="1601"/>
    </row>
    <row r="56" spans="1:8">
      <c r="A56" s="1602" t="s">
        <v>1184</v>
      </c>
      <c r="B56" s="1601"/>
      <c r="C56" s="1601"/>
      <c r="D56" s="1601"/>
      <c r="E56" s="1601"/>
      <c r="F56" s="1601"/>
      <c r="G56" s="1601"/>
      <c r="H56" s="1601"/>
    </row>
    <row r="57" spans="1:8">
      <c r="A57" s="1602" t="s">
        <v>1185</v>
      </c>
      <c r="B57" s="1601"/>
      <c r="C57" s="1601"/>
      <c r="D57" s="1601"/>
      <c r="E57" s="1601"/>
      <c r="F57" s="1601"/>
      <c r="G57" s="1601"/>
      <c r="H57" s="1601"/>
    </row>
    <row r="58" spans="1:8">
      <c r="A58" s="1601"/>
      <c r="B58" s="1601"/>
      <c r="C58" s="1601"/>
      <c r="D58" s="1601"/>
      <c r="E58" s="1601"/>
      <c r="F58" s="1601"/>
      <c r="G58" s="1601"/>
      <c r="H58" s="1601"/>
    </row>
    <row r="59" spans="1:8" ht="15.75">
      <c r="A59" s="1603" t="s">
        <v>911</v>
      </c>
      <c r="B59" s="1601"/>
      <c r="C59" s="1601"/>
      <c r="D59" s="1601"/>
      <c r="E59" s="1601"/>
      <c r="F59" s="1601"/>
      <c r="G59" s="1601"/>
      <c r="H59" s="1601"/>
    </row>
    <row r="60" spans="1:8">
      <c r="A60" s="1601"/>
      <c r="B60" s="1601"/>
      <c r="C60" s="1601"/>
      <c r="D60" s="1601"/>
      <c r="E60" s="1601"/>
      <c r="F60" s="1601"/>
      <c r="G60" s="1601"/>
      <c r="H60" s="1601"/>
    </row>
    <row r="61" spans="1:8">
      <c r="A61" s="1602" t="s">
        <v>1176</v>
      </c>
      <c r="B61" s="1601"/>
      <c r="C61" s="1601"/>
      <c r="D61" s="1601"/>
      <c r="E61" s="1601"/>
      <c r="F61" s="1601"/>
      <c r="G61" s="1601"/>
      <c r="H61" s="1601"/>
    </row>
    <row r="62" spans="1:8">
      <c r="A62" s="1602" t="s">
        <v>1177</v>
      </c>
      <c r="B62" s="1601"/>
      <c r="C62" s="1601"/>
      <c r="D62" s="1601"/>
      <c r="E62" s="1601"/>
      <c r="F62" s="1601"/>
      <c r="G62" s="1601"/>
      <c r="H62" s="1601"/>
    </row>
    <row r="63" spans="1:8">
      <c r="A63" s="1602" t="s">
        <v>1178</v>
      </c>
      <c r="B63" s="1601"/>
      <c r="C63" s="1601"/>
      <c r="D63" s="1601"/>
      <c r="E63" s="1601"/>
      <c r="F63" s="1601"/>
      <c r="G63" s="1601"/>
      <c r="H63" s="1601"/>
    </row>
    <row r="64" spans="1:8">
      <c r="A64" s="1602" t="s">
        <v>1179</v>
      </c>
      <c r="B64" s="1601"/>
      <c r="C64" s="1601"/>
      <c r="D64" s="1601"/>
      <c r="E64" s="1601"/>
      <c r="F64" s="1601"/>
      <c r="G64" s="1601"/>
      <c r="H64" s="1601"/>
    </row>
    <row r="65" spans="1:8">
      <c r="A65" s="1601"/>
      <c r="B65" s="1601"/>
      <c r="C65" s="1601"/>
      <c r="D65" s="1601"/>
      <c r="E65" s="1601"/>
      <c r="F65" s="1601"/>
      <c r="G65" s="1601"/>
      <c r="H65" s="1601"/>
    </row>
    <row r="66" spans="1:8">
      <c r="A66" s="1602" t="s">
        <v>912</v>
      </c>
      <c r="B66" s="1601"/>
      <c r="C66" s="1601"/>
      <c r="D66" s="1601"/>
      <c r="E66" s="1601"/>
      <c r="F66" s="1601"/>
      <c r="G66" s="1601"/>
      <c r="H66" s="1601"/>
    </row>
    <row r="67" spans="1:8">
      <c r="A67" s="1601"/>
      <c r="B67" s="1601"/>
      <c r="C67" s="1601"/>
      <c r="D67" s="1601"/>
      <c r="E67" s="1601"/>
      <c r="F67" s="1601"/>
      <c r="G67" s="1601"/>
      <c r="H67" s="1601"/>
    </row>
    <row r="68" spans="1:8" ht="15.75">
      <c r="A68" s="1603" t="s">
        <v>913</v>
      </c>
      <c r="B68" s="1601"/>
      <c r="C68" s="1601"/>
      <c r="D68" s="1601"/>
      <c r="E68" s="1601"/>
      <c r="F68" s="1601"/>
      <c r="G68" s="1601"/>
      <c r="H68" s="1601"/>
    </row>
    <row r="69" spans="1:8">
      <c r="A69" s="1601"/>
      <c r="B69" s="1601"/>
      <c r="C69" s="1601"/>
      <c r="D69" s="1601"/>
      <c r="E69" s="1601"/>
      <c r="F69" s="1601"/>
      <c r="G69" s="1601"/>
      <c r="H69" s="1601"/>
    </row>
    <row r="70" spans="1:8">
      <c r="A70" s="1602" t="s">
        <v>1174</v>
      </c>
      <c r="B70" s="1601"/>
      <c r="C70" s="1601"/>
      <c r="D70" s="1601"/>
      <c r="E70" s="1601"/>
      <c r="F70" s="1601"/>
      <c r="G70" s="1601"/>
      <c r="H70" s="1601"/>
    </row>
    <row r="71" spans="1:8">
      <c r="A71" s="1602" t="s">
        <v>1175</v>
      </c>
      <c r="B71" s="1601"/>
      <c r="C71" s="1601"/>
      <c r="D71" s="1601"/>
      <c r="E71" s="1601"/>
      <c r="F71" s="1601"/>
      <c r="G71" s="1601"/>
      <c r="H71" s="1601"/>
    </row>
    <row r="72" spans="1:8">
      <c r="A72" s="1601"/>
      <c r="B72" s="1601"/>
      <c r="C72" s="1601"/>
      <c r="D72" s="1601"/>
      <c r="E72" s="1601"/>
      <c r="F72" s="1601"/>
      <c r="G72" s="1601"/>
      <c r="H72" s="1601"/>
    </row>
    <row r="73" spans="1:8" ht="15.75">
      <c r="A73" s="1603" t="s">
        <v>914</v>
      </c>
      <c r="B73" s="1601"/>
      <c r="C73" s="1601"/>
      <c r="D73" s="1601"/>
      <c r="E73" s="1601"/>
      <c r="F73" s="1601"/>
      <c r="G73" s="1601"/>
      <c r="H73" s="1601"/>
    </row>
    <row r="74" spans="1:8">
      <c r="A74" s="1601"/>
      <c r="B74" s="1601"/>
      <c r="C74" s="1601"/>
      <c r="D74" s="1601"/>
      <c r="E74" s="1601"/>
      <c r="F74" s="1601"/>
      <c r="G74" s="1601"/>
      <c r="H74" s="1601"/>
    </row>
    <row r="75" spans="1:8">
      <c r="A75" s="1602" t="s">
        <v>1172</v>
      </c>
      <c r="B75" s="1601"/>
      <c r="C75" s="1601"/>
      <c r="D75" s="1601"/>
      <c r="E75" s="1601"/>
      <c r="F75" s="1601"/>
      <c r="G75" s="1601"/>
      <c r="H75" s="1601"/>
    </row>
    <row r="76" spans="1:8">
      <c r="A76" s="1602" t="s">
        <v>1173</v>
      </c>
      <c r="B76" s="1601"/>
      <c r="C76" s="1601"/>
      <c r="D76" s="1601"/>
      <c r="E76" s="1601"/>
      <c r="F76" s="1601"/>
      <c r="G76" s="1601"/>
      <c r="H76" s="1601"/>
    </row>
    <row r="77" spans="1:8">
      <c r="A77" s="1601"/>
      <c r="B77" s="1601"/>
      <c r="C77" s="1601"/>
      <c r="D77" s="1601"/>
      <c r="E77" s="1601"/>
      <c r="F77" s="1601"/>
      <c r="G77" s="1601"/>
      <c r="H77" s="1601"/>
    </row>
    <row r="78" spans="1:8">
      <c r="A78" s="1602" t="s">
        <v>1170</v>
      </c>
      <c r="B78" s="1601"/>
      <c r="C78" s="1601"/>
      <c r="D78" s="1601"/>
      <c r="E78" s="1601"/>
      <c r="F78" s="1601"/>
      <c r="G78" s="1601"/>
      <c r="H78" s="1601"/>
    </row>
    <row r="79" spans="1:8">
      <c r="A79" s="1602" t="s">
        <v>1171</v>
      </c>
      <c r="B79" s="1601"/>
      <c r="C79" s="1601"/>
      <c r="D79" s="1601"/>
      <c r="E79" s="1601"/>
      <c r="F79" s="1601"/>
      <c r="G79" s="1601"/>
      <c r="H79" s="1601"/>
    </row>
    <row r="80" spans="1:8">
      <c r="A80" s="1601"/>
      <c r="B80" s="1601"/>
      <c r="C80" s="1601"/>
      <c r="D80" s="1601"/>
      <c r="E80" s="1601"/>
      <c r="F80" s="1601"/>
      <c r="G80" s="1601"/>
      <c r="H80" s="1601"/>
    </row>
    <row r="81" spans="1:8">
      <c r="A81" s="1602" t="s">
        <v>1168</v>
      </c>
      <c r="B81" s="1601"/>
      <c r="C81" s="1601"/>
      <c r="D81" s="1601"/>
      <c r="E81" s="1601"/>
      <c r="F81" s="1601"/>
      <c r="G81" s="1601"/>
      <c r="H81" s="1601"/>
    </row>
    <row r="82" spans="1:8">
      <c r="A82" s="1602" t="s">
        <v>1169</v>
      </c>
      <c r="B82" s="1601"/>
      <c r="C82" s="1601"/>
      <c r="D82" s="1601"/>
      <c r="E82" s="1601"/>
      <c r="F82" s="1601"/>
      <c r="G82" s="1601"/>
      <c r="H82" s="1601"/>
    </row>
    <row r="83" spans="1:8">
      <c r="A83" s="1601"/>
      <c r="B83" s="1601"/>
      <c r="C83" s="1601"/>
      <c r="D83" s="1601"/>
      <c r="E83" s="1601"/>
      <c r="F83" s="1601"/>
      <c r="G83" s="1601"/>
      <c r="H83" s="1601"/>
    </row>
    <row r="84" spans="1:8">
      <c r="A84" s="1602" t="s">
        <v>1166</v>
      </c>
      <c r="B84" s="1601"/>
      <c r="C84" s="1601"/>
      <c r="D84" s="1601"/>
      <c r="E84" s="1601"/>
      <c r="F84" s="1601"/>
      <c r="G84" s="1601"/>
      <c r="H84" s="1601"/>
    </row>
    <row r="85" spans="1:8">
      <c r="A85" s="1602" t="s">
        <v>1167</v>
      </c>
      <c r="B85" s="1601"/>
      <c r="C85" s="1601"/>
      <c r="D85" s="1601"/>
      <c r="E85" s="1601"/>
      <c r="F85" s="1601"/>
      <c r="G85" s="1601"/>
      <c r="H85" s="1601"/>
    </row>
    <row r="86" spans="1:8">
      <c r="A86" s="1601"/>
      <c r="B86" s="1601"/>
      <c r="C86" s="1601"/>
      <c r="D86" s="1601"/>
      <c r="E86" s="1601"/>
      <c r="F86" s="1601"/>
      <c r="G86" s="1601"/>
      <c r="H86" s="1601"/>
    </row>
    <row r="87" spans="1:8">
      <c r="A87" s="1602" t="s">
        <v>1164</v>
      </c>
      <c r="B87" s="1601"/>
      <c r="C87" s="1601"/>
      <c r="D87" s="1601"/>
      <c r="E87" s="1601"/>
      <c r="F87" s="1601"/>
      <c r="G87" s="1601"/>
      <c r="H87" s="1601"/>
    </row>
    <row r="88" spans="1:8">
      <c r="A88" s="1602" t="s">
        <v>1165</v>
      </c>
      <c r="B88" s="1601"/>
      <c r="C88" s="1601"/>
      <c r="D88" s="1601"/>
      <c r="E88" s="1601"/>
      <c r="F88" s="1601"/>
      <c r="G88" s="1601"/>
      <c r="H88" s="1601"/>
    </row>
    <row r="89" spans="1:8">
      <c r="A89" s="1601"/>
      <c r="B89" s="1601"/>
      <c r="C89" s="1601"/>
      <c r="D89" s="1601"/>
      <c r="E89" s="1601"/>
      <c r="F89" s="1601"/>
      <c r="G89" s="1601"/>
      <c r="H89" s="1601"/>
    </row>
    <row r="90" spans="1:8">
      <c r="A90" s="1602" t="s">
        <v>1161</v>
      </c>
      <c r="B90" s="1601"/>
      <c r="C90" s="1601"/>
      <c r="D90" s="1601"/>
      <c r="E90" s="1601"/>
      <c r="F90" s="1601"/>
      <c r="G90" s="1601"/>
      <c r="H90" s="1601"/>
    </row>
    <row r="91" spans="1:8">
      <c r="A91" s="1602" t="s">
        <v>1162</v>
      </c>
      <c r="B91" s="1601"/>
      <c r="C91" s="1601"/>
      <c r="D91" s="1601"/>
      <c r="E91" s="1601"/>
      <c r="F91" s="1601"/>
      <c r="G91" s="1601"/>
      <c r="H91" s="1601"/>
    </row>
    <row r="92" spans="1:8">
      <c r="A92" s="1602" t="s">
        <v>1163</v>
      </c>
      <c r="B92" s="1601"/>
      <c r="C92" s="1601"/>
      <c r="D92" s="1601"/>
      <c r="E92" s="1601"/>
      <c r="F92" s="1601"/>
      <c r="G92" s="1601"/>
      <c r="H92" s="1601"/>
    </row>
    <row r="93" spans="1:8">
      <c r="A93" s="1601"/>
      <c r="B93" s="1601"/>
      <c r="C93" s="1601"/>
      <c r="D93" s="1601"/>
      <c r="E93" s="1601"/>
      <c r="F93" s="1601"/>
      <c r="G93" s="1601"/>
      <c r="H93" s="1601"/>
    </row>
    <row r="94" spans="1:8">
      <c r="A94" s="1602" t="s">
        <v>915</v>
      </c>
      <c r="B94" s="1601"/>
      <c r="C94" s="1601"/>
      <c r="D94" s="1601"/>
      <c r="E94" s="1601"/>
      <c r="F94" s="1601"/>
      <c r="G94" s="1601"/>
      <c r="H94" s="1601"/>
    </row>
    <row r="95" spans="1:8">
      <c r="A95" s="1601"/>
      <c r="B95" s="1601"/>
      <c r="C95" s="1601"/>
      <c r="D95" s="1601"/>
      <c r="E95" s="1601"/>
      <c r="F95" s="1601"/>
      <c r="G95" s="1601"/>
      <c r="H95" s="1601"/>
    </row>
    <row r="96" spans="1:8">
      <c r="A96" s="1602" t="s">
        <v>1156</v>
      </c>
      <c r="B96" s="1601"/>
      <c r="C96" s="1601"/>
      <c r="D96" s="1601"/>
      <c r="E96" s="1601"/>
      <c r="F96" s="1601"/>
      <c r="G96" s="1601"/>
      <c r="H96" s="1601"/>
    </row>
    <row r="97" spans="1:8">
      <c r="A97" s="1602" t="s">
        <v>1157</v>
      </c>
      <c r="B97" s="1601"/>
      <c r="C97" s="1601"/>
      <c r="D97" s="1601"/>
      <c r="E97" s="1601"/>
      <c r="F97" s="1601"/>
      <c r="G97" s="1601"/>
      <c r="H97" s="1601"/>
    </row>
    <row r="98" spans="1:8">
      <c r="A98" s="1602" t="s">
        <v>1158</v>
      </c>
      <c r="B98" s="1601"/>
      <c r="C98" s="1601"/>
      <c r="D98" s="1601"/>
      <c r="E98" s="1601"/>
      <c r="F98" s="1601"/>
      <c r="G98" s="1601"/>
      <c r="H98" s="1601"/>
    </row>
    <row r="99" spans="1:8">
      <c r="A99" s="1602" t="s">
        <v>1159</v>
      </c>
      <c r="B99" s="1601"/>
      <c r="C99" s="1601"/>
      <c r="D99" s="1601"/>
      <c r="E99" s="1601"/>
      <c r="F99" s="1601"/>
      <c r="G99" s="1601"/>
      <c r="H99" s="1601"/>
    </row>
    <row r="100" spans="1:8">
      <c r="A100" s="1602" t="s">
        <v>1160</v>
      </c>
      <c r="B100" s="1601"/>
      <c r="C100" s="1601"/>
      <c r="D100" s="1601"/>
      <c r="E100" s="1601"/>
      <c r="F100" s="1601"/>
      <c r="G100" s="1601"/>
      <c r="H100" s="1601"/>
    </row>
    <row r="101" spans="1:8">
      <c r="A101" s="1602" t="s">
        <v>1043</v>
      </c>
      <c r="B101" s="1601"/>
      <c r="C101" s="1601"/>
      <c r="D101" s="1601"/>
      <c r="E101" s="1601"/>
      <c r="F101" s="1601"/>
      <c r="G101" s="1601"/>
      <c r="H101" s="1601"/>
    </row>
    <row r="102" spans="1:8">
      <c r="A102" s="1601"/>
      <c r="B102" s="1601"/>
      <c r="C102" s="1601"/>
      <c r="D102" s="1601"/>
      <c r="E102" s="1601"/>
      <c r="F102" s="1601"/>
      <c r="G102" s="1601"/>
      <c r="H102" s="1601"/>
    </row>
    <row r="103" spans="1:8">
      <c r="A103" s="1602" t="s">
        <v>1149</v>
      </c>
      <c r="B103" s="1601"/>
      <c r="C103" s="1601"/>
      <c r="D103" s="1601"/>
      <c r="E103" s="1601"/>
      <c r="F103" s="1601"/>
      <c r="G103" s="1601"/>
      <c r="H103" s="1601"/>
    </row>
    <row r="104" spans="1:8">
      <c r="A104" s="1602" t="s">
        <v>1150</v>
      </c>
      <c r="B104" s="1601"/>
      <c r="C104" s="1601"/>
      <c r="D104" s="1601"/>
      <c r="E104" s="1601"/>
      <c r="F104" s="1601"/>
      <c r="G104" s="1601"/>
      <c r="H104" s="1601"/>
    </row>
    <row r="105" spans="1:8">
      <c r="A105" s="1602" t="s">
        <v>1151</v>
      </c>
      <c r="B105" s="1601"/>
      <c r="C105" s="1601"/>
      <c r="D105" s="1601"/>
      <c r="E105" s="1601"/>
      <c r="F105" s="1601"/>
      <c r="G105" s="1601"/>
      <c r="H105" s="1601"/>
    </row>
    <row r="106" spans="1:8">
      <c r="A106" s="1602" t="s">
        <v>1152</v>
      </c>
      <c r="B106" s="1601"/>
      <c r="C106" s="1601"/>
      <c r="D106" s="1601"/>
      <c r="E106" s="1601"/>
      <c r="F106" s="1601"/>
      <c r="G106" s="1601"/>
      <c r="H106" s="1601"/>
    </row>
    <row r="107" spans="1:8">
      <c r="A107" s="1602" t="s">
        <v>1153</v>
      </c>
      <c r="B107" s="1601"/>
      <c r="C107" s="1601"/>
      <c r="D107" s="1601"/>
      <c r="E107" s="1601"/>
      <c r="F107" s="1601"/>
      <c r="G107" s="1601"/>
      <c r="H107" s="1601"/>
    </row>
    <row r="108" spans="1:8">
      <c r="A108" s="1602" t="s">
        <v>1154</v>
      </c>
      <c r="B108" s="1601"/>
      <c r="C108" s="1601"/>
      <c r="D108" s="1601"/>
      <c r="E108" s="1601"/>
      <c r="F108" s="1601"/>
      <c r="G108" s="1601"/>
      <c r="H108" s="1601"/>
    </row>
    <row r="109" spans="1:8">
      <c r="A109" s="1602" t="s">
        <v>1155</v>
      </c>
      <c r="B109" s="1601"/>
      <c r="C109" s="1601"/>
      <c r="D109" s="1601"/>
      <c r="E109" s="1601"/>
      <c r="F109" s="1601"/>
      <c r="G109" s="1601"/>
      <c r="H109" s="1601"/>
    </row>
    <row r="110" spans="1:8">
      <c r="A110" s="1601"/>
      <c r="B110" s="1601"/>
      <c r="C110" s="1601"/>
      <c r="D110" s="1601"/>
      <c r="E110" s="1601"/>
      <c r="F110" s="1601"/>
      <c r="G110" s="1601"/>
      <c r="H110" s="1601"/>
    </row>
    <row r="111" spans="1:8">
      <c r="A111" s="1602" t="s">
        <v>1147</v>
      </c>
      <c r="B111" s="1601"/>
      <c r="C111" s="1601"/>
      <c r="D111" s="1601"/>
      <c r="E111" s="1601"/>
      <c r="F111" s="1601"/>
      <c r="G111" s="1601"/>
      <c r="H111" s="1601"/>
    </row>
    <row r="112" spans="1:8">
      <c r="A112" s="1602" t="s">
        <v>1148</v>
      </c>
      <c r="B112" s="1601"/>
      <c r="C112" s="1601"/>
      <c r="D112" s="1601"/>
      <c r="E112" s="1601"/>
      <c r="F112" s="1601"/>
      <c r="G112" s="1601"/>
      <c r="H112" s="1601"/>
    </row>
    <row r="113" spans="1:8">
      <c r="A113" s="1601"/>
      <c r="B113" s="1601"/>
      <c r="C113" s="1601"/>
      <c r="D113" s="1601"/>
      <c r="E113" s="1601"/>
      <c r="F113" s="1601"/>
      <c r="G113" s="1601"/>
      <c r="H113" s="1601"/>
    </row>
    <row r="114" spans="1:8" ht="15.75">
      <c r="A114" s="1603" t="s">
        <v>916</v>
      </c>
      <c r="B114" s="1601"/>
      <c r="C114" s="1601"/>
      <c r="D114" s="1601"/>
      <c r="E114" s="1601"/>
      <c r="F114" s="1601"/>
      <c r="G114" s="1601"/>
      <c r="H114" s="1601"/>
    </row>
    <row r="115" spans="1:8">
      <c r="A115" s="1601"/>
      <c r="B115" s="1601"/>
      <c r="C115" s="1601"/>
      <c r="D115" s="1601"/>
      <c r="E115" s="1601"/>
      <c r="F115" s="1601"/>
      <c r="G115" s="1601"/>
      <c r="H115" s="1601"/>
    </row>
    <row r="116" spans="1:8">
      <c r="A116" s="1602" t="s">
        <v>1138</v>
      </c>
      <c r="B116" s="1601"/>
      <c r="C116" s="1601"/>
      <c r="D116" s="1601"/>
      <c r="E116" s="1601"/>
      <c r="F116" s="1601"/>
      <c r="G116" s="1601"/>
      <c r="H116" s="1601"/>
    </row>
    <row r="117" spans="1:8">
      <c r="A117" s="1602" t="s">
        <v>1139</v>
      </c>
      <c r="B117" s="1601"/>
      <c r="C117" s="1601"/>
      <c r="D117" s="1601"/>
      <c r="E117" s="1601"/>
      <c r="F117" s="1601"/>
      <c r="G117" s="1601"/>
      <c r="H117" s="1601"/>
    </row>
    <row r="118" spans="1:8">
      <c r="A118" s="1602" t="s">
        <v>1140</v>
      </c>
      <c r="B118" s="1601"/>
      <c r="C118" s="1601"/>
      <c r="D118" s="1601"/>
      <c r="E118" s="1601"/>
      <c r="F118" s="1601"/>
      <c r="G118" s="1601"/>
      <c r="H118" s="1601"/>
    </row>
    <row r="119" spans="1:8">
      <c r="A119" s="1602" t="s">
        <v>1141</v>
      </c>
      <c r="B119" s="1601"/>
      <c r="C119" s="1601"/>
      <c r="D119" s="1601"/>
      <c r="E119" s="1601"/>
      <c r="F119" s="1601"/>
      <c r="G119" s="1601"/>
      <c r="H119" s="1601"/>
    </row>
    <row r="120" spans="1:8">
      <c r="A120" s="1602" t="s">
        <v>1142</v>
      </c>
      <c r="B120" s="1601"/>
      <c r="C120" s="1601"/>
      <c r="D120" s="1601"/>
      <c r="E120" s="1601"/>
      <c r="F120" s="1601"/>
      <c r="G120" s="1601"/>
      <c r="H120" s="1601"/>
    </row>
    <row r="121" spans="1:8">
      <c r="A121" s="1602" t="s">
        <v>1143</v>
      </c>
      <c r="B121" s="1601"/>
      <c r="C121" s="1601"/>
      <c r="D121" s="1601"/>
      <c r="E121" s="1601"/>
      <c r="F121" s="1601"/>
      <c r="G121" s="1601"/>
      <c r="H121" s="1601"/>
    </row>
    <row r="122" spans="1:8">
      <c r="A122" s="1602" t="s">
        <v>1144</v>
      </c>
      <c r="B122" s="1601"/>
      <c r="C122" s="1601"/>
      <c r="D122" s="1601"/>
      <c r="E122" s="1601"/>
      <c r="F122" s="1601"/>
      <c r="G122" s="1601"/>
      <c r="H122" s="1601"/>
    </row>
    <row r="123" spans="1:8">
      <c r="A123" s="1602" t="s">
        <v>1145</v>
      </c>
      <c r="B123" s="1601"/>
      <c r="C123" s="1601"/>
      <c r="D123" s="1601"/>
      <c r="E123" s="1601"/>
      <c r="F123" s="1601"/>
      <c r="G123" s="1601"/>
      <c r="H123" s="1601"/>
    </row>
    <row r="124" spans="1:8">
      <c r="A124" s="1602" t="s">
        <v>1146</v>
      </c>
      <c r="B124" s="1601"/>
      <c r="C124" s="1601"/>
      <c r="D124" s="1601"/>
      <c r="E124" s="1601"/>
      <c r="F124" s="1601"/>
      <c r="G124" s="1601"/>
      <c r="H124" s="1601"/>
    </row>
    <row r="125" spans="1:8">
      <c r="A125" s="1601"/>
      <c r="B125" s="1601"/>
      <c r="C125" s="1601"/>
      <c r="D125" s="1601"/>
      <c r="E125" s="1601"/>
      <c r="F125" s="1601"/>
      <c r="G125" s="1601"/>
      <c r="H125" s="1601"/>
    </row>
    <row r="126" spans="1:8" ht="15.75">
      <c r="A126" s="1604" t="s">
        <v>917</v>
      </c>
      <c r="B126" s="1604"/>
      <c r="C126" s="1604"/>
      <c r="D126" s="1604"/>
      <c r="E126" s="1604"/>
      <c r="F126" s="1604"/>
      <c r="G126" s="1604"/>
      <c r="H126" s="1604"/>
    </row>
    <row r="127" spans="1:8">
      <c r="A127" s="1605" t="s">
        <v>918</v>
      </c>
      <c r="B127" s="1605"/>
      <c r="C127" s="1605"/>
      <c r="D127" s="1605"/>
      <c r="E127" s="1605"/>
      <c r="F127" s="1605"/>
      <c r="G127" s="1605"/>
      <c r="H127" s="1605"/>
    </row>
    <row r="128" spans="1:8">
      <c r="A128" s="1606"/>
      <c r="B128" s="1606"/>
      <c r="C128" s="1606"/>
      <c r="D128" s="1606"/>
      <c r="E128" s="1606"/>
      <c r="F128" s="1606"/>
      <c r="G128" s="1606"/>
      <c r="H128" s="1606"/>
    </row>
    <row r="129" spans="1:8">
      <c r="A129" s="1605" t="s">
        <v>1136</v>
      </c>
      <c r="B129" s="1605"/>
      <c r="C129" s="1605"/>
      <c r="D129" s="1605"/>
      <c r="E129" s="1605"/>
      <c r="F129" s="1605"/>
      <c r="G129" s="1605"/>
      <c r="H129" s="1605"/>
    </row>
    <row r="130" spans="1:8">
      <c r="A130" s="1602" t="s">
        <v>1137</v>
      </c>
      <c r="B130" s="1602"/>
      <c r="C130" s="1602"/>
      <c r="D130" s="1602"/>
      <c r="E130" s="1602"/>
      <c r="F130" s="1602"/>
      <c r="G130" s="1602"/>
      <c r="H130" s="1602"/>
    </row>
    <row r="131" spans="1:8">
      <c r="A131" s="1606"/>
      <c r="B131" s="1606"/>
      <c r="C131" s="1606"/>
      <c r="D131" s="1606"/>
      <c r="E131" s="1606"/>
      <c r="F131" s="1606"/>
      <c r="G131" s="1606"/>
      <c r="H131" s="1606"/>
    </row>
    <row r="132" spans="1:8">
      <c r="A132" s="1605" t="s">
        <v>1129</v>
      </c>
      <c r="B132" s="1605"/>
      <c r="C132" s="1605"/>
      <c r="D132" s="1605"/>
      <c r="E132" s="1605"/>
      <c r="F132" s="1605"/>
      <c r="G132" s="1605"/>
      <c r="H132" s="1605"/>
    </row>
    <row r="133" spans="1:8">
      <c r="A133" s="1602" t="s">
        <v>1130</v>
      </c>
      <c r="B133" s="1602"/>
      <c r="C133" s="1602"/>
      <c r="D133" s="1602"/>
      <c r="E133" s="1602"/>
      <c r="F133" s="1602"/>
      <c r="G133" s="1602"/>
      <c r="H133" s="1602"/>
    </row>
    <row r="134" spans="1:8">
      <c r="A134" s="1602" t="s">
        <v>1131</v>
      </c>
      <c r="B134" s="1602"/>
      <c r="C134" s="1602"/>
      <c r="D134" s="1602"/>
      <c r="E134" s="1602"/>
      <c r="F134" s="1602"/>
      <c r="G134" s="1602"/>
      <c r="H134" s="1602"/>
    </row>
    <row r="135" spans="1:8">
      <c r="A135" s="1602" t="s">
        <v>1132</v>
      </c>
      <c r="B135" s="1602"/>
      <c r="C135" s="1602"/>
      <c r="D135" s="1602"/>
      <c r="E135" s="1602"/>
      <c r="F135" s="1602"/>
      <c r="G135" s="1602"/>
      <c r="H135" s="1602"/>
    </row>
    <row r="136" spans="1:8">
      <c r="A136" s="1602" t="s">
        <v>1133</v>
      </c>
      <c r="B136" s="1602"/>
      <c r="C136" s="1602"/>
      <c r="D136" s="1602"/>
      <c r="E136" s="1602"/>
      <c r="F136" s="1602"/>
      <c r="G136" s="1602"/>
      <c r="H136" s="1602"/>
    </row>
    <row r="137" spans="1:8">
      <c r="A137" s="1602" t="s">
        <v>1134</v>
      </c>
      <c r="B137" s="1602"/>
      <c r="C137" s="1602"/>
      <c r="D137" s="1602"/>
      <c r="E137" s="1602"/>
      <c r="F137" s="1602"/>
      <c r="G137" s="1602"/>
      <c r="H137" s="1602"/>
    </row>
    <row r="138" spans="1:8">
      <c r="A138" s="1602" t="s">
        <v>1135</v>
      </c>
      <c r="B138" s="1602"/>
      <c r="C138" s="1602"/>
      <c r="D138" s="1602"/>
      <c r="E138" s="1602"/>
      <c r="F138" s="1602"/>
      <c r="G138" s="1602"/>
      <c r="H138" s="1602"/>
    </row>
    <row r="139" spans="1:8">
      <c r="A139" s="1607"/>
      <c r="B139" s="1607"/>
      <c r="C139" s="1607"/>
      <c r="D139" s="1607"/>
      <c r="E139" s="1607"/>
      <c r="F139" s="1607"/>
      <c r="G139" s="1607"/>
      <c r="H139" s="1607"/>
    </row>
    <row r="140" spans="1:8">
      <c r="A140" s="1608"/>
      <c r="B140" s="1609" t="s">
        <v>919</v>
      </c>
      <c r="C140" s="1610"/>
      <c r="D140" s="1609" t="s">
        <v>920</v>
      </c>
      <c r="E140" s="1611"/>
      <c r="F140" s="1610"/>
      <c r="G140" s="1609" t="s">
        <v>921</v>
      </c>
      <c r="H140" s="1610"/>
    </row>
    <row r="141" spans="1:8">
      <c r="A141" s="1608" t="s">
        <v>922</v>
      </c>
      <c r="B141" s="1608" t="s">
        <v>486</v>
      </c>
      <c r="C141" s="1608" t="s">
        <v>923</v>
      </c>
      <c r="D141" s="1608" t="s">
        <v>486</v>
      </c>
      <c r="E141" s="1608" t="s">
        <v>924</v>
      </c>
      <c r="F141" s="1608" t="s">
        <v>925</v>
      </c>
      <c r="G141" s="1608" t="s">
        <v>486</v>
      </c>
      <c r="H141" s="1608" t="s">
        <v>926</v>
      </c>
    </row>
    <row r="142" spans="1:8">
      <c r="A142" s="1608" t="s">
        <v>927</v>
      </c>
      <c r="B142" s="1608">
        <v>1189</v>
      </c>
      <c r="C142" s="1612">
        <v>0.38</v>
      </c>
      <c r="D142" s="1608">
        <v>315</v>
      </c>
      <c r="E142" s="1612">
        <v>0.41</v>
      </c>
      <c r="F142" s="1612">
        <v>0.26</v>
      </c>
      <c r="G142" s="1608">
        <v>555</v>
      </c>
      <c r="H142" s="1612">
        <v>0.39</v>
      </c>
    </row>
    <row r="143" spans="1:8">
      <c r="A143" s="1608" t="s">
        <v>928</v>
      </c>
      <c r="B143" s="1608">
        <v>1355</v>
      </c>
      <c r="C143" s="1612">
        <v>0.43</v>
      </c>
      <c r="D143" s="1608">
        <v>364</v>
      </c>
      <c r="E143" s="1612">
        <v>0.47</v>
      </c>
      <c r="F143" s="1612">
        <v>0.27</v>
      </c>
      <c r="G143" s="1608">
        <v>644</v>
      </c>
      <c r="H143" s="1612">
        <v>0.45</v>
      </c>
    </row>
    <row r="144" spans="1:8">
      <c r="A144" s="1608" t="s">
        <v>929</v>
      </c>
      <c r="B144" s="1608">
        <v>53</v>
      </c>
      <c r="C144" s="1612">
        <v>0.02</v>
      </c>
      <c r="D144" s="1608">
        <v>4</v>
      </c>
      <c r="E144" s="1612">
        <v>0.01</v>
      </c>
      <c r="F144" s="1612">
        <v>0.08</v>
      </c>
      <c r="G144" s="1608">
        <v>7</v>
      </c>
      <c r="H144" s="1612">
        <v>0</v>
      </c>
    </row>
    <row r="145" spans="1:8">
      <c r="A145" s="1608" t="s">
        <v>930</v>
      </c>
      <c r="B145" s="1608">
        <v>545</v>
      </c>
      <c r="C145" s="1612">
        <v>0.17</v>
      </c>
      <c r="D145" s="1608">
        <v>84</v>
      </c>
      <c r="E145" s="1612">
        <v>0.11</v>
      </c>
      <c r="F145" s="1612">
        <v>0.15</v>
      </c>
      <c r="G145" s="1608">
        <v>214</v>
      </c>
      <c r="H145" s="1612">
        <v>0.15</v>
      </c>
    </row>
    <row r="146" spans="1:8">
      <c r="A146" s="1608" t="s">
        <v>126</v>
      </c>
      <c r="B146" s="1613">
        <v>3142</v>
      </c>
      <c r="C146" s="1608"/>
      <c r="D146" s="1608">
        <v>767</v>
      </c>
      <c r="E146" s="1608"/>
      <c r="F146" s="1608"/>
      <c r="G146" s="1608">
        <v>1420</v>
      </c>
      <c r="H146" s="1608"/>
    </row>
    <row r="147" spans="1:8">
      <c r="A147" s="1614"/>
      <c r="B147" s="1614"/>
      <c r="C147" s="1614"/>
      <c r="D147" s="1614"/>
      <c r="E147" s="1614"/>
      <c r="F147" s="1614"/>
      <c r="G147" s="1614"/>
      <c r="H147" s="1614"/>
    </row>
    <row r="148" spans="1:8">
      <c r="A148" s="1605" t="s">
        <v>1125</v>
      </c>
      <c r="B148" s="1605"/>
      <c r="C148" s="1605"/>
      <c r="D148" s="1605"/>
      <c r="E148" s="1605"/>
      <c r="F148" s="1605"/>
      <c r="G148" s="1605"/>
      <c r="H148" s="1605"/>
    </row>
    <row r="149" spans="1:8">
      <c r="A149" s="1602" t="s">
        <v>1126</v>
      </c>
      <c r="B149" s="1602"/>
      <c r="C149" s="1602"/>
      <c r="D149" s="1602"/>
      <c r="E149" s="1602"/>
      <c r="F149" s="1602"/>
      <c r="G149" s="1602"/>
      <c r="H149" s="1602"/>
    </row>
    <row r="150" spans="1:8">
      <c r="A150" s="1602" t="s">
        <v>1127</v>
      </c>
      <c r="B150" s="1602"/>
      <c r="C150" s="1602"/>
      <c r="D150" s="1602"/>
      <c r="E150" s="1602"/>
      <c r="F150" s="1602"/>
      <c r="G150" s="1602"/>
      <c r="H150" s="1602"/>
    </row>
    <row r="151" spans="1:8">
      <c r="A151" s="1602" t="s">
        <v>1128</v>
      </c>
      <c r="B151" s="1602"/>
      <c r="C151" s="1602"/>
      <c r="D151" s="1602"/>
      <c r="E151" s="1602"/>
      <c r="F151" s="1602"/>
      <c r="G151" s="1602"/>
      <c r="H151" s="1602"/>
    </row>
    <row r="152" spans="1:8">
      <c r="A152" s="1601"/>
      <c r="B152" s="1601"/>
      <c r="C152" s="1601"/>
      <c r="D152" s="1601"/>
      <c r="E152" s="1601"/>
      <c r="F152" s="1601"/>
      <c r="G152" s="1601"/>
      <c r="H152" s="1601"/>
    </row>
    <row r="153" spans="1:8" ht="15.75">
      <c r="A153" s="1603" t="s">
        <v>931</v>
      </c>
      <c r="B153" s="1601"/>
      <c r="C153" s="1601"/>
      <c r="D153" s="1601"/>
      <c r="E153" s="1601"/>
      <c r="F153" s="1601"/>
      <c r="G153" s="1601"/>
      <c r="H153" s="1601"/>
    </row>
    <row r="154" spans="1:8">
      <c r="A154" s="1601"/>
      <c r="B154" s="1601"/>
      <c r="C154" s="1601"/>
      <c r="D154" s="1601"/>
      <c r="E154" s="1601"/>
      <c r="F154" s="1601"/>
      <c r="G154" s="1601"/>
      <c r="H154" s="1601"/>
    </row>
    <row r="155" spans="1:8">
      <c r="A155" s="1602" t="s">
        <v>1123</v>
      </c>
      <c r="B155" s="1601"/>
      <c r="C155" s="1601"/>
      <c r="D155" s="1601"/>
      <c r="E155" s="1601"/>
      <c r="F155" s="1601"/>
      <c r="G155" s="1601"/>
      <c r="H155" s="1601"/>
    </row>
    <row r="156" spans="1:8">
      <c r="A156" s="1602" t="s">
        <v>1124</v>
      </c>
      <c r="B156" s="1601"/>
      <c r="C156" s="1601"/>
      <c r="D156" s="1601"/>
      <c r="E156" s="1601"/>
      <c r="F156" s="1601"/>
      <c r="G156" s="1601"/>
      <c r="H156" s="1601"/>
    </row>
    <row r="157" spans="1:8">
      <c r="A157" s="1601"/>
      <c r="B157" s="1601"/>
      <c r="C157" s="1601"/>
      <c r="D157" s="1601"/>
      <c r="E157" s="1601"/>
      <c r="F157" s="1601"/>
      <c r="G157" s="1601"/>
      <c r="H157" s="1601"/>
    </row>
    <row r="158" spans="1:8">
      <c r="A158" s="1602" t="s">
        <v>1120</v>
      </c>
      <c r="B158" s="1601"/>
      <c r="C158" s="1601"/>
      <c r="D158" s="1601"/>
      <c r="E158" s="1601"/>
      <c r="F158" s="1601"/>
      <c r="G158" s="1601"/>
      <c r="H158" s="1601"/>
    </row>
    <row r="159" spans="1:8">
      <c r="A159" s="1602" t="s">
        <v>1121</v>
      </c>
      <c r="B159" s="1601"/>
      <c r="C159" s="1601"/>
      <c r="D159" s="1601"/>
      <c r="E159" s="1601"/>
      <c r="F159" s="1601"/>
      <c r="G159" s="1601"/>
      <c r="H159" s="1601"/>
    </row>
    <row r="160" spans="1:8">
      <c r="A160" s="1602" t="s">
        <v>1122</v>
      </c>
      <c r="B160" s="1601"/>
      <c r="C160" s="1601"/>
      <c r="D160" s="1601"/>
      <c r="E160" s="1601"/>
      <c r="F160" s="1601"/>
      <c r="G160" s="1601"/>
      <c r="H160" s="1601"/>
    </row>
    <row r="161" spans="1:8">
      <c r="A161" s="1601"/>
      <c r="B161" s="1601"/>
      <c r="C161" s="1601"/>
      <c r="D161" s="1601"/>
      <c r="E161" s="1601"/>
      <c r="F161" s="1601"/>
      <c r="G161" s="1601"/>
      <c r="H161" s="1601"/>
    </row>
    <row r="162" spans="1:8">
      <c r="A162" s="1602" t="s">
        <v>1117</v>
      </c>
      <c r="B162" s="1601"/>
      <c r="C162" s="1601"/>
      <c r="D162" s="1601"/>
      <c r="E162" s="1601"/>
      <c r="F162" s="1601"/>
      <c r="G162" s="1601"/>
      <c r="H162" s="1601"/>
    </row>
    <row r="163" spans="1:8">
      <c r="A163" s="1602" t="s">
        <v>1118</v>
      </c>
      <c r="B163" s="1601"/>
      <c r="C163" s="1601"/>
      <c r="D163" s="1601"/>
      <c r="E163" s="1601"/>
      <c r="F163" s="1601"/>
      <c r="G163" s="1601"/>
      <c r="H163" s="1601"/>
    </row>
    <row r="164" spans="1:8">
      <c r="A164" s="1602" t="s">
        <v>1119</v>
      </c>
      <c r="B164" s="1601"/>
      <c r="C164" s="1601"/>
      <c r="D164" s="1601"/>
      <c r="E164" s="1601"/>
      <c r="F164" s="1601"/>
      <c r="G164" s="1601"/>
      <c r="H164" s="1601"/>
    </row>
    <row r="165" spans="1:8">
      <c r="A165" s="1601"/>
      <c r="B165" s="1601"/>
      <c r="C165" s="1601"/>
      <c r="D165" s="1601"/>
      <c r="E165" s="1601"/>
      <c r="F165" s="1601"/>
      <c r="G165" s="1601"/>
      <c r="H165" s="1601"/>
    </row>
    <row r="166" spans="1:8">
      <c r="A166" s="1602" t="s">
        <v>1114</v>
      </c>
      <c r="B166" s="1601"/>
      <c r="C166" s="1601"/>
      <c r="D166" s="1601"/>
      <c r="E166" s="1601"/>
      <c r="F166" s="1601"/>
      <c r="G166" s="1601"/>
      <c r="H166" s="1601"/>
    </row>
    <row r="167" spans="1:8">
      <c r="A167" s="1602" t="s">
        <v>1115</v>
      </c>
      <c r="B167" s="1601"/>
      <c r="C167" s="1601"/>
      <c r="D167" s="1601"/>
      <c r="E167" s="1601"/>
      <c r="F167" s="1601"/>
      <c r="G167" s="1601"/>
      <c r="H167" s="1601"/>
    </row>
    <row r="168" spans="1:8">
      <c r="A168" s="1602" t="s">
        <v>1116</v>
      </c>
      <c r="B168" s="1601"/>
      <c r="C168" s="1601"/>
      <c r="D168" s="1601"/>
      <c r="E168" s="1601"/>
      <c r="F168" s="1601"/>
      <c r="G168" s="1601"/>
      <c r="H168" s="1601"/>
    </row>
    <row r="169" spans="1:8">
      <c r="A169" s="1601"/>
      <c r="B169" s="1601"/>
      <c r="C169" s="1601"/>
      <c r="D169" s="1601"/>
      <c r="E169" s="1601"/>
      <c r="F169" s="1601"/>
      <c r="G169" s="1601"/>
      <c r="H169" s="1601"/>
    </row>
    <row r="170" spans="1:8">
      <c r="A170" s="1602" t="s">
        <v>1112</v>
      </c>
      <c r="B170" s="1601"/>
      <c r="C170" s="1601"/>
      <c r="D170" s="1601"/>
      <c r="E170" s="1601"/>
      <c r="F170" s="1601"/>
      <c r="G170" s="1601"/>
      <c r="H170" s="1601"/>
    </row>
    <row r="171" spans="1:8">
      <c r="A171" s="1602" t="s">
        <v>1113</v>
      </c>
      <c r="B171" s="1601"/>
      <c r="C171" s="1601"/>
      <c r="D171" s="1601"/>
      <c r="E171" s="1601"/>
      <c r="F171" s="1601"/>
      <c r="G171" s="1601"/>
      <c r="H171" s="1601"/>
    </row>
    <row r="172" spans="1:8">
      <c r="A172" s="1601"/>
      <c r="B172" s="1601"/>
      <c r="C172" s="1601"/>
      <c r="D172" s="1601"/>
      <c r="E172" s="1601"/>
      <c r="F172" s="1601"/>
      <c r="G172" s="1601"/>
      <c r="H172" s="1601"/>
    </row>
    <row r="173" spans="1:8" ht="15.75">
      <c r="A173" s="1603" t="s">
        <v>932</v>
      </c>
      <c r="B173" s="1601"/>
      <c r="C173" s="1601"/>
      <c r="D173" s="1601"/>
      <c r="E173" s="1601"/>
      <c r="F173" s="1601"/>
      <c r="G173" s="1601"/>
      <c r="H173" s="1601"/>
    </row>
    <row r="174" spans="1:8">
      <c r="A174" s="1601"/>
      <c r="B174" s="1601"/>
      <c r="C174" s="1601"/>
      <c r="D174" s="1601"/>
      <c r="E174" s="1601"/>
      <c r="F174" s="1601"/>
      <c r="G174" s="1601"/>
      <c r="H174" s="1601"/>
    </row>
    <row r="175" spans="1:8">
      <c r="A175" s="1602" t="s">
        <v>1110</v>
      </c>
      <c r="B175" s="1601"/>
      <c r="C175" s="1601"/>
      <c r="D175" s="1601"/>
      <c r="E175" s="1601"/>
      <c r="F175" s="1601"/>
      <c r="G175" s="1601"/>
      <c r="H175" s="1601"/>
    </row>
    <row r="176" spans="1:8">
      <c r="A176" s="1602" t="s">
        <v>1111</v>
      </c>
      <c r="B176" s="1601"/>
      <c r="C176" s="1601"/>
      <c r="D176" s="1601"/>
      <c r="E176" s="1601"/>
      <c r="F176" s="1601"/>
      <c r="G176" s="1601"/>
      <c r="H176" s="1601"/>
    </row>
    <row r="177" spans="1:8">
      <c r="A177" s="1601"/>
      <c r="B177" s="1601"/>
      <c r="C177" s="1601"/>
      <c r="D177" s="1601"/>
      <c r="E177" s="1601"/>
      <c r="F177" s="1601"/>
      <c r="G177" s="1601"/>
      <c r="H177" s="1601"/>
    </row>
    <row r="178" spans="1:8">
      <c r="A178" s="1602" t="s">
        <v>1108</v>
      </c>
      <c r="B178" s="1601"/>
      <c r="C178" s="1601"/>
      <c r="D178" s="1601"/>
      <c r="E178" s="1601"/>
      <c r="F178" s="1601"/>
      <c r="G178" s="1601"/>
      <c r="H178" s="1601"/>
    </row>
    <row r="179" spans="1:8">
      <c r="A179" s="1602" t="s">
        <v>1109</v>
      </c>
      <c r="B179" s="1601"/>
      <c r="C179" s="1601"/>
      <c r="D179" s="1601"/>
      <c r="E179" s="1601"/>
      <c r="F179" s="1601"/>
      <c r="G179" s="1601"/>
      <c r="H179" s="1601"/>
    </row>
    <row r="180" spans="1:8">
      <c r="A180" s="1601"/>
      <c r="B180" s="1601"/>
      <c r="C180" s="1601"/>
      <c r="D180" s="1601"/>
      <c r="E180" s="1601"/>
      <c r="F180" s="1601"/>
      <c r="G180" s="1601"/>
      <c r="H180" s="1601"/>
    </row>
    <row r="181" spans="1:8">
      <c r="A181" s="1602" t="s">
        <v>1106</v>
      </c>
      <c r="B181" s="1601"/>
      <c r="C181" s="1601"/>
      <c r="D181" s="1601"/>
      <c r="E181" s="1601"/>
      <c r="F181" s="1601"/>
      <c r="G181" s="1601"/>
      <c r="H181" s="1601"/>
    </row>
    <row r="182" spans="1:8">
      <c r="A182" s="1602" t="s">
        <v>1107</v>
      </c>
      <c r="B182" s="1601"/>
      <c r="C182" s="1601"/>
      <c r="D182" s="1601"/>
      <c r="E182" s="1601"/>
      <c r="F182" s="1601"/>
      <c r="G182" s="1601"/>
      <c r="H182" s="1601"/>
    </row>
    <row r="183" spans="1:8">
      <c r="A183" s="1601"/>
      <c r="B183" s="1601"/>
      <c r="C183" s="1601"/>
      <c r="D183" s="1601"/>
      <c r="E183" s="1601"/>
      <c r="F183" s="1601"/>
      <c r="G183" s="1601"/>
      <c r="H183" s="1601"/>
    </row>
    <row r="184" spans="1:8">
      <c r="A184" s="1602" t="s">
        <v>1103</v>
      </c>
      <c r="B184" s="1601"/>
      <c r="C184" s="1601"/>
      <c r="D184" s="1601"/>
      <c r="E184" s="1601"/>
      <c r="F184" s="1601"/>
      <c r="G184" s="1601"/>
      <c r="H184" s="1601"/>
    </row>
    <row r="185" spans="1:8">
      <c r="A185" s="1602" t="s">
        <v>1104</v>
      </c>
      <c r="B185" s="1601"/>
      <c r="C185" s="1601"/>
      <c r="D185" s="1601"/>
      <c r="E185" s="1601"/>
      <c r="F185" s="1601"/>
      <c r="G185" s="1601"/>
      <c r="H185" s="1601"/>
    </row>
    <row r="186" spans="1:8">
      <c r="A186" s="1602" t="s">
        <v>1105</v>
      </c>
      <c r="B186" s="1601"/>
      <c r="C186" s="1601"/>
      <c r="D186" s="1601"/>
      <c r="E186" s="1601"/>
      <c r="F186" s="1601"/>
      <c r="G186" s="1601"/>
      <c r="H186" s="1601"/>
    </row>
    <row r="187" spans="1:8">
      <c r="A187" s="1601"/>
      <c r="B187" s="1601"/>
      <c r="C187" s="1601"/>
      <c r="D187" s="1601"/>
      <c r="E187" s="1601"/>
      <c r="F187" s="1601"/>
      <c r="G187" s="1601"/>
      <c r="H187" s="1601"/>
    </row>
    <row r="188" spans="1:8">
      <c r="A188" s="1601"/>
      <c r="B188" s="1601"/>
      <c r="C188" s="1601"/>
      <c r="D188" s="1601"/>
      <c r="E188" s="1601"/>
      <c r="F188" s="1601"/>
      <c r="G188" s="1601"/>
      <c r="H188" s="1601"/>
    </row>
    <row r="189" spans="1:8">
      <c r="A189" s="1602" t="s">
        <v>933</v>
      </c>
      <c r="B189" s="1601"/>
      <c r="C189" s="1601"/>
      <c r="D189" s="1601"/>
      <c r="E189" s="1601"/>
      <c r="F189" s="1601"/>
      <c r="G189" s="1601"/>
      <c r="H189" s="1601"/>
    </row>
    <row r="190" spans="1:8">
      <c r="A190" s="1601"/>
      <c r="B190" s="1601"/>
      <c r="C190" s="1601"/>
      <c r="D190" s="1601"/>
      <c r="E190" s="1601"/>
      <c r="F190" s="1601"/>
      <c r="G190" s="1601"/>
      <c r="H190" s="1601"/>
    </row>
    <row r="191" spans="1:8" ht="15.75">
      <c r="A191" s="1603" t="s">
        <v>934</v>
      </c>
      <c r="B191" s="1601"/>
      <c r="C191" s="1601"/>
      <c r="D191" s="1601"/>
      <c r="E191" s="1601"/>
      <c r="F191" s="1601"/>
      <c r="G191" s="1601"/>
      <c r="H191" s="1601"/>
    </row>
    <row r="192" spans="1:8">
      <c r="A192" s="1601"/>
      <c r="B192" s="1601"/>
      <c r="C192" s="1601"/>
      <c r="D192" s="1601"/>
      <c r="E192" s="1601"/>
      <c r="F192" s="1601"/>
      <c r="G192" s="1601"/>
      <c r="H192" s="1601"/>
    </row>
    <row r="193" spans="1:8">
      <c r="A193" s="1601"/>
      <c r="B193" s="1601"/>
      <c r="C193" s="1601"/>
      <c r="D193" s="1601"/>
      <c r="E193" s="1601"/>
      <c r="F193" s="1601"/>
      <c r="G193" s="1601"/>
      <c r="H193" s="1601"/>
    </row>
    <row r="194" spans="1:8">
      <c r="A194" s="1601"/>
      <c r="B194" s="1601"/>
      <c r="C194" s="1601"/>
      <c r="D194" s="1601"/>
      <c r="E194" s="1601"/>
      <c r="F194" s="1601"/>
      <c r="G194" s="1601"/>
      <c r="H194" s="1601"/>
    </row>
    <row r="195" spans="1:8">
      <c r="A195" s="1601"/>
      <c r="B195" s="1601"/>
      <c r="C195" s="1601"/>
      <c r="D195" s="1601"/>
      <c r="E195" s="1601"/>
      <c r="F195" s="1601"/>
      <c r="G195" s="1601"/>
      <c r="H195" s="1601"/>
    </row>
    <row r="196" spans="1:8">
      <c r="A196" s="1601"/>
      <c r="B196" s="1601"/>
      <c r="C196" s="1601"/>
      <c r="D196" s="1601"/>
      <c r="E196" s="1601"/>
      <c r="F196" s="1601"/>
      <c r="G196" s="1601"/>
      <c r="H196" s="1601"/>
    </row>
    <row r="197" spans="1:8">
      <c r="A197" s="1601"/>
      <c r="B197" s="1601"/>
      <c r="C197" s="1601"/>
      <c r="D197" s="1601"/>
      <c r="E197" s="1601"/>
      <c r="F197" s="1601"/>
      <c r="G197" s="1601"/>
      <c r="H197" s="1601"/>
    </row>
    <row r="198" spans="1:8">
      <c r="A198" s="1601"/>
      <c r="B198" s="1601"/>
      <c r="C198" s="1601"/>
      <c r="D198" s="1601"/>
      <c r="E198" s="1601"/>
      <c r="F198" s="1601"/>
      <c r="G198" s="1601"/>
      <c r="H198" s="1601"/>
    </row>
    <row r="199" spans="1:8">
      <c r="A199" s="1601"/>
      <c r="B199" s="1601"/>
      <c r="C199" s="1601"/>
      <c r="D199" s="1601"/>
      <c r="E199" s="1601"/>
      <c r="F199" s="1601"/>
      <c r="G199" s="1601"/>
      <c r="H199" s="1601"/>
    </row>
    <row r="200" spans="1:8">
      <c r="A200" s="1601"/>
      <c r="B200" s="1601"/>
      <c r="C200" s="1601"/>
      <c r="D200" s="1601"/>
      <c r="E200" s="1601"/>
      <c r="F200" s="1601"/>
      <c r="G200" s="1601"/>
      <c r="H200" s="1601"/>
    </row>
    <row r="201" spans="1:8">
      <c r="A201" s="1601"/>
      <c r="B201" s="1601"/>
      <c r="C201" s="1601"/>
      <c r="D201" s="1601"/>
      <c r="E201" s="1601"/>
      <c r="F201" s="1601"/>
      <c r="G201" s="1601"/>
      <c r="H201" s="1601"/>
    </row>
    <row r="202" spans="1:8">
      <c r="A202" s="1601"/>
      <c r="B202" s="1601"/>
      <c r="C202" s="1601"/>
      <c r="D202" s="1601"/>
      <c r="E202" s="1601"/>
      <c r="F202" s="1601"/>
      <c r="G202" s="1601"/>
      <c r="H202" s="1601"/>
    </row>
    <row r="203" spans="1:8">
      <c r="A203" s="1601"/>
      <c r="B203" s="1601"/>
      <c r="C203" s="1601"/>
      <c r="D203" s="1601"/>
      <c r="E203" s="1601"/>
      <c r="F203" s="1601"/>
      <c r="G203" s="1601"/>
      <c r="H203" s="1601"/>
    </row>
    <row r="204" spans="1:8">
      <c r="A204" s="1601"/>
      <c r="B204" s="1601"/>
      <c r="C204" s="1601"/>
      <c r="D204" s="1601"/>
      <c r="E204" s="1601"/>
      <c r="F204" s="1601"/>
      <c r="G204" s="1601"/>
      <c r="H204" s="1601"/>
    </row>
    <row r="205" spans="1:8">
      <c r="A205" s="1601"/>
      <c r="B205" s="1601"/>
      <c r="C205" s="1601"/>
      <c r="D205" s="1601"/>
      <c r="E205" s="1601"/>
      <c r="F205" s="1601"/>
      <c r="G205" s="1601"/>
      <c r="H205" s="1601"/>
    </row>
    <row r="206" spans="1:8">
      <c r="A206" s="1601"/>
      <c r="B206" s="1601"/>
      <c r="C206" s="1601"/>
      <c r="D206" s="1601"/>
      <c r="E206" s="1601"/>
      <c r="F206" s="1601"/>
      <c r="G206" s="1601"/>
      <c r="H206" s="1601"/>
    </row>
    <row r="207" spans="1:8">
      <c r="A207" s="1601"/>
      <c r="B207" s="1601"/>
      <c r="C207" s="1601"/>
      <c r="D207" s="1601"/>
      <c r="E207" s="1601"/>
      <c r="F207" s="1601"/>
      <c r="G207" s="1601"/>
      <c r="H207" s="1601"/>
    </row>
    <row r="208" spans="1:8">
      <c r="A208" s="1601"/>
      <c r="B208" s="1601"/>
      <c r="C208" s="1601"/>
      <c r="D208" s="1601"/>
      <c r="E208" s="1601"/>
      <c r="F208" s="1601"/>
      <c r="G208" s="1601"/>
      <c r="H208" s="1601"/>
    </row>
    <row r="209" spans="1:8">
      <c r="A209" s="1601"/>
      <c r="B209" s="1601"/>
      <c r="C209" s="1601"/>
      <c r="D209" s="1601"/>
      <c r="E209" s="1601"/>
      <c r="F209" s="1601"/>
      <c r="G209" s="1601"/>
      <c r="H209" s="1601"/>
    </row>
    <row r="210" spans="1:8">
      <c r="A210" s="1601"/>
      <c r="B210" s="1601"/>
      <c r="C210" s="1601"/>
      <c r="D210" s="1601"/>
      <c r="E210" s="1601"/>
      <c r="F210" s="1601"/>
      <c r="G210" s="1601"/>
      <c r="H210" s="1601"/>
    </row>
    <row r="211" spans="1:8">
      <c r="A211" s="1601"/>
      <c r="B211" s="1601"/>
      <c r="C211" s="1601"/>
      <c r="D211" s="1601"/>
      <c r="E211" s="1601"/>
      <c r="F211" s="1601"/>
      <c r="G211" s="1601"/>
      <c r="H211" s="1601"/>
    </row>
    <row r="212" spans="1:8">
      <c r="A212" s="1601"/>
      <c r="B212" s="1601"/>
      <c r="C212" s="1601"/>
      <c r="D212" s="1601"/>
      <c r="E212" s="1601"/>
      <c r="F212" s="1601"/>
      <c r="G212" s="1601"/>
      <c r="H212" s="1601"/>
    </row>
    <row r="213" spans="1:8">
      <c r="A213" s="1601"/>
      <c r="B213" s="1601"/>
      <c r="C213" s="1601"/>
      <c r="D213" s="1601"/>
      <c r="E213" s="1601"/>
      <c r="F213" s="1601"/>
      <c r="G213" s="1601"/>
      <c r="H213" s="1601"/>
    </row>
    <row r="214" spans="1:8">
      <c r="A214" s="1601"/>
      <c r="B214" s="1601"/>
      <c r="C214" s="1601"/>
      <c r="D214" s="1601"/>
      <c r="E214" s="1601"/>
      <c r="F214" s="1601"/>
      <c r="G214" s="1601"/>
      <c r="H214" s="1601"/>
    </row>
    <row r="215" spans="1:8">
      <c r="A215" s="1601"/>
      <c r="B215" s="1601"/>
      <c r="C215" s="1601"/>
      <c r="D215" s="1601"/>
      <c r="E215" s="1601"/>
      <c r="F215" s="1601"/>
      <c r="G215" s="1601"/>
      <c r="H215" s="1601"/>
    </row>
    <row r="216" spans="1:8">
      <c r="A216" s="1601"/>
      <c r="B216" s="1601"/>
      <c r="C216" s="1601"/>
      <c r="D216" s="1601"/>
      <c r="E216" s="1601"/>
      <c r="F216" s="1601"/>
      <c r="G216" s="1601"/>
      <c r="H216" s="1601"/>
    </row>
    <row r="217" spans="1:8">
      <c r="A217" s="1601"/>
      <c r="B217" s="1601"/>
      <c r="C217" s="1601"/>
      <c r="D217" s="1601"/>
      <c r="E217" s="1601"/>
      <c r="F217" s="1601"/>
      <c r="G217" s="1601"/>
      <c r="H217" s="1601"/>
    </row>
    <row r="218" spans="1:8" ht="15.75">
      <c r="A218" s="1603" t="s">
        <v>935</v>
      </c>
      <c r="B218" s="1601"/>
      <c r="C218" s="1601"/>
      <c r="D218" s="1601"/>
      <c r="E218" s="1601"/>
      <c r="F218" s="1601"/>
      <c r="G218" s="1601"/>
      <c r="H218" s="1601"/>
    </row>
    <row r="219" spans="1:8">
      <c r="A219" s="1601"/>
      <c r="B219" s="1601"/>
      <c r="C219" s="1601"/>
      <c r="D219" s="1601"/>
      <c r="E219" s="1601"/>
      <c r="F219" s="1601"/>
      <c r="G219" s="1601"/>
      <c r="H219" s="1601"/>
    </row>
    <row r="220" spans="1:8">
      <c r="A220" s="1602" t="s">
        <v>1098</v>
      </c>
      <c r="B220" s="1601"/>
      <c r="C220" s="1601"/>
      <c r="D220" s="1601"/>
      <c r="E220" s="1601"/>
      <c r="F220" s="1601"/>
      <c r="G220" s="1601"/>
      <c r="H220" s="1601"/>
    </row>
    <row r="221" spans="1:8">
      <c r="A221" s="1602" t="s">
        <v>1099</v>
      </c>
      <c r="B221" s="1601"/>
      <c r="C221" s="1601"/>
      <c r="D221" s="1601"/>
      <c r="E221" s="1601"/>
      <c r="F221" s="1601"/>
      <c r="G221" s="1601"/>
      <c r="H221" s="1601"/>
    </row>
    <row r="222" spans="1:8">
      <c r="A222" s="1602" t="s">
        <v>1100</v>
      </c>
      <c r="B222" s="1601"/>
      <c r="C222" s="1601"/>
      <c r="D222" s="1601"/>
      <c r="E222" s="1601"/>
      <c r="F222" s="1601"/>
      <c r="G222" s="1601"/>
      <c r="H222" s="1601"/>
    </row>
    <row r="223" spans="1:8">
      <c r="A223" s="1602" t="s">
        <v>1101</v>
      </c>
      <c r="B223" s="1601"/>
      <c r="C223" s="1601"/>
      <c r="D223" s="1601"/>
      <c r="E223" s="1601"/>
      <c r="F223" s="1601"/>
      <c r="G223" s="1601"/>
      <c r="H223" s="1601"/>
    </row>
    <row r="224" spans="1:8">
      <c r="A224" s="1602" t="s">
        <v>1102</v>
      </c>
      <c r="B224" s="1601"/>
      <c r="C224" s="1601"/>
      <c r="D224" s="1601"/>
      <c r="E224" s="1601"/>
      <c r="F224" s="1601"/>
      <c r="G224" s="1601"/>
      <c r="H224" s="1601"/>
    </row>
    <row r="225" spans="1:8">
      <c r="A225" s="1601"/>
      <c r="B225" s="1601"/>
      <c r="C225" s="1601"/>
      <c r="D225" s="1601"/>
      <c r="E225" s="1601"/>
      <c r="F225" s="1601"/>
      <c r="G225" s="1601"/>
      <c r="H225" s="1601"/>
    </row>
    <row r="226" spans="1:8">
      <c r="A226" s="1602" t="s">
        <v>1095</v>
      </c>
      <c r="B226" s="1601"/>
      <c r="C226" s="1601"/>
      <c r="D226" s="1601"/>
      <c r="E226" s="1601"/>
      <c r="F226" s="1601"/>
      <c r="G226" s="1601"/>
      <c r="H226" s="1601"/>
    </row>
    <row r="227" spans="1:8">
      <c r="A227" s="1602" t="s">
        <v>1096</v>
      </c>
      <c r="B227" s="1601"/>
      <c r="C227" s="1601"/>
      <c r="D227" s="1601"/>
      <c r="E227" s="1601"/>
      <c r="F227" s="1601"/>
      <c r="G227" s="1601"/>
      <c r="H227" s="1601"/>
    </row>
    <row r="228" spans="1:8">
      <c r="A228" s="1602" t="s">
        <v>1097</v>
      </c>
      <c r="B228" s="1601"/>
      <c r="C228" s="1601"/>
      <c r="D228" s="1601"/>
      <c r="E228" s="1601"/>
      <c r="F228" s="1601"/>
      <c r="G228" s="1601"/>
      <c r="H228" s="1601"/>
    </row>
    <row r="229" spans="1:8" ht="15.75">
      <c r="A229" s="1603" t="s">
        <v>936</v>
      </c>
      <c r="B229" s="1601"/>
      <c r="C229" s="1601"/>
      <c r="D229" s="1601"/>
      <c r="E229" s="1601"/>
      <c r="F229" s="1601"/>
      <c r="G229" s="1601"/>
      <c r="H229" s="1601"/>
    </row>
    <row r="230" spans="1:8">
      <c r="A230" s="1601"/>
      <c r="B230" s="1601"/>
      <c r="C230" s="1601"/>
      <c r="D230" s="1601"/>
      <c r="E230" s="1601"/>
      <c r="F230" s="1601"/>
      <c r="G230" s="1601"/>
      <c r="H230" s="1601"/>
    </row>
    <row r="231" spans="1:8">
      <c r="A231" s="1602" t="s">
        <v>1093</v>
      </c>
      <c r="B231" s="1601"/>
      <c r="C231" s="1601"/>
      <c r="D231" s="1601"/>
      <c r="E231" s="1601"/>
      <c r="F231" s="1601"/>
      <c r="G231" s="1601"/>
      <c r="H231" s="1601"/>
    </row>
    <row r="232" spans="1:8">
      <c r="A232" s="1602" t="s">
        <v>1094</v>
      </c>
      <c r="B232" s="1601"/>
      <c r="C232" s="1601"/>
      <c r="D232" s="1601"/>
      <c r="E232" s="1601"/>
      <c r="F232" s="1601"/>
      <c r="G232" s="1601"/>
      <c r="H232" s="1601"/>
    </row>
    <row r="233" spans="1:8">
      <c r="A233" s="1601"/>
      <c r="B233" s="1601"/>
      <c r="C233" s="1601"/>
      <c r="D233" s="1601"/>
      <c r="E233" s="1601"/>
      <c r="F233" s="1601"/>
      <c r="G233" s="1601"/>
      <c r="H233" s="1601"/>
    </row>
    <row r="234" spans="1:8">
      <c r="A234" s="1602" t="s">
        <v>1086</v>
      </c>
      <c r="B234" s="1601"/>
      <c r="C234" s="1601"/>
      <c r="D234" s="1601"/>
      <c r="E234" s="1601"/>
      <c r="F234" s="1601"/>
      <c r="G234" s="1601"/>
      <c r="H234" s="1601"/>
    </row>
    <row r="235" spans="1:8">
      <c r="A235" s="1602" t="s">
        <v>1087</v>
      </c>
      <c r="B235" s="1601"/>
      <c r="C235" s="1601"/>
      <c r="D235" s="1601"/>
      <c r="E235" s="1601"/>
      <c r="F235" s="1601"/>
      <c r="G235" s="1601"/>
      <c r="H235" s="1601"/>
    </row>
    <row r="236" spans="1:8">
      <c r="A236" s="1602" t="s">
        <v>1088</v>
      </c>
      <c r="B236" s="1601"/>
      <c r="C236" s="1601"/>
      <c r="D236" s="1601"/>
      <c r="E236" s="1601"/>
      <c r="F236" s="1601"/>
      <c r="G236" s="1601"/>
      <c r="H236" s="1601"/>
    </row>
    <row r="237" spans="1:8">
      <c r="A237" s="1602" t="s">
        <v>1089</v>
      </c>
      <c r="B237" s="1601"/>
      <c r="C237" s="1601"/>
      <c r="D237" s="1601"/>
      <c r="E237" s="1601"/>
      <c r="F237" s="1601"/>
      <c r="G237" s="1601"/>
      <c r="H237" s="1601"/>
    </row>
    <row r="238" spans="1:8">
      <c r="A238" s="1602" t="s">
        <v>1090</v>
      </c>
      <c r="B238" s="1601"/>
      <c r="C238" s="1601"/>
      <c r="D238" s="1601"/>
      <c r="E238" s="1601"/>
      <c r="F238" s="1601"/>
      <c r="G238" s="1601"/>
      <c r="H238" s="1601"/>
    </row>
    <row r="239" spans="1:8">
      <c r="A239" s="1602" t="s">
        <v>1091</v>
      </c>
      <c r="B239" s="1601"/>
      <c r="C239" s="1601"/>
      <c r="D239" s="1601"/>
      <c r="E239" s="1601"/>
      <c r="F239" s="1601"/>
      <c r="G239" s="1601"/>
      <c r="H239" s="1601"/>
    </row>
    <row r="240" spans="1:8">
      <c r="A240" s="1602" t="s">
        <v>1092</v>
      </c>
      <c r="B240" s="1601"/>
      <c r="C240" s="1601"/>
      <c r="D240" s="1601"/>
      <c r="E240" s="1601"/>
      <c r="F240" s="1601"/>
      <c r="G240" s="1601"/>
      <c r="H240" s="1601"/>
    </row>
    <row r="241" spans="1:8">
      <c r="A241" s="1601"/>
      <c r="B241" s="1601"/>
      <c r="C241" s="1601"/>
      <c r="D241" s="1601"/>
      <c r="E241" s="1601"/>
      <c r="F241" s="1601"/>
      <c r="G241" s="1601"/>
      <c r="H241" s="1601"/>
    </row>
    <row r="242" spans="1:8">
      <c r="A242" s="1602" t="s">
        <v>1083</v>
      </c>
      <c r="B242" s="1601"/>
      <c r="C242" s="1601"/>
      <c r="D242" s="1601"/>
      <c r="E242" s="1601"/>
      <c r="F242" s="1601"/>
      <c r="G242" s="1601"/>
      <c r="H242" s="1601"/>
    </row>
    <row r="243" spans="1:8">
      <c r="A243" s="1602" t="s">
        <v>1084</v>
      </c>
      <c r="B243" s="1601"/>
      <c r="C243" s="1601"/>
      <c r="D243" s="1601"/>
      <c r="E243" s="1601"/>
      <c r="F243" s="1601"/>
      <c r="G243" s="1601"/>
      <c r="H243" s="1601"/>
    </row>
    <row r="244" spans="1:8">
      <c r="A244" s="1602" t="s">
        <v>1085</v>
      </c>
      <c r="B244" s="1601"/>
      <c r="C244" s="1601"/>
      <c r="D244" s="1601"/>
      <c r="E244" s="1601"/>
      <c r="F244" s="1601"/>
      <c r="G244" s="1601"/>
      <c r="H244" s="1601"/>
    </row>
    <row r="245" spans="1:8">
      <c r="A245" s="1601"/>
      <c r="B245" s="1601"/>
      <c r="C245" s="1601"/>
      <c r="D245" s="1601"/>
      <c r="E245" s="1601"/>
      <c r="F245" s="1601"/>
      <c r="G245" s="1601"/>
      <c r="H245" s="1601"/>
    </row>
    <row r="246" spans="1:8">
      <c r="A246" s="1602" t="s">
        <v>1078</v>
      </c>
      <c r="B246" s="1601"/>
      <c r="C246" s="1601"/>
      <c r="D246" s="1601"/>
      <c r="E246" s="1601"/>
      <c r="F246" s="1601"/>
      <c r="G246" s="1601"/>
      <c r="H246" s="1601"/>
    </row>
    <row r="247" spans="1:8">
      <c r="A247" s="1602" t="s">
        <v>1079</v>
      </c>
      <c r="B247" s="1601"/>
      <c r="C247" s="1601"/>
      <c r="D247" s="1601"/>
      <c r="E247" s="1601"/>
      <c r="F247" s="1601"/>
      <c r="G247" s="1601"/>
      <c r="H247" s="1601"/>
    </row>
    <row r="248" spans="1:8">
      <c r="A248" s="1602" t="s">
        <v>1080</v>
      </c>
      <c r="B248" s="1601"/>
      <c r="C248" s="1601"/>
      <c r="D248" s="1601"/>
      <c r="E248" s="1601"/>
      <c r="F248" s="1601"/>
      <c r="G248" s="1601"/>
      <c r="H248" s="1601"/>
    </row>
    <row r="249" spans="1:8">
      <c r="A249" s="1602" t="s">
        <v>1081</v>
      </c>
      <c r="B249" s="1601"/>
      <c r="C249" s="1601"/>
      <c r="D249" s="1601"/>
      <c r="E249" s="1601"/>
      <c r="F249" s="1601"/>
      <c r="G249" s="1601"/>
      <c r="H249" s="1601"/>
    </row>
    <row r="250" spans="1:8">
      <c r="A250" s="1602" t="s">
        <v>1082</v>
      </c>
      <c r="B250" s="1601"/>
      <c r="C250" s="1601"/>
      <c r="D250" s="1601"/>
      <c r="E250" s="1601"/>
      <c r="F250" s="1601"/>
      <c r="G250" s="1601"/>
      <c r="H250" s="1601"/>
    </row>
    <row r="251" spans="1:8">
      <c r="A251" s="1601"/>
      <c r="B251" s="1601"/>
      <c r="C251" s="1601"/>
      <c r="D251" s="1601"/>
      <c r="E251" s="1601"/>
      <c r="F251" s="1601"/>
      <c r="G251" s="1601"/>
      <c r="H251" s="1601"/>
    </row>
    <row r="252" spans="1:8">
      <c r="A252" s="1602" t="s">
        <v>1072</v>
      </c>
      <c r="B252" s="1601"/>
      <c r="C252" s="1601"/>
      <c r="D252" s="1601"/>
      <c r="E252" s="1601"/>
      <c r="F252" s="1601"/>
      <c r="G252" s="1601"/>
      <c r="H252" s="1601"/>
    </row>
    <row r="253" spans="1:8">
      <c r="A253" s="1602" t="s">
        <v>1073</v>
      </c>
      <c r="B253" s="1601"/>
      <c r="C253" s="1601"/>
      <c r="D253" s="1601"/>
      <c r="E253" s="1601"/>
      <c r="F253" s="1601"/>
      <c r="G253" s="1601"/>
      <c r="H253" s="1601"/>
    </row>
    <row r="254" spans="1:8">
      <c r="A254" s="1602" t="s">
        <v>1074</v>
      </c>
      <c r="B254" s="1601"/>
      <c r="C254" s="1601"/>
      <c r="D254" s="1601"/>
      <c r="E254" s="1601"/>
      <c r="F254" s="1601"/>
      <c r="G254" s="1601"/>
      <c r="H254" s="1601"/>
    </row>
    <row r="255" spans="1:8">
      <c r="A255" s="1602" t="s">
        <v>1075</v>
      </c>
      <c r="B255" s="1601"/>
      <c r="C255" s="1601"/>
      <c r="D255" s="1601"/>
      <c r="E255" s="1601"/>
      <c r="F255" s="1601"/>
      <c r="G255" s="1601"/>
      <c r="H255" s="1601"/>
    </row>
    <row r="256" spans="1:8">
      <c r="A256" s="1602" t="s">
        <v>1076</v>
      </c>
      <c r="B256" s="1601"/>
      <c r="C256" s="1601"/>
      <c r="D256" s="1601"/>
      <c r="E256" s="1601"/>
      <c r="F256" s="1601"/>
      <c r="G256" s="1601"/>
      <c r="H256" s="1601"/>
    </row>
    <row r="257" spans="1:8">
      <c r="A257" s="1602" t="s">
        <v>1077</v>
      </c>
      <c r="B257" s="1601"/>
      <c r="C257" s="1601"/>
      <c r="D257" s="1601"/>
      <c r="E257" s="1601"/>
      <c r="F257" s="1601"/>
      <c r="G257" s="1601"/>
      <c r="H257" s="1601"/>
    </row>
    <row r="258" spans="1:8">
      <c r="A258" s="1601"/>
      <c r="B258" s="1601"/>
      <c r="C258" s="1601"/>
      <c r="D258" s="1601"/>
      <c r="E258" s="1601"/>
      <c r="F258" s="1601"/>
      <c r="G258" s="1601"/>
      <c r="H258" s="1601"/>
    </row>
    <row r="259" spans="1:8">
      <c r="A259" s="1602" t="s">
        <v>1062</v>
      </c>
      <c r="B259" s="1601"/>
      <c r="C259" s="1601"/>
      <c r="D259" s="1601"/>
      <c r="E259" s="1601"/>
      <c r="F259" s="1601"/>
      <c r="G259" s="1601"/>
      <c r="H259" s="1601"/>
    </row>
    <row r="260" spans="1:8">
      <c r="A260" s="1602" t="s">
        <v>1063</v>
      </c>
      <c r="B260" s="1601"/>
      <c r="C260" s="1601"/>
      <c r="D260" s="1601"/>
      <c r="E260" s="1601"/>
      <c r="F260" s="1601"/>
      <c r="G260" s="1601"/>
      <c r="H260" s="1601"/>
    </row>
    <row r="261" spans="1:8">
      <c r="A261" s="1602" t="s">
        <v>1064</v>
      </c>
      <c r="B261" s="1601"/>
      <c r="C261" s="1601"/>
      <c r="D261" s="1601"/>
      <c r="E261" s="1601"/>
      <c r="F261" s="1601"/>
      <c r="G261" s="1601"/>
      <c r="H261" s="1601"/>
    </row>
    <row r="262" spans="1:8">
      <c r="A262" s="1602" t="s">
        <v>1065</v>
      </c>
      <c r="B262" s="1601"/>
      <c r="C262" s="1601"/>
      <c r="D262" s="1601"/>
      <c r="E262" s="1601"/>
      <c r="F262" s="1601"/>
      <c r="G262" s="1601"/>
      <c r="H262" s="1601"/>
    </row>
    <row r="263" spans="1:8">
      <c r="A263" s="1602" t="s">
        <v>1066</v>
      </c>
      <c r="B263" s="1601"/>
      <c r="C263" s="1601"/>
      <c r="D263" s="1601"/>
      <c r="E263" s="1601"/>
      <c r="F263" s="1601"/>
      <c r="G263" s="1601"/>
      <c r="H263" s="1601"/>
    </row>
    <row r="264" spans="1:8">
      <c r="A264" s="1602" t="s">
        <v>1067</v>
      </c>
      <c r="B264" s="1601"/>
      <c r="C264" s="1601"/>
      <c r="D264" s="1601"/>
      <c r="E264" s="1601"/>
      <c r="F264" s="1601"/>
      <c r="G264" s="1601"/>
      <c r="H264" s="1601"/>
    </row>
    <row r="265" spans="1:8">
      <c r="A265" s="1602" t="s">
        <v>1068</v>
      </c>
      <c r="B265" s="1601"/>
      <c r="C265" s="1601"/>
      <c r="D265" s="1601"/>
      <c r="E265" s="1601"/>
      <c r="F265" s="1601"/>
      <c r="G265" s="1601"/>
      <c r="H265" s="1601"/>
    </row>
    <row r="266" spans="1:8">
      <c r="A266" s="1602" t="s">
        <v>1069</v>
      </c>
      <c r="B266" s="1601"/>
      <c r="C266" s="1601"/>
      <c r="D266" s="1601"/>
      <c r="E266" s="1601"/>
      <c r="F266" s="1601"/>
      <c r="G266" s="1601"/>
      <c r="H266" s="1601"/>
    </row>
    <row r="267" spans="1:8">
      <c r="A267" s="1602" t="s">
        <v>1070</v>
      </c>
      <c r="B267" s="1601"/>
      <c r="C267" s="1601"/>
      <c r="D267" s="1601"/>
      <c r="E267" s="1601"/>
      <c r="F267" s="1601"/>
      <c r="G267" s="1601"/>
      <c r="H267" s="1601"/>
    </row>
    <row r="268" spans="1:8">
      <c r="A268" s="1602" t="s">
        <v>1071</v>
      </c>
      <c r="B268" s="1601"/>
      <c r="C268" s="1601"/>
      <c r="D268" s="1601"/>
      <c r="E268" s="1601"/>
      <c r="F268" s="1601"/>
      <c r="G268" s="1601"/>
      <c r="H268" s="1601"/>
    </row>
    <row r="269" spans="1:8">
      <c r="A269" s="1601"/>
      <c r="B269" s="1601"/>
      <c r="C269" s="1601"/>
      <c r="D269" s="1601"/>
      <c r="E269" s="1601"/>
      <c r="F269" s="1601"/>
      <c r="G269" s="1601"/>
      <c r="H269" s="1601"/>
    </row>
    <row r="270" spans="1:8">
      <c r="A270" s="1602" t="s">
        <v>1060</v>
      </c>
      <c r="B270" s="1601"/>
      <c r="C270" s="1601"/>
      <c r="D270" s="1601"/>
      <c r="E270" s="1601"/>
      <c r="F270" s="1601"/>
      <c r="G270" s="1601"/>
      <c r="H270" s="1601"/>
    </row>
    <row r="271" spans="1:8">
      <c r="A271" s="1602" t="s">
        <v>1061</v>
      </c>
      <c r="B271" s="1601"/>
      <c r="C271" s="1601"/>
      <c r="D271" s="1601"/>
      <c r="E271" s="1601"/>
      <c r="F271" s="1601"/>
      <c r="G271" s="1601"/>
      <c r="H271" s="1601"/>
    </row>
    <row r="272" spans="1:8">
      <c r="A272" s="1601"/>
      <c r="B272" s="1601"/>
      <c r="C272" s="1601"/>
      <c r="D272" s="1601"/>
      <c r="E272" s="1601"/>
      <c r="F272" s="1601"/>
      <c r="G272" s="1601"/>
      <c r="H272" s="1601"/>
    </row>
    <row r="273" spans="1:8">
      <c r="A273" s="1602" t="s">
        <v>1044</v>
      </c>
      <c r="B273" s="1601"/>
      <c r="C273" s="1601"/>
      <c r="D273" s="1601"/>
      <c r="E273" s="1601"/>
      <c r="F273" s="1601"/>
      <c r="G273" s="1601"/>
      <c r="H273" s="1601"/>
    </row>
    <row r="274" spans="1:8">
      <c r="A274" s="1602" t="s">
        <v>1045</v>
      </c>
      <c r="B274" s="1601"/>
      <c r="C274" s="1601"/>
      <c r="D274" s="1601"/>
      <c r="E274" s="1601"/>
      <c r="F274" s="1601"/>
      <c r="G274" s="1601"/>
      <c r="H274" s="1601"/>
    </row>
    <row r="275" spans="1:8">
      <c r="A275" s="1602" t="s">
        <v>1046</v>
      </c>
      <c r="B275" s="1601"/>
      <c r="C275" s="1601"/>
      <c r="D275" s="1601"/>
      <c r="E275" s="1601"/>
      <c r="F275" s="1601"/>
      <c r="G275" s="1601"/>
      <c r="H275" s="1601"/>
    </row>
    <row r="276" spans="1:8">
      <c r="A276" s="1602" t="s">
        <v>1047</v>
      </c>
      <c r="B276" s="1601"/>
      <c r="C276" s="1601"/>
      <c r="D276" s="1601"/>
      <c r="E276" s="1601"/>
      <c r="F276" s="1601"/>
      <c r="G276" s="1601"/>
      <c r="H276" s="1601"/>
    </row>
    <row r="277" spans="1:8">
      <c r="A277" s="1602" t="s">
        <v>1048</v>
      </c>
      <c r="B277" s="1601"/>
      <c r="C277" s="1601"/>
      <c r="D277" s="1601"/>
      <c r="E277" s="1601"/>
      <c r="F277" s="1601"/>
      <c r="G277" s="1601"/>
      <c r="H277" s="1601"/>
    </row>
    <row r="278" spans="1:8">
      <c r="A278" s="1602" t="s">
        <v>1049</v>
      </c>
      <c r="B278" s="1601"/>
      <c r="C278" s="1601"/>
      <c r="D278" s="1601"/>
      <c r="E278" s="1601"/>
      <c r="F278" s="1601"/>
      <c r="G278" s="1601"/>
      <c r="H278" s="1601"/>
    </row>
    <row r="279" spans="1:8">
      <c r="A279" s="1602" t="s">
        <v>1050</v>
      </c>
      <c r="B279" s="1601"/>
      <c r="C279" s="1601"/>
      <c r="D279" s="1601"/>
      <c r="E279" s="1601"/>
      <c r="F279" s="1601"/>
      <c r="G279" s="1601"/>
      <c r="H279" s="1601"/>
    </row>
    <row r="280" spans="1:8">
      <c r="A280" s="1602" t="s">
        <v>1051</v>
      </c>
      <c r="B280" s="1601"/>
      <c r="C280" s="1601"/>
      <c r="D280" s="1601"/>
      <c r="E280" s="1601"/>
      <c r="F280" s="1601"/>
      <c r="G280" s="1601"/>
      <c r="H280" s="1601"/>
    </row>
    <row r="281" spans="1:8">
      <c r="A281" s="1602" t="s">
        <v>1052</v>
      </c>
      <c r="B281" s="1601"/>
      <c r="C281" s="1601"/>
      <c r="D281" s="1601"/>
      <c r="E281" s="1601"/>
      <c r="F281" s="1601"/>
      <c r="G281" s="1601"/>
      <c r="H281" s="1601"/>
    </row>
    <row r="282" spans="1:8">
      <c r="A282" s="1602" t="s">
        <v>1053</v>
      </c>
      <c r="B282" s="1601"/>
      <c r="C282" s="1601"/>
      <c r="D282" s="1601"/>
      <c r="E282" s="1601"/>
      <c r="F282" s="1601"/>
      <c r="G282" s="1601"/>
      <c r="H282" s="1601"/>
    </row>
    <row r="283" spans="1:8">
      <c r="A283" s="1602" t="s">
        <v>1054</v>
      </c>
      <c r="B283" s="1601"/>
      <c r="C283" s="1601"/>
      <c r="D283" s="1601"/>
      <c r="E283" s="1601"/>
      <c r="F283" s="1601"/>
      <c r="G283" s="1601"/>
      <c r="H283" s="1601"/>
    </row>
    <row r="284" spans="1:8">
      <c r="A284" s="1602" t="s">
        <v>1055</v>
      </c>
      <c r="B284" s="1601"/>
      <c r="C284" s="1601"/>
      <c r="D284" s="1601"/>
      <c r="E284" s="1601"/>
      <c r="F284" s="1601"/>
      <c r="G284" s="1601"/>
      <c r="H284" s="1601"/>
    </row>
    <row r="285" spans="1:8">
      <c r="A285" s="1602" t="s">
        <v>1056</v>
      </c>
      <c r="B285" s="1601"/>
      <c r="C285" s="1601"/>
      <c r="D285" s="1601"/>
      <c r="E285" s="1601"/>
      <c r="F285" s="1601"/>
      <c r="G285" s="1601"/>
      <c r="H285" s="1601"/>
    </row>
    <row r="286" spans="1:8">
      <c r="A286" s="1602" t="s">
        <v>1057</v>
      </c>
      <c r="B286" s="1601"/>
      <c r="C286" s="1601"/>
      <c r="D286" s="1601"/>
      <c r="E286" s="1601"/>
      <c r="F286" s="1601"/>
      <c r="G286" s="1601"/>
      <c r="H286" s="1601"/>
    </row>
    <row r="287" spans="1:8">
      <c r="A287" s="1602" t="s">
        <v>1058</v>
      </c>
      <c r="B287" s="1601"/>
      <c r="C287" s="1601"/>
      <c r="D287" s="1601"/>
      <c r="E287" s="1601"/>
      <c r="F287" s="1601"/>
      <c r="G287" s="1601"/>
      <c r="H287" s="1601"/>
    </row>
    <row r="288" spans="1:8">
      <c r="A288" s="1602" t="s">
        <v>1059</v>
      </c>
      <c r="B288" s="1601"/>
      <c r="C288" s="1601"/>
      <c r="D288" s="1601"/>
      <c r="E288" s="1601"/>
      <c r="F288" s="1601"/>
      <c r="G288" s="1601"/>
      <c r="H288" s="1601"/>
    </row>
    <row r="289" spans="1:8">
      <c r="A289" s="1601"/>
      <c r="B289" s="1601"/>
      <c r="C289" s="1601"/>
      <c r="D289" s="1601"/>
      <c r="E289" s="1601"/>
      <c r="F289" s="1601"/>
      <c r="G289" s="1601"/>
      <c r="H289" s="1601"/>
    </row>
    <row r="290" spans="1:8">
      <c r="A290" s="1602" t="s">
        <v>1037</v>
      </c>
      <c r="B290" s="1601"/>
      <c r="C290" s="1601"/>
      <c r="D290" s="1601"/>
      <c r="E290" s="1601"/>
      <c r="F290" s="1601"/>
      <c r="G290" s="1601"/>
      <c r="H290" s="1601"/>
    </row>
    <row r="291" spans="1:8">
      <c r="A291" s="1602" t="s">
        <v>1038</v>
      </c>
      <c r="B291" s="1601"/>
      <c r="C291" s="1601"/>
      <c r="D291" s="1601"/>
      <c r="E291" s="1601"/>
      <c r="F291" s="1601"/>
      <c r="G291" s="1601"/>
      <c r="H291" s="1601"/>
    </row>
    <row r="292" spans="1:8">
      <c r="A292" s="1602" t="s">
        <v>1039</v>
      </c>
      <c r="B292" s="1601"/>
      <c r="C292" s="1601"/>
      <c r="D292" s="1601"/>
      <c r="E292" s="1601"/>
      <c r="F292" s="1601"/>
      <c r="G292" s="1601"/>
      <c r="H292" s="1601"/>
    </row>
    <row r="293" spans="1:8">
      <c r="A293" s="1602" t="s">
        <v>1040</v>
      </c>
      <c r="B293" s="1601"/>
      <c r="C293" s="1601"/>
      <c r="D293" s="1601"/>
      <c r="E293" s="1601"/>
      <c r="F293" s="1601"/>
      <c r="G293" s="1601"/>
      <c r="H293" s="1601"/>
    </row>
    <row r="294" spans="1:8">
      <c r="A294" s="1602" t="s">
        <v>1041</v>
      </c>
      <c r="B294" s="1601"/>
      <c r="C294" s="1601"/>
      <c r="D294" s="1601"/>
      <c r="E294" s="1601"/>
      <c r="F294" s="1601"/>
      <c r="G294" s="1601"/>
      <c r="H294" s="1601"/>
    </row>
    <row r="295" spans="1:8">
      <c r="A295" s="1602" t="s">
        <v>1042</v>
      </c>
      <c r="B295" s="1601"/>
      <c r="C295" s="1601"/>
      <c r="D295" s="1601"/>
      <c r="E295" s="1601"/>
      <c r="F295" s="1601"/>
      <c r="G295" s="1601"/>
      <c r="H295" s="1601"/>
    </row>
    <row r="296" spans="1:8">
      <c r="A296" s="1602" t="s">
        <v>1043</v>
      </c>
      <c r="B296" s="1601"/>
      <c r="C296" s="1601"/>
      <c r="D296" s="1601"/>
      <c r="E296" s="1601"/>
      <c r="F296" s="1601"/>
      <c r="G296" s="1601"/>
      <c r="H296" s="1601"/>
    </row>
    <row r="297" spans="1:8">
      <c r="A297" s="1601"/>
      <c r="B297" s="1601"/>
      <c r="C297" s="1601"/>
      <c r="D297" s="1601"/>
      <c r="E297" s="1601"/>
      <c r="F297" s="1601"/>
      <c r="G297" s="1601"/>
      <c r="H297" s="1601"/>
    </row>
    <row r="298" spans="1:8">
      <c r="A298" s="1602" t="s">
        <v>1028</v>
      </c>
      <c r="B298" s="1601"/>
      <c r="C298" s="1601"/>
      <c r="D298" s="1601"/>
      <c r="E298" s="1601"/>
      <c r="F298" s="1601"/>
      <c r="G298" s="1601"/>
      <c r="H298" s="1601"/>
    </row>
    <row r="299" spans="1:8">
      <c r="A299" s="1602" t="s">
        <v>1029</v>
      </c>
      <c r="B299" s="1601"/>
      <c r="C299" s="1601"/>
      <c r="D299" s="1601"/>
      <c r="E299" s="1601"/>
      <c r="F299" s="1601"/>
      <c r="G299" s="1601"/>
      <c r="H299" s="1601"/>
    </row>
    <row r="300" spans="1:8">
      <c r="A300" s="1602" t="s">
        <v>1030</v>
      </c>
      <c r="B300" s="1601"/>
      <c r="C300" s="1601"/>
      <c r="D300" s="1601"/>
      <c r="E300" s="1601"/>
      <c r="F300" s="1601"/>
      <c r="G300" s="1601"/>
      <c r="H300" s="1601"/>
    </row>
    <row r="301" spans="1:8">
      <c r="A301" s="1602" t="s">
        <v>1031</v>
      </c>
      <c r="B301" s="1601"/>
      <c r="C301" s="1601"/>
      <c r="D301" s="1601"/>
      <c r="E301" s="1601"/>
      <c r="F301" s="1601"/>
      <c r="G301" s="1601"/>
      <c r="H301" s="1601"/>
    </row>
    <row r="302" spans="1:8">
      <c r="A302" s="1602" t="s">
        <v>1032</v>
      </c>
      <c r="B302" s="1601"/>
      <c r="C302" s="1601"/>
      <c r="D302" s="1601"/>
      <c r="E302" s="1601"/>
      <c r="F302" s="1601"/>
      <c r="G302" s="1601"/>
      <c r="H302" s="1601"/>
    </row>
    <row r="303" spans="1:8">
      <c r="A303" s="1602" t="s">
        <v>1033</v>
      </c>
      <c r="B303" s="1601"/>
      <c r="C303" s="1601"/>
      <c r="D303" s="1601"/>
      <c r="E303" s="1601"/>
      <c r="F303" s="1601"/>
      <c r="G303" s="1601"/>
      <c r="H303" s="1601"/>
    </row>
    <row r="304" spans="1:8">
      <c r="A304" s="1602" t="s">
        <v>1034</v>
      </c>
      <c r="B304" s="1601"/>
      <c r="C304" s="1601"/>
      <c r="D304" s="1601"/>
      <c r="E304" s="1601"/>
      <c r="F304" s="1601"/>
      <c r="G304" s="1601"/>
      <c r="H304" s="1601"/>
    </row>
    <row r="305" spans="1:8">
      <c r="A305" s="1602" t="s">
        <v>1035</v>
      </c>
      <c r="B305" s="1601"/>
      <c r="C305" s="1601"/>
      <c r="D305" s="1601"/>
      <c r="E305" s="1601"/>
      <c r="F305" s="1601"/>
      <c r="G305" s="1601"/>
      <c r="H305" s="1601"/>
    </row>
    <row r="306" spans="1:8">
      <c r="A306" s="1602" t="s">
        <v>1036</v>
      </c>
      <c r="B306" s="1601"/>
      <c r="C306" s="1601"/>
      <c r="D306" s="1601"/>
      <c r="E306" s="1601"/>
      <c r="F306" s="1601"/>
      <c r="G306" s="1601"/>
      <c r="H306" s="1601"/>
    </row>
    <row r="307" spans="1:8">
      <c r="A307" s="1601"/>
      <c r="B307" s="1601"/>
      <c r="C307" s="1601"/>
      <c r="D307" s="1601"/>
      <c r="E307" s="1601"/>
      <c r="F307" s="1601"/>
      <c r="G307" s="1601"/>
      <c r="H307" s="1601"/>
    </row>
    <row r="308" spans="1:8">
      <c r="A308" s="1602" t="s">
        <v>1021</v>
      </c>
      <c r="B308" s="1601"/>
      <c r="C308" s="1601"/>
      <c r="D308" s="1601"/>
      <c r="E308" s="1601"/>
      <c r="F308" s="1601"/>
      <c r="G308" s="1601"/>
      <c r="H308" s="1601"/>
    </row>
    <row r="309" spans="1:8">
      <c r="A309" s="1602" t="s">
        <v>1022</v>
      </c>
      <c r="B309" s="1601"/>
      <c r="C309" s="1601"/>
      <c r="D309" s="1601"/>
      <c r="E309" s="1601"/>
      <c r="F309" s="1601"/>
      <c r="G309" s="1601"/>
      <c r="H309" s="1601"/>
    </row>
    <row r="310" spans="1:8">
      <c r="A310" s="1602" t="s">
        <v>1023</v>
      </c>
      <c r="B310" s="1601"/>
      <c r="C310" s="1601"/>
      <c r="D310" s="1601"/>
      <c r="E310" s="1601"/>
      <c r="F310" s="1601"/>
      <c r="G310" s="1601"/>
      <c r="H310" s="1601"/>
    </row>
    <row r="311" spans="1:8">
      <c r="A311" s="1602" t="s">
        <v>1024</v>
      </c>
      <c r="B311" s="1601"/>
      <c r="C311" s="1601"/>
      <c r="D311" s="1601"/>
      <c r="E311" s="1601"/>
      <c r="F311" s="1601"/>
      <c r="G311" s="1601"/>
      <c r="H311" s="1601"/>
    </row>
    <row r="312" spans="1:8">
      <c r="A312" s="1602" t="s">
        <v>1025</v>
      </c>
      <c r="B312" s="1601"/>
      <c r="C312" s="1601"/>
      <c r="D312" s="1601"/>
      <c r="E312" s="1601"/>
      <c r="F312" s="1601"/>
      <c r="G312" s="1601"/>
      <c r="H312" s="1601"/>
    </row>
    <row r="313" spans="1:8">
      <c r="A313" s="1602" t="s">
        <v>1026</v>
      </c>
      <c r="B313" s="1601"/>
      <c r="C313" s="1601"/>
      <c r="D313" s="1601"/>
      <c r="E313" s="1601"/>
      <c r="F313" s="1601"/>
      <c r="G313" s="1601"/>
      <c r="H313" s="1601"/>
    </row>
    <row r="314" spans="1:8">
      <c r="A314" s="1602" t="s">
        <v>1027</v>
      </c>
      <c r="B314" s="1601"/>
      <c r="C314" s="1601"/>
      <c r="D314" s="1601"/>
      <c r="E314" s="1601"/>
      <c r="F314" s="1601"/>
      <c r="G314" s="1601"/>
      <c r="H314" s="1601"/>
    </row>
    <row r="315" spans="1:8">
      <c r="A315" s="1601"/>
      <c r="B315" s="1601"/>
      <c r="C315" s="1601"/>
      <c r="D315" s="1601"/>
      <c r="E315" s="1601"/>
      <c r="F315" s="1601"/>
      <c r="G315" s="1601"/>
      <c r="H315" s="1601"/>
    </row>
    <row r="316" spans="1:8">
      <c r="A316" s="1602" t="s">
        <v>1018</v>
      </c>
      <c r="B316" s="1601"/>
      <c r="C316" s="1601"/>
      <c r="D316" s="1601"/>
      <c r="E316" s="1601"/>
      <c r="F316" s="1601"/>
      <c r="G316" s="1601"/>
      <c r="H316" s="1601"/>
    </row>
    <row r="317" spans="1:8">
      <c r="A317" s="1602" t="s">
        <v>1019</v>
      </c>
      <c r="B317" s="1601"/>
      <c r="C317" s="1601"/>
      <c r="D317" s="1601"/>
      <c r="E317" s="1601"/>
      <c r="F317" s="1601"/>
      <c r="G317" s="1601"/>
      <c r="H317" s="1601"/>
    </row>
    <row r="318" spans="1:8">
      <c r="A318" s="1602" t="s">
        <v>1020</v>
      </c>
      <c r="B318" s="1601"/>
      <c r="C318" s="1601"/>
      <c r="D318" s="1601"/>
      <c r="E318" s="1601"/>
      <c r="F318" s="1601"/>
      <c r="G318" s="1601"/>
      <c r="H318" s="1601"/>
    </row>
    <row r="319" spans="1:8">
      <c r="A319" s="1601"/>
      <c r="B319" s="1601"/>
      <c r="C319" s="1601"/>
      <c r="D319" s="1601"/>
      <c r="E319" s="1601"/>
      <c r="F319" s="1601"/>
      <c r="G319" s="1601"/>
      <c r="H319" s="1601"/>
    </row>
    <row r="320" spans="1:8">
      <c r="A320" s="1602" t="s">
        <v>1016</v>
      </c>
      <c r="B320" s="1601"/>
      <c r="C320" s="1601"/>
      <c r="D320" s="1601"/>
      <c r="E320" s="1601"/>
      <c r="F320" s="1601"/>
      <c r="G320" s="1601"/>
      <c r="H320" s="1601"/>
    </row>
    <row r="321" spans="1:8">
      <c r="A321" s="1602" t="s">
        <v>1017</v>
      </c>
      <c r="B321" s="1601"/>
      <c r="C321" s="1601"/>
      <c r="D321" s="1601"/>
      <c r="E321" s="1601"/>
      <c r="F321" s="1601"/>
      <c r="G321" s="1601"/>
      <c r="H321" s="1601"/>
    </row>
    <row r="322" spans="1:8">
      <c r="A322" s="1601"/>
      <c r="B322" s="1601"/>
      <c r="C322" s="1601"/>
      <c r="D322" s="1601"/>
      <c r="E322" s="1601"/>
      <c r="F322" s="1601"/>
      <c r="G322" s="1601"/>
      <c r="H322" s="1601"/>
    </row>
    <row r="323" spans="1:8">
      <c r="A323" s="1602" t="s">
        <v>1003</v>
      </c>
      <c r="B323" s="1601"/>
      <c r="C323" s="1601"/>
      <c r="D323" s="1601"/>
      <c r="E323" s="1601"/>
      <c r="F323" s="1601"/>
      <c r="G323" s="1601"/>
      <c r="H323" s="1601"/>
    </row>
    <row r="324" spans="1:8">
      <c r="A324" s="1602" t="s">
        <v>1004</v>
      </c>
      <c r="B324" s="1601"/>
      <c r="C324" s="1601"/>
      <c r="D324" s="1601"/>
      <c r="E324" s="1601"/>
      <c r="F324" s="1601"/>
      <c r="G324" s="1601"/>
      <c r="H324" s="1601"/>
    </row>
    <row r="325" spans="1:8">
      <c r="A325" s="1602" t="s">
        <v>1005</v>
      </c>
      <c r="B325" s="1601"/>
      <c r="C325" s="1601"/>
      <c r="D325" s="1601"/>
      <c r="E325" s="1601"/>
      <c r="F325" s="1601"/>
      <c r="G325" s="1601"/>
      <c r="H325" s="1601"/>
    </row>
    <row r="326" spans="1:8">
      <c r="A326" s="1602" t="s">
        <v>1006</v>
      </c>
      <c r="B326" s="1601"/>
      <c r="C326" s="1601"/>
      <c r="D326" s="1601"/>
      <c r="E326" s="1601"/>
      <c r="F326" s="1601"/>
      <c r="G326" s="1601"/>
      <c r="H326" s="1601"/>
    </row>
    <row r="327" spans="1:8">
      <c r="A327" s="1602" t="s">
        <v>1007</v>
      </c>
      <c r="B327" s="1601"/>
      <c r="C327" s="1601"/>
      <c r="D327" s="1601"/>
      <c r="E327" s="1601"/>
      <c r="F327" s="1601"/>
      <c r="G327" s="1601"/>
      <c r="H327" s="1601"/>
    </row>
    <row r="328" spans="1:8">
      <c r="A328" s="1602" t="s">
        <v>1008</v>
      </c>
      <c r="B328" s="1601"/>
      <c r="C328" s="1601"/>
      <c r="D328" s="1601"/>
      <c r="E328" s="1601"/>
      <c r="F328" s="1601"/>
      <c r="G328" s="1601"/>
      <c r="H328" s="1601"/>
    </row>
    <row r="329" spans="1:8">
      <c r="A329" s="1602" t="s">
        <v>1009</v>
      </c>
      <c r="B329" s="1601"/>
      <c r="C329" s="1601"/>
      <c r="D329" s="1601"/>
      <c r="E329" s="1601"/>
      <c r="F329" s="1601"/>
      <c r="G329" s="1601"/>
      <c r="H329" s="1601"/>
    </row>
    <row r="330" spans="1:8">
      <c r="A330" s="1602" t="s">
        <v>1010</v>
      </c>
      <c r="B330" s="1601"/>
      <c r="C330" s="1601"/>
      <c r="D330" s="1601"/>
      <c r="E330" s="1601"/>
      <c r="F330" s="1601"/>
      <c r="G330" s="1601"/>
      <c r="H330" s="1601"/>
    </row>
    <row r="331" spans="1:8">
      <c r="A331" s="1602" t="s">
        <v>1011</v>
      </c>
      <c r="B331" s="1601"/>
      <c r="C331" s="1601"/>
      <c r="D331" s="1601"/>
      <c r="E331" s="1601"/>
      <c r="F331" s="1601"/>
      <c r="G331" s="1601"/>
      <c r="H331" s="1601"/>
    </row>
    <row r="332" spans="1:8">
      <c r="A332" s="1602" t="s">
        <v>1012</v>
      </c>
      <c r="B332" s="1601"/>
      <c r="C332" s="1601"/>
      <c r="D332" s="1601"/>
      <c r="E332" s="1601"/>
      <c r="F332" s="1601"/>
      <c r="G332" s="1601"/>
      <c r="H332" s="1601"/>
    </row>
    <row r="333" spans="1:8">
      <c r="A333" s="1602" t="s">
        <v>1013</v>
      </c>
      <c r="B333" s="1601"/>
      <c r="C333" s="1601"/>
      <c r="D333" s="1601"/>
      <c r="E333" s="1601"/>
      <c r="F333" s="1601"/>
      <c r="G333" s="1601"/>
      <c r="H333" s="1601"/>
    </row>
    <row r="334" spans="1:8">
      <c r="A334" s="1602" t="s">
        <v>1014</v>
      </c>
      <c r="B334" s="1601"/>
      <c r="C334" s="1601"/>
      <c r="D334" s="1601"/>
      <c r="E334" s="1601"/>
      <c r="F334" s="1601"/>
      <c r="G334" s="1601"/>
      <c r="H334" s="1601"/>
    </row>
    <row r="335" spans="1:8">
      <c r="A335" s="1602" t="s">
        <v>1015</v>
      </c>
      <c r="B335" s="1601"/>
      <c r="C335" s="1601"/>
      <c r="D335" s="1601"/>
      <c r="E335" s="1601"/>
      <c r="F335" s="1601"/>
      <c r="G335" s="1601"/>
      <c r="H335" s="1601"/>
    </row>
    <row r="336" spans="1:8">
      <c r="A336" s="1601"/>
      <c r="B336" s="1601"/>
      <c r="C336" s="1601"/>
      <c r="D336" s="1601"/>
      <c r="E336" s="1601"/>
      <c r="F336" s="1601"/>
      <c r="G336" s="1601"/>
      <c r="H336" s="1601"/>
    </row>
    <row r="337" spans="1:8">
      <c r="A337" s="1602" t="s">
        <v>1001</v>
      </c>
      <c r="B337" s="1601"/>
      <c r="C337" s="1601"/>
      <c r="D337" s="1601"/>
      <c r="E337" s="1601"/>
      <c r="F337" s="1601"/>
      <c r="G337" s="1601"/>
      <c r="H337" s="1601"/>
    </row>
    <row r="338" spans="1:8">
      <c r="A338" s="1602" t="s">
        <v>1002</v>
      </c>
      <c r="B338" s="1601"/>
      <c r="C338" s="1601"/>
      <c r="D338" s="1601"/>
      <c r="E338" s="1601"/>
      <c r="F338" s="1601"/>
      <c r="G338" s="1601"/>
      <c r="H338" s="1601"/>
    </row>
    <row r="339" spans="1:8">
      <c r="A339" s="1601"/>
      <c r="B339" s="1601"/>
      <c r="C339" s="1601"/>
      <c r="D339" s="1601"/>
      <c r="E339" s="1601"/>
      <c r="F339" s="1601"/>
      <c r="G339" s="1601"/>
      <c r="H339" s="1601"/>
    </row>
    <row r="340" spans="1:8">
      <c r="A340" s="1602" t="s">
        <v>993</v>
      </c>
      <c r="B340" s="1601"/>
      <c r="C340" s="1601"/>
      <c r="D340" s="1601"/>
      <c r="E340" s="1601"/>
      <c r="F340" s="1601"/>
      <c r="G340" s="1601"/>
      <c r="H340" s="1601"/>
    </row>
    <row r="341" spans="1:8">
      <c r="A341" s="1602" t="s">
        <v>994</v>
      </c>
      <c r="B341" s="1601"/>
      <c r="C341" s="1601"/>
      <c r="D341" s="1601"/>
      <c r="E341" s="1601"/>
      <c r="F341" s="1601"/>
      <c r="G341" s="1601"/>
      <c r="H341" s="1601"/>
    </row>
    <row r="342" spans="1:8">
      <c r="A342" s="1602" t="s">
        <v>995</v>
      </c>
      <c r="B342" s="1601"/>
      <c r="C342" s="1601"/>
      <c r="D342" s="1601"/>
      <c r="E342" s="1601"/>
      <c r="F342" s="1601"/>
      <c r="G342" s="1601"/>
      <c r="H342" s="1601"/>
    </row>
    <row r="343" spans="1:8">
      <c r="A343" s="1602" t="s">
        <v>996</v>
      </c>
      <c r="B343" s="1601"/>
      <c r="C343" s="1601"/>
      <c r="D343" s="1601"/>
      <c r="E343" s="1601"/>
      <c r="F343" s="1601"/>
      <c r="G343" s="1601"/>
      <c r="H343" s="1601"/>
    </row>
    <row r="344" spans="1:8">
      <c r="A344" s="1602" t="s">
        <v>997</v>
      </c>
      <c r="B344" s="1601"/>
      <c r="C344" s="1601"/>
      <c r="D344" s="1601"/>
      <c r="E344" s="1601"/>
      <c r="F344" s="1601"/>
      <c r="G344" s="1601"/>
      <c r="H344" s="1601"/>
    </row>
    <row r="345" spans="1:8">
      <c r="A345" s="1602" t="s">
        <v>998</v>
      </c>
      <c r="B345" s="1601"/>
      <c r="C345" s="1601"/>
      <c r="D345" s="1601"/>
      <c r="E345" s="1601"/>
      <c r="F345" s="1601"/>
      <c r="G345" s="1601"/>
      <c r="H345" s="1601"/>
    </row>
    <row r="346" spans="1:8">
      <c r="A346" s="1602" t="s">
        <v>999</v>
      </c>
      <c r="B346" s="1601"/>
      <c r="C346" s="1601"/>
      <c r="D346" s="1601"/>
      <c r="E346" s="1601"/>
      <c r="F346" s="1601"/>
      <c r="G346" s="1601"/>
      <c r="H346" s="1601"/>
    </row>
    <row r="347" spans="1:8">
      <c r="A347" s="1602" t="s">
        <v>1000</v>
      </c>
      <c r="B347" s="1601"/>
      <c r="C347" s="1601"/>
      <c r="D347" s="1601"/>
      <c r="E347" s="1601"/>
      <c r="F347" s="1601"/>
      <c r="G347" s="1601"/>
      <c r="H347" s="1601"/>
    </row>
    <row r="348" spans="1:8">
      <c r="A348" s="1601"/>
      <c r="B348" s="1601"/>
      <c r="C348" s="1601"/>
      <c r="D348" s="1601"/>
      <c r="E348" s="1601"/>
      <c r="F348" s="1601"/>
      <c r="G348" s="1601"/>
      <c r="H348" s="1601"/>
    </row>
    <row r="349" spans="1:8">
      <c r="A349" s="1602" t="s">
        <v>958</v>
      </c>
      <c r="B349" s="1601"/>
      <c r="C349" s="1601"/>
      <c r="D349" s="1601"/>
      <c r="E349" s="1601"/>
      <c r="F349" s="1601"/>
      <c r="G349" s="1601"/>
      <c r="H349" s="1601"/>
    </row>
    <row r="350" spans="1:8">
      <c r="A350" s="1602" t="s">
        <v>959</v>
      </c>
      <c r="B350" s="1601"/>
      <c r="C350" s="1601"/>
      <c r="D350" s="1601"/>
      <c r="E350" s="1601"/>
      <c r="F350" s="1601"/>
      <c r="G350" s="1601"/>
      <c r="H350" s="1601"/>
    </row>
    <row r="351" spans="1:8">
      <c r="A351" s="1602" t="s">
        <v>960</v>
      </c>
      <c r="B351" s="1601"/>
      <c r="C351" s="1601"/>
      <c r="D351" s="1601"/>
      <c r="E351" s="1601"/>
      <c r="F351" s="1601"/>
      <c r="G351" s="1601"/>
      <c r="H351" s="1601"/>
    </row>
    <row r="352" spans="1:8">
      <c r="A352" s="1602" t="s">
        <v>961</v>
      </c>
      <c r="B352" s="1601"/>
      <c r="C352" s="1601"/>
      <c r="D352" s="1601"/>
      <c r="E352" s="1601"/>
      <c r="F352" s="1601"/>
      <c r="G352" s="1601"/>
      <c r="H352" s="1601"/>
    </row>
    <row r="353" spans="1:8">
      <c r="A353" s="1602" t="s">
        <v>962</v>
      </c>
      <c r="B353" s="1601"/>
      <c r="C353" s="1601"/>
      <c r="D353" s="1601"/>
      <c r="E353" s="1601"/>
      <c r="F353" s="1601"/>
      <c r="G353" s="1601"/>
      <c r="H353" s="1601"/>
    </row>
    <row r="354" spans="1:8">
      <c r="A354" s="1602" t="s">
        <v>963</v>
      </c>
      <c r="B354" s="1601"/>
      <c r="C354" s="1601"/>
      <c r="D354" s="1601"/>
      <c r="E354" s="1601"/>
      <c r="F354" s="1601"/>
      <c r="G354" s="1601"/>
      <c r="H354" s="1601"/>
    </row>
    <row r="355" spans="1:8">
      <c r="A355" s="1602" t="s">
        <v>964</v>
      </c>
      <c r="B355" s="1601"/>
      <c r="C355" s="1601"/>
      <c r="D355" s="1601"/>
      <c r="E355" s="1601"/>
      <c r="F355" s="1601"/>
      <c r="G355" s="1601"/>
      <c r="H355" s="1601"/>
    </row>
    <row r="356" spans="1:8">
      <c r="A356" s="1602" t="s">
        <v>965</v>
      </c>
      <c r="B356" s="1601"/>
      <c r="C356" s="1601"/>
      <c r="D356" s="1601"/>
      <c r="E356" s="1601"/>
      <c r="F356" s="1601"/>
      <c r="G356" s="1601"/>
      <c r="H356" s="1601"/>
    </row>
    <row r="357" spans="1:8">
      <c r="A357" s="1602" t="s">
        <v>966</v>
      </c>
      <c r="B357" s="1601"/>
      <c r="C357" s="1601"/>
      <c r="D357" s="1601"/>
      <c r="E357" s="1601"/>
      <c r="F357" s="1601"/>
      <c r="G357" s="1601"/>
      <c r="H357" s="1601"/>
    </row>
    <row r="358" spans="1:8">
      <c r="A358" s="1602" t="s">
        <v>967</v>
      </c>
      <c r="B358" s="1601"/>
      <c r="C358" s="1601"/>
      <c r="D358" s="1601"/>
      <c r="E358" s="1601"/>
      <c r="F358" s="1601"/>
      <c r="G358" s="1601"/>
      <c r="H358" s="1601"/>
    </row>
    <row r="359" spans="1:8">
      <c r="A359" s="1602" t="s">
        <v>968</v>
      </c>
      <c r="B359" s="1601"/>
      <c r="C359" s="1601"/>
      <c r="D359" s="1601"/>
      <c r="E359" s="1601"/>
      <c r="F359" s="1601"/>
      <c r="G359" s="1601"/>
      <c r="H359" s="1601"/>
    </row>
    <row r="360" spans="1:8">
      <c r="A360" s="1602" t="s">
        <v>969</v>
      </c>
      <c r="B360" s="1601"/>
      <c r="C360" s="1601"/>
      <c r="D360" s="1601"/>
      <c r="E360" s="1601"/>
      <c r="F360" s="1601"/>
      <c r="G360" s="1601"/>
      <c r="H360" s="1601"/>
    </row>
    <row r="361" spans="1:8">
      <c r="A361" s="1602" t="s">
        <v>970</v>
      </c>
      <c r="B361" s="1601"/>
      <c r="C361" s="1601"/>
      <c r="D361" s="1601"/>
      <c r="E361" s="1601"/>
      <c r="F361" s="1601"/>
      <c r="G361" s="1601"/>
      <c r="H361" s="1601"/>
    </row>
    <row r="362" spans="1:8">
      <c r="A362" s="1602" t="s">
        <v>971</v>
      </c>
      <c r="B362" s="1601"/>
      <c r="C362" s="1601"/>
      <c r="D362" s="1601"/>
      <c r="E362" s="1601"/>
      <c r="F362" s="1601"/>
      <c r="G362" s="1601"/>
      <c r="H362" s="1601"/>
    </row>
    <row r="363" spans="1:8">
      <c r="A363" s="1602" t="s">
        <v>972</v>
      </c>
      <c r="B363" s="1601"/>
      <c r="C363" s="1601"/>
      <c r="D363" s="1601"/>
      <c r="E363" s="1601"/>
      <c r="F363" s="1601"/>
      <c r="G363" s="1601"/>
      <c r="H363" s="1601"/>
    </row>
    <row r="364" spans="1:8">
      <c r="A364" s="1602" t="s">
        <v>973</v>
      </c>
      <c r="B364" s="1601"/>
      <c r="C364" s="1601"/>
      <c r="D364" s="1601"/>
      <c r="E364" s="1601"/>
      <c r="F364" s="1601"/>
      <c r="G364" s="1601"/>
      <c r="H364" s="1601"/>
    </row>
    <row r="365" spans="1:8">
      <c r="A365" s="1602" t="s">
        <v>974</v>
      </c>
      <c r="B365" s="1601"/>
      <c r="C365" s="1601"/>
      <c r="D365" s="1601"/>
      <c r="E365" s="1601"/>
      <c r="F365" s="1601"/>
      <c r="G365" s="1601"/>
      <c r="H365" s="1601"/>
    </row>
    <row r="366" spans="1:8">
      <c r="A366" s="1602" t="s">
        <v>975</v>
      </c>
      <c r="B366" s="1601"/>
      <c r="C366" s="1601"/>
      <c r="D366" s="1601"/>
      <c r="E366" s="1601"/>
      <c r="F366" s="1601"/>
      <c r="G366" s="1601"/>
      <c r="H366" s="1601"/>
    </row>
    <row r="367" spans="1:8">
      <c r="A367" s="1602" t="s">
        <v>976</v>
      </c>
      <c r="B367" s="1601"/>
      <c r="C367" s="1601"/>
      <c r="D367" s="1601"/>
      <c r="E367" s="1601"/>
      <c r="F367" s="1601"/>
      <c r="G367" s="1601"/>
      <c r="H367" s="1601"/>
    </row>
    <row r="368" spans="1:8">
      <c r="A368" s="1602" t="s">
        <v>977</v>
      </c>
      <c r="B368" s="1601"/>
      <c r="C368" s="1601"/>
      <c r="D368" s="1601"/>
      <c r="E368" s="1601"/>
      <c r="F368" s="1601"/>
      <c r="G368" s="1601"/>
      <c r="H368" s="1601"/>
    </row>
    <row r="369" spans="1:8">
      <c r="A369" s="1602" t="s">
        <v>978</v>
      </c>
      <c r="B369" s="1601"/>
      <c r="C369" s="1601"/>
      <c r="D369" s="1601"/>
      <c r="E369" s="1601"/>
      <c r="F369" s="1601"/>
      <c r="G369" s="1601"/>
      <c r="H369" s="1601"/>
    </row>
    <row r="370" spans="1:8">
      <c r="A370" s="1602" t="s">
        <v>979</v>
      </c>
      <c r="B370" s="1601"/>
      <c r="C370" s="1601"/>
      <c r="D370" s="1601"/>
      <c r="E370" s="1601"/>
      <c r="F370" s="1601"/>
      <c r="G370" s="1601"/>
      <c r="H370" s="1601"/>
    </row>
    <row r="371" spans="1:8">
      <c r="A371" s="1602" t="s">
        <v>980</v>
      </c>
      <c r="B371" s="1601"/>
      <c r="C371" s="1601"/>
      <c r="D371" s="1601"/>
      <c r="E371" s="1601"/>
      <c r="F371" s="1601"/>
      <c r="G371" s="1601"/>
      <c r="H371" s="1601"/>
    </row>
    <row r="372" spans="1:8">
      <c r="A372" s="1602" t="s">
        <v>981</v>
      </c>
      <c r="B372" s="1601"/>
      <c r="C372" s="1601"/>
      <c r="D372" s="1601"/>
      <c r="E372" s="1601"/>
      <c r="F372" s="1601"/>
      <c r="G372" s="1601"/>
      <c r="H372" s="1601"/>
    </row>
    <row r="373" spans="1:8">
      <c r="A373" s="1602" t="s">
        <v>982</v>
      </c>
      <c r="B373" s="1601"/>
      <c r="C373" s="1601"/>
      <c r="D373" s="1601"/>
      <c r="E373" s="1601"/>
      <c r="F373" s="1601"/>
      <c r="G373" s="1601"/>
      <c r="H373" s="1601"/>
    </row>
    <row r="374" spans="1:8">
      <c r="A374" s="1602" t="s">
        <v>983</v>
      </c>
      <c r="B374" s="1601"/>
      <c r="C374" s="1601"/>
      <c r="D374" s="1601"/>
      <c r="E374" s="1601"/>
      <c r="F374" s="1601"/>
      <c r="G374" s="1601"/>
      <c r="H374" s="1601"/>
    </row>
    <row r="375" spans="1:8">
      <c r="A375" s="1602" t="s">
        <v>984</v>
      </c>
      <c r="B375" s="1601"/>
      <c r="C375" s="1601"/>
      <c r="D375" s="1601"/>
      <c r="E375" s="1601"/>
      <c r="F375" s="1601"/>
      <c r="G375" s="1601"/>
      <c r="H375" s="1601"/>
    </row>
    <row r="376" spans="1:8">
      <c r="A376" s="1602" t="s">
        <v>985</v>
      </c>
      <c r="B376" s="1601"/>
      <c r="C376" s="1601"/>
      <c r="D376" s="1601"/>
      <c r="E376" s="1601"/>
      <c r="F376" s="1601"/>
      <c r="G376" s="1601"/>
      <c r="H376" s="1601"/>
    </row>
    <row r="377" spans="1:8">
      <c r="A377" s="1602" t="s">
        <v>986</v>
      </c>
      <c r="B377" s="1601"/>
      <c r="C377" s="1601"/>
      <c r="D377" s="1601"/>
      <c r="E377" s="1601"/>
      <c r="F377" s="1601"/>
      <c r="G377" s="1601"/>
      <c r="H377" s="1601"/>
    </row>
    <row r="378" spans="1:8">
      <c r="A378" s="1602" t="s">
        <v>987</v>
      </c>
      <c r="B378" s="1601"/>
      <c r="C378" s="1601"/>
      <c r="D378" s="1601"/>
      <c r="E378" s="1601"/>
      <c r="F378" s="1601"/>
      <c r="G378" s="1601"/>
      <c r="H378" s="1601"/>
    </row>
    <row r="379" spans="1:8">
      <c r="A379" s="1602" t="s">
        <v>988</v>
      </c>
      <c r="B379" s="1601"/>
      <c r="C379" s="1601"/>
      <c r="D379" s="1601"/>
      <c r="E379" s="1601"/>
      <c r="F379" s="1601"/>
      <c r="G379" s="1601"/>
      <c r="H379" s="1601"/>
    </row>
    <row r="380" spans="1:8">
      <c r="A380" s="1602" t="s">
        <v>989</v>
      </c>
      <c r="B380" s="1601"/>
      <c r="C380" s="1601"/>
      <c r="D380" s="1601"/>
      <c r="E380" s="1601"/>
      <c r="F380" s="1601"/>
      <c r="G380" s="1601"/>
      <c r="H380" s="1601"/>
    </row>
    <row r="381" spans="1:8">
      <c r="A381" s="1602" t="s">
        <v>990</v>
      </c>
      <c r="B381" s="1601"/>
      <c r="C381" s="1601"/>
      <c r="D381" s="1601"/>
      <c r="E381" s="1601"/>
      <c r="F381" s="1601"/>
      <c r="G381" s="1601"/>
      <c r="H381" s="1601"/>
    </row>
    <row r="382" spans="1:8">
      <c r="A382" s="1602" t="s">
        <v>991</v>
      </c>
      <c r="B382" s="1601"/>
      <c r="C382" s="1601"/>
      <c r="D382" s="1601"/>
      <c r="E382" s="1601"/>
      <c r="F382" s="1601"/>
      <c r="G382" s="1601"/>
      <c r="H382" s="1601"/>
    </row>
    <row r="383" spans="1:8">
      <c r="A383" s="1602" t="s">
        <v>992</v>
      </c>
      <c r="B383" s="1601"/>
      <c r="C383" s="1601"/>
      <c r="D383" s="1601"/>
      <c r="E383" s="1601"/>
      <c r="F383" s="1601"/>
      <c r="G383" s="1601"/>
      <c r="H383" s="1601"/>
    </row>
    <row r="384" spans="1:8">
      <c r="A384" s="1601"/>
      <c r="B384" s="1601"/>
      <c r="C384" s="1601"/>
      <c r="D384" s="1601"/>
      <c r="E384" s="1601"/>
      <c r="F384" s="1601"/>
      <c r="G384" s="1601"/>
      <c r="H384" s="1601"/>
    </row>
    <row r="385" spans="1:8">
      <c r="A385" s="1602" t="s">
        <v>950</v>
      </c>
      <c r="B385" s="1601"/>
      <c r="C385" s="1601"/>
      <c r="D385" s="1601"/>
      <c r="E385" s="1601"/>
      <c r="F385" s="1601"/>
      <c r="G385" s="1601"/>
      <c r="H385" s="1601"/>
    </row>
    <row r="386" spans="1:8">
      <c r="A386" s="1602" t="s">
        <v>954</v>
      </c>
      <c r="B386" s="1601"/>
      <c r="C386" s="1601"/>
      <c r="D386" s="1601"/>
      <c r="E386" s="1601"/>
      <c r="F386" s="1601"/>
      <c r="G386" s="1601"/>
      <c r="H386" s="1601"/>
    </row>
    <row r="387" spans="1:8">
      <c r="A387" s="1602" t="s">
        <v>955</v>
      </c>
      <c r="B387" s="1601"/>
      <c r="C387" s="1601"/>
      <c r="D387" s="1601"/>
      <c r="E387" s="1601"/>
      <c r="F387" s="1601"/>
      <c r="G387" s="1601"/>
      <c r="H387" s="1601"/>
    </row>
    <row r="388" spans="1:8">
      <c r="A388" s="1602" t="s">
        <v>956</v>
      </c>
      <c r="B388" s="1601"/>
      <c r="C388" s="1601"/>
      <c r="D388" s="1601"/>
      <c r="E388" s="1601"/>
      <c r="F388" s="1601"/>
      <c r="G388" s="1601"/>
      <c r="H388" s="1601"/>
    </row>
    <row r="389" spans="1:8">
      <c r="A389" s="1602" t="s">
        <v>957</v>
      </c>
      <c r="B389" s="1601"/>
      <c r="C389" s="1601"/>
      <c r="D389" s="1601"/>
      <c r="E389" s="1601"/>
      <c r="F389" s="1601"/>
      <c r="G389" s="1601"/>
      <c r="H389" s="1601"/>
    </row>
    <row r="390" spans="1:8">
      <c r="A390" s="1601"/>
      <c r="B390" s="1601"/>
      <c r="C390" s="1601"/>
      <c r="D390" s="1601"/>
      <c r="E390" s="1601"/>
      <c r="F390" s="1601"/>
      <c r="G390" s="1601"/>
      <c r="H390" s="1601"/>
    </row>
    <row r="391" spans="1:8">
      <c r="A391" s="1602" t="s">
        <v>950</v>
      </c>
      <c r="B391" s="1601"/>
      <c r="C391" s="1601"/>
      <c r="D391" s="1601"/>
      <c r="E391" s="1601"/>
      <c r="F391" s="1601"/>
      <c r="G391" s="1601"/>
      <c r="H391" s="1601"/>
    </row>
    <row r="392" spans="1:8">
      <c r="A392" s="1602" t="s">
        <v>951</v>
      </c>
      <c r="B392" s="1601"/>
      <c r="C392" s="1601"/>
      <c r="D392" s="1601"/>
      <c r="E392" s="1601"/>
      <c r="F392" s="1601"/>
      <c r="G392" s="1601"/>
      <c r="H392" s="1601"/>
    </row>
    <row r="393" spans="1:8">
      <c r="A393" s="1602" t="s">
        <v>952</v>
      </c>
      <c r="B393" s="1601"/>
      <c r="C393" s="1601"/>
      <c r="D393" s="1601"/>
      <c r="E393" s="1601"/>
      <c r="F393" s="1601"/>
      <c r="G393" s="1601"/>
      <c r="H393" s="1601"/>
    </row>
    <row r="394" spans="1:8">
      <c r="A394" s="1602" t="s">
        <v>953</v>
      </c>
      <c r="B394" s="1601"/>
      <c r="C394" s="1601"/>
      <c r="D394" s="1601"/>
      <c r="E394" s="1601"/>
      <c r="F394" s="1601"/>
      <c r="G394" s="1601"/>
      <c r="H394" s="1601"/>
    </row>
    <row r="395" spans="1:8">
      <c r="A395" s="1601"/>
      <c r="B395" s="1601"/>
      <c r="C395" s="1601"/>
      <c r="D395" s="1601"/>
      <c r="E395" s="1601"/>
      <c r="F395" s="1601"/>
      <c r="G395" s="1601"/>
      <c r="H395" s="1601"/>
    </row>
    <row r="396" spans="1:8">
      <c r="A396" s="1602" t="s">
        <v>944</v>
      </c>
      <c r="B396" s="1601"/>
      <c r="C396" s="1601"/>
      <c r="D396" s="1601"/>
      <c r="E396" s="1601"/>
      <c r="F396" s="1601"/>
      <c r="G396" s="1601"/>
      <c r="H396" s="1601"/>
    </row>
    <row r="397" spans="1:8">
      <c r="A397" s="1602" t="s">
        <v>945</v>
      </c>
      <c r="B397" s="1601"/>
      <c r="C397" s="1601"/>
      <c r="D397" s="1601"/>
      <c r="E397" s="1601"/>
      <c r="F397" s="1601"/>
      <c r="G397" s="1601"/>
      <c r="H397" s="1601"/>
    </row>
    <row r="398" spans="1:8">
      <c r="A398" s="1602" t="s">
        <v>946</v>
      </c>
      <c r="B398" s="1601"/>
      <c r="C398" s="1601"/>
      <c r="D398" s="1601"/>
      <c r="E398" s="1601"/>
      <c r="F398" s="1601"/>
      <c r="G398" s="1601"/>
      <c r="H398" s="1601"/>
    </row>
    <row r="399" spans="1:8">
      <c r="A399" s="1602" t="s">
        <v>947</v>
      </c>
      <c r="B399" s="1601"/>
      <c r="C399" s="1601"/>
      <c r="D399" s="1601"/>
      <c r="E399" s="1601"/>
      <c r="F399" s="1601"/>
      <c r="G399" s="1601"/>
      <c r="H399" s="1601"/>
    </row>
    <row r="400" spans="1:8">
      <c r="A400" s="1602" t="s">
        <v>948</v>
      </c>
      <c r="B400" s="1601"/>
      <c r="C400" s="1601"/>
      <c r="D400" s="1601"/>
      <c r="E400" s="1601"/>
      <c r="F400" s="1601"/>
      <c r="G400" s="1601"/>
      <c r="H400" s="1601"/>
    </row>
    <row r="401" spans="1:8">
      <c r="A401" s="1602" t="s">
        <v>949</v>
      </c>
      <c r="B401" s="1601"/>
      <c r="C401" s="1601"/>
      <c r="D401" s="1601"/>
      <c r="E401" s="1601"/>
      <c r="F401" s="1601"/>
      <c r="G401" s="1601"/>
      <c r="H401" s="1601"/>
    </row>
    <row r="402" spans="1:8">
      <c r="A402" s="1601"/>
      <c r="B402" s="1601"/>
      <c r="C402" s="1601"/>
      <c r="D402" s="1601"/>
      <c r="E402" s="1601"/>
      <c r="F402" s="1601"/>
      <c r="G402" s="1601"/>
      <c r="H402" s="1601"/>
    </row>
    <row r="403" spans="1:8">
      <c r="A403" s="1602" t="s">
        <v>939</v>
      </c>
      <c r="B403" s="1601"/>
      <c r="C403" s="1601"/>
      <c r="D403" s="1601"/>
      <c r="E403" s="1601"/>
      <c r="F403" s="1601"/>
      <c r="G403" s="1601"/>
      <c r="H403" s="1601"/>
    </row>
    <row r="404" spans="1:8">
      <c r="A404" s="1602" t="s">
        <v>940</v>
      </c>
      <c r="B404" s="1601"/>
      <c r="C404" s="1601"/>
      <c r="D404" s="1601"/>
      <c r="E404" s="1601"/>
      <c r="F404" s="1601"/>
      <c r="G404" s="1601"/>
      <c r="H404" s="1601"/>
    </row>
    <row r="405" spans="1:8">
      <c r="A405" s="1602" t="s">
        <v>941</v>
      </c>
      <c r="B405" s="1601"/>
      <c r="C405" s="1601"/>
      <c r="D405" s="1601"/>
      <c r="E405" s="1601"/>
      <c r="F405" s="1601"/>
      <c r="G405" s="1601"/>
      <c r="H405" s="1601"/>
    </row>
    <row r="406" spans="1:8">
      <c r="A406" s="1602" t="s">
        <v>942</v>
      </c>
      <c r="B406" s="1601"/>
      <c r="C406" s="1601"/>
      <c r="D406" s="1601"/>
      <c r="E406" s="1601"/>
      <c r="F406" s="1601"/>
      <c r="G406" s="1601"/>
      <c r="H406" s="1601"/>
    </row>
    <row r="407" spans="1:8">
      <c r="A407" s="1602" t="s">
        <v>943</v>
      </c>
      <c r="B407" s="1601"/>
      <c r="C407" s="1601"/>
      <c r="D407" s="1601"/>
      <c r="E407" s="1601"/>
      <c r="F407" s="1601"/>
      <c r="G407" s="1601"/>
      <c r="H407" s="1601"/>
    </row>
    <row r="408" spans="1:8">
      <c r="A408" s="1601"/>
      <c r="B408" s="1601"/>
      <c r="C408" s="1601"/>
      <c r="D408" s="1601"/>
      <c r="E408" s="1601"/>
      <c r="F408" s="1601"/>
      <c r="G408" s="1601"/>
      <c r="H408" s="1601"/>
    </row>
    <row r="409" spans="1:8">
      <c r="A409" s="1602" t="s">
        <v>937</v>
      </c>
      <c r="B409" s="1601"/>
      <c r="C409" s="1601"/>
      <c r="D409" s="1601"/>
      <c r="E409" s="1601"/>
      <c r="F409" s="1601"/>
      <c r="G409" s="1601"/>
      <c r="H409" s="1601"/>
    </row>
    <row r="410" spans="1:8">
      <c r="A410" s="1602" t="s">
        <v>938</v>
      </c>
      <c r="B410" s="1601"/>
      <c r="C410" s="1601"/>
      <c r="D410" s="1601"/>
      <c r="E410" s="1601"/>
      <c r="F410" s="1601"/>
      <c r="G410" s="1601"/>
      <c r="H410" s="1601"/>
    </row>
    <row r="412" spans="1:8">
      <c r="A412" s="1597" t="s">
        <v>1211</v>
      </c>
    </row>
  </sheetData>
  <mergeCells count="12">
    <mergeCell ref="A147:H147"/>
    <mergeCell ref="A148:H148"/>
    <mergeCell ref="B140:C140"/>
    <mergeCell ref="D140:F140"/>
    <mergeCell ref="G140:H140"/>
    <mergeCell ref="A126:H126"/>
    <mergeCell ref="A127:H127"/>
    <mergeCell ref="A128:H128"/>
    <mergeCell ref="A129:H129"/>
    <mergeCell ref="A131:H131"/>
    <mergeCell ref="A132:H132"/>
    <mergeCell ref="A139:H139"/>
  </mergeCells>
  <pageMargins left="0.5" right="0.5" top="0.5" bottom="0.5" header="0.5" footer="0.5"/>
  <pageSetup orientation="portrait" horizontalDpi="300" verticalDpi="0"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2"/>
  <dimension ref="A1:Z392"/>
  <sheetViews>
    <sheetView showGridLines="0" workbookViewId="0">
      <pane xSplit="1" ySplit="2" topLeftCell="B3" activePane="bottomRight" state="frozen"/>
      <selection pane="topRight" activeCell="B1" sqref="B1"/>
      <selection pane="bottomLeft" activeCell="A3" sqref="A3"/>
      <selection pane="bottomRight"/>
    </sheetView>
  </sheetViews>
  <sheetFormatPr defaultColWidth="9.140625" defaultRowHeight="11.25" outlineLevelCol="1"/>
  <cols>
    <col min="1" max="1" width="40" style="21" customWidth="1"/>
    <col min="2" max="2" width="11.28515625" style="47" bestFit="1" customWidth="1"/>
    <col min="3" max="3" width="10.140625" style="47" bestFit="1" customWidth="1"/>
    <col min="4" max="5" width="9.85546875" style="47" bestFit="1" customWidth="1"/>
    <col min="6" max="7" width="9.85546875" style="18" customWidth="1"/>
    <col min="8" max="9" width="11" style="21" hidden="1" customWidth="1" outlineLevel="1"/>
    <col min="10" max="11" width="10.28515625" style="21" hidden="1" customWidth="1" outlineLevel="1"/>
    <col min="12" max="12" width="10" style="21" hidden="1" customWidth="1" outlineLevel="1" collapsed="1"/>
    <col min="13" max="13" width="10" style="21" hidden="1" customWidth="1" outlineLevel="1"/>
    <col min="14" max="14" width="10.140625" style="21" hidden="1" customWidth="1" outlineLevel="1"/>
    <col min="15" max="15" width="11.140625" style="21" hidden="1" customWidth="1" outlineLevel="1"/>
    <col min="16" max="16" width="9.5703125" style="21" hidden="1" customWidth="1" outlineLevel="1"/>
    <col min="17" max="19" width="9.140625" style="21" hidden="1" customWidth="1" outlineLevel="1"/>
    <col min="20" max="20" width="9.140625" style="21" customWidth="1" collapsed="1"/>
    <col min="21" max="23" width="9.140625" style="21" customWidth="1"/>
    <col min="24" max="26" width="9.140625" style="47" customWidth="1"/>
    <col min="27" max="16384" width="9.140625" style="47"/>
  </cols>
  <sheetData>
    <row r="1" spans="1:26">
      <c r="A1" s="48" t="s">
        <v>487</v>
      </c>
      <c r="B1" s="50">
        <v>41699</v>
      </c>
      <c r="C1" s="50">
        <v>42064</v>
      </c>
      <c r="D1" s="50">
        <v>42430</v>
      </c>
      <c r="E1" s="50">
        <v>42795</v>
      </c>
      <c r="F1" s="118"/>
      <c r="G1" s="118"/>
      <c r="H1" s="49">
        <v>41426</v>
      </c>
      <c r="I1" s="50">
        <v>41518</v>
      </c>
      <c r="J1" s="50">
        <v>41609</v>
      </c>
      <c r="K1" s="50">
        <v>41699</v>
      </c>
      <c r="L1" s="49">
        <v>41791</v>
      </c>
      <c r="M1" s="50">
        <v>41883</v>
      </c>
      <c r="N1" s="49">
        <v>41974</v>
      </c>
      <c r="O1" s="50">
        <v>42064</v>
      </c>
      <c r="P1" s="49">
        <v>42156</v>
      </c>
      <c r="Q1" s="50">
        <v>42248</v>
      </c>
      <c r="R1" s="49">
        <v>42339</v>
      </c>
      <c r="S1" s="50">
        <v>42430</v>
      </c>
      <c r="T1" s="49">
        <v>42522</v>
      </c>
      <c r="U1" s="50">
        <v>42614</v>
      </c>
      <c r="V1" s="49">
        <v>42705</v>
      </c>
      <c r="W1" s="49">
        <v>42795</v>
      </c>
      <c r="X1" s="49">
        <v>42903</v>
      </c>
      <c r="Y1" s="49">
        <v>42995</v>
      </c>
      <c r="Z1" s="49">
        <v>43086</v>
      </c>
    </row>
    <row r="2" spans="1:26">
      <c r="A2" s="48" t="s">
        <v>35</v>
      </c>
      <c r="B2" s="51" t="s">
        <v>419</v>
      </c>
      <c r="C2" s="51" t="s">
        <v>470</v>
      </c>
      <c r="D2" s="51" t="s">
        <v>471</v>
      </c>
      <c r="E2" s="51" t="s">
        <v>482</v>
      </c>
      <c r="F2" s="119"/>
      <c r="G2" s="119"/>
      <c r="H2" s="51" t="s">
        <v>72</v>
      </c>
      <c r="I2" s="51" t="s">
        <v>73</v>
      </c>
      <c r="J2" s="51" t="s">
        <v>74</v>
      </c>
      <c r="K2" s="51" t="s">
        <v>75</v>
      </c>
      <c r="L2" s="51" t="s">
        <v>76</v>
      </c>
      <c r="M2" s="51" t="s">
        <v>77</v>
      </c>
      <c r="N2" s="51" t="s">
        <v>78</v>
      </c>
      <c r="O2" s="51" t="s">
        <v>79</v>
      </c>
      <c r="P2" s="51" t="s">
        <v>135</v>
      </c>
      <c r="Q2" s="51" t="s">
        <v>136</v>
      </c>
      <c r="R2" s="51" t="s">
        <v>137</v>
      </c>
      <c r="S2" s="51" t="s">
        <v>138</v>
      </c>
      <c r="T2" s="51" t="s">
        <v>17</v>
      </c>
      <c r="U2" s="51" t="s">
        <v>18</v>
      </c>
      <c r="V2" s="51" t="s">
        <v>19</v>
      </c>
      <c r="W2" s="51" t="s">
        <v>20</v>
      </c>
      <c r="X2" s="51" t="s">
        <v>640</v>
      </c>
      <c r="Y2" s="51" t="s">
        <v>800</v>
      </c>
      <c r="Z2" s="51" t="s">
        <v>801</v>
      </c>
    </row>
    <row r="3" spans="1:26">
      <c r="A3" s="21" t="s">
        <v>356</v>
      </c>
      <c r="B3" s="86">
        <v>1678</v>
      </c>
      <c r="C3" s="86">
        <v>2444</v>
      </c>
      <c r="D3" s="150">
        <v>3092</v>
      </c>
      <c r="E3" s="150">
        <v>3767</v>
      </c>
      <c r="F3" s="120"/>
      <c r="G3" s="120"/>
      <c r="H3" s="152">
        <v>345.13400000000001</v>
      </c>
      <c r="I3" s="152">
        <v>373.65899999999999</v>
      </c>
      <c r="J3" s="152">
        <v>528.70899999999995</v>
      </c>
      <c r="K3" s="152">
        <v>430.08499999999998</v>
      </c>
      <c r="L3" s="152">
        <v>500.916</v>
      </c>
      <c r="M3" s="152">
        <v>555.66600000000005</v>
      </c>
      <c r="N3" s="152">
        <v>787.04700000000003</v>
      </c>
      <c r="O3" s="152">
        <v>600.09199999999998</v>
      </c>
      <c r="P3" s="150">
        <v>673</v>
      </c>
      <c r="Q3" s="151">
        <v>713</v>
      </c>
      <c r="R3" s="151">
        <v>964</v>
      </c>
      <c r="S3" s="151">
        <v>742</v>
      </c>
      <c r="T3" s="151">
        <v>837</v>
      </c>
    </row>
    <row r="4" spans="1:26">
      <c r="A4" s="21" t="s">
        <v>2</v>
      </c>
      <c r="B4" s="56">
        <v>319</v>
      </c>
      <c r="C4" s="56">
        <v>994</v>
      </c>
      <c r="D4" s="150">
        <v>2003</v>
      </c>
      <c r="E4" s="150">
        <v>2981</v>
      </c>
      <c r="F4" s="120"/>
      <c r="G4" s="120"/>
      <c r="H4" s="152">
        <v>41.298999999999999</v>
      </c>
      <c r="I4" s="152">
        <v>54.823</v>
      </c>
      <c r="J4" s="152">
        <v>104.39100000000001</v>
      </c>
      <c r="K4" s="152">
        <v>118</v>
      </c>
      <c r="L4" s="152">
        <v>164.428</v>
      </c>
      <c r="M4" s="152">
        <v>199.054</v>
      </c>
      <c r="N4" s="152">
        <v>326.88900000000001</v>
      </c>
      <c r="O4" s="152">
        <v>303.77199999999999</v>
      </c>
      <c r="P4" s="150">
        <v>371</v>
      </c>
      <c r="Q4" s="151">
        <v>440</v>
      </c>
      <c r="R4" s="151">
        <v>651</v>
      </c>
      <c r="S4" s="152">
        <v>541.024</v>
      </c>
      <c r="T4" s="151">
        <v>626</v>
      </c>
      <c r="W4" s="151"/>
      <c r="X4" s="18"/>
      <c r="Y4" s="18"/>
      <c r="Z4" s="18"/>
    </row>
    <row r="5" spans="1:26">
      <c r="A5" s="54" t="s">
        <v>488</v>
      </c>
      <c r="B5" s="82">
        <v>0.19</v>
      </c>
      <c r="C5" s="82">
        <v>0.41</v>
      </c>
      <c r="D5" s="55">
        <v>0.65</v>
      </c>
      <c r="E5" s="55">
        <v>0.79</v>
      </c>
      <c r="F5" s="121"/>
      <c r="G5" s="121"/>
      <c r="H5" s="153">
        <f>H4/H3</f>
        <v>0.11966076944027536</v>
      </c>
      <c r="I5" s="153">
        <f>I4/I3</f>
        <v>0.14671933500865764</v>
      </c>
      <c r="J5" s="153">
        <f>J4/J3</f>
        <v>0.19744509739762331</v>
      </c>
      <c r="K5" s="153">
        <f>K4/K3</f>
        <v>0.27436436983387008</v>
      </c>
      <c r="L5" s="153">
        <f t="shared" ref="L5:Q5" si="0">L4/L3</f>
        <v>0.32825463750409251</v>
      </c>
      <c r="M5" s="153">
        <f t="shared" si="0"/>
        <v>0.35822598467424671</v>
      </c>
      <c r="N5" s="153">
        <f t="shared" si="0"/>
        <v>0.41533605998117012</v>
      </c>
      <c r="O5" s="153">
        <f t="shared" si="0"/>
        <v>0.50620904794598165</v>
      </c>
      <c r="P5" s="153">
        <f t="shared" si="0"/>
        <v>0.55126300148588414</v>
      </c>
      <c r="Q5" s="153">
        <f t="shared" si="0"/>
        <v>0.61711079943899017</v>
      </c>
      <c r="R5" s="55">
        <v>0.68</v>
      </c>
      <c r="S5" s="55">
        <v>0.73</v>
      </c>
      <c r="T5" s="55">
        <v>0.75</v>
      </c>
    </row>
    <row r="6" spans="1:26">
      <c r="A6" s="21" t="s">
        <v>795</v>
      </c>
      <c r="B6" s="28">
        <f>K6</f>
        <v>255</v>
      </c>
      <c r="C6" s="28">
        <f>O6</f>
        <v>350</v>
      </c>
      <c r="D6" s="151">
        <v>423</v>
      </c>
      <c r="E6" s="21">
        <f>W6</f>
        <v>454</v>
      </c>
      <c r="F6" s="44"/>
      <c r="G6" s="44"/>
      <c r="H6" s="151">
        <v>185</v>
      </c>
      <c r="I6" s="151">
        <v>202</v>
      </c>
      <c r="J6" s="151">
        <v>231</v>
      </c>
      <c r="K6" s="151">
        <v>255</v>
      </c>
      <c r="L6" s="151">
        <v>279</v>
      </c>
      <c r="M6" s="151">
        <v>307</v>
      </c>
      <c r="N6" s="151">
        <v>334</v>
      </c>
      <c r="O6" s="151">
        <v>350</v>
      </c>
      <c r="P6" s="151">
        <v>367</v>
      </c>
      <c r="Q6" s="151">
        <v>386</v>
      </c>
      <c r="R6" s="151">
        <v>407</v>
      </c>
      <c r="S6" s="151">
        <v>423</v>
      </c>
      <c r="T6" s="154">
        <v>434</v>
      </c>
      <c r="U6" s="151">
        <v>439</v>
      </c>
      <c r="V6" s="151">
        <v>443</v>
      </c>
      <c r="W6" s="151">
        <v>454</v>
      </c>
      <c r="X6" s="151">
        <v>466</v>
      </c>
      <c r="Y6" s="151">
        <v>488</v>
      </c>
      <c r="Z6" s="151">
        <v>515</v>
      </c>
    </row>
    <row r="7" spans="1:26">
      <c r="A7" s="21" t="s">
        <v>489</v>
      </c>
      <c r="D7" s="21"/>
      <c r="E7" s="21">
        <f>W7</f>
        <v>507</v>
      </c>
      <c r="F7" s="44"/>
      <c r="G7" s="44"/>
      <c r="K7" s="151">
        <v>163</v>
      </c>
      <c r="M7" s="151">
        <v>217</v>
      </c>
      <c r="N7" s="151">
        <v>265</v>
      </c>
      <c r="O7" s="151">
        <v>289</v>
      </c>
      <c r="P7" s="151">
        <v>307</v>
      </c>
      <c r="Q7" s="151">
        <v>346</v>
      </c>
      <c r="R7" s="151">
        <v>393</v>
      </c>
      <c r="S7" s="151">
        <v>410</v>
      </c>
      <c r="T7" s="151">
        <v>427</v>
      </c>
      <c r="U7" s="151">
        <v>450</v>
      </c>
      <c r="V7" s="151">
        <v>493</v>
      </c>
      <c r="W7" s="151">
        <v>507</v>
      </c>
      <c r="X7" s="151">
        <v>529</v>
      </c>
      <c r="Y7" s="151">
        <v>549</v>
      </c>
      <c r="Z7" s="151">
        <v>580</v>
      </c>
    </row>
    <row r="8" spans="1:26">
      <c r="A8" s="21" t="s">
        <v>599</v>
      </c>
      <c r="D8" s="21"/>
      <c r="E8" s="21">
        <f>W8</f>
        <v>874</v>
      </c>
      <c r="F8" s="44"/>
      <c r="G8" s="44"/>
      <c r="O8" s="151">
        <v>256.5</v>
      </c>
      <c r="P8" s="151">
        <v>263</v>
      </c>
      <c r="Q8" s="151">
        <v>313</v>
      </c>
      <c r="R8" s="151">
        <v>383</v>
      </c>
      <c r="S8" s="151">
        <v>513</v>
      </c>
      <c r="T8" s="151">
        <v>577</v>
      </c>
      <c r="U8" s="151">
        <v>651</v>
      </c>
      <c r="V8" s="151">
        <v>765</v>
      </c>
      <c r="W8" s="151">
        <v>874</v>
      </c>
      <c r="X8" s="151">
        <v>1011</v>
      </c>
      <c r="Y8" s="151"/>
      <c r="Z8" s="151"/>
    </row>
    <row r="9" spans="1:26">
      <c r="D9" s="21"/>
      <c r="E9" s="21"/>
      <c r="F9" s="44"/>
      <c r="G9" s="44"/>
      <c r="O9" s="57"/>
      <c r="P9" s="57"/>
      <c r="Q9" s="57"/>
      <c r="R9" s="57"/>
      <c r="S9" s="57"/>
      <c r="T9" s="57"/>
      <c r="U9" s="57"/>
      <c r="V9" s="57"/>
      <c r="W9" s="57"/>
    </row>
    <row r="10" spans="1:26">
      <c r="A10" s="21" t="s">
        <v>462</v>
      </c>
      <c r="B10" s="86">
        <v>52504</v>
      </c>
      <c r="C10" s="86">
        <v>76204</v>
      </c>
      <c r="D10" s="155">
        <v>101143</v>
      </c>
      <c r="E10" s="155">
        <v>158273</v>
      </c>
      <c r="F10" s="122"/>
      <c r="G10" s="122"/>
      <c r="J10" s="58"/>
      <c r="K10" s="157">
        <v>12031</v>
      </c>
      <c r="L10" s="157">
        <v>15771</v>
      </c>
      <c r="M10" s="152">
        <v>16829</v>
      </c>
      <c r="O10" s="157">
        <v>17425</v>
      </c>
      <c r="P10" s="155">
        <v>20245</v>
      </c>
      <c r="Q10" s="157">
        <v>22171</v>
      </c>
      <c r="R10" s="151">
        <v>34543</v>
      </c>
      <c r="S10" s="157">
        <v>24184</v>
      </c>
      <c r="T10" s="157"/>
      <c r="U10" s="157"/>
      <c r="V10" s="157"/>
      <c r="W10" s="157"/>
    </row>
    <row r="11" spans="1:26">
      <c r="A11" s="21" t="s">
        <v>506</v>
      </c>
      <c r="B11" s="86">
        <v>2905</v>
      </c>
      <c r="C11" s="86">
        <v>17840</v>
      </c>
      <c r="D11" s="150">
        <v>50337</v>
      </c>
      <c r="E11" s="150">
        <v>90731</v>
      </c>
      <c r="F11" s="120"/>
      <c r="G11" s="120"/>
      <c r="H11" s="152">
        <v>240</v>
      </c>
      <c r="I11" s="152">
        <v>332</v>
      </c>
      <c r="J11" s="152">
        <v>1171</v>
      </c>
      <c r="K11" s="152">
        <v>1162</v>
      </c>
      <c r="L11" s="152">
        <v>2454</v>
      </c>
      <c r="M11" s="152">
        <v>3719</v>
      </c>
      <c r="N11" s="152">
        <v>6420</v>
      </c>
      <c r="O11" s="152">
        <v>5247</v>
      </c>
      <c r="P11" s="150">
        <v>7987</v>
      </c>
      <c r="Q11" s="157">
        <v>10520</v>
      </c>
      <c r="R11" s="151">
        <v>18746</v>
      </c>
      <c r="S11" s="157">
        <v>13084</v>
      </c>
      <c r="T11" s="157">
        <v>17514</v>
      </c>
      <c r="U11" s="157">
        <v>18710</v>
      </c>
      <c r="V11" s="157">
        <v>32451</v>
      </c>
      <c r="W11" s="157">
        <v>22056</v>
      </c>
      <c r="X11" s="47">
        <f>X7*X13-SUM(U11:W11)</f>
        <v>30467</v>
      </c>
      <c r="Y11" s="47">
        <f>Y7*Y13-SUM(V11:X11)</f>
        <v>31963</v>
      </c>
      <c r="Z11" s="47">
        <f>Z7*Z13-SUM(W11:Y11)</f>
        <v>48334</v>
      </c>
    </row>
    <row r="12" spans="1:26">
      <c r="A12" s="54" t="s">
        <v>490</v>
      </c>
      <c r="B12" s="82">
        <v>7.0000000000000007E-2</v>
      </c>
      <c r="C12" s="82">
        <v>0.3</v>
      </c>
      <c r="D12" s="156">
        <v>0.63</v>
      </c>
      <c r="E12" s="156">
        <v>0.8</v>
      </c>
      <c r="F12" s="123"/>
      <c r="G12" s="123"/>
      <c r="H12" s="54"/>
      <c r="I12" s="54"/>
      <c r="J12" s="23"/>
      <c r="K12" s="55">
        <v>0.12</v>
      </c>
      <c r="L12" s="55">
        <v>0.19</v>
      </c>
      <c r="M12" s="158">
        <v>0.28999999999999998</v>
      </c>
      <c r="O12" s="55">
        <v>0.4</v>
      </c>
      <c r="P12" s="156">
        <v>0.51</v>
      </c>
      <c r="Q12" s="55">
        <v>0.61</v>
      </c>
      <c r="R12" s="55">
        <v>0.65</v>
      </c>
      <c r="S12" s="55">
        <v>0.71</v>
      </c>
      <c r="T12" s="55">
        <v>0.75</v>
      </c>
      <c r="U12" s="55">
        <v>0.78</v>
      </c>
      <c r="V12" s="55">
        <v>0.8</v>
      </c>
      <c r="W12" s="55">
        <v>0.85</v>
      </c>
      <c r="X12" s="53">
        <f>X11/X55</f>
        <v>0.60710585047026944</v>
      </c>
      <c r="Y12" s="53">
        <f>Y11/Y55</f>
        <v>0.57985922136352097</v>
      </c>
      <c r="Z12" s="53">
        <f>Z11/Z55</f>
        <v>0.61088712225578545</v>
      </c>
    </row>
    <row r="13" spans="1:26">
      <c r="A13" s="21" t="s">
        <v>798</v>
      </c>
      <c r="B13" s="82"/>
      <c r="C13" s="82"/>
      <c r="D13" s="156"/>
      <c r="E13" s="156"/>
      <c r="F13" s="123"/>
      <c r="G13" s="123"/>
      <c r="H13" s="54"/>
      <c r="I13" s="54"/>
      <c r="J13" s="23"/>
      <c r="K13" s="55"/>
      <c r="L13" s="55"/>
      <c r="M13" s="158"/>
      <c r="O13" s="55"/>
      <c r="P13" s="156"/>
      <c r="Q13" s="157">
        <v>87</v>
      </c>
      <c r="R13" s="157">
        <v>108</v>
      </c>
      <c r="S13" s="157">
        <v>123</v>
      </c>
      <c r="T13" s="157">
        <v>140</v>
      </c>
      <c r="U13" s="157">
        <v>151</v>
      </c>
      <c r="V13" s="157">
        <v>166</v>
      </c>
      <c r="W13" s="157">
        <v>179</v>
      </c>
      <c r="X13" s="157">
        <v>196</v>
      </c>
      <c r="Y13" s="157">
        <v>213</v>
      </c>
      <c r="Z13" s="157">
        <v>229</v>
      </c>
    </row>
    <row r="14" spans="1:26">
      <c r="A14" s="54"/>
      <c r="H14" s="54"/>
      <c r="I14" s="54"/>
    </row>
    <row r="15" spans="1:26">
      <c r="A15" s="21" t="s">
        <v>491</v>
      </c>
      <c r="B15" s="86">
        <v>24920</v>
      </c>
      <c r="C15" s="86">
        <v>23135</v>
      </c>
      <c r="D15" s="157">
        <v>29102</v>
      </c>
      <c r="E15" s="157">
        <v>48055</v>
      </c>
      <c r="F15" s="94"/>
      <c r="G15" s="94"/>
      <c r="J15" s="58"/>
      <c r="K15" s="157">
        <v>5451</v>
      </c>
      <c r="L15" s="155">
        <v>6844</v>
      </c>
      <c r="M15" s="155">
        <v>4345</v>
      </c>
      <c r="N15" s="155">
        <v>9347</v>
      </c>
      <c r="O15" s="157">
        <v>2599</v>
      </c>
      <c r="P15" s="155">
        <v>5161</v>
      </c>
      <c r="Q15" s="157">
        <v>6395</v>
      </c>
      <c r="R15" s="151">
        <v>12434</v>
      </c>
      <c r="S15" s="157">
        <v>5112</v>
      </c>
      <c r="T15" s="157">
        <v>8814</v>
      </c>
    </row>
    <row r="16" spans="1:26">
      <c r="A16" s="21" t="s">
        <v>465</v>
      </c>
      <c r="B16" s="86">
        <v>30731</v>
      </c>
      <c r="C16" s="86">
        <v>40753</v>
      </c>
      <c r="D16" s="155">
        <v>52340</v>
      </c>
      <c r="E16" s="155">
        <v>74456</v>
      </c>
      <c r="F16" s="122"/>
      <c r="G16" s="122"/>
      <c r="J16" s="58"/>
      <c r="K16" s="157">
        <v>6886</v>
      </c>
      <c r="L16" s="155">
        <v>8574</v>
      </c>
      <c r="M16" s="155">
        <v>8493</v>
      </c>
      <c r="N16" s="155">
        <v>15103</v>
      </c>
      <c r="O16" s="157">
        <v>8583</v>
      </c>
      <c r="P16" s="155">
        <v>10585</v>
      </c>
      <c r="Q16" s="157">
        <v>11146</v>
      </c>
      <c r="R16" s="151">
        <v>19111</v>
      </c>
      <c r="S16" s="157">
        <v>11498</v>
      </c>
      <c r="T16" s="157">
        <v>14963</v>
      </c>
    </row>
    <row r="17" spans="1:23" s="18" customFormat="1">
      <c r="A17" s="44" t="s">
        <v>492</v>
      </c>
      <c r="B17" s="131">
        <v>0.59</v>
      </c>
      <c r="C17" s="131">
        <v>0.53</v>
      </c>
      <c r="D17" s="131">
        <v>0.52</v>
      </c>
      <c r="E17" s="131">
        <v>0.47</v>
      </c>
      <c r="F17" s="124"/>
      <c r="G17" s="124"/>
      <c r="H17" s="44"/>
      <c r="I17" s="44"/>
      <c r="J17" s="204"/>
      <c r="K17" s="121">
        <v>0.56999999999999995</v>
      </c>
      <c r="L17" s="205">
        <v>0.54365607761080459</v>
      </c>
      <c r="M17" s="205">
        <v>0.50466456711628738</v>
      </c>
      <c r="N17" s="205">
        <v>0.57691279269643603</v>
      </c>
      <c r="O17" s="205">
        <v>0.49256814921090386</v>
      </c>
      <c r="P17" s="206">
        <f>P16/P55</f>
        <v>0.52284514694986417</v>
      </c>
      <c r="Q17" s="121">
        <v>0.5</v>
      </c>
      <c r="R17" s="121">
        <v>0.55000000000000004</v>
      </c>
      <c r="S17" s="121">
        <v>0.48</v>
      </c>
      <c r="T17" s="121">
        <v>0.47</v>
      </c>
      <c r="U17" s="44"/>
      <c r="V17" s="44"/>
      <c r="W17" s="44"/>
    </row>
    <row r="18" spans="1:23" s="63" customFormat="1">
      <c r="A18" s="60"/>
      <c r="B18" s="64"/>
      <c r="C18" s="64"/>
      <c r="D18" s="64"/>
      <c r="E18" s="64"/>
      <c r="F18" s="124"/>
      <c r="G18" s="124"/>
      <c r="H18" s="60"/>
      <c r="I18" s="60"/>
      <c r="J18" s="61"/>
      <c r="K18" s="61"/>
      <c r="L18" s="62"/>
      <c r="M18" s="62"/>
      <c r="N18" s="62"/>
      <c r="O18" s="62"/>
      <c r="P18" s="159">
        <v>9803</v>
      </c>
      <c r="Q18" s="61"/>
      <c r="R18" s="61"/>
      <c r="S18" s="61"/>
      <c r="T18" s="159">
        <v>13759</v>
      </c>
      <c r="U18" s="60"/>
      <c r="V18" s="60"/>
      <c r="W18" s="60"/>
    </row>
    <row r="19" spans="1:23" s="63" customFormat="1">
      <c r="A19" s="60"/>
      <c r="B19" s="64"/>
      <c r="C19" s="64"/>
      <c r="D19" s="64"/>
      <c r="E19" s="64"/>
      <c r="F19" s="124"/>
      <c r="G19" s="124"/>
      <c r="H19" s="60"/>
      <c r="I19" s="60"/>
      <c r="J19" s="61"/>
      <c r="K19" s="61"/>
      <c r="L19" s="62"/>
      <c r="M19" s="62"/>
      <c r="N19" s="62"/>
      <c r="O19" s="62"/>
      <c r="P19" s="160">
        <v>0.48</v>
      </c>
      <c r="Q19" s="61"/>
      <c r="R19" s="61"/>
      <c r="S19" s="61"/>
      <c r="T19" s="161">
        <v>0.43</v>
      </c>
      <c r="U19" s="60"/>
      <c r="V19" s="60"/>
      <c r="W19" s="60"/>
    </row>
    <row r="20" spans="1:23">
      <c r="A20" s="21" t="s">
        <v>463</v>
      </c>
      <c r="B20" s="86">
        <v>23403</v>
      </c>
      <c r="C20" s="86">
        <v>24320</v>
      </c>
      <c r="D20" s="86">
        <v>71289</v>
      </c>
      <c r="E20" s="86">
        <v>41226</v>
      </c>
      <c r="F20" s="125"/>
      <c r="G20" s="125"/>
      <c r="J20" s="58"/>
      <c r="K20" s="157">
        <v>5661</v>
      </c>
      <c r="L20" s="155">
        <v>12438</v>
      </c>
      <c r="M20" s="155">
        <v>3030</v>
      </c>
      <c r="N20" s="155">
        <v>5983</v>
      </c>
      <c r="O20" s="157">
        <v>2869</v>
      </c>
      <c r="P20" s="155">
        <v>30816</v>
      </c>
      <c r="Q20" s="157">
        <v>22703</v>
      </c>
      <c r="R20" s="151">
        <v>12456</v>
      </c>
      <c r="S20" s="157">
        <v>5314</v>
      </c>
      <c r="T20" s="157">
        <v>7142</v>
      </c>
    </row>
    <row r="21" spans="1:23">
      <c r="A21" s="21" t="s">
        <v>464</v>
      </c>
      <c r="B21" s="86">
        <v>28274</v>
      </c>
      <c r="C21" s="86">
        <v>34981</v>
      </c>
      <c r="D21" s="155">
        <v>42741</v>
      </c>
      <c r="E21" s="155">
        <v>57871</v>
      </c>
      <c r="F21" s="122"/>
      <c r="G21" s="122"/>
      <c r="J21" s="58"/>
      <c r="K21" s="157">
        <v>6671</v>
      </c>
      <c r="L21" s="155">
        <v>7317</v>
      </c>
      <c r="M21" s="155">
        <v>6808</v>
      </c>
      <c r="N21" s="155">
        <v>13115</v>
      </c>
      <c r="O21" s="157">
        <v>7741</v>
      </c>
      <c r="P21" s="155">
        <v>9496</v>
      </c>
      <c r="Q21" s="157">
        <v>9252</v>
      </c>
      <c r="R21" s="151">
        <v>16358</v>
      </c>
      <c r="S21" s="157">
        <v>7635</v>
      </c>
      <c r="T21" s="157">
        <v>12187</v>
      </c>
    </row>
    <row r="23" spans="1:23">
      <c r="A23" s="21" t="s">
        <v>493</v>
      </c>
      <c r="B23" s="165">
        <v>10</v>
      </c>
      <c r="C23" s="165">
        <v>9.6999999999999993</v>
      </c>
      <c r="D23" s="155">
        <v>27.89</v>
      </c>
      <c r="E23" s="155">
        <v>16.97</v>
      </c>
      <c r="F23" s="122"/>
      <c r="G23" s="122"/>
      <c r="J23" s="24"/>
      <c r="K23" s="162">
        <v>2.37</v>
      </c>
      <c r="L23" s="163">
        <v>5.2</v>
      </c>
      <c r="M23" s="163">
        <v>1.24</v>
      </c>
      <c r="N23" s="163">
        <v>2.29</v>
      </c>
      <c r="O23" s="162">
        <v>1.1200000000000001</v>
      </c>
      <c r="P23" s="162">
        <v>11.92</v>
      </c>
      <c r="Q23" s="151">
        <v>8.8699999999999992</v>
      </c>
      <c r="R23" s="151">
        <v>4.9000000000000004</v>
      </c>
      <c r="S23" s="151">
        <v>2.11</v>
      </c>
      <c r="T23" s="151">
        <v>2.94</v>
      </c>
    </row>
    <row r="24" spans="1:23">
      <c r="A24" s="21" t="s">
        <v>494</v>
      </c>
      <c r="B24" s="165">
        <v>12.09</v>
      </c>
      <c r="C24" s="165">
        <v>13.97</v>
      </c>
      <c r="D24" s="151">
        <v>16.75</v>
      </c>
      <c r="E24" s="151">
        <v>23.44</v>
      </c>
      <c r="F24" s="44"/>
      <c r="G24" s="44"/>
      <c r="J24" s="24"/>
      <c r="K24" s="162">
        <v>2.8</v>
      </c>
      <c r="L24" s="163">
        <v>3.05</v>
      </c>
      <c r="M24" s="163">
        <v>2.79</v>
      </c>
      <c r="N24" s="163">
        <v>5.05</v>
      </c>
      <c r="O24" s="162">
        <v>3</v>
      </c>
      <c r="P24" s="162">
        <v>3.68</v>
      </c>
      <c r="Q24" s="151">
        <v>3.63</v>
      </c>
      <c r="R24" s="151">
        <v>6.43</v>
      </c>
      <c r="S24" s="151">
        <v>3.02</v>
      </c>
      <c r="T24" s="151">
        <v>4.9000000000000004</v>
      </c>
    </row>
    <row r="25" spans="1:23">
      <c r="D25" s="21"/>
      <c r="E25" s="21"/>
      <c r="F25" s="44"/>
      <c r="G25" s="44"/>
    </row>
    <row r="26" spans="1:23">
      <c r="A26" s="21" t="s">
        <v>495</v>
      </c>
      <c r="B26" s="86">
        <v>26379</v>
      </c>
      <c r="C26" s="86">
        <v>41217</v>
      </c>
      <c r="D26" s="151">
        <v>56836</v>
      </c>
      <c r="E26" s="151">
        <v>80326</v>
      </c>
      <c r="F26" s="44"/>
      <c r="G26" s="44"/>
      <c r="J26" s="58"/>
      <c r="K26" s="157">
        <v>1800</v>
      </c>
      <c r="O26" s="157">
        <v>5767</v>
      </c>
    </row>
    <row r="27" spans="1:23">
      <c r="A27" s="21" t="s">
        <v>496</v>
      </c>
      <c r="B27" s="86">
        <v>32269</v>
      </c>
      <c r="C27" s="86">
        <v>48121</v>
      </c>
      <c r="D27" s="151">
        <v>51279</v>
      </c>
      <c r="E27" s="151">
        <v>68790</v>
      </c>
      <c r="F27" s="44"/>
      <c r="G27" s="44"/>
      <c r="J27" s="58"/>
      <c r="K27" s="157">
        <v>2333</v>
      </c>
      <c r="O27" s="157">
        <v>5665</v>
      </c>
    </row>
    <row r="28" spans="1:23">
      <c r="D28" s="21"/>
      <c r="E28" s="21"/>
      <c r="F28" s="44"/>
      <c r="G28" s="44"/>
      <c r="J28" s="58"/>
      <c r="K28" s="58"/>
      <c r="O28" s="58"/>
    </row>
    <row r="29" spans="1:23" s="18" customFormat="1">
      <c r="A29" s="44" t="s">
        <v>503</v>
      </c>
      <c r="B29" s="207">
        <f>B68/B33/1000</f>
        <v>2.5525625744934444E-2</v>
      </c>
      <c r="C29" s="207">
        <f>C68/C33/1000</f>
        <v>2.4440261865793778E-2</v>
      </c>
      <c r="D29" s="208">
        <f>D68/D33/1000</f>
        <v>2.5883893919793014E-2</v>
      </c>
      <c r="E29" s="208">
        <f>E68/E33/1000</f>
        <v>3.0291744093443058E-2</v>
      </c>
      <c r="F29" s="126"/>
      <c r="G29" s="126"/>
      <c r="H29" s="208">
        <f>H68/H33/1000</f>
        <v>2.5111985489693858E-2</v>
      </c>
      <c r="I29" s="208">
        <f t="shared" ref="I29:P29" si="1">I68/I33/1000</f>
        <v>2.3136067912187315E-2</v>
      </c>
      <c r="J29" s="208">
        <f t="shared" si="1"/>
        <v>3.0544212411742568E-2</v>
      </c>
      <c r="K29" s="208">
        <f t="shared" si="1"/>
        <v>2.1788716184010137E-2</v>
      </c>
      <c r="L29" s="208">
        <f>L68/L33/1000</f>
        <v>2.5231775387490118E-2</v>
      </c>
      <c r="M29" s="208">
        <f t="shared" si="1"/>
        <v>2.2979631649228133E-2</v>
      </c>
      <c r="N29" s="208">
        <f t="shared" si="1"/>
        <v>2.7031422519874924E-2</v>
      </c>
      <c r="O29" s="208">
        <f t="shared" si="1"/>
        <v>2.1744999100137979E-2</v>
      </c>
      <c r="P29" s="208">
        <f t="shared" si="1"/>
        <v>2.3346210995542346E-2</v>
      </c>
      <c r="Q29" s="208">
        <f>Q68/Q33/1000</f>
        <v>2.4217391304347826E-2</v>
      </c>
      <c r="R29" s="209">
        <v>2.98E-2</v>
      </c>
      <c r="S29" s="209">
        <v>2.47E-2</v>
      </c>
      <c r="T29" s="209">
        <v>2.7900000000000001E-2</v>
      </c>
      <c r="U29" s="210"/>
      <c r="V29" s="210"/>
      <c r="W29" s="210"/>
    </row>
    <row r="30" spans="1:23">
      <c r="A30" s="54" t="s">
        <v>504</v>
      </c>
      <c r="B30" s="164">
        <f t="shared" ref="B30:D31" si="2">B69/B36/1000</f>
        <v>2.9379690949227374E-2</v>
      </c>
      <c r="C30" s="164">
        <f t="shared" si="2"/>
        <v>2.8891034482758621E-2</v>
      </c>
      <c r="D30" s="69">
        <f t="shared" si="2"/>
        <v>2.7269054178145086E-2</v>
      </c>
      <c r="E30" s="69">
        <f>E69/E36/1000</f>
        <v>2.9743002544529263E-2</v>
      </c>
      <c r="F30" s="127"/>
      <c r="G30" s="127"/>
      <c r="H30" s="164">
        <f>H69/H36/1000</f>
        <v>2.7746140234333225E-2</v>
      </c>
      <c r="I30" s="164">
        <f t="shared" ref="I30:N30" si="3">I69/I36/1000</f>
        <v>2.6173596782092766E-2</v>
      </c>
      <c r="J30" s="164">
        <f t="shared" si="3"/>
        <v>3.5411729325583646E-2</v>
      </c>
      <c r="K30" s="164">
        <f t="shared" si="3"/>
        <v>2.6303731355239758E-2</v>
      </c>
      <c r="L30" s="164">
        <f t="shared" si="3"/>
        <v>3.0347388658604302E-2</v>
      </c>
      <c r="M30" s="164">
        <f t="shared" si="3"/>
        <v>2.5448065924494206E-2</v>
      </c>
      <c r="N30" s="164">
        <f t="shared" si="3"/>
        <v>3.2282389961708804E-2</v>
      </c>
      <c r="O30" s="164">
        <f t="shared" ref="O30:T30" si="4">O69/O36/1000</f>
        <v>2.6329643628509723E-2</v>
      </c>
      <c r="P30" s="69">
        <f t="shared" si="4"/>
        <v>2.55794701986755E-2</v>
      </c>
      <c r="Q30" s="69">
        <f t="shared" si="4"/>
        <v>2.4714285714285716E-2</v>
      </c>
      <c r="R30" s="69">
        <f t="shared" si="4"/>
        <v>3.1846645367412142E-2</v>
      </c>
      <c r="S30" s="69">
        <f t="shared" si="4"/>
        <v>2.6152376403152617E-2</v>
      </c>
      <c r="T30" s="69">
        <f t="shared" si="4"/>
        <v>2.7815165876777251E-2</v>
      </c>
      <c r="U30" s="68"/>
      <c r="V30" s="68"/>
      <c r="W30" s="68"/>
    </row>
    <row r="31" spans="1:23">
      <c r="A31" s="54" t="s">
        <v>505</v>
      </c>
      <c r="B31" s="164">
        <f t="shared" si="2"/>
        <v>9.1065830721003133E-3</v>
      </c>
      <c r="C31" s="164">
        <f t="shared" si="2"/>
        <v>1.7947686116700199E-2</v>
      </c>
      <c r="D31" s="69">
        <f t="shared" si="2"/>
        <v>2.5130803794308536E-2</v>
      </c>
      <c r="E31" s="69">
        <f>E70/E37/1000</f>
        <v>3.0436430727943643E-2</v>
      </c>
      <c r="F31" s="127"/>
      <c r="G31" s="127"/>
      <c r="H31" s="164">
        <f>H70/H37/1000</f>
        <v>5.7948506956718264E-3</v>
      </c>
      <c r="I31" s="164">
        <f t="shared" ref="I31:O31" si="5">I70/I37/1000</f>
        <v>5.9234043160564399E-3</v>
      </c>
      <c r="J31" s="164">
        <f t="shared" si="5"/>
        <v>1.1074144756378272E-2</v>
      </c>
      <c r="K31" s="164">
        <f t="shared" si="5"/>
        <v>9.8474576271186439E-3</v>
      </c>
      <c r="L31" s="164">
        <f>L70/L37/1000</f>
        <v>1.4845530261288592E-2</v>
      </c>
      <c r="M31" s="164">
        <f t="shared" si="5"/>
        <v>1.8591304048755107E-2</v>
      </c>
      <c r="N31" s="164">
        <f t="shared" si="5"/>
        <v>1.9639694208125693E-2</v>
      </c>
      <c r="O31" s="164">
        <f t="shared" si="5"/>
        <v>1.7272823038331383E-2</v>
      </c>
      <c r="P31" s="67">
        <v>2.1600000000000001E-2</v>
      </c>
      <c r="Q31" s="66">
        <v>2.3900000000000001E-2</v>
      </c>
      <c r="R31" s="66">
        <v>2.8799999999999999E-2</v>
      </c>
      <c r="S31" s="66">
        <v>2.4199999999999999E-2</v>
      </c>
      <c r="T31" s="66">
        <v>2.8000000000000001E-2</v>
      </c>
      <c r="U31" s="68"/>
      <c r="V31" s="68"/>
      <c r="W31" s="68"/>
    </row>
    <row r="32" spans="1:23" s="212" customFormat="1">
      <c r="A32" s="211"/>
      <c r="D32" s="211"/>
      <c r="E32" s="211"/>
      <c r="F32" s="211"/>
      <c r="G32" s="211"/>
      <c r="H32" s="211"/>
      <c r="I32" s="211"/>
      <c r="J32" s="211"/>
      <c r="K32" s="211"/>
      <c r="L32" s="211"/>
      <c r="M32" s="211"/>
      <c r="N32" s="211"/>
      <c r="O32" s="211"/>
      <c r="P32" s="211"/>
      <c r="Q32" s="211"/>
      <c r="R32" s="211"/>
      <c r="S32" s="211"/>
      <c r="T32" s="211"/>
      <c r="U32" s="211"/>
      <c r="V32" s="211"/>
      <c r="W32" s="211"/>
    </row>
    <row r="33" spans="1:23" s="98" customFormat="1">
      <c r="A33" s="98" t="s">
        <v>356</v>
      </c>
      <c r="B33" s="34">
        <v>1678</v>
      </c>
      <c r="C33" s="34">
        <v>2444</v>
      </c>
      <c r="D33" s="213">
        <v>3092</v>
      </c>
      <c r="E33" s="213">
        <v>3767</v>
      </c>
      <c r="F33" s="128"/>
      <c r="G33" s="128"/>
      <c r="H33" s="214">
        <f t="shared" ref="H33:T33" si="6">H3</f>
        <v>345.13400000000001</v>
      </c>
      <c r="I33" s="214">
        <f t="shared" si="6"/>
        <v>373.65899999999999</v>
      </c>
      <c r="J33" s="214">
        <f t="shared" si="6"/>
        <v>528.70899999999995</v>
      </c>
      <c r="K33" s="214">
        <f t="shared" si="6"/>
        <v>430.08499999999998</v>
      </c>
      <c r="L33" s="214">
        <f t="shared" si="6"/>
        <v>500.916</v>
      </c>
      <c r="M33" s="214">
        <f t="shared" si="6"/>
        <v>555.66600000000005</v>
      </c>
      <c r="N33" s="214">
        <f t="shared" si="6"/>
        <v>787.04700000000003</v>
      </c>
      <c r="O33" s="214">
        <f t="shared" si="6"/>
        <v>600.09199999999998</v>
      </c>
      <c r="P33" s="214">
        <f t="shared" si="6"/>
        <v>673</v>
      </c>
      <c r="Q33" s="214">
        <f t="shared" si="6"/>
        <v>713</v>
      </c>
      <c r="R33" s="214">
        <f t="shared" si="6"/>
        <v>964</v>
      </c>
      <c r="S33" s="214">
        <f t="shared" si="6"/>
        <v>742</v>
      </c>
      <c r="T33" s="214">
        <f t="shared" si="6"/>
        <v>837</v>
      </c>
    </row>
    <row r="34" spans="1:23">
      <c r="A34" s="71" t="s">
        <v>345</v>
      </c>
      <c r="B34" s="46">
        <v>1173</v>
      </c>
      <c r="C34" s="46">
        <v>1597</v>
      </c>
      <c r="D34" s="166">
        <v>1877</v>
      </c>
      <c r="E34" s="166">
        <v>2202</v>
      </c>
      <c r="F34" s="129"/>
      <c r="G34" s="129"/>
      <c r="H34" s="151">
        <v>257</v>
      </c>
      <c r="I34" s="151">
        <v>275</v>
      </c>
      <c r="J34" s="56">
        <v>346</v>
      </c>
      <c r="K34" s="56">
        <v>295</v>
      </c>
      <c r="L34" s="56">
        <v>342</v>
      </c>
      <c r="M34" s="56">
        <v>380</v>
      </c>
      <c r="N34" s="56">
        <v>494</v>
      </c>
      <c r="O34" s="56">
        <v>381</v>
      </c>
      <c r="P34" s="56">
        <v>427</v>
      </c>
      <c r="Q34" s="56">
        <v>438</v>
      </c>
      <c r="R34" s="56">
        <v>563</v>
      </c>
      <c r="S34" s="56">
        <v>449</v>
      </c>
      <c r="T34" s="56">
        <v>508</v>
      </c>
      <c r="U34" s="47"/>
      <c r="V34" s="47"/>
      <c r="W34" s="47"/>
    </row>
    <row r="35" spans="1:23">
      <c r="A35" s="71" t="s">
        <v>343</v>
      </c>
      <c r="B35" s="19">
        <f>B33-B34</f>
        <v>505</v>
      </c>
      <c r="C35" s="19">
        <f>C33-C34</f>
        <v>847</v>
      </c>
      <c r="D35" s="19">
        <f>D33-D34</f>
        <v>1215</v>
      </c>
      <c r="E35" s="19">
        <v>1565</v>
      </c>
      <c r="F35" s="32"/>
      <c r="G35" s="32"/>
      <c r="H35" s="19">
        <f t="shared" ref="H35:Q35" si="7">H33-H34</f>
        <v>88.134000000000015</v>
      </c>
      <c r="I35" s="19">
        <f t="shared" si="7"/>
        <v>98.658999999999992</v>
      </c>
      <c r="J35" s="19">
        <f t="shared" si="7"/>
        <v>182.70899999999995</v>
      </c>
      <c r="K35" s="19">
        <f t="shared" si="7"/>
        <v>135.08499999999998</v>
      </c>
      <c r="L35" s="19">
        <f t="shared" si="7"/>
        <v>158.916</v>
      </c>
      <c r="M35" s="19">
        <f t="shared" si="7"/>
        <v>175.66600000000005</v>
      </c>
      <c r="N35" s="19">
        <f t="shared" si="7"/>
        <v>293.04700000000003</v>
      </c>
      <c r="O35" s="19">
        <f t="shared" si="7"/>
        <v>219.09199999999998</v>
      </c>
      <c r="P35" s="19">
        <f t="shared" si="7"/>
        <v>246</v>
      </c>
      <c r="Q35" s="19">
        <f t="shared" si="7"/>
        <v>275</v>
      </c>
      <c r="R35" s="19">
        <f>R33-R34</f>
        <v>401</v>
      </c>
      <c r="S35" s="56">
        <v>293</v>
      </c>
      <c r="T35" s="56">
        <v>329</v>
      </c>
      <c r="U35" s="47"/>
      <c r="V35" s="47"/>
      <c r="W35" s="47"/>
    </row>
    <row r="36" spans="1:23">
      <c r="A36" s="71" t="s">
        <v>423</v>
      </c>
      <c r="B36" s="19">
        <f>B33-B37</f>
        <v>1359</v>
      </c>
      <c r="C36" s="19">
        <f>C33-C37</f>
        <v>1450</v>
      </c>
      <c r="D36" s="19">
        <f>D33-D37</f>
        <v>1089</v>
      </c>
      <c r="E36" s="19">
        <f>E33-E37</f>
        <v>786</v>
      </c>
      <c r="F36" s="32"/>
      <c r="G36" s="32"/>
      <c r="H36" s="19">
        <f t="shared" ref="H36:Q36" si="8">H33-H37</f>
        <v>303.71791999999999</v>
      </c>
      <c r="I36" s="19">
        <f t="shared" si="8"/>
        <v>317.61014999999998</v>
      </c>
      <c r="J36" s="19">
        <f t="shared" si="8"/>
        <v>422.96719999999993</v>
      </c>
      <c r="K36" s="19">
        <f t="shared" si="8"/>
        <v>312.08499999999998</v>
      </c>
      <c r="L36" s="19">
        <f t="shared" si="8"/>
        <v>335.61372</v>
      </c>
      <c r="M36" s="19">
        <f t="shared" si="8"/>
        <v>355.62624000000005</v>
      </c>
      <c r="N36" s="19">
        <f t="shared" si="8"/>
        <v>460.15800000000002</v>
      </c>
      <c r="O36" s="19">
        <f t="shared" si="8"/>
        <v>296.32</v>
      </c>
      <c r="P36" s="19">
        <f t="shared" si="8"/>
        <v>302</v>
      </c>
      <c r="Q36" s="19">
        <f t="shared" si="8"/>
        <v>273</v>
      </c>
      <c r="R36" s="19">
        <f>R33-R37</f>
        <v>313</v>
      </c>
      <c r="S36" s="19">
        <f>S33-S37</f>
        <v>200.976</v>
      </c>
      <c r="T36" s="19">
        <f>T33-T37</f>
        <v>211</v>
      </c>
      <c r="U36" s="47"/>
      <c r="V36" s="47"/>
      <c r="W36" s="47"/>
    </row>
    <row r="37" spans="1:23">
      <c r="A37" s="71" t="s">
        <v>90</v>
      </c>
      <c r="B37" s="19">
        <f>B4</f>
        <v>319</v>
      </c>
      <c r="C37" s="19">
        <f>C4</f>
        <v>994</v>
      </c>
      <c r="D37" s="19">
        <f>D4</f>
        <v>2003</v>
      </c>
      <c r="E37" s="19">
        <f>E4</f>
        <v>2981</v>
      </c>
      <c r="F37" s="32"/>
      <c r="G37" s="32"/>
      <c r="H37" s="167">
        <f>H33*H46</f>
        <v>41.416080000000001</v>
      </c>
      <c r="I37" s="167">
        <f>I33*I46</f>
        <v>56.048849999999995</v>
      </c>
      <c r="J37" s="28">
        <f>J33*J46</f>
        <v>105.7418</v>
      </c>
      <c r="K37" s="28">
        <f>K4</f>
        <v>118</v>
      </c>
      <c r="L37" s="167">
        <f>L33*L46</f>
        <v>165.30228</v>
      </c>
      <c r="M37" s="167">
        <f>M33*M46</f>
        <v>200.03976</v>
      </c>
      <c r="N37" s="19">
        <f t="shared" ref="N37:S37" si="9">N4</f>
        <v>326.88900000000001</v>
      </c>
      <c r="O37" s="19">
        <f t="shared" si="9"/>
        <v>303.77199999999999</v>
      </c>
      <c r="P37" s="19">
        <f t="shared" si="9"/>
        <v>371</v>
      </c>
      <c r="Q37" s="19">
        <f t="shared" si="9"/>
        <v>440</v>
      </c>
      <c r="R37" s="19">
        <f t="shared" si="9"/>
        <v>651</v>
      </c>
      <c r="S37" s="19">
        <f t="shared" si="9"/>
        <v>541.024</v>
      </c>
      <c r="T37" s="19">
        <f>T4</f>
        <v>626</v>
      </c>
      <c r="U37" s="47"/>
      <c r="V37" s="47"/>
      <c r="W37" s="47"/>
    </row>
    <row r="38" spans="1:23" s="76" customFormat="1">
      <c r="A38" s="74" t="s">
        <v>557</v>
      </c>
      <c r="B38" s="31"/>
      <c r="C38" s="31">
        <f>SUM(L38:O38)</f>
        <v>1548.1255799999999</v>
      </c>
      <c r="D38" s="78">
        <f>D34</f>
        <v>1877</v>
      </c>
      <c r="E38" s="78">
        <f>E34</f>
        <v>2202</v>
      </c>
      <c r="F38" s="130"/>
      <c r="G38" s="130"/>
      <c r="H38" s="75"/>
      <c r="I38" s="75"/>
      <c r="L38" s="75">
        <f>L34-L39</f>
        <v>315.11906899999997</v>
      </c>
      <c r="M38" s="75">
        <f>M34-M39</f>
        <v>365.33767399999999</v>
      </c>
      <c r="N38" s="75">
        <f>N34-N39</f>
        <v>489.11255799999998</v>
      </c>
      <c r="O38" s="75">
        <f>O34-O39</f>
        <v>378.55627900000002</v>
      </c>
      <c r="P38" s="75">
        <f>P34-P39</f>
        <v>427</v>
      </c>
      <c r="Q38" s="77"/>
    </row>
    <row r="39" spans="1:23" s="76" customFormat="1">
      <c r="A39" s="74" t="s">
        <v>558</v>
      </c>
      <c r="B39" s="31"/>
      <c r="C39" s="31"/>
      <c r="D39" s="78"/>
      <c r="E39" s="78"/>
      <c r="F39" s="130"/>
      <c r="G39" s="130"/>
      <c r="H39" s="75"/>
      <c r="I39" s="75"/>
      <c r="L39" s="75">
        <f>2%*SUM($L33:$O33)*L40</f>
        <v>26.880931000000004</v>
      </c>
      <c r="M39" s="75">
        <f>2%*SUM($L33:$O33)*M40</f>
        <v>14.662326</v>
      </c>
      <c r="N39" s="75">
        <f>2%*SUM($L33:$O33)*N40</f>
        <v>4.8874420000000001</v>
      </c>
      <c r="O39" s="75">
        <f>2%*SUM($L33:$O33)*O40</f>
        <v>2.4437209999999969</v>
      </c>
      <c r="P39" s="31"/>
    </row>
    <row r="40" spans="1:23" s="76" customFormat="1">
      <c r="A40" s="74" t="s">
        <v>557</v>
      </c>
      <c r="B40" s="31"/>
      <c r="C40" s="31"/>
      <c r="D40" s="78"/>
      <c r="E40" s="78"/>
      <c r="F40" s="130"/>
      <c r="G40" s="130"/>
      <c r="H40" s="75"/>
      <c r="I40" s="75"/>
      <c r="L40" s="79">
        <v>0.55000000000000004</v>
      </c>
      <c r="M40" s="79">
        <v>0.3</v>
      </c>
      <c r="N40" s="79">
        <v>0.1</v>
      </c>
      <c r="O40" s="80">
        <f>1-SUM(L40:N40)</f>
        <v>4.9999999999999933E-2</v>
      </c>
      <c r="P40" s="31"/>
    </row>
    <row r="41" spans="1:23">
      <c r="A41" s="71"/>
      <c r="H41" s="71"/>
      <c r="I41" s="71"/>
      <c r="J41" s="56"/>
      <c r="K41" s="56"/>
      <c r="L41" s="47"/>
      <c r="M41" s="47"/>
      <c r="N41" s="56"/>
      <c r="O41" s="56"/>
      <c r="P41" s="53"/>
      <c r="Q41" s="47"/>
      <c r="R41" s="47"/>
      <c r="S41" s="47"/>
      <c r="T41" s="47"/>
      <c r="U41" s="47"/>
      <c r="V41" s="47"/>
      <c r="W41" s="47"/>
    </row>
    <row r="42" spans="1:23">
      <c r="A42" s="81" t="s">
        <v>499</v>
      </c>
      <c r="B42" s="84">
        <f t="shared" ref="B42:E46" si="10">B33/B$33</f>
        <v>1</v>
      </c>
      <c r="C42" s="84">
        <f t="shared" si="10"/>
        <v>1</v>
      </c>
      <c r="D42" s="84">
        <f t="shared" si="10"/>
        <v>1</v>
      </c>
      <c r="E42" s="84">
        <f t="shared" si="10"/>
        <v>1</v>
      </c>
      <c r="F42" s="131"/>
      <c r="G42" s="131"/>
      <c r="H42" s="84">
        <f t="shared" ref="H42:M45" si="11">H33/H$33</f>
        <v>1</v>
      </c>
      <c r="I42" s="84">
        <f t="shared" si="11"/>
        <v>1</v>
      </c>
      <c r="J42" s="84">
        <f t="shared" si="11"/>
        <v>1</v>
      </c>
      <c r="K42" s="84">
        <f t="shared" si="11"/>
        <v>1</v>
      </c>
      <c r="L42" s="84">
        <f t="shared" si="11"/>
        <v>1</v>
      </c>
      <c r="M42" s="84">
        <f t="shared" si="11"/>
        <v>1</v>
      </c>
      <c r="N42" s="84">
        <f t="shared" ref="N42:P46" si="12">N33/N$33</f>
        <v>1</v>
      </c>
      <c r="O42" s="84">
        <f t="shared" si="12"/>
        <v>1</v>
      </c>
      <c r="P42" s="84">
        <f t="shared" si="12"/>
        <v>1</v>
      </c>
      <c r="Q42" s="84">
        <f t="shared" ref="Q42:R46" si="13">Q33/Q$33</f>
        <v>1</v>
      </c>
      <c r="R42" s="84">
        <f t="shared" si="13"/>
        <v>1</v>
      </c>
      <c r="S42" s="84">
        <f t="shared" ref="S42:T46" si="14">S33/S$33</f>
        <v>1</v>
      </c>
      <c r="T42" s="84">
        <f t="shared" si="14"/>
        <v>1</v>
      </c>
      <c r="U42" s="84"/>
      <c r="V42" s="84"/>
      <c r="W42" s="47"/>
    </row>
    <row r="43" spans="1:23">
      <c r="A43" s="71" t="s">
        <v>345</v>
      </c>
      <c r="B43" s="84">
        <f t="shared" si="10"/>
        <v>0.69904648390941593</v>
      </c>
      <c r="C43" s="84">
        <f t="shared" si="10"/>
        <v>0.65343698854337151</v>
      </c>
      <c r="D43" s="84">
        <f t="shared" si="10"/>
        <v>0.60705045278137126</v>
      </c>
      <c r="E43" s="84">
        <f t="shared" si="10"/>
        <v>0.58455003981948506</v>
      </c>
      <c r="F43" s="131"/>
      <c r="G43" s="131"/>
      <c r="H43" s="84">
        <f t="shared" si="11"/>
        <v>0.74463831439382966</v>
      </c>
      <c r="I43" s="84">
        <f t="shared" si="11"/>
        <v>0.73596514469074747</v>
      </c>
      <c r="J43" s="84">
        <f t="shared" si="11"/>
        <v>0.65442426741364346</v>
      </c>
      <c r="K43" s="84">
        <f t="shared" si="11"/>
        <v>0.68591092458467517</v>
      </c>
      <c r="L43" s="84">
        <f t="shared" si="11"/>
        <v>0.6827492034592626</v>
      </c>
      <c r="M43" s="84">
        <f t="shared" si="11"/>
        <v>0.68386404782729182</v>
      </c>
      <c r="N43" s="84">
        <f t="shared" si="12"/>
        <v>0.62766264276466333</v>
      </c>
      <c r="O43" s="84">
        <f t="shared" si="12"/>
        <v>0.63490264826060006</v>
      </c>
      <c r="P43" s="84">
        <f t="shared" si="12"/>
        <v>0.63447251114413072</v>
      </c>
      <c r="Q43" s="84">
        <f t="shared" si="13"/>
        <v>0.61430575035063117</v>
      </c>
      <c r="R43" s="84">
        <f t="shared" si="13"/>
        <v>0.5840248962655602</v>
      </c>
      <c r="S43" s="84">
        <f t="shared" si="14"/>
        <v>0.60512129380053903</v>
      </c>
      <c r="T43" s="84">
        <f t="shared" si="14"/>
        <v>0.6069295101553166</v>
      </c>
      <c r="U43" s="84"/>
      <c r="V43" s="84"/>
      <c r="W43" s="47"/>
    </row>
    <row r="44" spans="1:23">
      <c r="A44" s="71" t="s">
        <v>343</v>
      </c>
      <c r="B44" s="84">
        <f t="shared" si="10"/>
        <v>0.30095351609058402</v>
      </c>
      <c r="C44" s="84">
        <f t="shared" si="10"/>
        <v>0.34656301145662849</v>
      </c>
      <c r="D44" s="84">
        <f t="shared" si="10"/>
        <v>0.39294954721862874</v>
      </c>
      <c r="E44" s="84">
        <f t="shared" si="10"/>
        <v>0.415449960180515</v>
      </c>
      <c r="F44" s="131"/>
      <c r="G44" s="131"/>
      <c r="H44" s="84">
        <f t="shared" si="11"/>
        <v>0.2553616856061704</v>
      </c>
      <c r="I44" s="84">
        <f t="shared" si="11"/>
        <v>0.26403485530925253</v>
      </c>
      <c r="J44" s="84">
        <f t="shared" si="11"/>
        <v>0.34557573258635649</v>
      </c>
      <c r="K44" s="84">
        <f t="shared" si="11"/>
        <v>0.31408907541532483</v>
      </c>
      <c r="L44" s="84">
        <f t="shared" si="11"/>
        <v>0.31725079654073735</v>
      </c>
      <c r="M44" s="84">
        <f t="shared" si="11"/>
        <v>0.31613595217270812</v>
      </c>
      <c r="N44" s="84">
        <f t="shared" si="12"/>
        <v>0.37233735723533667</v>
      </c>
      <c r="O44" s="84">
        <f t="shared" si="12"/>
        <v>0.36509735173939994</v>
      </c>
      <c r="P44" s="84">
        <f t="shared" si="12"/>
        <v>0.36552748885586922</v>
      </c>
      <c r="Q44" s="84">
        <f t="shared" si="13"/>
        <v>0.38569424964936888</v>
      </c>
      <c r="R44" s="84">
        <f t="shared" si="13"/>
        <v>0.41597510373443985</v>
      </c>
      <c r="S44" s="84">
        <f t="shared" si="14"/>
        <v>0.39487870619946092</v>
      </c>
      <c r="T44" s="84">
        <f t="shared" si="14"/>
        <v>0.3930704898446834</v>
      </c>
      <c r="U44" s="84"/>
      <c r="V44" s="84"/>
      <c r="W44" s="47"/>
    </row>
    <row r="45" spans="1:23">
      <c r="A45" s="71" t="s">
        <v>423</v>
      </c>
      <c r="B45" s="84">
        <f t="shared" si="10"/>
        <v>0.80989272943980928</v>
      </c>
      <c r="C45" s="84">
        <f t="shared" si="10"/>
        <v>0.59328968903436985</v>
      </c>
      <c r="D45" s="84">
        <f t="shared" si="10"/>
        <v>0.35219922380336349</v>
      </c>
      <c r="E45" s="84">
        <f t="shared" si="10"/>
        <v>0.20865410140695514</v>
      </c>
      <c r="F45" s="131"/>
      <c r="G45" s="131"/>
      <c r="H45" s="84">
        <f t="shared" si="11"/>
        <v>0.87999999999999989</v>
      </c>
      <c r="I45" s="84">
        <f t="shared" si="11"/>
        <v>0.85</v>
      </c>
      <c r="J45" s="84">
        <f t="shared" si="11"/>
        <v>0.79999999999999993</v>
      </c>
      <c r="K45" s="84">
        <f t="shared" si="11"/>
        <v>0.72563563016612997</v>
      </c>
      <c r="L45" s="84">
        <f t="shared" si="11"/>
        <v>0.67</v>
      </c>
      <c r="M45" s="84">
        <f t="shared" si="11"/>
        <v>0.64</v>
      </c>
      <c r="N45" s="84">
        <f t="shared" si="12"/>
        <v>0.58466394001882993</v>
      </c>
      <c r="O45" s="84">
        <f t="shared" si="12"/>
        <v>0.49379095205401841</v>
      </c>
      <c r="P45" s="84">
        <f t="shared" si="12"/>
        <v>0.44873699851411591</v>
      </c>
      <c r="Q45" s="84">
        <f t="shared" si="13"/>
        <v>0.38288920056100983</v>
      </c>
      <c r="R45" s="84">
        <f t="shared" si="13"/>
        <v>0.32468879668049794</v>
      </c>
      <c r="S45" s="84">
        <f t="shared" si="14"/>
        <v>0.27085714285714285</v>
      </c>
      <c r="T45" s="84">
        <f t="shared" si="14"/>
        <v>0.25209080047789723</v>
      </c>
      <c r="U45" s="84"/>
      <c r="V45" s="84"/>
      <c r="W45" s="47"/>
    </row>
    <row r="46" spans="1:23">
      <c r="A46" s="71" t="s">
        <v>90</v>
      </c>
      <c r="B46" s="84">
        <f t="shared" si="10"/>
        <v>0.19010727056019069</v>
      </c>
      <c r="C46" s="84">
        <f t="shared" si="10"/>
        <v>0.4067103109656301</v>
      </c>
      <c r="D46" s="84">
        <f t="shared" si="10"/>
        <v>0.64780077619663645</v>
      </c>
      <c r="E46" s="84">
        <f t="shared" si="10"/>
        <v>0.79134589859304483</v>
      </c>
      <c r="F46" s="131"/>
      <c r="G46" s="131"/>
      <c r="H46" s="82">
        <v>0.12</v>
      </c>
      <c r="I46" s="82">
        <v>0.15</v>
      </c>
      <c r="J46" s="82">
        <v>0.2</v>
      </c>
      <c r="K46" s="84">
        <f>K37/K$33</f>
        <v>0.27436436983387008</v>
      </c>
      <c r="L46" s="82">
        <v>0.33</v>
      </c>
      <c r="M46" s="82">
        <v>0.36</v>
      </c>
      <c r="N46" s="84">
        <f t="shared" si="12"/>
        <v>0.41533605998117012</v>
      </c>
      <c r="O46" s="84">
        <f t="shared" si="12"/>
        <v>0.50620904794598165</v>
      </c>
      <c r="P46" s="84">
        <f t="shared" si="12"/>
        <v>0.55126300148588414</v>
      </c>
      <c r="Q46" s="84">
        <f t="shared" si="13"/>
        <v>0.61711079943899017</v>
      </c>
      <c r="R46" s="84">
        <f t="shared" si="13"/>
        <v>0.67531120331950212</v>
      </c>
      <c r="S46" s="84">
        <f t="shared" si="14"/>
        <v>0.72914285714285709</v>
      </c>
      <c r="T46" s="84">
        <f t="shared" si="14"/>
        <v>0.74790919952210277</v>
      </c>
      <c r="U46" s="84"/>
      <c r="V46" s="84"/>
      <c r="W46" s="47"/>
    </row>
    <row r="47" spans="1:23">
      <c r="A47" s="71"/>
      <c r="D47" s="56"/>
      <c r="E47" s="56"/>
      <c r="F47" s="33"/>
      <c r="G47" s="33"/>
      <c r="H47" s="71"/>
      <c r="I47" s="71"/>
      <c r="J47" s="56"/>
      <c r="K47" s="56"/>
      <c r="L47" s="47"/>
      <c r="M47" s="47"/>
      <c r="N47" s="56"/>
      <c r="O47" s="56"/>
      <c r="P47" s="56"/>
      <c r="Q47" s="47"/>
      <c r="R47" s="47"/>
      <c r="S47" s="47"/>
      <c r="T47" s="47"/>
      <c r="U47" s="47"/>
      <c r="V47" s="47"/>
      <c r="W47" s="47"/>
    </row>
    <row r="48" spans="1:23">
      <c r="A48" s="81" t="s">
        <v>500</v>
      </c>
      <c r="C48" s="84">
        <f>C33/B33-1</f>
        <v>0.45649582836710367</v>
      </c>
      <c r="D48" s="84">
        <f>D33/C33-1</f>
        <v>0.26513911620294595</v>
      </c>
      <c r="E48" s="84">
        <f>E33/D33-1</f>
        <v>0.21830530401034931</v>
      </c>
      <c r="F48" s="131"/>
      <c r="G48" s="131"/>
      <c r="H48" s="81"/>
      <c r="I48" s="81"/>
      <c r="J48" s="82"/>
      <c r="K48" s="82"/>
      <c r="L48" s="84">
        <f t="shared" ref="L48:T48" si="15">L33/H33-1</f>
        <v>0.45136671553657415</v>
      </c>
      <c r="M48" s="84">
        <f t="shared" si="15"/>
        <v>0.48709384759901431</v>
      </c>
      <c r="N48" s="84">
        <f t="shared" si="15"/>
        <v>0.48862039420550829</v>
      </c>
      <c r="O48" s="84">
        <f t="shared" si="15"/>
        <v>0.39528697815548086</v>
      </c>
      <c r="P48" s="84">
        <f t="shared" si="15"/>
        <v>0.34353863721661915</v>
      </c>
      <c r="Q48" s="84">
        <f t="shared" si="15"/>
        <v>0.28314491079173454</v>
      </c>
      <c r="R48" s="84">
        <f t="shared" si="15"/>
        <v>0.22483155389703535</v>
      </c>
      <c r="S48" s="84">
        <f t="shared" si="15"/>
        <v>0.23647707351539426</v>
      </c>
      <c r="T48" s="84">
        <f t="shared" si="15"/>
        <v>0.24368499257057952</v>
      </c>
      <c r="U48" s="47"/>
      <c r="V48" s="47"/>
      <c r="W48" s="47"/>
    </row>
    <row r="49" spans="1:26">
      <c r="A49" s="83" t="s">
        <v>556</v>
      </c>
      <c r="C49" s="82"/>
      <c r="D49" s="82"/>
      <c r="E49" s="82"/>
      <c r="F49" s="131"/>
      <c r="G49" s="131"/>
      <c r="H49" s="81"/>
      <c r="I49" s="81"/>
      <c r="J49" s="82"/>
      <c r="K49" s="82"/>
      <c r="L49" s="82"/>
      <c r="M49" s="82"/>
      <c r="N49" s="82"/>
      <c r="O49" s="82"/>
      <c r="P49" s="82">
        <v>0.36</v>
      </c>
      <c r="Q49" s="82">
        <v>0.3</v>
      </c>
      <c r="R49" s="47"/>
      <c r="S49" s="47"/>
      <c r="T49" s="47"/>
      <c r="U49" s="47"/>
      <c r="V49" s="47"/>
      <c r="W49" s="47"/>
    </row>
    <row r="50" spans="1:26">
      <c r="A50" s="71" t="s">
        <v>345</v>
      </c>
      <c r="C50" s="84">
        <f t="shared" ref="C50:E53" si="16">C34/B34-1</f>
        <v>0.36146632566069914</v>
      </c>
      <c r="D50" s="84">
        <f t="shared" si="16"/>
        <v>0.17532874139010635</v>
      </c>
      <c r="E50" s="84">
        <f t="shared" si="16"/>
        <v>0.17314864144912101</v>
      </c>
      <c r="F50" s="131"/>
      <c r="G50" s="131"/>
      <c r="H50" s="71"/>
      <c r="I50" s="71"/>
      <c r="J50" s="82"/>
      <c r="K50" s="82"/>
      <c r="L50" s="84">
        <f>L34/H34-1</f>
        <v>0.33073929961089488</v>
      </c>
      <c r="M50" s="84">
        <f>M34/I34-1</f>
        <v>0.38181818181818183</v>
      </c>
      <c r="N50" s="84">
        <f>N34/J34-1</f>
        <v>0.42774566473988429</v>
      </c>
      <c r="O50" s="84">
        <f t="shared" ref="O50:T53" si="17">O34/K34-1</f>
        <v>0.29152542372881363</v>
      </c>
      <c r="P50" s="84">
        <f t="shared" si="17"/>
        <v>0.24853801169590639</v>
      </c>
      <c r="Q50" s="84">
        <f t="shared" si="17"/>
        <v>0.15263157894736845</v>
      </c>
      <c r="R50" s="84">
        <f t="shared" si="17"/>
        <v>0.13967611336032393</v>
      </c>
      <c r="S50" s="84">
        <f t="shared" si="17"/>
        <v>0.17847769028871396</v>
      </c>
      <c r="T50" s="84">
        <f t="shared" si="17"/>
        <v>0.18969555035128804</v>
      </c>
      <c r="U50" s="47"/>
      <c r="V50" s="47"/>
      <c r="W50" s="47"/>
    </row>
    <row r="51" spans="1:26">
      <c r="A51" s="71" t="s">
        <v>343</v>
      </c>
      <c r="C51" s="84">
        <f t="shared" si="16"/>
        <v>0.67722772277227716</v>
      </c>
      <c r="D51" s="84">
        <f t="shared" si="16"/>
        <v>0.43447461629279815</v>
      </c>
      <c r="E51" s="84">
        <f t="shared" si="16"/>
        <v>0.2880658436213992</v>
      </c>
      <c r="F51" s="131"/>
      <c r="G51" s="131"/>
      <c r="H51" s="71"/>
      <c r="I51" s="71"/>
      <c r="J51" s="82"/>
      <c r="K51" s="82"/>
      <c r="L51" s="84">
        <f t="shared" ref="L51:N53" si="18">L35/H35-1</f>
        <v>0.80311797944039731</v>
      </c>
      <c r="M51" s="84">
        <f t="shared" si="18"/>
        <v>0.78053700118590363</v>
      </c>
      <c r="N51" s="84">
        <f t="shared" si="18"/>
        <v>0.60390019101412684</v>
      </c>
      <c r="O51" s="84">
        <f t="shared" si="17"/>
        <v>0.62188251841433195</v>
      </c>
      <c r="P51" s="84">
        <f t="shared" si="17"/>
        <v>0.54798761609907132</v>
      </c>
      <c r="Q51" s="84">
        <f t="shared" si="17"/>
        <v>0.56547083670146714</v>
      </c>
      <c r="R51" s="84">
        <f t="shared" si="17"/>
        <v>0.36838118117571583</v>
      </c>
      <c r="S51" s="84">
        <f t="shared" si="17"/>
        <v>0.3373377393971484</v>
      </c>
      <c r="T51" s="84">
        <f t="shared" si="17"/>
        <v>0.33739837398373984</v>
      </c>
      <c r="U51" s="47"/>
      <c r="V51" s="47"/>
      <c r="W51" s="47"/>
    </row>
    <row r="52" spans="1:26">
      <c r="A52" s="71" t="s">
        <v>423</v>
      </c>
      <c r="C52" s="84">
        <f t="shared" si="16"/>
        <v>6.6961000735835219E-2</v>
      </c>
      <c r="D52" s="84">
        <f t="shared" si="16"/>
        <v>-0.24896551724137927</v>
      </c>
      <c r="E52" s="84">
        <f t="shared" si="16"/>
        <v>-0.278236914600551</v>
      </c>
      <c r="F52" s="131"/>
      <c r="G52" s="131"/>
      <c r="H52" s="71"/>
      <c r="I52" s="71"/>
      <c r="J52" s="82"/>
      <c r="K52" s="82"/>
      <c r="L52" s="84">
        <f t="shared" si="18"/>
        <v>0.10501784023807348</v>
      </c>
      <c r="M52" s="84">
        <f t="shared" si="18"/>
        <v>0.11969419113337554</v>
      </c>
      <c r="N52" s="84">
        <f t="shared" si="18"/>
        <v>8.7928331085720401E-2</v>
      </c>
      <c r="O52" s="84">
        <f t="shared" si="17"/>
        <v>-5.0515084031593882E-2</v>
      </c>
      <c r="P52" s="84">
        <f t="shared" si="17"/>
        <v>-0.10015597693681888</v>
      </c>
      <c r="Q52" s="84">
        <f t="shared" si="17"/>
        <v>-0.23234011078597583</v>
      </c>
      <c r="R52" s="84">
        <f t="shared" si="17"/>
        <v>-0.31979885169876432</v>
      </c>
      <c r="S52" s="84">
        <f t="shared" si="17"/>
        <v>-0.32176025917926565</v>
      </c>
      <c r="T52" s="84">
        <f t="shared" si="17"/>
        <v>-0.30132450331125826</v>
      </c>
      <c r="U52" s="47"/>
      <c r="V52" s="47"/>
      <c r="W52" s="47"/>
    </row>
    <row r="53" spans="1:26">
      <c r="A53" s="71" t="s">
        <v>90</v>
      </c>
      <c r="C53" s="84">
        <f t="shared" si="16"/>
        <v>2.1159874608150471</v>
      </c>
      <c r="D53" s="84">
        <f t="shared" si="16"/>
        <v>1.0150905432595572</v>
      </c>
      <c r="E53" s="84">
        <f t="shared" si="16"/>
        <v>0.48826759860209679</v>
      </c>
      <c r="F53" s="131"/>
      <c r="G53" s="131"/>
      <c r="H53" s="71"/>
      <c r="I53" s="71"/>
      <c r="J53" s="82"/>
      <c r="K53" s="82"/>
      <c r="L53" s="84">
        <f t="shared" si="18"/>
        <v>2.9912584677255789</v>
      </c>
      <c r="M53" s="84">
        <f t="shared" si="18"/>
        <v>2.5690252342376341</v>
      </c>
      <c r="N53" s="84">
        <f t="shared" si="18"/>
        <v>2.0913886466846603</v>
      </c>
      <c r="O53" s="84">
        <f t="shared" si="17"/>
        <v>1.5743389830508474</v>
      </c>
      <c r="P53" s="84">
        <f t="shared" si="17"/>
        <v>1.2443731568614784</v>
      </c>
      <c r="Q53" s="84">
        <f t="shared" si="17"/>
        <v>1.1995627269298863</v>
      </c>
      <c r="R53" s="84">
        <f t="shared" si="17"/>
        <v>0.99150170241274549</v>
      </c>
      <c r="S53" s="84">
        <f t="shared" si="17"/>
        <v>0.78101997550794677</v>
      </c>
      <c r="T53" s="84">
        <f t="shared" si="17"/>
        <v>0.68733153638814026</v>
      </c>
      <c r="U53" s="47"/>
      <c r="V53" s="47"/>
      <c r="W53" s="47"/>
    </row>
    <row r="54" spans="1:26" s="212" customFormat="1"/>
    <row r="55" spans="1:26" s="98" customFormat="1">
      <c r="A55" s="98" t="s">
        <v>462</v>
      </c>
      <c r="B55" s="38">
        <f>B59+B63+B64+B65</f>
        <v>52504</v>
      </c>
      <c r="C55" s="38">
        <f>C59+C63+C64+C65</f>
        <v>76204</v>
      </c>
      <c r="D55" s="39">
        <v>101143</v>
      </c>
      <c r="E55" s="39">
        <v>158273</v>
      </c>
      <c r="F55" s="132"/>
      <c r="G55" s="132"/>
      <c r="H55" s="38">
        <f t="shared" ref="H55:Y55" si="19">H59+H63+H64+H65</f>
        <v>10778</v>
      </c>
      <c r="I55" s="38">
        <f t="shared" si="19"/>
        <v>10950</v>
      </c>
      <c r="J55" s="38">
        <f t="shared" si="19"/>
        <v>18745</v>
      </c>
      <c r="K55" s="38">
        <f t="shared" si="19"/>
        <v>12031</v>
      </c>
      <c r="L55" s="38">
        <f t="shared" si="19"/>
        <v>15771</v>
      </c>
      <c r="M55" s="38">
        <f t="shared" si="19"/>
        <v>16829</v>
      </c>
      <c r="N55" s="38">
        <f t="shared" si="19"/>
        <v>26179</v>
      </c>
      <c r="O55" s="38">
        <f t="shared" si="19"/>
        <v>17425</v>
      </c>
      <c r="P55" s="38">
        <f t="shared" si="19"/>
        <v>20245</v>
      </c>
      <c r="Q55" s="38">
        <f t="shared" si="19"/>
        <v>22171</v>
      </c>
      <c r="R55" s="38">
        <f t="shared" si="19"/>
        <v>34543</v>
      </c>
      <c r="S55" s="38">
        <f t="shared" si="19"/>
        <v>24184</v>
      </c>
      <c r="T55" s="38">
        <f t="shared" si="19"/>
        <v>32154</v>
      </c>
      <c r="U55" s="38">
        <f t="shared" si="19"/>
        <v>34292</v>
      </c>
      <c r="V55" s="38">
        <f t="shared" si="19"/>
        <v>53248</v>
      </c>
      <c r="W55" s="38">
        <f t="shared" si="19"/>
        <v>38579</v>
      </c>
      <c r="X55" s="1289">
        <v>50184</v>
      </c>
      <c r="Y55" s="38">
        <f t="shared" si="19"/>
        <v>55122</v>
      </c>
      <c r="Z55" s="38">
        <f t="shared" ref="Z55" si="20">Z59+Z63+Z64+Z65</f>
        <v>79121</v>
      </c>
    </row>
    <row r="56" spans="1:26">
      <c r="A56" s="47" t="s">
        <v>140</v>
      </c>
      <c r="H56" s="47"/>
      <c r="I56" s="47"/>
      <c r="J56" s="47"/>
      <c r="K56" s="47"/>
      <c r="L56" s="47"/>
      <c r="M56" s="47"/>
      <c r="N56" s="47"/>
      <c r="O56" s="47"/>
      <c r="P56" s="47"/>
      <c r="Q56" s="47"/>
      <c r="R56" s="47"/>
      <c r="S56" s="47"/>
      <c r="T56" s="47"/>
      <c r="U56" s="47"/>
      <c r="V56" s="47"/>
      <c r="W56" s="47"/>
    </row>
    <row r="57" spans="1:26">
      <c r="A57" s="71" t="s">
        <v>478</v>
      </c>
      <c r="B57" s="86">
        <v>42832</v>
      </c>
      <c r="C57" s="86">
        <v>59732</v>
      </c>
      <c r="D57" s="166">
        <v>80033</v>
      </c>
      <c r="E57" s="166">
        <v>114109</v>
      </c>
      <c r="F57" s="129"/>
      <c r="G57" s="129"/>
      <c r="H57" s="168">
        <v>8667</v>
      </c>
      <c r="I57" s="168">
        <v>8645</v>
      </c>
      <c r="J57" s="46">
        <v>16149</v>
      </c>
      <c r="K57" s="46">
        <v>9371</v>
      </c>
      <c r="L57" s="46">
        <v>12639</v>
      </c>
      <c r="M57" s="46">
        <v>12769</v>
      </c>
      <c r="N57" s="46">
        <v>21275</v>
      </c>
      <c r="O57" s="46">
        <v>13049</v>
      </c>
      <c r="P57" s="166">
        <v>15712</v>
      </c>
      <c r="Q57" s="86">
        <v>17267</v>
      </c>
      <c r="R57" s="56">
        <v>28714</v>
      </c>
      <c r="S57" s="86">
        <v>18340</v>
      </c>
      <c r="T57" s="149">
        <f t="shared" ref="T57:V58" si="21">T128</f>
        <v>23383</v>
      </c>
      <c r="U57" s="149">
        <f t="shared" si="21"/>
        <v>24109</v>
      </c>
      <c r="V57" s="149">
        <f t="shared" si="21"/>
        <v>40802</v>
      </c>
      <c r="W57" s="86">
        <v>25815</v>
      </c>
      <c r="X57" s="149">
        <f t="shared" ref="X57:Z58" si="22">X128</f>
        <v>36712</v>
      </c>
      <c r="Y57" s="149">
        <f t="shared" si="22"/>
        <v>39557</v>
      </c>
      <c r="Z57" s="149">
        <f t="shared" si="22"/>
        <v>60105</v>
      </c>
    </row>
    <row r="58" spans="1:26">
      <c r="A58" s="71" t="s">
        <v>479</v>
      </c>
      <c r="B58" s="86">
        <v>2300</v>
      </c>
      <c r="C58" s="86">
        <v>3205</v>
      </c>
      <c r="D58" s="166">
        <v>4288</v>
      </c>
      <c r="E58" s="166">
        <v>5679</v>
      </c>
      <c r="F58" s="129"/>
      <c r="G58" s="129"/>
      <c r="H58" s="166">
        <v>526</v>
      </c>
      <c r="I58" s="166">
        <v>568</v>
      </c>
      <c r="J58" s="56">
        <v>612</v>
      </c>
      <c r="K58" s="56">
        <v>594</v>
      </c>
      <c r="L58" s="166">
        <v>709</v>
      </c>
      <c r="M58" s="166">
        <v>790</v>
      </c>
      <c r="N58" s="166">
        <v>860</v>
      </c>
      <c r="O58" s="56">
        <v>846</v>
      </c>
      <c r="P58" s="166">
        <v>997</v>
      </c>
      <c r="Q58" s="86">
        <v>1046</v>
      </c>
      <c r="R58" s="56">
        <v>1162</v>
      </c>
      <c r="S58" s="86">
        <v>1083</v>
      </c>
      <c r="T58" s="52">
        <f t="shared" si="21"/>
        <v>1261</v>
      </c>
      <c r="U58" s="52">
        <f t="shared" si="21"/>
        <v>1435</v>
      </c>
      <c r="V58" s="52">
        <f t="shared" si="21"/>
        <v>1514</v>
      </c>
      <c r="W58" s="86">
        <v>1469</v>
      </c>
      <c r="X58" s="52">
        <f t="shared" si="22"/>
        <v>1641</v>
      </c>
      <c r="Y58" s="52">
        <f t="shared" si="22"/>
        <v>1714</v>
      </c>
      <c r="Z58" s="52">
        <f t="shared" si="22"/>
        <v>1926</v>
      </c>
    </row>
    <row r="59" spans="1:26">
      <c r="A59" s="47" t="s">
        <v>497</v>
      </c>
      <c r="B59" s="86">
        <v>45132</v>
      </c>
      <c r="C59" s="86">
        <v>62937</v>
      </c>
      <c r="D59" s="166">
        <v>84321</v>
      </c>
      <c r="E59" s="73">
        <f>SUM(E57:E58)</f>
        <v>119788</v>
      </c>
      <c r="F59" s="129"/>
      <c r="G59" s="129"/>
      <c r="H59" s="166">
        <v>9193</v>
      </c>
      <c r="I59" s="166">
        <v>9213</v>
      </c>
      <c r="J59" s="86">
        <v>16761</v>
      </c>
      <c r="K59" s="86">
        <v>9965</v>
      </c>
      <c r="L59" s="166">
        <v>13348</v>
      </c>
      <c r="M59" s="166">
        <v>13559</v>
      </c>
      <c r="N59" s="166">
        <v>22135</v>
      </c>
      <c r="O59" s="86">
        <v>13895</v>
      </c>
      <c r="P59" s="166">
        <v>16709</v>
      </c>
      <c r="Q59" s="86">
        <v>18313</v>
      </c>
      <c r="R59" s="56">
        <v>29876</v>
      </c>
      <c r="S59" s="86">
        <v>19423</v>
      </c>
      <c r="T59" s="52">
        <f t="shared" ref="T59:Y59" si="23">SUM(T57:T58)</f>
        <v>24644</v>
      </c>
      <c r="U59" s="52">
        <f t="shared" si="23"/>
        <v>25544</v>
      </c>
      <c r="V59" s="52">
        <f t="shared" si="23"/>
        <v>42316</v>
      </c>
      <c r="W59" s="52">
        <f t="shared" si="23"/>
        <v>27284</v>
      </c>
      <c r="X59" s="52">
        <f t="shared" si="23"/>
        <v>38353</v>
      </c>
      <c r="Y59" s="52">
        <f t="shared" si="23"/>
        <v>41271</v>
      </c>
      <c r="Z59" s="52">
        <f t="shared" ref="Z59" si="24">SUM(Z57:Z58)</f>
        <v>62031</v>
      </c>
    </row>
    <row r="60" spans="1:26">
      <c r="A60" s="47" t="s">
        <v>141</v>
      </c>
      <c r="H60" s="73"/>
      <c r="I60" s="73"/>
      <c r="J60" s="47"/>
      <c r="K60" s="47"/>
      <c r="L60" s="73"/>
      <c r="M60" s="73"/>
      <c r="N60" s="73"/>
      <c r="O60" s="47"/>
      <c r="P60" s="73"/>
      <c r="Q60" s="47"/>
      <c r="R60" s="47"/>
      <c r="T60" s="47"/>
      <c r="U60" s="47"/>
      <c r="V60" s="47"/>
      <c r="W60" s="47"/>
    </row>
    <row r="61" spans="1:26">
      <c r="A61" s="71" t="s">
        <v>478</v>
      </c>
      <c r="B61" s="56">
        <v>938</v>
      </c>
      <c r="C61" s="86">
        <v>1768</v>
      </c>
      <c r="D61" s="166">
        <v>2204</v>
      </c>
      <c r="E61" s="166">
        <v>7336</v>
      </c>
      <c r="F61" s="129"/>
      <c r="G61" s="129"/>
      <c r="H61" s="166">
        <v>179</v>
      </c>
      <c r="I61" s="166">
        <v>210</v>
      </c>
      <c r="J61" s="56">
        <v>264</v>
      </c>
      <c r="K61" s="56">
        <v>285</v>
      </c>
      <c r="L61" s="166">
        <v>358</v>
      </c>
      <c r="M61" s="166">
        <v>419</v>
      </c>
      <c r="N61" s="166">
        <v>554</v>
      </c>
      <c r="O61" s="56">
        <v>437</v>
      </c>
      <c r="P61" s="166">
        <v>501</v>
      </c>
      <c r="Q61" s="56">
        <v>481</v>
      </c>
      <c r="R61" s="56">
        <v>632</v>
      </c>
      <c r="S61" s="56">
        <v>590</v>
      </c>
      <c r="T61" s="52">
        <f t="shared" ref="T61:V62" si="25">T130</f>
        <v>1117</v>
      </c>
      <c r="U61" s="52">
        <f t="shared" si="25"/>
        <v>1338</v>
      </c>
      <c r="V61" s="52">
        <f t="shared" si="25"/>
        <v>2452</v>
      </c>
      <c r="W61" s="86">
        <v>2429</v>
      </c>
      <c r="X61" s="52">
        <f t="shared" ref="X61:Z62" si="26">X130</f>
        <v>2638</v>
      </c>
      <c r="Y61" s="52">
        <f t="shared" si="26"/>
        <v>2878</v>
      </c>
      <c r="Z61" s="52">
        <f t="shared" si="26"/>
        <v>4733</v>
      </c>
    </row>
    <row r="62" spans="1:26">
      <c r="A62" s="71" t="s">
        <v>479</v>
      </c>
      <c r="B62" s="86">
        <v>3913</v>
      </c>
      <c r="C62" s="86">
        <v>4718</v>
      </c>
      <c r="D62" s="166">
        <v>5425</v>
      </c>
      <c r="E62" s="166">
        <v>6001</v>
      </c>
      <c r="F62" s="129"/>
      <c r="G62" s="129"/>
      <c r="H62" s="166">
        <v>938</v>
      </c>
      <c r="I62" s="166">
        <v>966</v>
      </c>
      <c r="J62" s="86">
        <v>1000</v>
      </c>
      <c r="K62" s="86">
        <v>1009</v>
      </c>
      <c r="L62" s="166">
        <v>1111</v>
      </c>
      <c r="M62" s="166">
        <v>1198</v>
      </c>
      <c r="N62" s="166">
        <v>1209</v>
      </c>
      <c r="O62" s="86">
        <v>1200</v>
      </c>
      <c r="P62" s="166">
        <v>1245</v>
      </c>
      <c r="Q62" s="86">
        <v>1355</v>
      </c>
      <c r="R62" s="56">
        <v>1430</v>
      </c>
      <c r="S62" s="86">
        <v>1395</v>
      </c>
      <c r="T62" s="52">
        <f t="shared" si="25"/>
        <v>1432</v>
      </c>
      <c r="U62" s="52">
        <f t="shared" si="25"/>
        <v>1506</v>
      </c>
      <c r="V62" s="52">
        <f t="shared" si="25"/>
        <v>1554</v>
      </c>
      <c r="W62" s="86">
        <v>1509</v>
      </c>
      <c r="X62" s="52">
        <f t="shared" si="26"/>
        <v>1609</v>
      </c>
      <c r="Y62" s="52">
        <f t="shared" si="26"/>
        <v>1651</v>
      </c>
      <c r="Z62" s="52">
        <f t="shared" si="26"/>
        <v>1666</v>
      </c>
    </row>
    <row r="63" spans="1:26">
      <c r="A63" s="47" t="s">
        <v>498</v>
      </c>
      <c r="B63" s="86">
        <v>4851</v>
      </c>
      <c r="C63" s="86">
        <v>6486</v>
      </c>
      <c r="D63" s="166">
        <v>7629</v>
      </c>
      <c r="E63" s="73">
        <f>SUM(E61:E62)</f>
        <v>13337</v>
      </c>
      <c r="F63" s="129"/>
      <c r="G63" s="129"/>
      <c r="H63" s="166">
        <v>1117</v>
      </c>
      <c r="I63" s="166">
        <v>1176</v>
      </c>
      <c r="J63" s="86">
        <v>1264</v>
      </c>
      <c r="K63" s="86">
        <v>1294</v>
      </c>
      <c r="L63" s="166">
        <v>1469</v>
      </c>
      <c r="M63" s="166">
        <v>1617</v>
      </c>
      <c r="N63" s="166">
        <v>1763</v>
      </c>
      <c r="O63" s="86">
        <v>1637</v>
      </c>
      <c r="P63" s="166">
        <v>1746</v>
      </c>
      <c r="Q63" s="86">
        <v>1836</v>
      </c>
      <c r="R63" s="56">
        <v>2062</v>
      </c>
      <c r="S63" s="86">
        <v>1985</v>
      </c>
      <c r="T63" s="52">
        <f t="shared" ref="T63:Y63" si="27">SUM(T61:T62)</f>
        <v>2549</v>
      </c>
      <c r="U63" s="52">
        <f t="shared" si="27"/>
        <v>2844</v>
      </c>
      <c r="V63" s="52">
        <f t="shared" si="27"/>
        <v>4006</v>
      </c>
      <c r="W63" s="52">
        <f t="shared" si="27"/>
        <v>3938</v>
      </c>
      <c r="X63" s="52">
        <f t="shared" si="27"/>
        <v>4247</v>
      </c>
      <c r="Y63" s="52">
        <f t="shared" si="27"/>
        <v>4529</v>
      </c>
      <c r="Z63" s="52">
        <f t="shared" ref="Z63" si="28">SUM(Z61:Z62)</f>
        <v>6399</v>
      </c>
    </row>
    <row r="64" spans="1:26">
      <c r="A64" s="47" t="s">
        <v>142</v>
      </c>
      <c r="B64" s="56">
        <v>773</v>
      </c>
      <c r="C64" s="86">
        <v>1271</v>
      </c>
      <c r="D64" s="166">
        <v>3019</v>
      </c>
      <c r="E64" s="166">
        <v>6663</v>
      </c>
      <c r="F64" s="129"/>
      <c r="G64" s="129"/>
      <c r="H64" s="166">
        <v>174</v>
      </c>
      <c r="I64" s="166">
        <v>190</v>
      </c>
      <c r="J64" s="56">
        <v>196</v>
      </c>
      <c r="K64" s="56">
        <v>213</v>
      </c>
      <c r="L64" s="166">
        <v>236</v>
      </c>
      <c r="M64" s="166">
        <v>285</v>
      </c>
      <c r="N64" s="166">
        <v>362</v>
      </c>
      <c r="O64" s="56">
        <v>388</v>
      </c>
      <c r="P64" s="166">
        <v>485</v>
      </c>
      <c r="Q64" s="56">
        <v>649</v>
      </c>
      <c r="R64" s="56">
        <v>819</v>
      </c>
      <c r="S64" s="86">
        <v>1066</v>
      </c>
      <c r="T64" s="52">
        <f>T134</f>
        <v>1243</v>
      </c>
      <c r="U64" s="52">
        <f>U134</f>
        <v>1493</v>
      </c>
      <c r="V64" s="52">
        <f>V134</f>
        <v>1764</v>
      </c>
      <c r="W64" s="86">
        <v>2163</v>
      </c>
      <c r="X64" s="52">
        <f>X134</f>
        <v>2431</v>
      </c>
      <c r="Y64" s="52">
        <f>Y134</f>
        <v>2975</v>
      </c>
      <c r="Z64" s="52">
        <f>Z134</f>
        <v>3599</v>
      </c>
    </row>
    <row r="65" spans="1:26">
      <c r="A65" s="47" t="s">
        <v>82</v>
      </c>
      <c r="B65" s="86">
        <v>1748</v>
      </c>
      <c r="C65" s="86">
        <v>5510</v>
      </c>
      <c r="D65" s="166">
        <v>6174</v>
      </c>
      <c r="E65" s="73">
        <f>14733+2997+755</f>
        <v>18485</v>
      </c>
      <c r="F65" s="129"/>
      <c r="G65" s="129"/>
      <c r="H65" s="166">
        <v>294</v>
      </c>
      <c r="I65" s="166">
        <v>371</v>
      </c>
      <c r="J65" s="56">
        <v>524</v>
      </c>
      <c r="K65" s="56">
        <v>559</v>
      </c>
      <c r="L65" s="166">
        <v>718</v>
      </c>
      <c r="M65" s="166">
        <v>1368</v>
      </c>
      <c r="N65" s="166">
        <v>1919</v>
      </c>
      <c r="O65" s="86">
        <v>1505</v>
      </c>
      <c r="P65" s="166">
        <v>1305</v>
      </c>
      <c r="Q65" s="86">
        <v>1373</v>
      </c>
      <c r="R65" s="56">
        <v>1786</v>
      </c>
      <c r="S65" s="86">
        <v>1710</v>
      </c>
      <c r="T65" s="52">
        <f>T133+T135+T136</f>
        <v>3718</v>
      </c>
      <c r="U65" s="52">
        <f>U133+U135+U136</f>
        <v>4411</v>
      </c>
      <c r="V65" s="52">
        <f>V133+V135+V136</f>
        <v>5162</v>
      </c>
      <c r="W65" s="52">
        <f>3927+919+348</f>
        <v>5194</v>
      </c>
      <c r="X65" s="52">
        <f>X133+X135+X136</f>
        <v>5153</v>
      </c>
      <c r="Y65" s="52">
        <f>Y133+Y135+Y136</f>
        <v>6347</v>
      </c>
      <c r="Z65" s="52">
        <f>Z133+Z135+Z136</f>
        <v>7092</v>
      </c>
    </row>
    <row r="66" spans="1:26">
      <c r="A66" s="85" t="s">
        <v>507</v>
      </c>
      <c r="C66" s="86">
        <v>2489</v>
      </c>
      <c r="D66" s="73"/>
      <c r="E66" s="73"/>
      <c r="F66" s="129"/>
      <c r="G66" s="129"/>
      <c r="H66" s="85"/>
      <c r="I66" s="85"/>
      <c r="J66" s="47"/>
      <c r="K66" s="47"/>
      <c r="L66" s="47"/>
      <c r="M66" s="47"/>
      <c r="N66" s="47"/>
      <c r="O66" s="86">
        <v>901</v>
      </c>
      <c r="P66" s="47"/>
      <c r="Q66" s="52"/>
      <c r="R66" s="47"/>
      <c r="T66" s="47"/>
      <c r="U66" s="47"/>
      <c r="V66" s="47"/>
      <c r="W66" s="47"/>
    </row>
    <row r="67" spans="1:26">
      <c r="A67" s="47"/>
      <c r="H67" s="47"/>
      <c r="I67" s="47"/>
      <c r="J67" s="47"/>
      <c r="K67" s="47"/>
      <c r="L67" s="47"/>
      <c r="M67" s="47"/>
      <c r="N67" s="47"/>
      <c r="O67" s="47"/>
      <c r="P67" s="47"/>
      <c r="Q67" s="47"/>
      <c r="R67" s="47"/>
      <c r="S67" s="47"/>
      <c r="T67" s="47"/>
      <c r="U67" s="47"/>
      <c r="V67" s="47"/>
      <c r="W67" s="47"/>
    </row>
    <row r="68" spans="1:26">
      <c r="A68" s="47" t="s">
        <v>23</v>
      </c>
      <c r="B68" s="149">
        <f>B57</f>
        <v>42832</v>
      </c>
      <c r="C68" s="149">
        <f>C57</f>
        <v>59732</v>
      </c>
      <c r="D68" s="149">
        <f>D57</f>
        <v>80033</v>
      </c>
      <c r="E68" s="149">
        <f>E57</f>
        <v>114109</v>
      </c>
      <c r="F68" s="133"/>
      <c r="G68" s="133"/>
      <c r="H68" s="169">
        <f t="shared" ref="H68:P68" si="29">H57</f>
        <v>8667</v>
      </c>
      <c r="I68" s="169">
        <f t="shared" si="29"/>
        <v>8645</v>
      </c>
      <c r="J68" s="149">
        <f t="shared" si="29"/>
        <v>16149</v>
      </c>
      <c r="K68" s="149">
        <f t="shared" si="29"/>
        <v>9371</v>
      </c>
      <c r="L68" s="169">
        <f t="shared" si="29"/>
        <v>12639</v>
      </c>
      <c r="M68" s="169">
        <f t="shared" si="29"/>
        <v>12769</v>
      </c>
      <c r="N68" s="169">
        <f t="shared" si="29"/>
        <v>21275</v>
      </c>
      <c r="O68" s="149">
        <f t="shared" si="29"/>
        <v>13049</v>
      </c>
      <c r="P68" s="149">
        <f t="shared" si="29"/>
        <v>15712</v>
      </c>
      <c r="Q68" s="149">
        <f t="shared" ref="Q68:W68" si="30">Q57</f>
        <v>17267</v>
      </c>
      <c r="R68" s="149">
        <f t="shared" si="30"/>
        <v>28714</v>
      </c>
      <c r="S68" s="149">
        <f t="shared" si="30"/>
        <v>18340</v>
      </c>
      <c r="T68" s="149">
        <f t="shared" si="30"/>
        <v>23383</v>
      </c>
      <c r="U68" s="149">
        <f t="shared" si="30"/>
        <v>24109</v>
      </c>
      <c r="V68" s="149">
        <f t="shared" si="30"/>
        <v>40802</v>
      </c>
      <c r="W68" s="149">
        <f t="shared" si="30"/>
        <v>25815</v>
      </c>
      <c r="X68" s="149">
        <f>X57</f>
        <v>36712</v>
      </c>
      <c r="Y68" s="149">
        <f>Y57</f>
        <v>39557</v>
      </c>
      <c r="Z68" s="149">
        <f>Z57</f>
        <v>60105</v>
      </c>
    </row>
    <row r="69" spans="1:26">
      <c r="A69" s="71" t="s">
        <v>0</v>
      </c>
      <c r="B69" s="149">
        <f>B68-B70</f>
        <v>39927</v>
      </c>
      <c r="C69" s="149">
        <f>C68-C70</f>
        <v>41892</v>
      </c>
      <c r="D69" s="149">
        <f>D68-D70</f>
        <v>29696</v>
      </c>
      <c r="E69" s="149">
        <f>E68-E70</f>
        <v>23378</v>
      </c>
      <c r="F69" s="133"/>
      <c r="G69" s="133"/>
      <c r="H69" s="149">
        <f t="shared" ref="H69:Q69" si="31">H68-H70</f>
        <v>8427</v>
      </c>
      <c r="I69" s="149">
        <f t="shared" si="31"/>
        <v>8313</v>
      </c>
      <c r="J69" s="149">
        <f t="shared" si="31"/>
        <v>14978</v>
      </c>
      <c r="K69" s="149">
        <f t="shared" si="31"/>
        <v>8209</v>
      </c>
      <c r="L69" s="149">
        <f t="shared" si="31"/>
        <v>10185</v>
      </c>
      <c r="M69" s="149">
        <f t="shared" si="31"/>
        <v>9050</v>
      </c>
      <c r="N69" s="149">
        <f t="shared" si="31"/>
        <v>14855</v>
      </c>
      <c r="O69" s="149">
        <f t="shared" si="31"/>
        <v>7802</v>
      </c>
      <c r="P69" s="149">
        <f t="shared" si="31"/>
        <v>7725</v>
      </c>
      <c r="Q69" s="149">
        <f t="shared" si="31"/>
        <v>6747</v>
      </c>
      <c r="R69" s="149">
        <f t="shared" ref="R69:W69" si="32">R68-R70</f>
        <v>9968</v>
      </c>
      <c r="S69" s="149">
        <f t="shared" si="32"/>
        <v>5256</v>
      </c>
      <c r="T69" s="149">
        <f t="shared" si="32"/>
        <v>5869</v>
      </c>
      <c r="U69" s="149">
        <f t="shared" si="32"/>
        <v>5399</v>
      </c>
      <c r="V69" s="149">
        <f t="shared" si="32"/>
        <v>8351</v>
      </c>
      <c r="W69" s="149">
        <f t="shared" si="32"/>
        <v>3759</v>
      </c>
      <c r="X69" s="149">
        <f>X68-X70</f>
        <v>6245</v>
      </c>
      <c r="Y69" s="149">
        <f>Y68-Y70</f>
        <v>7594</v>
      </c>
      <c r="Z69" s="149">
        <f>Z68-Z70</f>
        <v>11771</v>
      </c>
    </row>
    <row r="70" spans="1:26">
      <c r="A70" s="71" t="s">
        <v>90</v>
      </c>
      <c r="B70" s="149">
        <f>B11</f>
        <v>2905</v>
      </c>
      <c r="C70" s="149">
        <f>C11</f>
        <v>17840</v>
      </c>
      <c r="D70" s="149">
        <f>D11</f>
        <v>50337</v>
      </c>
      <c r="E70" s="149">
        <f>E11</f>
        <v>90731</v>
      </c>
      <c r="F70" s="133"/>
      <c r="G70" s="133"/>
      <c r="H70" s="149">
        <f t="shared" ref="H70:Q70" si="33">H11</f>
        <v>240</v>
      </c>
      <c r="I70" s="149">
        <f t="shared" si="33"/>
        <v>332</v>
      </c>
      <c r="J70" s="149">
        <f t="shared" si="33"/>
        <v>1171</v>
      </c>
      <c r="K70" s="149">
        <f t="shared" si="33"/>
        <v>1162</v>
      </c>
      <c r="L70" s="149">
        <f t="shared" si="33"/>
        <v>2454</v>
      </c>
      <c r="M70" s="149">
        <f t="shared" si="33"/>
        <v>3719</v>
      </c>
      <c r="N70" s="149">
        <f t="shared" si="33"/>
        <v>6420</v>
      </c>
      <c r="O70" s="149">
        <f t="shared" si="33"/>
        <v>5247</v>
      </c>
      <c r="P70" s="149">
        <f t="shared" si="33"/>
        <v>7987</v>
      </c>
      <c r="Q70" s="149">
        <f t="shared" si="33"/>
        <v>10520</v>
      </c>
      <c r="R70" s="149">
        <f t="shared" ref="R70:W70" si="34">R11</f>
        <v>18746</v>
      </c>
      <c r="S70" s="149">
        <f t="shared" si="34"/>
        <v>13084</v>
      </c>
      <c r="T70" s="149">
        <f t="shared" si="34"/>
        <v>17514</v>
      </c>
      <c r="U70" s="149">
        <f t="shared" si="34"/>
        <v>18710</v>
      </c>
      <c r="V70" s="149">
        <f t="shared" si="34"/>
        <v>32451</v>
      </c>
      <c r="W70" s="149">
        <f t="shared" si="34"/>
        <v>22056</v>
      </c>
      <c r="X70" s="149">
        <f>X11</f>
        <v>30467</v>
      </c>
      <c r="Y70" s="149">
        <f>Y11</f>
        <v>31963</v>
      </c>
      <c r="Z70" s="149">
        <f>Z11</f>
        <v>48334</v>
      </c>
    </row>
    <row r="71" spans="1:26">
      <c r="A71" s="71" t="s">
        <v>371</v>
      </c>
      <c r="B71" s="149">
        <f>B91*B68</f>
        <v>11992.960000000001</v>
      </c>
      <c r="C71" s="149">
        <f>C91*C68</f>
        <v>20906.199999999997</v>
      </c>
      <c r="D71" s="149">
        <f>D91*D68</f>
        <v>25610.560000000001</v>
      </c>
      <c r="E71" s="149">
        <f>E91*E68</f>
        <v>34232.699999999997</v>
      </c>
      <c r="F71" s="133"/>
      <c r="G71" s="133"/>
      <c r="H71" s="170">
        <f>Model!AH170</f>
        <v>1880</v>
      </c>
      <c r="I71" s="170">
        <f>Model!AI170</f>
        <v>2147</v>
      </c>
      <c r="J71" s="170">
        <f>Model!AJ170</f>
        <v>4844.7</v>
      </c>
      <c r="K71" s="170">
        <f>Model!AK170</f>
        <v>3151.2999999999993</v>
      </c>
      <c r="L71" s="170">
        <f>Model!AL170</f>
        <v>4026</v>
      </c>
      <c r="M71" s="170">
        <f>Model!AM170</f>
        <v>4277</v>
      </c>
      <c r="N71" s="149">
        <f>N91*N68</f>
        <v>7871.75</v>
      </c>
      <c r="O71" s="149">
        <f>O91*O68</f>
        <v>5089.1100000000006</v>
      </c>
      <c r="P71" s="149">
        <f>P91*P68</f>
        <v>5027.84</v>
      </c>
      <c r="Q71" s="149">
        <f>Q91*Q68</f>
        <v>5525.4400000000005</v>
      </c>
      <c r="R71" s="149">
        <f>R91*R68</f>
        <v>9188.48</v>
      </c>
      <c r="S71" s="149">
        <f>W71/1.34</f>
        <v>6164.7761194029845</v>
      </c>
      <c r="T71" s="1255">
        <v>6926</v>
      </c>
      <c r="U71" s="86">
        <v>6864</v>
      </c>
      <c r="V71" s="149">
        <v>12071</v>
      </c>
      <c r="W71" s="149">
        <f>W91*W68</f>
        <v>8260.7999999999993</v>
      </c>
      <c r="X71" s="1250">
        <v>8878</v>
      </c>
      <c r="Y71" s="1250">
        <v>10059</v>
      </c>
      <c r="Z71" s="1250">
        <v>16221</v>
      </c>
    </row>
    <row r="72" spans="1:26">
      <c r="A72" s="71" t="s">
        <v>797</v>
      </c>
      <c r="B72" s="149">
        <f>B68-B71</f>
        <v>30839.040000000001</v>
      </c>
      <c r="C72" s="149">
        <f>C68-C71</f>
        <v>38825.800000000003</v>
      </c>
      <c r="D72" s="149">
        <f>D68-D71</f>
        <v>54422.44</v>
      </c>
      <c r="E72" s="149">
        <f>E68-E71</f>
        <v>79876.3</v>
      </c>
      <c r="F72" s="133"/>
      <c r="G72" s="133"/>
      <c r="H72" s="170">
        <f>Model!AH169</f>
        <v>6787</v>
      </c>
      <c r="I72" s="170">
        <f>Model!AI169</f>
        <v>6498</v>
      </c>
      <c r="J72" s="170">
        <f>Model!AJ169</f>
        <v>11304.3</v>
      </c>
      <c r="K72" s="170">
        <f>Model!AK169</f>
        <v>6219.7000000000007</v>
      </c>
      <c r="L72" s="170">
        <f>Model!AL169</f>
        <v>8613</v>
      </c>
      <c r="M72" s="170">
        <f>Model!AM169</f>
        <v>8492</v>
      </c>
      <c r="N72" s="1254">
        <v>13403.25</v>
      </c>
      <c r="O72" s="1254">
        <v>7959.8899999999994</v>
      </c>
      <c r="P72" s="1254">
        <v>10684.16</v>
      </c>
      <c r="Q72" s="1254">
        <v>11741.56</v>
      </c>
      <c r="R72" s="1254">
        <v>19525.52</v>
      </c>
      <c r="S72" s="1254">
        <v>12175.223880597016</v>
      </c>
      <c r="T72" s="1255">
        <v>15882</v>
      </c>
      <c r="U72" s="1254">
        <v>16645</v>
      </c>
      <c r="V72" s="1254">
        <v>27918</v>
      </c>
      <c r="W72" s="1254">
        <v>17554.2</v>
      </c>
      <c r="X72" s="1250">
        <v>26220</v>
      </c>
      <c r="Y72" s="1250">
        <v>26272</v>
      </c>
      <c r="Z72" s="1250">
        <v>38800</v>
      </c>
    </row>
    <row r="73" spans="1:26">
      <c r="A73" s="71" t="s">
        <v>82</v>
      </c>
      <c r="B73" s="149"/>
      <c r="C73" s="149"/>
      <c r="D73" s="149"/>
      <c r="E73" s="149"/>
      <c r="F73" s="133"/>
      <c r="G73" s="133"/>
      <c r="H73" s="170"/>
      <c r="I73" s="170"/>
      <c r="J73" s="170"/>
      <c r="K73" s="170"/>
      <c r="L73" s="170"/>
      <c r="M73" s="170"/>
      <c r="N73" s="149"/>
      <c r="O73" s="149"/>
      <c r="P73" s="149"/>
      <c r="Q73" s="149"/>
      <c r="R73" s="149"/>
      <c r="S73" s="149"/>
      <c r="T73" s="1254">
        <v>575</v>
      </c>
      <c r="U73" s="86">
        <v>600</v>
      </c>
      <c r="V73" s="1250">
        <v>813</v>
      </c>
      <c r="W73" s="149"/>
      <c r="X73" s="1250">
        <v>1614</v>
      </c>
      <c r="Y73" s="1250">
        <v>3226</v>
      </c>
      <c r="Z73" s="1250">
        <v>5084</v>
      </c>
    </row>
    <row r="74" spans="1:26">
      <c r="A74" s="47"/>
      <c r="H74" s="47"/>
      <c r="I74" s="47"/>
      <c r="J74" s="47"/>
      <c r="K74" s="47"/>
      <c r="L74" s="47"/>
      <c r="M74" s="47"/>
      <c r="N74" s="47"/>
      <c r="O74" s="47"/>
      <c r="P74" s="47"/>
      <c r="Q74" s="87"/>
      <c r="R74" s="47"/>
      <c r="S74" s="47"/>
      <c r="T74" s="47"/>
      <c r="U74" s="47"/>
      <c r="V74" s="47"/>
      <c r="W74" s="47"/>
    </row>
    <row r="75" spans="1:26">
      <c r="A75" s="70" t="s">
        <v>501</v>
      </c>
      <c r="B75" s="84">
        <f>B55/B$55</f>
        <v>1</v>
      </c>
      <c r="C75" s="84">
        <f>C55/C$55</f>
        <v>1</v>
      </c>
      <c r="D75" s="84">
        <f>D55/D$55</f>
        <v>1</v>
      </c>
      <c r="E75" s="84">
        <f>E55/E$55</f>
        <v>1</v>
      </c>
      <c r="F75" s="131"/>
      <c r="G75" s="131"/>
      <c r="H75" s="84">
        <f t="shared" ref="H75:Q75" si="35">H55/H$55</f>
        <v>1</v>
      </c>
      <c r="I75" s="84">
        <f t="shared" si="35"/>
        <v>1</v>
      </c>
      <c r="J75" s="84">
        <f t="shared" si="35"/>
        <v>1</v>
      </c>
      <c r="K75" s="84">
        <f t="shared" si="35"/>
        <v>1</v>
      </c>
      <c r="L75" s="84">
        <f t="shared" si="35"/>
        <v>1</v>
      </c>
      <c r="M75" s="84">
        <f t="shared" si="35"/>
        <v>1</v>
      </c>
      <c r="N75" s="84">
        <f t="shared" si="35"/>
        <v>1</v>
      </c>
      <c r="O75" s="84">
        <f t="shared" si="35"/>
        <v>1</v>
      </c>
      <c r="P75" s="84">
        <f t="shared" si="35"/>
        <v>1</v>
      </c>
      <c r="Q75" s="84">
        <f t="shared" si="35"/>
        <v>1</v>
      </c>
      <c r="R75" s="84">
        <f t="shared" ref="R75:W75" si="36">R55/R$55</f>
        <v>1</v>
      </c>
      <c r="S75" s="84">
        <f t="shared" si="36"/>
        <v>1</v>
      </c>
      <c r="T75" s="84">
        <f t="shared" si="36"/>
        <v>1</v>
      </c>
      <c r="U75" s="84">
        <f t="shared" si="36"/>
        <v>1</v>
      </c>
      <c r="V75" s="84">
        <f t="shared" si="36"/>
        <v>1</v>
      </c>
      <c r="W75" s="84">
        <f t="shared" si="36"/>
        <v>1</v>
      </c>
      <c r="X75" s="84">
        <f>X55/X$55</f>
        <v>1</v>
      </c>
      <c r="Y75" s="84">
        <f>Y55/Y$55</f>
        <v>1</v>
      </c>
      <c r="Z75" s="84">
        <f>Z55/Z$55</f>
        <v>1</v>
      </c>
    </row>
    <row r="76" spans="1:26">
      <c r="A76" s="47" t="s">
        <v>140</v>
      </c>
      <c r="B76" s="82"/>
      <c r="C76" s="82"/>
      <c r="D76" s="82"/>
      <c r="E76" s="82"/>
      <c r="F76" s="131"/>
      <c r="G76" s="131"/>
      <c r="H76" s="82"/>
      <c r="I76" s="82"/>
      <c r="J76" s="82"/>
      <c r="K76" s="82"/>
      <c r="L76" s="82"/>
      <c r="M76" s="82"/>
      <c r="N76" s="82"/>
      <c r="O76" s="82"/>
      <c r="P76" s="82"/>
      <c r="Q76" s="82"/>
      <c r="R76" s="82"/>
      <c r="S76" s="47"/>
      <c r="T76" s="47"/>
      <c r="U76" s="47"/>
      <c r="V76" s="47"/>
      <c r="W76" s="47"/>
    </row>
    <row r="77" spans="1:26">
      <c r="A77" s="71" t="s">
        <v>478</v>
      </c>
      <c r="B77" s="84">
        <f t="shared" ref="B77:E79" si="37">B57/B$55</f>
        <v>0.81578546396465035</v>
      </c>
      <c r="C77" s="84">
        <f t="shared" si="37"/>
        <v>0.78384336780221509</v>
      </c>
      <c r="D77" s="84">
        <f t="shared" si="37"/>
        <v>0.79128560552880578</v>
      </c>
      <c r="E77" s="84">
        <f t="shared" si="37"/>
        <v>0.72096314595666977</v>
      </c>
      <c r="F77" s="131"/>
      <c r="G77" s="131"/>
      <c r="H77" s="84">
        <f t="shared" ref="H77:W77" si="38">H57/H$55</f>
        <v>0.80413805900909263</v>
      </c>
      <c r="I77" s="84">
        <f t="shared" si="38"/>
        <v>0.78949771689497716</v>
      </c>
      <c r="J77" s="84">
        <f t="shared" si="38"/>
        <v>0.86150973592958124</v>
      </c>
      <c r="K77" s="84">
        <f t="shared" si="38"/>
        <v>0.77890449671681494</v>
      </c>
      <c r="L77" s="84">
        <f t="shared" si="38"/>
        <v>0.8014076469469279</v>
      </c>
      <c r="M77" s="84">
        <f t="shared" si="38"/>
        <v>0.75874977717036074</v>
      </c>
      <c r="N77" s="84">
        <f t="shared" si="38"/>
        <v>0.81267428091218152</v>
      </c>
      <c r="O77" s="84">
        <f t="shared" si="38"/>
        <v>0.74886657101865139</v>
      </c>
      <c r="P77" s="84">
        <f t="shared" si="38"/>
        <v>0.77609286243516917</v>
      </c>
      <c r="Q77" s="84">
        <f t="shared" si="38"/>
        <v>0.77881015741283655</v>
      </c>
      <c r="R77" s="84">
        <f t="shared" si="38"/>
        <v>0.83125379961207768</v>
      </c>
      <c r="S77" s="84">
        <f t="shared" si="38"/>
        <v>0.75835262983790941</v>
      </c>
      <c r="T77" s="84">
        <f t="shared" si="38"/>
        <v>0.72721900852149035</v>
      </c>
      <c r="U77" s="84">
        <f t="shared" si="38"/>
        <v>0.70305027411641197</v>
      </c>
      <c r="V77" s="84">
        <f t="shared" si="38"/>
        <v>0.76626352163461542</v>
      </c>
      <c r="W77" s="84">
        <f t="shared" si="38"/>
        <v>0.66914642681251457</v>
      </c>
      <c r="X77" s="84">
        <f t="shared" ref="X77:Y79" si="39">X57/X$55</f>
        <v>0.73154790371433132</v>
      </c>
      <c r="Y77" s="84">
        <f t="shared" si="39"/>
        <v>0.71762635608287073</v>
      </c>
      <c r="Z77" s="84">
        <f t="shared" ref="Z77" si="40">Z57/Z$55</f>
        <v>0.7596592560761366</v>
      </c>
    </row>
    <row r="78" spans="1:26">
      <c r="A78" s="71" t="s">
        <v>479</v>
      </c>
      <c r="B78" s="84">
        <f t="shared" si="37"/>
        <v>4.38061861953375E-2</v>
      </c>
      <c r="C78" s="84">
        <f t="shared" si="37"/>
        <v>4.2058159676657395E-2</v>
      </c>
      <c r="D78" s="84">
        <f t="shared" si="37"/>
        <v>4.239542034545149E-2</v>
      </c>
      <c r="E78" s="84">
        <f t="shared" si="37"/>
        <v>3.5881040986144197E-2</v>
      </c>
      <c r="F78" s="131"/>
      <c r="G78" s="131"/>
      <c r="H78" s="84">
        <f t="shared" ref="H78:W78" si="41">H58/H$55</f>
        <v>4.880311746149564E-2</v>
      </c>
      <c r="I78" s="84">
        <f t="shared" si="41"/>
        <v>5.1872146118721464E-2</v>
      </c>
      <c r="J78" s="84">
        <f t="shared" si="41"/>
        <v>3.2648706321685782E-2</v>
      </c>
      <c r="K78" s="84">
        <f t="shared" si="41"/>
        <v>4.9372454492560884E-2</v>
      </c>
      <c r="L78" s="84">
        <f t="shared" si="41"/>
        <v>4.4955931773508338E-2</v>
      </c>
      <c r="M78" s="84">
        <f t="shared" si="41"/>
        <v>4.6942777348624398E-2</v>
      </c>
      <c r="N78" s="84">
        <f t="shared" si="41"/>
        <v>3.2850758241338478E-2</v>
      </c>
      <c r="O78" s="84">
        <f t="shared" si="41"/>
        <v>4.8550932568149213E-2</v>
      </c>
      <c r="P78" s="84">
        <f t="shared" si="41"/>
        <v>4.9246727587058531E-2</v>
      </c>
      <c r="Q78" s="84">
        <f t="shared" si="41"/>
        <v>4.7178747011862344E-2</v>
      </c>
      <c r="R78" s="84">
        <f t="shared" si="41"/>
        <v>3.3639232261239611E-2</v>
      </c>
      <c r="S78" s="84">
        <f t="shared" si="41"/>
        <v>4.4781673833939793E-2</v>
      </c>
      <c r="T78" s="84">
        <f t="shared" si="41"/>
        <v>3.9217515705666478E-2</v>
      </c>
      <c r="U78" s="84">
        <f t="shared" si="41"/>
        <v>4.1846494809284963E-2</v>
      </c>
      <c r="V78" s="84">
        <f t="shared" si="41"/>
        <v>2.843299278846154E-2</v>
      </c>
      <c r="W78" s="84">
        <f t="shared" si="41"/>
        <v>3.8077710671608908E-2</v>
      </c>
      <c r="X78" s="84">
        <f t="shared" si="39"/>
        <v>3.2699665231946437E-2</v>
      </c>
      <c r="Y78" s="84">
        <f t="shared" si="39"/>
        <v>3.1094662748086064E-2</v>
      </c>
      <c r="Z78" s="84">
        <f t="shared" ref="Z78" si="42">Z58/Z$55</f>
        <v>2.4342462810126263E-2</v>
      </c>
    </row>
    <row r="79" spans="1:26">
      <c r="A79" s="47" t="s">
        <v>497</v>
      </c>
      <c r="B79" s="84">
        <f t="shared" si="37"/>
        <v>0.85959165015998784</v>
      </c>
      <c r="C79" s="84">
        <f t="shared" si="37"/>
        <v>0.82590152747887247</v>
      </c>
      <c r="D79" s="84">
        <f t="shared" si="37"/>
        <v>0.83368102587425719</v>
      </c>
      <c r="E79" s="84">
        <f t="shared" si="37"/>
        <v>0.75684418694281397</v>
      </c>
      <c r="F79" s="131"/>
      <c r="G79" s="131"/>
      <c r="H79" s="84">
        <f t="shared" ref="H79:W79" si="43">H59/H$55</f>
        <v>0.8529411764705882</v>
      </c>
      <c r="I79" s="84">
        <f t="shared" si="43"/>
        <v>0.84136986301369865</v>
      </c>
      <c r="J79" s="84">
        <f t="shared" si="43"/>
        <v>0.89415844225126695</v>
      </c>
      <c r="K79" s="84">
        <f t="shared" si="43"/>
        <v>0.82827695120937583</v>
      </c>
      <c r="L79" s="84">
        <f t="shared" si="43"/>
        <v>0.84636357872043622</v>
      </c>
      <c r="M79" s="84">
        <f t="shared" si="43"/>
        <v>0.80569255451898514</v>
      </c>
      <c r="N79" s="84">
        <f t="shared" si="43"/>
        <v>0.84552503915351995</v>
      </c>
      <c r="O79" s="84">
        <f t="shared" si="43"/>
        <v>0.79741750358680052</v>
      </c>
      <c r="P79" s="84">
        <f t="shared" si="43"/>
        <v>0.82533959002222768</v>
      </c>
      <c r="Q79" s="84">
        <f t="shared" si="43"/>
        <v>0.82598890442469897</v>
      </c>
      <c r="R79" s="84">
        <f t="shared" si="43"/>
        <v>0.86489303187331734</v>
      </c>
      <c r="S79" s="84">
        <f t="shared" si="43"/>
        <v>0.80313430367184913</v>
      </c>
      <c r="T79" s="84">
        <f t="shared" si="43"/>
        <v>0.7664365242271568</v>
      </c>
      <c r="U79" s="84">
        <f t="shared" si="43"/>
        <v>0.74489676892569701</v>
      </c>
      <c r="V79" s="84">
        <f t="shared" si="43"/>
        <v>0.79469651442307687</v>
      </c>
      <c r="W79" s="84">
        <f t="shared" si="43"/>
        <v>0.70722413748412349</v>
      </c>
      <c r="X79" s="84">
        <f t="shared" si="39"/>
        <v>0.76424756894627766</v>
      </c>
      <c r="Y79" s="84">
        <f t="shared" si="39"/>
        <v>0.74872101883095676</v>
      </c>
      <c r="Z79" s="84">
        <f t="shared" ref="Z79" si="44">Z59/Z$55</f>
        <v>0.7840017188862628</v>
      </c>
    </row>
    <row r="80" spans="1:26">
      <c r="A80" s="47" t="s">
        <v>141</v>
      </c>
      <c r="B80" s="82"/>
      <c r="C80" s="82"/>
      <c r="D80" s="82"/>
      <c r="E80" s="82"/>
      <c r="F80" s="131"/>
      <c r="G80" s="131"/>
      <c r="H80" s="82"/>
      <c r="I80" s="82"/>
      <c r="J80" s="82"/>
      <c r="K80" s="82"/>
      <c r="L80" s="82"/>
      <c r="M80" s="82"/>
      <c r="N80" s="82"/>
      <c r="O80" s="82"/>
      <c r="P80" s="82"/>
      <c r="Q80" s="82"/>
      <c r="R80" s="82"/>
      <c r="S80" s="82"/>
      <c r="T80" s="82"/>
      <c r="U80" s="82"/>
      <c r="V80" s="82"/>
      <c r="W80" s="82"/>
      <c r="X80" s="82"/>
      <c r="Y80" s="82"/>
      <c r="Z80" s="82"/>
    </row>
    <row r="81" spans="1:26">
      <c r="A81" s="71" t="s">
        <v>478</v>
      </c>
      <c r="B81" s="84">
        <f t="shared" ref="B81:C86" si="45">B61/B$55</f>
        <v>1.7865305500533293E-2</v>
      </c>
      <c r="C81" s="84">
        <f t="shared" si="45"/>
        <v>2.3200881843472784E-2</v>
      </c>
      <c r="D81" s="84">
        <f t="shared" ref="D81:E85" si="46">D62/D$55</f>
        <v>5.3636929891341958E-2</v>
      </c>
      <c r="E81" s="84">
        <f t="shared" si="46"/>
        <v>3.7915500432796498E-2</v>
      </c>
      <c r="F81" s="131"/>
      <c r="G81" s="131"/>
      <c r="H81" s="84">
        <f t="shared" ref="H81:W81" si="47">H61/H$55</f>
        <v>1.6607904991649658E-2</v>
      </c>
      <c r="I81" s="84">
        <f t="shared" si="47"/>
        <v>1.9178082191780823E-2</v>
      </c>
      <c r="J81" s="84">
        <f t="shared" si="47"/>
        <v>1.4083755668178181E-2</v>
      </c>
      <c r="K81" s="84">
        <f t="shared" si="47"/>
        <v>2.3688803923198404E-2</v>
      </c>
      <c r="L81" s="84">
        <f t="shared" si="47"/>
        <v>2.2699892207215775E-2</v>
      </c>
      <c r="M81" s="84">
        <f t="shared" si="47"/>
        <v>2.4897498365915979E-2</v>
      </c>
      <c r="N81" s="84">
        <f t="shared" si="47"/>
        <v>2.1162000076397111E-2</v>
      </c>
      <c r="O81" s="84">
        <f t="shared" si="47"/>
        <v>2.5078909612625537E-2</v>
      </c>
      <c r="P81" s="84">
        <f t="shared" si="47"/>
        <v>2.4746851074339344E-2</v>
      </c>
      <c r="Q81" s="84">
        <f t="shared" si="47"/>
        <v>2.169500699111452E-2</v>
      </c>
      <c r="R81" s="84">
        <f t="shared" si="47"/>
        <v>1.8296036823669051E-2</v>
      </c>
      <c r="S81" s="84">
        <f t="shared" si="47"/>
        <v>2.4396295071121402E-2</v>
      </c>
      <c r="T81" s="84">
        <f t="shared" si="47"/>
        <v>3.4739068234123281E-2</v>
      </c>
      <c r="U81" s="84">
        <f t="shared" si="47"/>
        <v>3.9017846728099846E-2</v>
      </c>
      <c r="V81" s="84">
        <f t="shared" si="47"/>
        <v>4.6048677884615384E-2</v>
      </c>
      <c r="W81" s="84">
        <f t="shared" si="47"/>
        <v>6.2961714922626297E-2</v>
      </c>
      <c r="X81" s="84">
        <f t="shared" ref="X81:Y86" si="48">X61/X$55</f>
        <v>5.2566555077315481E-2</v>
      </c>
      <c r="Y81" s="84">
        <f t="shared" si="48"/>
        <v>5.2211458219948478E-2</v>
      </c>
      <c r="Z81" s="84">
        <f t="shared" ref="Z81" si="49">Z61/Z$55</f>
        <v>5.9819769719796259E-2</v>
      </c>
    </row>
    <row r="82" spans="1:26">
      <c r="A82" s="71" t="s">
        <v>479</v>
      </c>
      <c r="B82" s="84">
        <f t="shared" si="45"/>
        <v>7.45276550358068E-2</v>
      </c>
      <c r="C82" s="84">
        <f t="shared" si="45"/>
        <v>6.1912760485013908E-2</v>
      </c>
      <c r="D82" s="84">
        <f t="shared" si="46"/>
        <v>7.5427859565170105E-2</v>
      </c>
      <c r="E82" s="84">
        <f t="shared" si="46"/>
        <v>8.4265793913048975E-2</v>
      </c>
      <c r="F82" s="131"/>
      <c r="G82" s="131"/>
      <c r="H82" s="84">
        <f t="shared" ref="H82:W82" si="50">H62/H$55</f>
        <v>8.7029133419929489E-2</v>
      </c>
      <c r="I82" s="84">
        <f t="shared" si="50"/>
        <v>8.8219178082191776E-2</v>
      </c>
      <c r="J82" s="84">
        <f t="shared" si="50"/>
        <v>5.3347559349159773E-2</v>
      </c>
      <c r="K82" s="84">
        <f t="shared" si="50"/>
        <v>8.3866677749148036E-2</v>
      </c>
      <c r="L82" s="84">
        <f t="shared" si="50"/>
        <v>7.0445754866527169E-2</v>
      </c>
      <c r="M82" s="84">
        <f t="shared" si="50"/>
        <v>7.1186642105888639E-2</v>
      </c>
      <c r="N82" s="84">
        <f t="shared" si="50"/>
        <v>4.6182054318346766E-2</v>
      </c>
      <c r="O82" s="84">
        <f t="shared" si="50"/>
        <v>6.886657101865136E-2</v>
      </c>
      <c r="P82" s="84">
        <f t="shared" si="50"/>
        <v>6.1496665843418126E-2</v>
      </c>
      <c r="Q82" s="84">
        <f t="shared" si="50"/>
        <v>6.1115872085156286E-2</v>
      </c>
      <c r="R82" s="84">
        <f t="shared" si="50"/>
        <v>4.1397678256086617E-2</v>
      </c>
      <c r="S82" s="84">
        <f t="shared" si="50"/>
        <v>5.7682765464770094E-2</v>
      </c>
      <c r="T82" s="84">
        <f t="shared" si="50"/>
        <v>4.4535672078124026E-2</v>
      </c>
      <c r="U82" s="84">
        <f t="shared" si="50"/>
        <v>4.391694855943077E-2</v>
      </c>
      <c r="V82" s="84">
        <f t="shared" si="50"/>
        <v>2.918419471153846E-2</v>
      </c>
      <c r="W82" s="84">
        <f t="shared" si="50"/>
        <v>3.9114544182067966E-2</v>
      </c>
      <c r="X82" s="84">
        <f t="shared" si="48"/>
        <v>3.2062011796588553E-2</v>
      </c>
      <c r="Y82" s="84">
        <f t="shared" si="48"/>
        <v>2.9951743405536808E-2</v>
      </c>
      <c r="Z82" s="84">
        <f t="shared" ref="Z82" si="51">Z62/Z$55</f>
        <v>2.1056356719455011E-2</v>
      </c>
    </row>
    <row r="83" spans="1:26">
      <c r="A83" s="47" t="s">
        <v>498</v>
      </c>
      <c r="B83" s="84">
        <f t="shared" si="45"/>
        <v>9.2392960536340094E-2</v>
      </c>
      <c r="C83" s="84">
        <f t="shared" si="45"/>
        <v>8.5113642328486699E-2</v>
      </c>
      <c r="D83" s="84">
        <f t="shared" si="46"/>
        <v>2.9848827897135739E-2</v>
      </c>
      <c r="E83" s="84">
        <f t="shared" si="46"/>
        <v>4.2098146872808377E-2</v>
      </c>
      <c r="F83" s="131"/>
      <c r="G83" s="131"/>
      <c r="H83" s="84">
        <f t="shared" ref="H83:W83" si="52">H63/H$55</f>
        <v>0.10363703841157915</v>
      </c>
      <c r="I83" s="84">
        <f t="shared" si="52"/>
        <v>0.1073972602739726</v>
      </c>
      <c r="J83" s="84">
        <f t="shared" si="52"/>
        <v>6.7431315017337956E-2</v>
      </c>
      <c r="K83" s="84">
        <f t="shared" si="52"/>
        <v>0.10755548167234644</v>
      </c>
      <c r="L83" s="84">
        <f t="shared" si="52"/>
        <v>9.314564707374294E-2</v>
      </c>
      <c r="M83" s="84">
        <f t="shared" si="52"/>
        <v>9.6084140471804622E-2</v>
      </c>
      <c r="N83" s="84">
        <f t="shared" si="52"/>
        <v>6.7344054394743877E-2</v>
      </c>
      <c r="O83" s="84">
        <f t="shared" si="52"/>
        <v>9.3945480631276904E-2</v>
      </c>
      <c r="P83" s="84">
        <f t="shared" si="52"/>
        <v>8.6243516917757473E-2</v>
      </c>
      <c r="Q83" s="84">
        <f t="shared" si="52"/>
        <v>8.2810879076270799E-2</v>
      </c>
      <c r="R83" s="84">
        <f t="shared" si="52"/>
        <v>5.9693715079755669E-2</v>
      </c>
      <c r="S83" s="84">
        <f t="shared" si="52"/>
        <v>8.2079060535891493E-2</v>
      </c>
      <c r="T83" s="84">
        <f t="shared" si="52"/>
        <v>7.9274740312247308E-2</v>
      </c>
      <c r="U83" s="84">
        <f t="shared" si="52"/>
        <v>8.2934795287530616E-2</v>
      </c>
      <c r="V83" s="84">
        <f t="shared" si="52"/>
        <v>7.5232872596153841E-2</v>
      </c>
      <c r="W83" s="84">
        <f t="shared" si="52"/>
        <v>0.10207625910469427</v>
      </c>
      <c r="X83" s="84">
        <f t="shared" si="48"/>
        <v>8.4628566873904035E-2</v>
      </c>
      <c r="Y83" s="84">
        <f t="shared" si="48"/>
        <v>8.2163201625485294E-2</v>
      </c>
      <c r="Z83" s="84">
        <f t="shared" ref="Z83" si="53">Z63/Z$55</f>
        <v>8.0876126439251267E-2</v>
      </c>
    </row>
    <row r="84" spans="1:26">
      <c r="A84" s="47" t="s">
        <v>142</v>
      </c>
      <c r="B84" s="84">
        <f t="shared" si="45"/>
        <v>1.4722687795215603E-2</v>
      </c>
      <c r="C84" s="84">
        <f t="shared" si="45"/>
        <v>1.6678914492677551E-2</v>
      </c>
      <c r="D84" s="84">
        <f t="shared" si="46"/>
        <v>6.1042286663436918E-2</v>
      </c>
      <c r="E84" s="84">
        <f t="shared" si="46"/>
        <v>0.11679187227132866</v>
      </c>
      <c r="F84" s="131"/>
      <c r="G84" s="131"/>
      <c r="H84" s="84">
        <f t="shared" ref="H84:W84" si="54">H64/H$55</f>
        <v>1.6143997030989052E-2</v>
      </c>
      <c r="I84" s="84">
        <f t="shared" si="54"/>
        <v>1.7351598173515982E-2</v>
      </c>
      <c r="J84" s="84">
        <f t="shared" si="54"/>
        <v>1.0456121632435316E-2</v>
      </c>
      <c r="K84" s="84">
        <f t="shared" si="54"/>
        <v>1.7704263984706176E-2</v>
      </c>
      <c r="L84" s="84">
        <f t="shared" si="54"/>
        <v>1.4964174751125483E-2</v>
      </c>
      <c r="M84" s="84">
        <f t="shared" si="54"/>
        <v>1.6935052587794878E-2</v>
      </c>
      <c r="N84" s="84">
        <f t="shared" si="54"/>
        <v>1.3827877306237824E-2</v>
      </c>
      <c r="O84" s="84">
        <f t="shared" si="54"/>
        <v>2.2266857962697274E-2</v>
      </c>
      <c r="P84" s="84">
        <f t="shared" si="54"/>
        <v>2.3956532477154853E-2</v>
      </c>
      <c r="Q84" s="84">
        <f t="shared" si="54"/>
        <v>2.927247305038113E-2</v>
      </c>
      <c r="R84" s="84">
        <f t="shared" si="54"/>
        <v>2.3709579364849607E-2</v>
      </c>
      <c r="S84" s="84">
        <f t="shared" si="54"/>
        <v>4.4078729738670198E-2</v>
      </c>
      <c r="T84" s="84">
        <f t="shared" si="54"/>
        <v>3.8657709771723579E-2</v>
      </c>
      <c r="U84" s="84">
        <f t="shared" si="54"/>
        <v>4.3537851393911114E-2</v>
      </c>
      <c r="V84" s="84">
        <f t="shared" si="54"/>
        <v>3.3128004807692304E-2</v>
      </c>
      <c r="W84" s="84">
        <f t="shared" si="54"/>
        <v>5.6066772078073562E-2</v>
      </c>
      <c r="X84" s="84">
        <f t="shared" si="48"/>
        <v>4.8441734417344173E-2</v>
      </c>
      <c r="Y84" s="84">
        <f t="shared" si="48"/>
        <v>5.397119117593701E-2</v>
      </c>
      <c r="Z84" s="84">
        <f t="shared" ref="Z84" si="55">Z64/Z$55</f>
        <v>4.5487291616637809E-2</v>
      </c>
    </row>
    <row r="85" spans="1:26">
      <c r="A85" s="47" t="s">
        <v>82</v>
      </c>
      <c r="B85" s="84">
        <f t="shared" si="45"/>
        <v>3.32927015084565E-2</v>
      </c>
      <c r="C85" s="84">
        <f t="shared" si="45"/>
        <v>7.2305915699963252E-2</v>
      </c>
      <c r="D85" s="84">
        <f t="shared" si="46"/>
        <v>0</v>
      </c>
      <c r="E85" s="84">
        <f t="shared" si="46"/>
        <v>0</v>
      </c>
      <c r="F85" s="131"/>
      <c r="G85" s="131"/>
      <c r="H85" s="84">
        <f t="shared" ref="H85:W85" si="56">H65/H$55</f>
        <v>2.7277788086843571E-2</v>
      </c>
      <c r="I85" s="84">
        <f t="shared" si="56"/>
        <v>3.3881278538812787E-2</v>
      </c>
      <c r="J85" s="84">
        <f t="shared" si="56"/>
        <v>2.7954121098959724E-2</v>
      </c>
      <c r="K85" s="84">
        <f t="shared" si="56"/>
        <v>4.646330313357161E-2</v>
      </c>
      <c r="L85" s="84">
        <f t="shared" si="56"/>
        <v>4.5526599454695324E-2</v>
      </c>
      <c r="M85" s="84">
        <f t="shared" si="56"/>
        <v>8.1288252421415408E-2</v>
      </c>
      <c r="N85" s="84">
        <f t="shared" si="56"/>
        <v>7.33030291454983E-2</v>
      </c>
      <c r="O85" s="84">
        <f t="shared" si="56"/>
        <v>8.6370157819225246E-2</v>
      </c>
      <c r="P85" s="84">
        <f t="shared" si="56"/>
        <v>6.4460360582859963E-2</v>
      </c>
      <c r="Q85" s="84">
        <f t="shared" si="56"/>
        <v>6.1927743448649139E-2</v>
      </c>
      <c r="R85" s="84">
        <f t="shared" si="56"/>
        <v>5.1703673682077414E-2</v>
      </c>
      <c r="S85" s="84">
        <f t="shared" si="56"/>
        <v>7.0707906053589148E-2</v>
      </c>
      <c r="T85" s="84">
        <f t="shared" si="56"/>
        <v>0.1156310256888723</v>
      </c>
      <c r="U85" s="84">
        <f t="shared" si="56"/>
        <v>0.12863058439286132</v>
      </c>
      <c r="V85" s="84">
        <f t="shared" si="56"/>
        <v>9.6942608173076927E-2</v>
      </c>
      <c r="W85" s="84">
        <f t="shared" si="56"/>
        <v>0.13463283133310869</v>
      </c>
      <c r="X85" s="84">
        <f t="shared" si="48"/>
        <v>0.10268212976247409</v>
      </c>
      <c r="Y85" s="84">
        <f t="shared" si="48"/>
        <v>0.11514458836762091</v>
      </c>
      <c r="Z85" s="84">
        <f t="shared" ref="Z85" si="57">Z65/Z$55</f>
        <v>8.963486305784811E-2</v>
      </c>
    </row>
    <row r="86" spans="1:26">
      <c r="A86" s="85" t="s">
        <v>507</v>
      </c>
      <c r="B86" s="84">
        <f t="shared" si="45"/>
        <v>0</v>
      </c>
      <c r="C86" s="84">
        <f t="shared" si="45"/>
        <v>3.2662327436879954E-2</v>
      </c>
      <c r="D86" s="82"/>
      <c r="E86" s="82"/>
      <c r="F86" s="131"/>
      <c r="G86" s="131"/>
      <c r="H86" s="85"/>
      <c r="I86" s="85"/>
      <c r="J86" s="82"/>
      <c r="K86" s="82"/>
      <c r="L86" s="82"/>
      <c r="M86" s="82"/>
      <c r="N86" s="82"/>
      <c r="O86" s="84">
        <f t="shared" ref="O86:W86" si="58">O66/O$55</f>
        <v>5.1707317073170729E-2</v>
      </c>
      <c r="P86" s="84">
        <f t="shared" si="58"/>
        <v>0</v>
      </c>
      <c r="Q86" s="84">
        <f t="shared" si="58"/>
        <v>0</v>
      </c>
      <c r="R86" s="84">
        <f t="shared" si="58"/>
        <v>0</v>
      </c>
      <c r="S86" s="84">
        <f t="shared" si="58"/>
        <v>0</v>
      </c>
      <c r="T86" s="84">
        <f t="shared" si="58"/>
        <v>0</v>
      </c>
      <c r="U86" s="84">
        <f t="shared" si="58"/>
        <v>0</v>
      </c>
      <c r="V86" s="84">
        <f t="shared" si="58"/>
        <v>0</v>
      </c>
      <c r="W86" s="84">
        <f t="shared" si="58"/>
        <v>0</v>
      </c>
      <c r="X86" s="84">
        <f t="shared" si="48"/>
        <v>0</v>
      </c>
      <c r="Y86" s="84">
        <f t="shared" si="48"/>
        <v>0</v>
      </c>
      <c r="Z86" s="84">
        <f t="shared" ref="Z86" si="59">Z66/Z$55</f>
        <v>0</v>
      </c>
    </row>
    <row r="87" spans="1:26">
      <c r="A87" s="85"/>
      <c r="D87" s="82"/>
      <c r="E87" s="82"/>
      <c r="F87" s="131"/>
      <c r="G87" s="131"/>
      <c r="H87" s="85"/>
      <c r="I87" s="85"/>
      <c r="J87" s="82"/>
      <c r="K87" s="82"/>
      <c r="L87" s="56"/>
      <c r="M87" s="56"/>
      <c r="N87" s="56"/>
      <c r="O87" s="82"/>
      <c r="P87" s="82"/>
      <c r="Q87" s="82"/>
      <c r="R87" s="82"/>
      <c r="S87" s="82"/>
      <c r="T87" s="82"/>
      <c r="U87" s="47"/>
      <c r="V87" s="47"/>
      <c r="W87" s="47"/>
    </row>
    <row r="88" spans="1:26">
      <c r="A88" s="47" t="s">
        <v>511</v>
      </c>
      <c r="B88" s="84">
        <f t="shared" ref="B88:E90" si="60">B68/B$68</f>
        <v>1</v>
      </c>
      <c r="C88" s="84">
        <f t="shared" si="60"/>
        <v>1</v>
      </c>
      <c r="D88" s="84">
        <f t="shared" si="60"/>
        <v>1</v>
      </c>
      <c r="E88" s="84">
        <f t="shared" si="60"/>
        <v>1</v>
      </c>
      <c r="F88" s="131"/>
      <c r="G88" s="131"/>
      <c r="H88" s="84">
        <f t="shared" ref="H88:W88" si="61">H68/H$68</f>
        <v>1</v>
      </c>
      <c r="I88" s="84">
        <f t="shared" si="61"/>
        <v>1</v>
      </c>
      <c r="J88" s="84">
        <f t="shared" si="61"/>
        <v>1</v>
      </c>
      <c r="K88" s="84">
        <f t="shared" si="61"/>
        <v>1</v>
      </c>
      <c r="L88" s="84">
        <f t="shared" si="61"/>
        <v>1</v>
      </c>
      <c r="M88" s="84">
        <f t="shared" si="61"/>
        <v>1</v>
      </c>
      <c r="N88" s="84">
        <f t="shared" si="61"/>
        <v>1</v>
      </c>
      <c r="O88" s="84">
        <f t="shared" si="61"/>
        <v>1</v>
      </c>
      <c r="P88" s="84">
        <f t="shared" si="61"/>
        <v>1</v>
      </c>
      <c r="Q88" s="84">
        <f t="shared" si="61"/>
        <v>1</v>
      </c>
      <c r="R88" s="84">
        <f t="shared" si="61"/>
        <v>1</v>
      </c>
      <c r="S88" s="84">
        <f t="shared" si="61"/>
        <v>1</v>
      </c>
      <c r="T88" s="84">
        <f t="shared" si="61"/>
        <v>1</v>
      </c>
      <c r="U88" s="84">
        <f t="shared" si="61"/>
        <v>1</v>
      </c>
      <c r="V88" s="84">
        <f t="shared" si="61"/>
        <v>1</v>
      </c>
      <c r="W88" s="84">
        <f t="shared" si="61"/>
        <v>1</v>
      </c>
      <c r="X88" s="84">
        <f t="shared" ref="X88:Y90" si="62">X68/X$68</f>
        <v>1</v>
      </c>
      <c r="Y88" s="84">
        <f t="shared" si="62"/>
        <v>1</v>
      </c>
      <c r="Z88" s="84">
        <f t="shared" ref="Z88" si="63">Z68/Z$68</f>
        <v>1</v>
      </c>
    </row>
    <row r="89" spans="1:26">
      <c r="A89" s="71" t="s">
        <v>0</v>
      </c>
      <c r="B89" s="84">
        <f t="shared" si="60"/>
        <v>0.93217687710123276</v>
      </c>
      <c r="C89" s="84">
        <f t="shared" si="60"/>
        <v>0.70133261903167476</v>
      </c>
      <c r="D89" s="84">
        <f t="shared" si="60"/>
        <v>0.37104694313595643</v>
      </c>
      <c r="E89" s="84">
        <f t="shared" si="60"/>
        <v>0.20487428686606665</v>
      </c>
      <c r="F89" s="131"/>
      <c r="G89" s="131"/>
      <c r="H89" s="84">
        <f t="shared" ref="H89:W89" si="64">H69/H$68</f>
        <v>0.97230875735548628</v>
      </c>
      <c r="I89" s="84">
        <f t="shared" si="64"/>
        <v>0.96159629843840366</v>
      </c>
      <c r="J89" s="84">
        <f t="shared" si="64"/>
        <v>0.92748777014056594</v>
      </c>
      <c r="K89" s="84">
        <f t="shared" si="64"/>
        <v>0.87600042684878887</v>
      </c>
      <c r="L89" s="84">
        <f t="shared" si="64"/>
        <v>0.80583906954664131</v>
      </c>
      <c r="M89" s="84">
        <f t="shared" si="64"/>
        <v>0.70874774845328525</v>
      </c>
      <c r="N89" s="84">
        <f t="shared" si="64"/>
        <v>0.69823736780258516</v>
      </c>
      <c r="O89" s="84">
        <f t="shared" si="64"/>
        <v>0.5979002222392521</v>
      </c>
      <c r="P89" s="84">
        <f t="shared" si="64"/>
        <v>0.49166242362525459</v>
      </c>
      <c r="Q89" s="84">
        <f t="shared" si="64"/>
        <v>0.39074535240632419</v>
      </c>
      <c r="R89" s="84">
        <f t="shared" si="64"/>
        <v>0.34714773281326183</v>
      </c>
      <c r="S89" s="84">
        <f t="shared" si="64"/>
        <v>0.28658669574700107</v>
      </c>
      <c r="T89" s="84">
        <f t="shared" si="64"/>
        <v>0.25099431210708634</v>
      </c>
      <c r="U89" s="84">
        <f t="shared" si="64"/>
        <v>0.22394126674685802</v>
      </c>
      <c r="V89" s="84">
        <f t="shared" si="64"/>
        <v>0.20467133964021372</v>
      </c>
      <c r="W89" s="84">
        <f t="shared" si="64"/>
        <v>0.14561301568855317</v>
      </c>
      <c r="X89" s="84">
        <f t="shared" si="62"/>
        <v>0.17010786663761168</v>
      </c>
      <c r="Y89" s="84">
        <f t="shared" si="62"/>
        <v>0.19197613570290972</v>
      </c>
      <c r="Z89" s="84">
        <f t="shared" ref="Z89" si="65">Z69/Z$68</f>
        <v>0.19584061226187505</v>
      </c>
    </row>
    <row r="90" spans="1:26">
      <c r="A90" s="71" t="s">
        <v>90</v>
      </c>
      <c r="B90" s="84">
        <f t="shared" si="60"/>
        <v>6.7823122898767282E-2</v>
      </c>
      <c r="C90" s="84">
        <f t="shared" si="60"/>
        <v>0.29866738096832518</v>
      </c>
      <c r="D90" s="84">
        <f t="shared" si="60"/>
        <v>0.62895305686404357</v>
      </c>
      <c r="E90" s="84">
        <f t="shared" si="60"/>
        <v>0.79512571313393332</v>
      </c>
      <c r="F90" s="131"/>
      <c r="G90" s="131"/>
      <c r="H90" s="84">
        <f t="shared" ref="H90:W90" si="66">H70/H$68</f>
        <v>2.7691242644513673E-2</v>
      </c>
      <c r="I90" s="84">
        <f t="shared" si="66"/>
        <v>3.8403701561596296E-2</v>
      </c>
      <c r="J90" s="84">
        <f t="shared" si="66"/>
        <v>7.2512229859434021E-2</v>
      </c>
      <c r="K90" s="84">
        <f t="shared" si="66"/>
        <v>0.12399957315121118</v>
      </c>
      <c r="L90" s="84">
        <f t="shared" si="66"/>
        <v>0.19416093045335867</v>
      </c>
      <c r="M90" s="84">
        <f t="shared" si="66"/>
        <v>0.29125225154671469</v>
      </c>
      <c r="N90" s="84">
        <f t="shared" si="66"/>
        <v>0.30176263219741478</v>
      </c>
      <c r="O90" s="84">
        <f t="shared" si="66"/>
        <v>0.40209977776074796</v>
      </c>
      <c r="P90" s="84">
        <f t="shared" si="66"/>
        <v>0.50833757637474541</v>
      </c>
      <c r="Q90" s="84">
        <f t="shared" si="66"/>
        <v>0.60925464759367576</v>
      </c>
      <c r="R90" s="84">
        <f t="shared" si="66"/>
        <v>0.65285226718673817</v>
      </c>
      <c r="S90" s="84">
        <f t="shared" si="66"/>
        <v>0.71341330425299887</v>
      </c>
      <c r="T90" s="84">
        <f t="shared" si="66"/>
        <v>0.74900568789291366</v>
      </c>
      <c r="U90" s="84">
        <f t="shared" si="66"/>
        <v>0.77605873325314201</v>
      </c>
      <c r="V90" s="84">
        <f t="shared" si="66"/>
        <v>0.79532866035978633</v>
      </c>
      <c r="W90" s="84">
        <f t="shared" si="66"/>
        <v>0.85438698431144688</v>
      </c>
      <c r="X90" s="84">
        <f t="shared" si="62"/>
        <v>0.82989213336238832</v>
      </c>
      <c r="Y90" s="84">
        <f t="shared" si="62"/>
        <v>0.80802386429709028</v>
      </c>
      <c r="Z90" s="84">
        <f t="shared" ref="Z90" si="67">Z70/Z$68</f>
        <v>0.8041593877381249</v>
      </c>
    </row>
    <row r="91" spans="1:26">
      <c r="A91" s="71" t="s">
        <v>371</v>
      </c>
      <c r="B91" s="82">
        <v>0.28000000000000003</v>
      </c>
      <c r="C91" s="82">
        <v>0.35</v>
      </c>
      <c r="D91" s="82">
        <v>0.32</v>
      </c>
      <c r="E91" s="82">
        <v>0.3</v>
      </c>
      <c r="F91" s="40"/>
      <c r="G91" s="40"/>
      <c r="H91" s="171">
        <f t="shared" ref="H91:M91" si="68">H71/H68</f>
        <v>0.21691473404869044</v>
      </c>
      <c r="I91" s="171">
        <f t="shared" si="68"/>
        <v>0.24835164835164836</v>
      </c>
      <c r="J91" s="171">
        <f t="shared" si="68"/>
        <v>0.3</v>
      </c>
      <c r="K91" s="171">
        <f t="shared" si="68"/>
        <v>0.33628214704940768</v>
      </c>
      <c r="L91" s="171">
        <f t="shared" si="68"/>
        <v>0.31853785900783288</v>
      </c>
      <c r="M91" s="171">
        <f t="shared" si="68"/>
        <v>0.33495183647897253</v>
      </c>
      <c r="N91" s="82">
        <v>0.37</v>
      </c>
      <c r="O91" s="82">
        <v>0.39</v>
      </c>
      <c r="P91" s="82">
        <v>0.32</v>
      </c>
      <c r="Q91" s="82">
        <v>0.32</v>
      </c>
      <c r="R91" s="82">
        <v>0.32</v>
      </c>
      <c r="S91" s="84">
        <f>S71/S68</f>
        <v>0.33613828350070801</v>
      </c>
      <c r="T91" s="82">
        <v>0.3</v>
      </c>
      <c r="U91" s="82">
        <v>0.28599999999999998</v>
      </c>
      <c r="V91" s="82">
        <v>0.29799999999999999</v>
      </c>
      <c r="W91" s="82">
        <v>0.32</v>
      </c>
      <c r="X91" s="1251">
        <v>0.24</v>
      </c>
      <c r="Y91" s="171">
        <f>Y71/Y68</f>
        <v>0.25429127588037514</v>
      </c>
      <c r="Z91" s="171">
        <f>Z71/Z68</f>
        <v>0.26987771400049915</v>
      </c>
    </row>
    <row r="92" spans="1:26">
      <c r="A92" s="71" t="s">
        <v>797</v>
      </c>
      <c r="B92" s="84">
        <f>1-B91</f>
        <v>0.72</v>
      </c>
      <c r="C92" s="84">
        <f>1-C91</f>
        <v>0.65</v>
      </c>
      <c r="D92" s="171">
        <f>D72/D68</f>
        <v>0.68</v>
      </c>
      <c r="E92" s="171">
        <f>E72/E68</f>
        <v>0.70000000000000007</v>
      </c>
      <c r="F92" s="134"/>
      <c r="G92" s="134"/>
      <c r="H92" s="171">
        <f t="shared" ref="H92:O92" si="69">H72/H68</f>
        <v>0.78308526595130956</v>
      </c>
      <c r="I92" s="171">
        <f t="shared" si="69"/>
        <v>0.75164835164835164</v>
      </c>
      <c r="J92" s="171">
        <f t="shared" si="69"/>
        <v>0.7</v>
      </c>
      <c r="K92" s="171">
        <f t="shared" si="69"/>
        <v>0.66371785295059238</v>
      </c>
      <c r="L92" s="171">
        <f t="shared" si="69"/>
        <v>0.68146214099216706</v>
      </c>
      <c r="M92" s="171">
        <f t="shared" si="69"/>
        <v>0.66504816352102747</v>
      </c>
      <c r="N92" s="171">
        <f t="shared" si="69"/>
        <v>0.63</v>
      </c>
      <c r="O92" s="171">
        <f t="shared" si="69"/>
        <v>0.61</v>
      </c>
      <c r="P92" s="171">
        <f t="shared" ref="P92:V92" si="70">P72/P68</f>
        <v>0.67999999999999994</v>
      </c>
      <c r="Q92" s="171">
        <f t="shared" si="70"/>
        <v>0.67999999999999994</v>
      </c>
      <c r="R92" s="171">
        <f t="shared" si="70"/>
        <v>0.68</v>
      </c>
      <c r="S92" s="171">
        <f t="shared" si="70"/>
        <v>0.66386171649929204</v>
      </c>
      <c r="T92" s="171">
        <f t="shared" si="70"/>
        <v>0.67921139289227217</v>
      </c>
      <c r="U92" s="171">
        <f t="shared" si="70"/>
        <v>0.69040607242108754</v>
      </c>
      <c r="V92" s="171">
        <f t="shared" si="70"/>
        <v>0.68423116513896376</v>
      </c>
      <c r="W92" s="171">
        <f>W72/W68</f>
        <v>0.68</v>
      </c>
      <c r="X92" s="171">
        <f>X72/X68</f>
        <v>0.71420788842885163</v>
      </c>
      <c r="Y92" s="171">
        <f>Y72/Y68</f>
        <v>0.66415552241069853</v>
      </c>
      <c r="Z92" s="171">
        <f>Z72/Z68</f>
        <v>0.64553697695699197</v>
      </c>
    </row>
    <row r="93" spans="1:26">
      <c r="A93" s="71"/>
      <c r="H93" s="71"/>
      <c r="I93" s="71"/>
      <c r="J93" s="56"/>
      <c r="K93" s="56"/>
      <c r="L93" s="56"/>
      <c r="M93" s="56"/>
      <c r="N93" s="56"/>
      <c r="O93" s="56"/>
      <c r="P93" s="47"/>
      <c r="Q93" s="47"/>
      <c r="R93" s="47"/>
      <c r="S93" s="47"/>
      <c r="T93" s="47"/>
      <c r="U93" s="47"/>
      <c r="V93" s="47"/>
      <c r="W93" s="47"/>
    </row>
    <row r="94" spans="1:26">
      <c r="A94" s="70" t="s">
        <v>502</v>
      </c>
      <c r="C94" s="84">
        <f>C55/B55-1</f>
        <v>0.45139417949108629</v>
      </c>
      <c r="D94" s="84">
        <f>D55/C55-1</f>
        <v>0.32726628523437085</v>
      </c>
      <c r="E94" s="84">
        <f>E55/D55-1</f>
        <v>0.56484383496633472</v>
      </c>
      <c r="F94" s="131"/>
      <c r="G94" s="131"/>
      <c r="H94" s="70"/>
      <c r="I94" s="70"/>
      <c r="J94" s="56"/>
      <c r="K94" s="56"/>
      <c r="L94" s="84">
        <f t="shared" ref="L94:Z94" si="71">L55/H55-1</f>
        <v>0.46325848951568016</v>
      </c>
      <c r="M94" s="84">
        <f t="shared" si="71"/>
        <v>0.53689497716894974</v>
      </c>
      <c r="N94" s="84">
        <f t="shared" si="71"/>
        <v>0.39658575620165371</v>
      </c>
      <c r="O94" s="84">
        <f t="shared" si="71"/>
        <v>0.44834178372537603</v>
      </c>
      <c r="P94" s="84">
        <f t="shared" si="71"/>
        <v>0.28368524507006532</v>
      </c>
      <c r="Q94" s="84">
        <f t="shared" si="71"/>
        <v>0.31742824885614129</v>
      </c>
      <c r="R94" s="84">
        <f t="shared" si="71"/>
        <v>0.31949272317506394</v>
      </c>
      <c r="S94" s="84">
        <f t="shared" si="71"/>
        <v>0.38789096126255385</v>
      </c>
      <c r="T94" s="84">
        <f t="shared" si="71"/>
        <v>0.58824401086688072</v>
      </c>
      <c r="U94" s="84">
        <f t="shared" si="71"/>
        <v>0.54670515538315811</v>
      </c>
      <c r="V94" s="84">
        <f t="shared" si="71"/>
        <v>0.54149900124482531</v>
      </c>
      <c r="W94" s="84">
        <f t="shared" si="71"/>
        <v>0.59522825008269931</v>
      </c>
      <c r="X94" s="84">
        <f t="shared" si="71"/>
        <v>0.56073894383280454</v>
      </c>
      <c r="Y94" s="84">
        <f t="shared" si="71"/>
        <v>0.60743030444418533</v>
      </c>
      <c r="Z94" s="84">
        <f t="shared" si="71"/>
        <v>0.48589618389423084</v>
      </c>
    </row>
    <row r="95" spans="1:26">
      <c r="A95" s="47" t="s">
        <v>140</v>
      </c>
      <c r="C95" s="82"/>
      <c r="D95" s="82"/>
      <c r="E95" s="82"/>
      <c r="F95" s="131"/>
      <c r="G95" s="131"/>
      <c r="H95" s="47"/>
      <c r="I95" s="47"/>
      <c r="J95" s="56"/>
      <c r="K95" s="56"/>
      <c r="L95" s="82"/>
      <c r="M95" s="82"/>
      <c r="N95" s="82"/>
      <c r="O95" s="82"/>
      <c r="P95" s="82"/>
      <c r="Q95" s="82"/>
      <c r="R95" s="82"/>
      <c r="S95" s="82"/>
      <c r="T95" s="82"/>
      <c r="U95" s="82"/>
      <c r="V95" s="82"/>
      <c r="W95" s="82"/>
      <c r="X95" s="82"/>
      <c r="Y95" s="82"/>
      <c r="Z95" s="82"/>
    </row>
    <row r="96" spans="1:26">
      <c r="A96" s="71" t="s">
        <v>478</v>
      </c>
      <c r="C96" s="84">
        <f t="shared" ref="C96:E98" si="72">C57/B57-1</f>
        <v>0.39456481135599542</v>
      </c>
      <c r="D96" s="84">
        <f t="shared" si="72"/>
        <v>0.33986807741244229</v>
      </c>
      <c r="E96" s="84">
        <f t="shared" si="72"/>
        <v>0.42577436807316982</v>
      </c>
      <c r="F96" s="131"/>
      <c r="G96" s="131"/>
      <c r="H96" s="71"/>
      <c r="I96" s="71"/>
      <c r="J96" s="56"/>
      <c r="K96" s="56"/>
      <c r="L96" s="84">
        <f t="shared" ref="L96:Z98" si="73">L57/H57-1</f>
        <v>0.45829006576670128</v>
      </c>
      <c r="M96" s="84">
        <f t="shared" si="73"/>
        <v>0.4770387507229612</v>
      </c>
      <c r="N96" s="84">
        <f t="shared" si="73"/>
        <v>0.31741903523437975</v>
      </c>
      <c r="O96" s="84">
        <f t="shared" si="73"/>
        <v>0.39248746131682855</v>
      </c>
      <c r="P96" s="84">
        <f t="shared" si="73"/>
        <v>0.24313632407627184</v>
      </c>
      <c r="Q96" s="84">
        <f t="shared" si="73"/>
        <v>0.3522593781815333</v>
      </c>
      <c r="R96" s="84">
        <f t="shared" si="73"/>
        <v>0.34965922444183306</v>
      </c>
      <c r="S96" s="84">
        <f t="shared" si="73"/>
        <v>0.40547168365391983</v>
      </c>
      <c r="T96" s="84">
        <f t="shared" si="73"/>
        <v>0.48822556008146645</v>
      </c>
      <c r="U96" s="84">
        <f t="shared" si="73"/>
        <v>0.39624717669543053</v>
      </c>
      <c r="V96" s="84">
        <f t="shared" si="73"/>
        <v>0.42097931322699722</v>
      </c>
      <c r="W96" s="84">
        <f t="shared" si="73"/>
        <v>0.4075790621592148</v>
      </c>
      <c r="X96" s="84">
        <f t="shared" si="73"/>
        <v>0.57002950861737167</v>
      </c>
      <c r="Y96" s="84">
        <f t="shared" si="73"/>
        <v>0.640756563938778</v>
      </c>
      <c r="Z96" s="84">
        <f t="shared" si="73"/>
        <v>0.47308955443360623</v>
      </c>
    </row>
    <row r="97" spans="1:26">
      <c r="A97" s="71" t="s">
        <v>479</v>
      </c>
      <c r="C97" s="84">
        <f t="shared" si="72"/>
        <v>0.39347826086956528</v>
      </c>
      <c r="D97" s="84">
        <f t="shared" si="72"/>
        <v>0.33790951638065514</v>
      </c>
      <c r="E97" s="84">
        <f t="shared" si="72"/>
        <v>0.32439365671641784</v>
      </c>
      <c r="F97" s="131"/>
      <c r="G97" s="131"/>
      <c r="H97" s="71"/>
      <c r="I97" s="71"/>
      <c r="J97" s="56"/>
      <c r="K97" s="56"/>
      <c r="L97" s="84">
        <f t="shared" si="73"/>
        <v>0.34790874524714832</v>
      </c>
      <c r="M97" s="84">
        <f t="shared" si="73"/>
        <v>0.39084507042253525</v>
      </c>
      <c r="N97" s="84">
        <f t="shared" si="73"/>
        <v>0.40522875816993453</v>
      </c>
      <c r="O97" s="84">
        <f t="shared" si="73"/>
        <v>0.42424242424242431</v>
      </c>
      <c r="P97" s="84">
        <f t="shared" si="73"/>
        <v>0.40620592383638932</v>
      </c>
      <c r="Q97" s="84">
        <f t="shared" si="73"/>
        <v>0.32405063291139236</v>
      </c>
      <c r="R97" s="84">
        <f t="shared" si="73"/>
        <v>0.35116279069767442</v>
      </c>
      <c r="S97" s="84">
        <f t="shared" si="73"/>
        <v>0.28014184397163122</v>
      </c>
      <c r="T97" s="84">
        <f t="shared" si="73"/>
        <v>0.26479438314944836</v>
      </c>
      <c r="U97" s="84">
        <f t="shared" si="73"/>
        <v>0.37189292543021035</v>
      </c>
      <c r="V97" s="84">
        <f t="shared" si="73"/>
        <v>0.30292598967297768</v>
      </c>
      <c r="W97" s="84">
        <f t="shared" si="73"/>
        <v>0.35641735918744222</v>
      </c>
      <c r="X97" s="84">
        <f t="shared" si="73"/>
        <v>0.30134813639968283</v>
      </c>
      <c r="Y97" s="84">
        <f t="shared" si="73"/>
        <v>0.19442508710801398</v>
      </c>
      <c r="Z97" s="84">
        <f t="shared" si="73"/>
        <v>0.27212681638044911</v>
      </c>
    </row>
    <row r="98" spans="1:26">
      <c r="A98" s="47" t="s">
        <v>497</v>
      </c>
      <c r="C98" s="84">
        <f t="shared" si="72"/>
        <v>0.39450943897899493</v>
      </c>
      <c r="D98" s="84">
        <f t="shared" si="72"/>
        <v>0.33976833976833976</v>
      </c>
      <c r="E98" s="84">
        <f t="shared" si="72"/>
        <v>0.42061882567806363</v>
      </c>
      <c r="F98" s="131"/>
      <c r="G98" s="131"/>
      <c r="H98" s="47"/>
      <c r="I98" s="47"/>
      <c r="J98" s="56"/>
      <c r="K98" s="56"/>
      <c r="L98" s="84">
        <f t="shared" si="73"/>
        <v>0.45197432829326667</v>
      </c>
      <c r="M98" s="84">
        <f t="shared" si="73"/>
        <v>0.47172473678497773</v>
      </c>
      <c r="N98" s="84">
        <f t="shared" si="73"/>
        <v>0.32062526102261191</v>
      </c>
      <c r="O98" s="84">
        <f t="shared" si="73"/>
        <v>0.3943803311590568</v>
      </c>
      <c r="P98" s="84">
        <f t="shared" si="73"/>
        <v>0.25179802217560687</v>
      </c>
      <c r="Q98" s="84">
        <f t="shared" si="73"/>
        <v>0.35061582712589434</v>
      </c>
      <c r="R98" s="84">
        <f t="shared" si="73"/>
        <v>0.34971764174384457</v>
      </c>
      <c r="S98" s="84">
        <f t="shared" si="73"/>
        <v>0.39784094998200792</v>
      </c>
      <c r="T98" s="84">
        <f t="shared" si="73"/>
        <v>0.47489376982464537</v>
      </c>
      <c r="U98" s="84">
        <f t="shared" si="73"/>
        <v>0.39485611314366853</v>
      </c>
      <c r="V98" s="84">
        <f t="shared" si="73"/>
        <v>0.41638773597536494</v>
      </c>
      <c r="W98" s="84">
        <f t="shared" si="73"/>
        <v>0.40472635535190249</v>
      </c>
      <c r="X98" s="84">
        <f t="shared" si="73"/>
        <v>0.55628144781691291</v>
      </c>
      <c r="Y98" s="84">
        <f t="shared" si="73"/>
        <v>0.61568274350140939</v>
      </c>
      <c r="Z98" s="84">
        <f t="shared" si="73"/>
        <v>0.46589942338595325</v>
      </c>
    </row>
    <row r="99" spans="1:26">
      <c r="A99" s="47" t="s">
        <v>141</v>
      </c>
      <c r="C99" s="82"/>
      <c r="D99" s="82"/>
      <c r="E99" s="82"/>
      <c r="F99" s="131"/>
      <c r="G99" s="131"/>
      <c r="H99" s="47"/>
      <c r="I99" s="47"/>
      <c r="J99" s="56"/>
      <c r="K99" s="56"/>
      <c r="L99" s="82"/>
      <c r="M99" s="82"/>
      <c r="N99" s="82"/>
      <c r="O99" s="82"/>
      <c r="P99" s="82"/>
      <c r="Q99" s="82"/>
      <c r="R99" s="82"/>
      <c r="S99" s="82"/>
      <c r="T99" s="82"/>
      <c r="U99" s="82"/>
      <c r="V99" s="82"/>
      <c r="W99" s="82"/>
      <c r="X99" s="82"/>
      <c r="Y99" s="82"/>
      <c r="Z99" s="82"/>
    </row>
    <row r="100" spans="1:26">
      <c r="A100" s="71" t="s">
        <v>478</v>
      </c>
      <c r="C100" s="84">
        <f t="shared" ref="C100:E104" si="74">C61/B61-1</f>
        <v>0.88486140724946694</v>
      </c>
      <c r="D100" s="84">
        <f t="shared" si="74"/>
        <v>0.24660633484162897</v>
      </c>
      <c r="E100" s="84">
        <f t="shared" si="74"/>
        <v>2.3284936479128855</v>
      </c>
      <c r="F100" s="131"/>
      <c r="G100" s="131"/>
      <c r="H100" s="71"/>
      <c r="I100" s="71"/>
      <c r="J100" s="56"/>
      <c r="K100" s="56"/>
      <c r="L100" s="84">
        <f t="shared" ref="L100:Z104" si="75">L61/H61-1</f>
        <v>1</v>
      </c>
      <c r="M100" s="84">
        <f t="shared" si="75"/>
        <v>0.99523809523809526</v>
      </c>
      <c r="N100" s="84">
        <f t="shared" si="75"/>
        <v>1.0984848484848486</v>
      </c>
      <c r="O100" s="84">
        <f t="shared" si="75"/>
        <v>0.53333333333333344</v>
      </c>
      <c r="P100" s="84">
        <f t="shared" si="75"/>
        <v>0.3994413407821229</v>
      </c>
      <c r="Q100" s="84">
        <f t="shared" si="75"/>
        <v>0.14797136038186154</v>
      </c>
      <c r="R100" s="84">
        <f t="shared" si="75"/>
        <v>0.1407942238267148</v>
      </c>
      <c r="S100" s="84">
        <f t="shared" si="75"/>
        <v>0.35011441647597263</v>
      </c>
      <c r="T100" s="84">
        <f t="shared" si="75"/>
        <v>1.2295409181636727</v>
      </c>
      <c r="U100" s="84">
        <f t="shared" si="75"/>
        <v>1.7817047817047817</v>
      </c>
      <c r="V100" s="84">
        <f t="shared" si="75"/>
        <v>2.8797468354430378</v>
      </c>
      <c r="W100" s="84">
        <f t="shared" si="75"/>
        <v>3.1169491525423725</v>
      </c>
      <c r="X100" s="84">
        <f t="shared" si="75"/>
        <v>1.3616830796777082</v>
      </c>
      <c r="Y100" s="84">
        <f t="shared" si="75"/>
        <v>1.1509715994020926</v>
      </c>
      <c r="Z100" s="84">
        <f t="shared" si="75"/>
        <v>0.93026101141924955</v>
      </c>
    </row>
    <row r="101" spans="1:26">
      <c r="A101" s="71" t="s">
        <v>479</v>
      </c>
      <c r="C101" s="84">
        <f t="shared" si="74"/>
        <v>0.20572450805008935</v>
      </c>
      <c r="D101" s="84">
        <f t="shared" si="74"/>
        <v>0.14985163204747765</v>
      </c>
      <c r="E101" s="84">
        <f t="shared" si="74"/>
        <v>0.10617511520737333</v>
      </c>
      <c r="F101" s="131"/>
      <c r="G101" s="131"/>
      <c r="H101" s="71"/>
      <c r="I101" s="71"/>
      <c r="J101" s="56"/>
      <c r="K101" s="56"/>
      <c r="L101" s="84">
        <f t="shared" si="75"/>
        <v>0.18443496801705761</v>
      </c>
      <c r="M101" s="84">
        <f t="shared" si="75"/>
        <v>0.24016563146997938</v>
      </c>
      <c r="N101" s="84">
        <f t="shared" si="75"/>
        <v>0.20900000000000007</v>
      </c>
      <c r="O101" s="84">
        <f t="shared" si="75"/>
        <v>0.18929633300297333</v>
      </c>
      <c r="P101" s="84">
        <f t="shared" si="75"/>
        <v>0.12061206120612056</v>
      </c>
      <c r="Q101" s="84">
        <f t="shared" si="75"/>
        <v>0.13105175292153581</v>
      </c>
      <c r="R101" s="84">
        <f t="shared" si="75"/>
        <v>0.18279569892473124</v>
      </c>
      <c r="S101" s="84">
        <f t="shared" si="75"/>
        <v>0.16250000000000009</v>
      </c>
      <c r="T101" s="84">
        <f t="shared" si="75"/>
        <v>0.15020080321285145</v>
      </c>
      <c r="U101" s="84">
        <f t="shared" si="75"/>
        <v>0.11143911439114396</v>
      </c>
      <c r="V101" s="84">
        <f t="shared" si="75"/>
        <v>8.6713286713286708E-2</v>
      </c>
      <c r="W101" s="84">
        <f t="shared" si="75"/>
        <v>8.1720430107526942E-2</v>
      </c>
      <c r="X101" s="84">
        <f t="shared" si="75"/>
        <v>0.12360335195530725</v>
      </c>
      <c r="Y101" s="84">
        <f t="shared" si="75"/>
        <v>9.6281540504647989E-2</v>
      </c>
      <c r="Z101" s="84">
        <f t="shared" si="75"/>
        <v>7.2072072072072002E-2</v>
      </c>
    </row>
    <row r="102" spans="1:26">
      <c r="A102" s="47" t="s">
        <v>498</v>
      </c>
      <c r="C102" s="84">
        <f t="shared" si="74"/>
        <v>0.33704390847247989</v>
      </c>
      <c r="D102" s="84">
        <f t="shared" si="74"/>
        <v>0.17622571692876976</v>
      </c>
      <c r="E102" s="84">
        <f t="shared" si="74"/>
        <v>0.74819766679774546</v>
      </c>
      <c r="F102" s="131"/>
      <c r="G102" s="131"/>
      <c r="H102" s="47"/>
      <c r="I102" s="47"/>
      <c r="J102" s="56"/>
      <c r="K102" s="56"/>
      <c r="L102" s="84">
        <f t="shared" si="75"/>
        <v>0.31512981199641898</v>
      </c>
      <c r="M102" s="84">
        <f t="shared" si="75"/>
        <v>0.375</v>
      </c>
      <c r="N102" s="84">
        <f t="shared" si="75"/>
        <v>0.39477848101265822</v>
      </c>
      <c r="O102" s="84">
        <f t="shared" si="75"/>
        <v>0.26506955177743441</v>
      </c>
      <c r="P102" s="84">
        <f t="shared" si="75"/>
        <v>0.18856364874063991</v>
      </c>
      <c r="Q102" s="84">
        <f t="shared" si="75"/>
        <v>0.13543599257884975</v>
      </c>
      <c r="R102" s="84">
        <f t="shared" si="75"/>
        <v>0.16959727736812247</v>
      </c>
      <c r="S102" s="84">
        <f t="shared" si="75"/>
        <v>0.21258399511301151</v>
      </c>
      <c r="T102" s="84">
        <f t="shared" si="75"/>
        <v>0.45990836197021756</v>
      </c>
      <c r="U102" s="84">
        <f t="shared" si="75"/>
        <v>0.5490196078431373</v>
      </c>
      <c r="V102" s="84">
        <f t="shared" si="75"/>
        <v>0.94277400581959259</v>
      </c>
      <c r="W102" s="84">
        <f t="shared" si="75"/>
        <v>0.98387909319899247</v>
      </c>
      <c r="X102" s="84">
        <f t="shared" si="75"/>
        <v>0.66614358571989007</v>
      </c>
      <c r="Y102" s="84">
        <f t="shared" si="75"/>
        <v>0.59247538677918432</v>
      </c>
      <c r="Z102" s="84">
        <f t="shared" si="75"/>
        <v>0.59735396904643046</v>
      </c>
    </row>
    <row r="103" spans="1:26">
      <c r="A103" s="47" t="s">
        <v>142</v>
      </c>
      <c r="C103" s="84">
        <f t="shared" si="74"/>
        <v>0.64424320827943071</v>
      </c>
      <c r="D103" s="84">
        <f t="shared" si="74"/>
        <v>1.3752950432730136</v>
      </c>
      <c r="E103" s="84">
        <f t="shared" si="74"/>
        <v>1.2070221927790659</v>
      </c>
      <c r="F103" s="131"/>
      <c r="G103" s="131"/>
      <c r="H103" s="47"/>
      <c r="I103" s="47"/>
      <c r="J103" s="56"/>
      <c r="K103" s="56"/>
      <c r="L103" s="84">
        <f t="shared" si="75"/>
        <v>0.35632183908045967</v>
      </c>
      <c r="M103" s="84">
        <f t="shared" si="75"/>
        <v>0.5</v>
      </c>
      <c r="N103" s="84">
        <f t="shared" si="75"/>
        <v>0.84693877551020402</v>
      </c>
      <c r="O103" s="84">
        <f t="shared" si="75"/>
        <v>0.82159624413145549</v>
      </c>
      <c r="P103" s="84">
        <f t="shared" si="75"/>
        <v>1.0550847457627119</v>
      </c>
      <c r="Q103" s="84">
        <f t="shared" si="75"/>
        <v>1.2771929824561403</v>
      </c>
      <c r="R103" s="84">
        <f t="shared" si="75"/>
        <v>1.2624309392265194</v>
      </c>
      <c r="S103" s="84">
        <f t="shared" si="75"/>
        <v>1.7474226804123711</v>
      </c>
      <c r="T103" s="84">
        <f t="shared" si="75"/>
        <v>1.5628865979381446</v>
      </c>
      <c r="U103" s="84">
        <f t="shared" si="75"/>
        <v>1.300462249614792</v>
      </c>
      <c r="V103" s="84">
        <f t="shared" si="75"/>
        <v>1.1538461538461537</v>
      </c>
      <c r="W103" s="84">
        <f t="shared" si="75"/>
        <v>1.0290806754221387</v>
      </c>
      <c r="X103" s="84">
        <f t="shared" si="75"/>
        <v>0.95575221238938046</v>
      </c>
      <c r="Y103" s="84">
        <f t="shared" si="75"/>
        <v>0.99263228399196257</v>
      </c>
      <c r="Z103" s="84">
        <f t="shared" si="75"/>
        <v>1.0402494331065761</v>
      </c>
    </row>
    <row r="104" spans="1:26">
      <c r="A104" s="47" t="s">
        <v>82</v>
      </c>
      <c r="C104" s="84">
        <f t="shared" si="74"/>
        <v>2.152173913043478</v>
      </c>
      <c r="D104" s="84">
        <f t="shared" si="74"/>
        <v>0.12050816696914701</v>
      </c>
      <c r="E104" s="84">
        <f t="shared" si="74"/>
        <v>1.994007126660188</v>
      </c>
      <c r="F104" s="131"/>
      <c r="G104" s="131"/>
      <c r="H104" s="47"/>
      <c r="I104" s="47"/>
      <c r="J104" s="56"/>
      <c r="K104" s="56"/>
      <c r="L104" s="84">
        <f t="shared" si="75"/>
        <v>1.4421768707482991</v>
      </c>
      <c r="M104" s="84">
        <f t="shared" si="75"/>
        <v>2.68733153638814</v>
      </c>
      <c r="N104" s="84">
        <f t="shared" si="75"/>
        <v>2.6622137404580153</v>
      </c>
      <c r="O104" s="84">
        <f t="shared" si="75"/>
        <v>1.6923076923076925</v>
      </c>
      <c r="P104" s="84">
        <f t="shared" si="75"/>
        <v>0.81754874651810594</v>
      </c>
      <c r="Q104" s="84">
        <f t="shared" si="75"/>
        <v>3.654970760234022E-3</v>
      </c>
      <c r="R104" s="84">
        <f t="shared" si="75"/>
        <v>-6.9306930693069257E-2</v>
      </c>
      <c r="S104" s="84">
        <f t="shared" si="75"/>
        <v>0.1362126245847175</v>
      </c>
      <c r="T104" s="84">
        <f t="shared" si="75"/>
        <v>1.8490421455938697</v>
      </c>
      <c r="U104" s="84">
        <f t="shared" si="75"/>
        <v>2.2126729788783686</v>
      </c>
      <c r="V104" s="84">
        <f t="shared" si="75"/>
        <v>1.8902575587905934</v>
      </c>
      <c r="W104" s="84">
        <f t="shared" si="75"/>
        <v>2.0374269005847951</v>
      </c>
      <c r="X104" s="84">
        <f t="shared" si="75"/>
        <v>0.38596019365250145</v>
      </c>
      <c r="Y104" s="84">
        <f t="shared" si="75"/>
        <v>0.43890274314214461</v>
      </c>
      <c r="Z104" s="84">
        <f t="shared" si="75"/>
        <v>0.37388609066253387</v>
      </c>
    </row>
    <row r="105" spans="1:26">
      <c r="A105" s="85" t="s">
        <v>507</v>
      </c>
      <c r="C105" s="82"/>
      <c r="D105" s="82"/>
      <c r="E105" s="82"/>
      <c r="F105" s="131"/>
      <c r="G105" s="131"/>
      <c r="H105" s="85"/>
      <c r="I105" s="85"/>
      <c r="J105" s="56"/>
      <c r="K105" s="56"/>
      <c r="L105" s="82"/>
      <c r="M105" s="82"/>
      <c r="N105" s="82"/>
      <c r="O105" s="82"/>
      <c r="P105" s="82"/>
      <c r="Q105" s="82"/>
      <c r="R105" s="82"/>
      <c r="S105" s="82"/>
      <c r="T105" s="82"/>
      <c r="U105" s="47"/>
      <c r="V105" s="47"/>
      <c r="W105" s="47"/>
    </row>
    <row r="106" spans="1:26">
      <c r="A106" s="47"/>
      <c r="C106" s="82"/>
      <c r="D106" s="82"/>
      <c r="E106" s="82"/>
      <c r="F106" s="131"/>
      <c r="G106" s="131"/>
      <c r="H106" s="47"/>
      <c r="I106" s="47"/>
      <c r="J106" s="56"/>
      <c r="K106" s="56"/>
      <c r="L106" s="82"/>
      <c r="M106" s="82"/>
      <c r="N106" s="82"/>
      <c r="O106" s="82"/>
      <c r="P106" s="82"/>
      <c r="Q106" s="82"/>
      <c r="R106" s="82"/>
      <c r="S106" s="82"/>
      <c r="T106" s="82"/>
      <c r="U106" s="82"/>
      <c r="V106" s="82"/>
      <c r="W106" s="82"/>
    </row>
    <row r="107" spans="1:26">
      <c r="A107" s="47" t="s">
        <v>10</v>
      </c>
      <c r="C107" s="84">
        <f t="shared" ref="C107:E111" si="76">C68/B68-1</f>
        <v>0.39456481135599542</v>
      </c>
      <c r="D107" s="84">
        <f t="shared" si="76"/>
        <v>0.33986807741244229</v>
      </c>
      <c r="E107" s="84">
        <f t="shared" si="76"/>
        <v>0.42577436807316982</v>
      </c>
      <c r="F107" s="131"/>
      <c r="G107" s="131"/>
      <c r="H107" s="47"/>
      <c r="I107" s="47"/>
      <c r="J107" s="56"/>
      <c r="K107" s="56"/>
      <c r="L107" s="84">
        <f t="shared" ref="L107:N111" si="77">L68/H68-1</f>
        <v>0.45829006576670128</v>
      </c>
      <c r="M107" s="84">
        <f t="shared" si="77"/>
        <v>0.4770387507229612</v>
      </c>
      <c r="N107" s="84">
        <f t="shared" si="77"/>
        <v>0.31741903523437975</v>
      </c>
      <c r="O107" s="84">
        <f t="shared" ref="O107:T107" si="78">O68/K68-1</f>
        <v>0.39248746131682855</v>
      </c>
      <c r="P107" s="84">
        <f t="shared" si="78"/>
        <v>0.24313632407627184</v>
      </c>
      <c r="Q107" s="84">
        <f t="shared" si="78"/>
        <v>0.3522593781815333</v>
      </c>
      <c r="R107" s="84">
        <f t="shared" si="78"/>
        <v>0.34965922444183306</v>
      </c>
      <c r="S107" s="84">
        <f t="shared" si="78"/>
        <v>0.40547168365391983</v>
      </c>
      <c r="T107" s="84">
        <f t="shared" si="78"/>
        <v>0.48822556008146645</v>
      </c>
      <c r="U107" s="84">
        <f t="shared" ref="U107:Z111" si="79">U68/Q68-1</f>
        <v>0.39624717669543053</v>
      </c>
      <c r="V107" s="84">
        <f t="shared" si="79"/>
        <v>0.42097931322699722</v>
      </c>
      <c r="W107" s="84">
        <f t="shared" si="79"/>
        <v>0.4075790621592148</v>
      </c>
      <c r="X107" s="84">
        <f t="shared" si="79"/>
        <v>0.57002950861737167</v>
      </c>
      <c r="Y107" s="84">
        <f t="shared" si="79"/>
        <v>0.640756563938778</v>
      </c>
      <c r="Z107" s="84">
        <f t="shared" si="79"/>
        <v>0.47308955443360623</v>
      </c>
    </row>
    <row r="108" spans="1:26">
      <c r="A108" s="71" t="s">
        <v>0</v>
      </c>
      <c r="C108" s="84">
        <f t="shared" si="76"/>
        <v>4.9214817041099979E-2</v>
      </c>
      <c r="D108" s="84">
        <f t="shared" si="76"/>
        <v>-0.29112957127852568</v>
      </c>
      <c r="E108" s="84">
        <f t="shared" si="76"/>
        <v>-0.2127559267241379</v>
      </c>
      <c r="F108" s="131"/>
      <c r="G108" s="131"/>
      <c r="H108" s="71"/>
      <c r="I108" s="71"/>
      <c r="J108" s="56"/>
      <c r="K108" s="56"/>
      <c r="L108" s="84">
        <f t="shared" si="77"/>
        <v>0.20861516553933779</v>
      </c>
      <c r="M108" s="84">
        <f t="shared" si="77"/>
        <v>8.8656321424275264E-2</v>
      </c>
      <c r="N108" s="84">
        <f t="shared" si="77"/>
        <v>-8.21204433168643E-3</v>
      </c>
      <c r="O108" s="84">
        <f t="shared" ref="O108:T111" si="80">O69/K69-1</f>
        <v>-4.9579729565111474E-2</v>
      </c>
      <c r="P108" s="84">
        <f t="shared" si="80"/>
        <v>-0.24153166421207661</v>
      </c>
      <c r="Q108" s="84">
        <f t="shared" si="80"/>
        <v>-0.25447513812154698</v>
      </c>
      <c r="R108" s="84">
        <f t="shared" si="80"/>
        <v>-0.3289801413665433</v>
      </c>
      <c r="S108" s="84">
        <f t="shared" si="80"/>
        <v>-0.32632658292745453</v>
      </c>
      <c r="T108" s="84">
        <f t="shared" si="80"/>
        <v>-0.24025889967637537</v>
      </c>
      <c r="U108" s="84">
        <f t="shared" si="79"/>
        <v>-0.19979250037053509</v>
      </c>
      <c r="V108" s="84">
        <f t="shared" si="79"/>
        <v>-0.1622191011235955</v>
      </c>
      <c r="W108" s="84">
        <f t="shared" si="79"/>
        <v>-0.28481735159817356</v>
      </c>
      <c r="X108" s="84">
        <f t="shared" si="79"/>
        <v>6.4065428522746659E-2</v>
      </c>
      <c r="Y108" s="84">
        <f t="shared" si="79"/>
        <v>0.40655676977218014</v>
      </c>
      <c r="Z108" s="84">
        <f t="shared" si="79"/>
        <v>0.40953179259968864</v>
      </c>
    </row>
    <row r="109" spans="1:26">
      <c r="A109" s="71" t="s">
        <v>90</v>
      </c>
      <c r="C109" s="84">
        <f t="shared" si="76"/>
        <v>5.1411359724612735</v>
      </c>
      <c r="D109" s="84">
        <f t="shared" si="76"/>
        <v>1.8215807174887892</v>
      </c>
      <c r="E109" s="84">
        <f t="shared" si="76"/>
        <v>0.80247134314718793</v>
      </c>
      <c r="F109" s="131"/>
      <c r="G109" s="131"/>
      <c r="H109" s="71"/>
      <c r="I109" s="71"/>
      <c r="J109" s="47"/>
      <c r="K109" s="47"/>
      <c r="L109" s="84">
        <f t="shared" si="77"/>
        <v>9.2249999999999996</v>
      </c>
      <c r="M109" s="84">
        <f t="shared" si="77"/>
        <v>10.201807228915662</v>
      </c>
      <c r="N109" s="84">
        <f t="shared" si="77"/>
        <v>4.4824935952177629</v>
      </c>
      <c r="O109" s="84">
        <f t="shared" si="80"/>
        <v>3.515490533562823</v>
      </c>
      <c r="P109" s="84">
        <f t="shared" si="80"/>
        <v>2.2546862265688672</v>
      </c>
      <c r="Q109" s="84">
        <f t="shared" si="80"/>
        <v>1.8287173971497714</v>
      </c>
      <c r="R109" s="84">
        <f t="shared" si="80"/>
        <v>1.9199376947040498</v>
      </c>
      <c r="S109" s="84">
        <f t="shared" si="80"/>
        <v>1.4936153992757766</v>
      </c>
      <c r="T109" s="84">
        <f t="shared" si="80"/>
        <v>1.1928133216476775</v>
      </c>
      <c r="U109" s="84">
        <f t="shared" si="79"/>
        <v>0.77851711026615966</v>
      </c>
      <c r="V109" s="84">
        <f t="shared" si="79"/>
        <v>0.73108929905046405</v>
      </c>
      <c r="W109" s="84">
        <f t="shared" si="79"/>
        <v>0.68572302048303269</v>
      </c>
      <c r="X109" s="84">
        <f t="shared" si="79"/>
        <v>0.73957976475962095</v>
      </c>
      <c r="Y109" s="84">
        <f t="shared" si="79"/>
        <v>0.70833778727952956</v>
      </c>
      <c r="Z109" s="84">
        <f t="shared" si="79"/>
        <v>0.48944562571261296</v>
      </c>
    </row>
    <row r="110" spans="1:26">
      <c r="A110" s="71" t="s">
        <v>371</v>
      </c>
      <c r="C110" s="84">
        <f t="shared" si="76"/>
        <v>0.7432060141949941</v>
      </c>
      <c r="D110" s="84">
        <f t="shared" si="76"/>
        <v>0.2250222422056618</v>
      </c>
      <c r="E110" s="84">
        <f t="shared" si="76"/>
        <v>0.33666347006859643</v>
      </c>
      <c r="F110" s="131"/>
      <c r="G110" s="131"/>
      <c r="H110" s="71"/>
      <c r="I110" s="71"/>
      <c r="J110" s="47"/>
      <c r="K110" s="47"/>
      <c r="L110" s="84">
        <f t="shared" si="77"/>
        <v>1.1414893617021278</v>
      </c>
      <c r="M110" s="84">
        <f t="shared" si="77"/>
        <v>0.99208197484862604</v>
      </c>
      <c r="N110" s="84">
        <f t="shared" si="77"/>
        <v>0.62481681012240187</v>
      </c>
      <c r="O110" s="84">
        <f t="shared" si="80"/>
        <v>0.6149239996192053</v>
      </c>
      <c r="P110" s="84">
        <f t="shared" si="80"/>
        <v>0.24884252359662207</v>
      </c>
      <c r="Q110" s="84">
        <f t="shared" si="80"/>
        <v>0.2918961889174656</v>
      </c>
      <c r="R110" s="84">
        <f t="shared" si="80"/>
        <v>0.16727284276050436</v>
      </c>
      <c r="S110" s="84">
        <f t="shared" si="80"/>
        <v>0.21136625449302215</v>
      </c>
      <c r="T110" s="84">
        <f t="shared" si="80"/>
        <v>0.37752991344195519</v>
      </c>
      <c r="U110" s="84">
        <f t="shared" si="79"/>
        <v>0.24225401054033702</v>
      </c>
      <c r="V110" s="84">
        <f t="shared" si="79"/>
        <v>0.31371021104687613</v>
      </c>
      <c r="W110" s="84">
        <f t="shared" si="79"/>
        <v>0.34000000000000008</v>
      </c>
      <c r="X110" s="84">
        <f t="shared" si="79"/>
        <v>0.2818365578977764</v>
      </c>
      <c r="Y110" s="84">
        <f t="shared" si="79"/>
        <v>0.46547202797202791</v>
      </c>
      <c r="Z110" s="84">
        <f t="shared" si="79"/>
        <v>0.34379918813685695</v>
      </c>
    </row>
    <row r="111" spans="1:26">
      <c r="A111" s="71" t="s">
        <v>797</v>
      </c>
      <c r="C111" s="84">
        <f t="shared" si="76"/>
        <v>0.25898212136305165</v>
      </c>
      <c r="D111" s="84">
        <f t="shared" si="76"/>
        <v>0.40170814252378562</v>
      </c>
      <c r="E111" s="84">
        <f t="shared" si="76"/>
        <v>0.46770890831061607</v>
      </c>
      <c r="F111" s="131"/>
      <c r="G111" s="131"/>
      <c r="H111" s="71"/>
      <c r="I111" s="71"/>
      <c r="J111" s="47"/>
      <c r="K111" s="47"/>
      <c r="L111" s="84">
        <f t="shared" si="77"/>
        <v>0.26904376012965958</v>
      </c>
      <c r="M111" s="84">
        <f t="shared" si="77"/>
        <v>0.30686365035395502</v>
      </c>
      <c r="N111" s="84">
        <f t="shared" si="77"/>
        <v>0.18567713171094202</v>
      </c>
      <c r="O111" s="84">
        <f t="shared" si="80"/>
        <v>0.27978680643760923</v>
      </c>
      <c r="P111" s="84">
        <f t="shared" si="80"/>
        <v>0.24046905840009281</v>
      </c>
      <c r="Q111" s="84">
        <f t="shared" si="80"/>
        <v>0.38266132830899657</v>
      </c>
      <c r="R111" s="84">
        <f t="shared" si="80"/>
        <v>0.45677503590547075</v>
      </c>
      <c r="S111" s="84">
        <f t="shared" si="80"/>
        <v>0.52957187606826439</v>
      </c>
      <c r="T111" s="84">
        <f t="shared" si="80"/>
        <v>0.48649964058943329</v>
      </c>
      <c r="U111" s="84">
        <f t="shared" si="79"/>
        <v>0.41761401381077135</v>
      </c>
      <c r="V111" s="84">
        <f t="shared" si="79"/>
        <v>0.42982107518775425</v>
      </c>
      <c r="W111" s="84">
        <f t="shared" si="79"/>
        <v>0.44179689606982619</v>
      </c>
      <c r="X111" s="84">
        <f t="shared" si="79"/>
        <v>0.65092557612391388</v>
      </c>
      <c r="Y111" s="84">
        <f t="shared" si="79"/>
        <v>0.578371883448483</v>
      </c>
      <c r="Z111" s="84">
        <f t="shared" si="79"/>
        <v>0.38978436850777287</v>
      </c>
    </row>
    <row r="112" spans="1:26" s="212" customFormat="1">
      <c r="A112" s="215"/>
      <c r="C112" s="216"/>
      <c r="H112" s="215"/>
      <c r="I112" s="215"/>
      <c r="O112" s="216"/>
    </row>
    <row r="113" spans="1:26" s="70" customFormat="1">
      <c r="A113" s="26" t="s">
        <v>37</v>
      </c>
      <c r="B113" s="173">
        <f>SUM(B114:B115)</f>
        <v>2844</v>
      </c>
      <c r="C113" s="173">
        <f>SUM(C114:C115)</f>
        <v>13028</v>
      </c>
      <c r="D113" s="172">
        <v>16082</v>
      </c>
      <c r="E113" s="172">
        <v>15995</v>
      </c>
      <c r="F113" s="135"/>
      <c r="G113" s="135"/>
      <c r="H113" s="26"/>
      <c r="I113" s="26"/>
      <c r="J113" s="88"/>
      <c r="K113" s="174">
        <f>SUM(K114:K115)</f>
        <v>925</v>
      </c>
      <c r="L113" s="26">
        <f>SUM(L114:L115)</f>
        <v>1073</v>
      </c>
      <c r="M113" s="173">
        <f>SUM(M118:M120)</f>
        <v>3010</v>
      </c>
      <c r="N113" s="173">
        <f>SUM(N118:N120)</f>
        <v>4313</v>
      </c>
      <c r="O113" s="173">
        <f>SUM(O114:O115)</f>
        <v>4632</v>
      </c>
      <c r="P113" s="173">
        <f>SUM(P114:P115)</f>
        <v>3995</v>
      </c>
      <c r="Q113" s="173">
        <f>SUM(Q118:Q120)</f>
        <v>3164</v>
      </c>
      <c r="R113" s="173">
        <f>SUM(R118:R120)</f>
        <v>4370</v>
      </c>
      <c r="S113" s="173">
        <f>SUM(S118:S121)</f>
        <v>4553</v>
      </c>
      <c r="T113" s="173">
        <f>SUM(T118:T121)</f>
        <v>3694</v>
      </c>
      <c r="U113" s="89">
        <v>4251</v>
      </c>
      <c r="V113" s="89">
        <v>3744</v>
      </c>
      <c r="W113" s="89">
        <v>4306</v>
      </c>
      <c r="X113" s="1253">
        <v>4019</v>
      </c>
      <c r="Y113" s="1253">
        <v>4686</v>
      </c>
      <c r="Z113" s="1253">
        <v>5115</v>
      </c>
    </row>
    <row r="114" spans="1:26">
      <c r="A114" s="22" t="s">
        <v>508</v>
      </c>
      <c r="B114" s="86">
        <v>2129</v>
      </c>
      <c r="C114" s="86">
        <v>8750</v>
      </c>
      <c r="H114" s="22"/>
      <c r="I114" s="22"/>
      <c r="K114" s="151">
        <v>535</v>
      </c>
      <c r="L114" s="151">
        <v>724</v>
      </c>
      <c r="O114" s="157">
        <v>2974</v>
      </c>
      <c r="P114" s="157">
        <v>2910</v>
      </c>
      <c r="Q114" s="91"/>
    </row>
    <row r="115" spans="1:26">
      <c r="A115" s="22" t="s">
        <v>38</v>
      </c>
      <c r="B115" s="56">
        <v>715</v>
      </c>
      <c r="C115" s="86">
        <v>4278</v>
      </c>
      <c r="H115" s="22"/>
      <c r="I115" s="22"/>
      <c r="K115" s="151">
        <v>390</v>
      </c>
      <c r="L115" s="151">
        <v>349</v>
      </c>
      <c r="O115" s="157">
        <v>1658</v>
      </c>
      <c r="P115" s="157">
        <v>1085</v>
      </c>
      <c r="Q115" s="91"/>
    </row>
    <row r="116" spans="1:26">
      <c r="A116" s="21" t="s">
        <v>509</v>
      </c>
      <c r="B116" s="56">
        <v>315</v>
      </c>
      <c r="C116" s="86">
        <v>2089</v>
      </c>
      <c r="K116" s="151">
        <v>118</v>
      </c>
      <c r="O116" s="151">
        <v>643</v>
      </c>
      <c r="P116" s="157">
        <v>647</v>
      </c>
      <c r="Q116" s="91"/>
    </row>
    <row r="118" spans="1:26">
      <c r="A118" s="21" t="s">
        <v>561</v>
      </c>
      <c r="B118" s="56">
        <v>2017</v>
      </c>
      <c r="C118" s="86">
        <v>6978</v>
      </c>
      <c r="D118" s="86">
        <v>9687</v>
      </c>
      <c r="E118" s="52">
        <f>11810+720</f>
        <v>12530</v>
      </c>
      <c r="F118" s="125"/>
      <c r="G118" s="125"/>
      <c r="M118" s="157">
        <v>1836</v>
      </c>
      <c r="N118" s="151">
        <v>2310</v>
      </c>
      <c r="O118" s="157">
        <v>2376</v>
      </c>
      <c r="P118" s="157">
        <v>1782</v>
      </c>
      <c r="Q118" s="157">
        <v>2231</v>
      </c>
      <c r="R118" s="152">
        <v>2628</v>
      </c>
      <c r="S118" s="157">
        <v>2966</v>
      </c>
      <c r="T118" s="151">
        <v>2457</v>
      </c>
      <c r="U118" s="151">
        <v>2910</v>
      </c>
      <c r="V118" s="151">
        <v>3263</v>
      </c>
      <c r="W118" s="151">
        <v>3180</v>
      </c>
      <c r="X118" s="151">
        <v>3023</v>
      </c>
      <c r="Y118" s="151">
        <v>3697</v>
      </c>
      <c r="Z118" s="151">
        <v>4371</v>
      </c>
    </row>
    <row r="119" spans="1:26">
      <c r="A119" s="21" t="s">
        <v>562</v>
      </c>
      <c r="B119" s="56">
        <v>827</v>
      </c>
      <c r="C119" s="86">
        <v>2263</v>
      </c>
      <c r="D119" s="56">
        <v>889</v>
      </c>
      <c r="E119" s="56">
        <v>1277</v>
      </c>
      <c r="M119" s="151">
        <v>972</v>
      </c>
      <c r="N119" s="151">
        <v>822</v>
      </c>
      <c r="O119" s="157">
        <v>-3</v>
      </c>
      <c r="P119" s="151">
        <v>214</v>
      </c>
      <c r="Q119" s="151">
        <v>-194</v>
      </c>
      <c r="R119" s="152">
        <v>671</v>
      </c>
      <c r="S119" s="21">
        <f>889-SUM(P119:R119)</f>
        <v>198</v>
      </c>
      <c r="T119" s="151">
        <v>234</v>
      </c>
      <c r="U119" s="151">
        <v>598</v>
      </c>
      <c r="V119" s="151">
        <v>-134</v>
      </c>
      <c r="W119" s="151">
        <v>579</v>
      </c>
      <c r="X119" s="151">
        <v>454</v>
      </c>
      <c r="Y119" s="151">
        <v>469</v>
      </c>
      <c r="Z119" s="151">
        <v>293</v>
      </c>
    </row>
    <row r="120" spans="1:26">
      <c r="A120" s="21" t="s">
        <v>563</v>
      </c>
      <c r="C120" s="86">
        <v>3787</v>
      </c>
      <c r="D120" s="86">
        <v>5506</v>
      </c>
      <c r="E120" s="86">
        <v>2188</v>
      </c>
      <c r="F120" s="125"/>
      <c r="G120" s="125"/>
      <c r="M120" s="151">
        <v>202</v>
      </c>
      <c r="N120" s="151">
        <v>1181</v>
      </c>
      <c r="O120" s="157">
        <v>2259</v>
      </c>
      <c r="P120" s="157">
        <v>1970</v>
      </c>
      <c r="Q120" s="157">
        <v>1127</v>
      </c>
      <c r="R120" s="152">
        <v>1071</v>
      </c>
      <c r="S120" s="58">
        <f>5506-SUM(P120:R120)</f>
        <v>1338</v>
      </c>
      <c r="T120" s="151">
        <v>873</v>
      </c>
      <c r="U120" s="151">
        <v>543</v>
      </c>
      <c r="V120" s="151">
        <v>433</v>
      </c>
      <c r="W120" s="151">
        <v>339</v>
      </c>
      <c r="X120" s="151">
        <v>297</v>
      </c>
      <c r="Y120" s="151">
        <v>266</v>
      </c>
      <c r="Z120" s="151">
        <v>232</v>
      </c>
    </row>
    <row r="121" spans="1:26">
      <c r="A121" s="21" t="s">
        <v>82</v>
      </c>
      <c r="P121" s="151">
        <v>29</v>
      </c>
      <c r="R121" s="25"/>
      <c r="S121" s="151">
        <v>51</v>
      </c>
      <c r="T121" s="151">
        <v>130</v>
      </c>
      <c r="U121" s="151">
        <v>200</v>
      </c>
      <c r="V121" s="151">
        <v>182</v>
      </c>
      <c r="W121" s="151">
        <v>208</v>
      </c>
      <c r="X121" s="151">
        <v>247</v>
      </c>
      <c r="Y121" s="151">
        <v>254</v>
      </c>
      <c r="Z121" s="151">
        <v>219</v>
      </c>
    </row>
    <row r="122" spans="1:26">
      <c r="A122" s="21" t="s">
        <v>510</v>
      </c>
      <c r="J122" s="25"/>
      <c r="K122" s="152">
        <v>22072</v>
      </c>
      <c r="L122" s="25"/>
      <c r="M122" s="25"/>
      <c r="N122" s="152">
        <v>34081</v>
      </c>
      <c r="O122" s="152">
        <v>34985</v>
      </c>
      <c r="P122" s="25"/>
      <c r="Q122" s="152">
        <v>36662</v>
      </c>
      <c r="R122" s="152">
        <v>36465</v>
      </c>
      <c r="U122" s="151">
        <v>46689</v>
      </c>
      <c r="V122" s="151">
        <v>46819</v>
      </c>
      <c r="W122" s="151">
        <v>50097</v>
      </c>
      <c r="X122" s="151">
        <v>57302</v>
      </c>
      <c r="Y122" s="151">
        <v>59572</v>
      </c>
      <c r="Z122" s="151">
        <v>63809</v>
      </c>
    </row>
    <row r="124" spans="1:26">
      <c r="A124" s="48" t="s">
        <v>564</v>
      </c>
      <c r="B124" s="50">
        <v>41699</v>
      </c>
      <c r="C124" s="50">
        <v>42064</v>
      </c>
      <c r="D124" s="50">
        <v>42430</v>
      </c>
      <c r="E124" s="50">
        <v>42795</v>
      </c>
      <c r="F124" s="118"/>
      <c r="G124" s="118"/>
      <c r="H124" s="49">
        <v>41426</v>
      </c>
      <c r="I124" s="50">
        <v>41518</v>
      </c>
      <c r="J124" s="50">
        <v>41609</v>
      </c>
      <c r="K124" s="50">
        <v>41699</v>
      </c>
      <c r="L124" s="49">
        <v>41791</v>
      </c>
      <c r="M124" s="50">
        <v>41883</v>
      </c>
      <c r="N124" s="49">
        <v>41974</v>
      </c>
      <c r="O124" s="50">
        <v>42064</v>
      </c>
      <c r="P124" s="49">
        <v>42156</v>
      </c>
      <c r="Q124" s="50">
        <v>42248</v>
      </c>
      <c r="R124" s="49">
        <v>42339</v>
      </c>
      <c r="S124" s="50">
        <v>42430</v>
      </c>
      <c r="T124" s="49">
        <v>42522</v>
      </c>
      <c r="U124" s="50">
        <v>42614</v>
      </c>
      <c r="V124" s="50">
        <v>42705</v>
      </c>
      <c r="W124" s="50">
        <v>42795</v>
      </c>
      <c r="X124" s="49">
        <v>42903</v>
      </c>
      <c r="Y124" s="49">
        <v>42933</v>
      </c>
      <c r="Z124" s="49">
        <v>42964</v>
      </c>
    </row>
    <row r="125" spans="1:26">
      <c r="A125" s="48" t="s">
        <v>621</v>
      </c>
      <c r="B125" s="51" t="s">
        <v>419</v>
      </c>
      <c r="C125" s="51" t="s">
        <v>470</v>
      </c>
      <c r="D125" s="51" t="s">
        <v>471</v>
      </c>
      <c r="E125" s="51" t="s">
        <v>482</v>
      </c>
      <c r="F125" s="119"/>
      <c r="G125" s="119"/>
      <c r="H125" s="51" t="s">
        <v>72</v>
      </c>
      <c r="I125" s="51" t="s">
        <v>73</v>
      </c>
      <c r="J125" s="51" t="s">
        <v>74</v>
      </c>
      <c r="K125" s="51" t="s">
        <v>75</v>
      </c>
      <c r="L125" s="51" t="s">
        <v>76</v>
      </c>
      <c r="M125" s="51" t="s">
        <v>77</v>
      </c>
      <c r="N125" s="51" t="s">
        <v>78</v>
      </c>
      <c r="O125" s="51" t="s">
        <v>443</v>
      </c>
      <c r="P125" s="51" t="s">
        <v>444</v>
      </c>
      <c r="Q125" s="51" t="s">
        <v>445</v>
      </c>
      <c r="R125" s="51" t="s">
        <v>446</v>
      </c>
      <c r="S125" s="51" t="s">
        <v>447</v>
      </c>
      <c r="T125" s="51" t="s">
        <v>615</v>
      </c>
      <c r="U125" s="51" t="s">
        <v>616</v>
      </c>
      <c r="V125" s="51" t="s">
        <v>638</v>
      </c>
      <c r="W125" s="51" t="s">
        <v>639</v>
      </c>
      <c r="X125" s="51" t="s">
        <v>640</v>
      </c>
      <c r="Y125" s="51" t="s">
        <v>800</v>
      </c>
      <c r="Z125" s="51" t="s">
        <v>801</v>
      </c>
    </row>
    <row r="126" spans="1:26">
      <c r="A126" s="42" t="s">
        <v>91</v>
      </c>
      <c r="B126" s="110"/>
      <c r="C126" s="110"/>
      <c r="D126" s="110"/>
      <c r="E126" s="110"/>
      <c r="F126" s="44"/>
      <c r="G126" s="44"/>
      <c r="H126" s="110"/>
      <c r="I126" s="110"/>
      <c r="J126" s="110"/>
      <c r="K126" s="110"/>
      <c r="L126" s="110"/>
      <c r="M126" s="110"/>
      <c r="N126" s="110"/>
      <c r="O126" s="110"/>
      <c r="P126" s="110"/>
      <c r="Q126" s="110"/>
      <c r="R126" s="110"/>
      <c r="S126" s="110"/>
      <c r="T126" s="110"/>
      <c r="U126" s="110"/>
      <c r="V126" s="110"/>
      <c r="W126" s="110"/>
      <c r="X126" s="110"/>
      <c r="Y126" s="110"/>
      <c r="Z126" s="110"/>
    </row>
    <row r="127" spans="1:26">
      <c r="A127" s="111" t="s">
        <v>618</v>
      </c>
      <c r="D127" s="198">
        <v>92335</v>
      </c>
      <c r="E127" s="198">
        <v>133880</v>
      </c>
      <c r="F127" s="112"/>
      <c r="G127" s="112"/>
      <c r="H127" s="44"/>
      <c r="I127" s="44"/>
      <c r="J127" s="44"/>
      <c r="K127" s="44"/>
      <c r="L127" s="44"/>
      <c r="M127" s="44"/>
      <c r="N127" s="44"/>
      <c r="O127" s="44"/>
      <c r="P127" s="198">
        <v>18538</v>
      </c>
      <c r="Q127" s="198">
        <v>20231</v>
      </c>
      <c r="R127" s="198">
        <v>32111</v>
      </c>
      <c r="S127" s="198">
        <v>21455</v>
      </c>
      <c r="T127" s="198">
        <v>27241</v>
      </c>
      <c r="U127" s="198">
        <v>28493</v>
      </c>
      <c r="V127" s="198">
        <v>46576</v>
      </c>
      <c r="W127" s="198">
        <v>31570</v>
      </c>
      <c r="X127" s="198">
        <v>43027</v>
      </c>
      <c r="Y127" s="198">
        <v>46462</v>
      </c>
      <c r="Z127" s="198">
        <v>73244</v>
      </c>
    </row>
    <row r="128" spans="1:26">
      <c r="A128" s="45" t="s">
        <v>601</v>
      </c>
      <c r="D128" s="198">
        <v>80033</v>
      </c>
      <c r="E128" s="198">
        <v>114109</v>
      </c>
      <c r="F128" s="112"/>
      <c r="G128" s="112"/>
      <c r="H128" s="44"/>
      <c r="I128" s="44"/>
      <c r="J128" s="44"/>
      <c r="K128" s="44"/>
      <c r="L128" s="44"/>
      <c r="M128" s="44"/>
      <c r="N128" s="44"/>
      <c r="O128" s="44"/>
      <c r="P128" s="198">
        <v>15712</v>
      </c>
      <c r="Q128" s="198">
        <v>17267</v>
      </c>
      <c r="R128" s="198">
        <v>28714</v>
      </c>
      <c r="S128" s="198">
        <v>18340</v>
      </c>
      <c r="T128" s="198">
        <v>23383</v>
      </c>
      <c r="U128" s="198">
        <v>24109</v>
      </c>
      <c r="V128" s="198">
        <v>40802</v>
      </c>
      <c r="W128" s="198">
        <v>25815</v>
      </c>
      <c r="X128" s="198">
        <v>36712</v>
      </c>
      <c r="Y128" s="198">
        <v>39557</v>
      </c>
      <c r="Z128" s="198">
        <v>60105</v>
      </c>
    </row>
    <row r="129" spans="1:26">
      <c r="A129" s="45" t="s">
        <v>602</v>
      </c>
      <c r="D129" s="198">
        <v>4288</v>
      </c>
      <c r="E129" s="198">
        <v>5679</v>
      </c>
      <c r="F129" s="112"/>
      <c r="G129" s="112"/>
      <c r="H129" s="44"/>
      <c r="I129" s="44"/>
      <c r="J129" s="44"/>
      <c r="K129" s="44"/>
      <c r="L129" s="44"/>
      <c r="M129" s="44"/>
      <c r="N129" s="44"/>
      <c r="O129" s="44"/>
      <c r="P129" s="198">
        <v>997</v>
      </c>
      <c r="Q129" s="198">
        <v>1046</v>
      </c>
      <c r="R129" s="198">
        <v>1162</v>
      </c>
      <c r="S129" s="198">
        <v>1083</v>
      </c>
      <c r="T129" s="198">
        <v>1261</v>
      </c>
      <c r="U129" s="198">
        <v>1435</v>
      </c>
      <c r="V129" s="198">
        <v>1514</v>
      </c>
      <c r="W129" s="198">
        <v>1469</v>
      </c>
      <c r="X129" s="198">
        <v>1641</v>
      </c>
      <c r="Y129" s="198">
        <v>1714</v>
      </c>
      <c r="Z129" s="198">
        <v>1926</v>
      </c>
    </row>
    <row r="130" spans="1:26">
      <c r="A130" s="45" t="s">
        <v>603</v>
      </c>
      <c r="D130" s="198">
        <v>2204</v>
      </c>
      <c r="E130" s="198">
        <v>7336</v>
      </c>
      <c r="F130" s="112"/>
      <c r="G130" s="112"/>
      <c r="H130" s="44"/>
      <c r="I130" s="44"/>
      <c r="J130" s="44"/>
      <c r="K130" s="44"/>
      <c r="L130" s="44"/>
      <c r="M130" s="44"/>
      <c r="N130" s="44"/>
      <c r="O130" s="44"/>
      <c r="P130" s="198">
        <v>501</v>
      </c>
      <c r="Q130" s="198">
        <v>481</v>
      </c>
      <c r="R130" s="198">
        <v>632</v>
      </c>
      <c r="S130" s="198">
        <v>590</v>
      </c>
      <c r="T130" s="198">
        <v>1117</v>
      </c>
      <c r="U130" s="198">
        <v>1338</v>
      </c>
      <c r="V130" s="198">
        <v>2452</v>
      </c>
      <c r="W130" s="198">
        <v>2429</v>
      </c>
      <c r="X130" s="198">
        <v>2638</v>
      </c>
      <c r="Y130" s="198">
        <v>2878</v>
      </c>
      <c r="Z130" s="198">
        <v>4733</v>
      </c>
    </row>
    <row r="131" spans="1:26">
      <c r="A131" s="45" t="s">
        <v>604</v>
      </c>
      <c r="D131" s="198">
        <v>5425</v>
      </c>
      <c r="E131" s="198">
        <v>6001</v>
      </c>
      <c r="F131" s="112"/>
      <c r="G131" s="112"/>
      <c r="H131" s="44"/>
      <c r="I131" s="44"/>
      <c r="J131" s="44"/>
      <c r="K131" s="44"/>
      <c r="L131" s="44"/>
      <c r="M131" s="44"/>
      <c r="N131" s="44"/>
      <c r="O131" s="44"/>
      <c r="P131" s="198">
        <v>1245</v>
      </c>
      <c r="Q131" s="198">
        <v>1355</v>
      </c>
      <c r="R131" s="198">
        <v>1430</v>
      </c>
      <c r="S131" s="198">
        <v>1395</v>
      </c>
      <c r="T131" s="198">
        <v>1432</v>
      </c>
      <c r="U131" s="198">
        <v>1506</v>
      </c>
      <c r="V131" s="198">
        <v>1554</v>
      </c>
      <c r="W131" s="198">
        <v>1509</v>
      </c>
      <c r="X131" s="198">
        <v>1609</v>
      </c>
      <c r="Y131" s="198">
        <v>1651</v>
      </c>
      <c r="Z131" s="198">
        <v>1666</v>
      </c>
    </row>
    <row r="132" spans="1:26">
      <c r="A132" s="45" t="s">
        <v>848</v>
      </c>
      <c r="D132" s="198"/>
      <c r="E132" s="198"/>
      <c r="F132" s="112"/>
      <c r="G132" s="112"/>
      <c r="H132" s="44"/>
      <c r="I132" s="44"/>
      <c r="J132" s="44"/>
      <c r="K132" s="44"/>
      <c r="L132" s="44"/>
      <c r="M132" s="44"/>
      <c r="N132" s="44"/>
      <c r="O132" s="44"/>
      <c r="P132" s="198"/>
      <c r="Q132" s="198"/>
      <c r="R132" s="198"/>
      <c r="S132" s="198"/>
      <c r="T132" s="198"/>
      <c r="U132" s="198"/>
      <c r="V132" s="198"/>
      <c r="W132" s="198"/>
      <c r="X132" s="198"/>
      <c r="Y132" s="198"/>
      <c r="Z132" s="198">
        <v>3907</v>
      </c>
    </row>
    <row r="133" spans="1:26">
      <c r="A133" s="45" t="s">
        <v>82</v>
      </c>
      <c r="D133" s="198">
        <v>385</v>
      </c>
      <c r="E133" s="198">
        <v>755</v>
      </c>
      <c r="F133" s="112"/>
      <c r="G133" s="112"/>
      <c r="H133" s="44"/>
      <c r="I133" s="44"/>
      <c r="J133" s="44"/>
      <c r="K133" s="44"/>
      <c r="L133" s="44"/>
      <c r="M133" s="44"/>
      <c r="N133" s="44"/>
      <c r="O133" s="44"/>
      <c r="P133" s="198">
        <v>83</v>
      </c>
      <c r="Q133" s="198">
        <v>82</v>
      </c>
      <c r="R133" s="198">
        <v>173</v>
      </c>
      <c r="S133" s="198">
        <v>47</v>
      </c>
      <c r="T133" s="198">
        <v>48</v>
      </c>
      <c r="U133" s="198">
        <v>105</v>
      </c>
      <c r="V133" s="198">
        <v>254</v>
      </c>
      <c r="W133" s="198">
        <v>348</v>
      </c>
      <c r="X133" s="198">
        <v>427</v>
      </c>
      <c r="Y133" s="198">
        <v>662</v>
      </c>
      <c r="Z133" s="198">
        <v>907</v>
      </c>
    </row>
    <row r="134" spans="1:26">
      <c r="A134" s="44" t="s">
        <v>429</v>
      </c>
      <c r="D134" s="198">
        <v>3019</v>
      </c>
      <c r="E134" s="198">
        <v>6663</v>
      </c>
      <c r="F134" s="112"/>
      <c r="G134" s="112"/>
      <c r="H134" s="44"/>
      <c r="I134" s="44"/>
      <c r="J134" s="44"/>
      <c r="K134" s="44"/>
      <c r="L134" s="44"/>
      <c r="M134" s="44"/>
      <c r="N134" s="44"/>
      <c r="O134" s="44"/>
      <c r="P134" s="198">
        <v>485</v>
      </c>
      <c r="Q134" s="198">
        <v>649</v>
      </c>
      <c r="R134" s="198">
        <v>819</v>
      </c>
      <c r="S134" s="198">
        <v>1066</v>
      </c>
      <c r="T134" s="198">
        <v>1243</v>
      </c>
      <c r="U134" s="198">
        <v>1493</v>
      </c>
      <c r="V134" s="198">
        <v>1764</v>
      </c>
      <c r="W134" s="198">
        <v>2163</v>
      </c>
      <c r="X134" s="198">
        <v>2431</v>
      </c>
      <c r="Y134" s="198">
        <v>2975</v>
      </c>
      <c r="Z134" s="198">
        <v>3599</v>
      </c>
    </row>
    <row r="135" spans="1:26">
      <c r="A135" s="44" t="s">
        <v>605</v>
      </c>
      <c r="D135" s="198">
        <v>3972</v>
      </c>
      <c r="E135" s="198">
        <v>14733</v>
      </c>
      <c r="F135" s="112"/>
      <c r="G135" s="112"/>
      <c r="H135" s="44"/>
      <c r="I135" s="44"/>
      <c r="J135" s="44"/>
      <c r="K135" s="44"/>
      <c r="L135" s="44"/>
      <c r="M135" s="44"/>
      <c r="N135" s="44"/>
      <c r="O135" s="44"/>
      <c r="P135" s="198">
        <v>812</v>
      </c>
      <c r="Q135" s="198">
        <v>898</v>
      </c>
      <c r="R135" s="198">
        <v>1088</v>
      </c>
      <c r="S135" s="198">
        <v>1174</v>
      </c>
      <c r="T135" s="198">
        <v>3135</v>
      </c>
      <c r="U135" s="198">
        <v>3608</v>
      </c>
      <c r="V135" s="198">
        <v>4063</v>
      </c>
      <c r="W135" s="198">
        <v>3927</v>
      </c>
      <c r="X135" s="198">
        <v>4081</v>
      </c>
      <c r="Y135" s="198">
        <v>4798</v>
      </c>
      <c r="Z135" s="198">
        <v>5413</v>
      </c>
    </row>
    <row r="136" spans="1:26">
      <c r="A136" s="44" t="s">
        <v>606</v>
      </c>
      <c r="D136" s="198">
        <v>1817</v>
      </c>
      <c r="E136" s="198">
        <v>2997</v>
      </c>
      <c r="F136" s="112"/>
      <c r="G136" s="112"/>
      <c r="H136" s="44"/>
      <c r="I136" s="44"/>
      <c r="J136" s="44"/>
      <c r="K136" s="44"/>
      <c r="L136" s="44"/>
      <c r="M136" s="44"/>
      <c r="N136" s="44"/>
      <c r="O136" s="44"/>
      <c r="P136" s="198">
        <v>410</v>
      </c>
      <c r="Q136" s="198">
        <v>393</v>
      </c>
      <c r="R136" s="198">
        <v>525</v>
      </c>
      <c r="S136" s="198">
        <v>489</v>
      </c>
      <c r="T136" s="198">
        <v>535</v>
      </c>
      <c r="U136" s="198">
        <v>698</v>
      </c>
      <c r="V136" s="198">
        <v>845</v>
      </c>
      <c r="W136" s="198">
        <v>919</v>
      </c>
      <c r="X136" s="198">
        <v>645</v>
      </c>
      <c r="Y136" s="198">
        <v>887</v>
      </c>
      <c r="Z136" s="198">
        <v>772</v>
      </c>
    </row>
    <row r="137" spans="1:26">
      <c r="A137" s="43" t="s">
        <v>126</v>
      </c>
      <c r="D137" s="199">
        <v>101143</v>
      </c>
      <c r="E137" s="199">
        <v>158273</v>
      </c>
      <c r="F137" s="113"/>
      <c r="G137" s="113"/>
      <c r="H137" s="43"/>
      <c r="I137" s="43"/>
      <c r="J137" s="43"/>
      <c r="K137" s="43"/>
      <c r="L137" s="43"/>
      <c r="M137" s="43"/>
      <c r="N137" s="43"/>
      <c r="O137" s="43"/>
      <c r="P137" s="199">
        <v>20245</v>
      </c>
      <c r="Q137" s="199">
        <v>22171</v>
      </c>
      <c r="R137" s="199">
        <v>34534</v>
      </c>
      <c r="S137" s="199">
        <v>24184</v>
      </c>
      <c r="T137" s="199">
        <v>32154</v>
      </c>
      <c r="U137" s="199">
        <v>34292</v>
      </c>
      <c r="V137" s="199">
        <v>53248</v>
      </c>
      <c r="W137" s="199">
        <v>38579</v>
      </c>
      <c r="X137" s="199">
        <v>50184</v>
      </c>
      <c r="Y137" s="199">
        <v>55122</v>
      </c>
      <c r="Z137" s="199">
        <v>83028</v>
      </c>
    </row>
    <row r="138" spans="1:26">
      <c r="A138" s="44"/>
      <c r="D138" s="112"/>
      <c r="E138" s="112"/>
      <c r="F138" s="112"/>
      <c r="G138" s="112"/>
      <c r="H138" s="44"/>
      <c r="I138" s="44"/>
      <c r="J138" s="44"/>
      <c r="K138" s="44"/>
      <c r="L138" s="44"/>
      <c r="M138" s="44"/>
      <c r="N138" s="44"/>
      <c r="O138" s="44"/>
      <c r="P138" s="112"/>
      <c r="Q138" s="112"/>
      <c r="R138" s="112"/>
      <c r="S138" s="112"/>
      <c r="T138" s="112"/>
      <c r="U138" s="112"/>
      <c r="V138" s="112"/>
      <c r="W138" s="112"/>
    </row>
    <row r="139" spans="1:26">
      <c r="A139" s="43" t="s">
        <v>620</v>
      </c>
      <c r="D139" s="112"/>
      <c r="E139" s="112"/>
      <c r="F139" s="112"/>
      <c r="G139" s="112"/>
      <c r="H139" s="44"/>
      <c r="I139" s="44"/>
      <c r="J139" s="44"/>
      <c r="K139" s="44"/>
      <c r="L139" s="44"/>
      <c r="M139" s="44"/>
      <c r="N139" s="44"/>
      <c r="O139" s="44"/>
      <c r="P139" s="112"/>
      <c r="Q139" s="112"/>
      <c r="R139" s="112"/>
      <c r="S139" s="112"/>
      <c r="T139" s="112"/>
      <c r="U139" s="112"/>
      <c r="V139" s="112"/>
      <c r="W139" s="112"/>
    </row>
    <row r="140" spans="1:26">
      <c r="A140" s="44" t="s">
        <v>607</v>
      </c>
      <c r="D140" s="114"/>
      <c r="E140" s="114">
        <f>E127/D127-1</f>
        <v>0.44993772675583465</v>
      </c>
      <c r="F140" s="114"/>
      <c r="G140" s="114"/>
      <c r="H140" s="44"/>
      <c r="I140" s="44"/>
      <c r="J140" s="44"/>
      <c r="K140" s="44"/>
      <c r="L140" s="44"/>
      <c r="M140" s="44"/>
      <c r="N140" s="44"/>
      <c r="O140" s="44"/>
      <c r="P140" s="112"/>
      <c r="Q140" s="112"/>
      <c r="R140" s="112"/>
      <c r="S140" s="112"/>
      <c r="T140" s="114">
        <f t="shared" ref="T140:Z141" si="81">T127/P127-1</f>
        <v>0.46946811953824574</v>
      </c>
      <c r="U140" s="114">
        <f t="shared" si="81"/>
        <v>0.40838317433641436</v>
      </c>
      <c r="V140" s="114">
        <f t="shared" si="81"/>
        <v>0.45046868674286067</v>
      </c>
      <c r="W140" s="114">
        <f t="shared" si="81"/>
        <v>0.47145187601957583</v>
      </c>
      <c r="X140" s="114">
        <f t="shared" si="81"/>
        <v>0.57949414485518158</v>
      </c>
      <c r="Y140" s="114">
        <f t="shared" si="81"/>
        <v>0.6306461236093075</v>
      </c>
      <c r="Z140" s="114">
        <f t="shared" si="81"/>
        <v>0.57256956372380619</v>
      </c>
    </row>
    <row r="141" spans="1:26">
      <c r="A141" s="45" t="s">
        <v>601</v>
      </c>
      <c r="D141" s="114"/>
      <c r="E141" s="114">
        <f>E128/D128-1</f>
        <v>0.42577436807316982</v>
      </c>
      <c r="F141" s="114"/>
      <c r="G141" s="114"/>
      <c r="H141" s="44"/>
      <c r="I141" s="44"/>
      <c r="J141" s="44"/>
      <c r="K141" s="44"/>
      <c r="L141" s="44"/>
      <c r="M141" s="44"/>
      <c r="N141" s="44"/>
      <c r="O141" s="44"/>
      <c r="P141" s="112"/>
      <c r="Q141" s="112" t="s">
        <v>627</v>
      </c>
      <c r="R141" s="112"/>
      <c r="S141" s="112"/>
      <c r="T141" s="114">
        <f t="shared" si="81"/>
        <v>0.48822556008146645</v>
      </c>
      <c r="U141" s="114">
        <f t="shared" si="81"/>
        <v>0.39624717669543053</v>
      </c>
      <c r="V141" s="114">
        <f t="shared" si="81"/>
        <v>0.42097931322699722</v>
      </c>
      <c r="W141" s="114">
        <f t="shared" si="81"/>
        <v>0.4075790621592148</v>
      </c>
      <c r="X141" s="114">
        <f t="shared" si="81"/>
        <v>0.57002950861737167</v>
      </c>
      <c r="Y141" s="114">
        <f t="shared" si="81"/>
        <v>0.640756563938778</v>
      </c>
      <c r="Z141" s="114">
        <f t="shared" si="81"/>
        <v>0.47308955443360623</v>
      </c>
    </row>
    <row r="142" spans="1:26">
      <c r="A142" s="45" t="s">
        <v>619</v>
      </c>
      <c r="D142" s="114"/>
      <c r="E142" s="114">
        <f>SUM(E129:E133)/SUM(D129:D133)-1</f>
        <v>0.60713705088603476</v>
      </c>
      <c r="F142" s="114"/>
      <c r="G142" s="114"/>
      <c r="H142" s="44"/>
      <c r="I142" s="44"/>
      <c r="J142" s="44"/>
      <c r="K142" s="44"/>
      <c r="L142" s="44"/>
      <c r="M142" s="44"/>
      <c r="N142" s="44"/>
      <c r="O142" s="44"/>
      <c r="P142" s="112"/>
      <c r="Q142" s="112"/>
      <c r="R142" s="112"/>
      <c r="S142" s="112"/>
      <c r="T142" s="114">
        <f t="shared" ref="T142:Z142" si="82">SUM(T129:T133)/SUM(P129:P133)-1</f>
        <v>0.36518046709129504</v>
      </c>
      <c r="U142" s="114">
        <f t="shared" si="82"/>
        <v>0.47908232118758431</v>
      </c>
      <c r="V142" s="114">
        <f t="shared" si="82"/>
        <v>0.69973506034736532</v>
      </c>
      <c r="W142" s="114">
        <f t="shared" si="82"/>
        <v>0.84751203852327439</v>
      </c>
      <c r="X142" s="114">
        <f t="shared" si="82"/>
        <v>0.63685847589424571</v>
      </c>
      <c r="Y142" s="114">
        <f t="shared" si="82"/>
        <v>0.57504562043795615</v>
      </c>
      <c r="Z142" s="114">
        <f t="shared" si="82"/>
        <v>1.2755455490128162</v>
      </c>
    </row>
    <row r="143" spans="1:26">
      <c r="A143" s="44" t="s">
        <v>429</v>
      </c>
      <c r="D143" s="114"/>
      <c r="E143" s="114">
        <f>E134/D134-1</f>
        <v>1.2070221927790659</v>
      </c>
      <c r="F143" s="114"/>
      <c r="G143" s="114"/>
      <c r="H143" s="44"/>
      <c r="I143" s="44"/>
      <c r="J143" s="44"/>
      <c r="K143" s="44"/>
      <c r="L143" s="44"/>
      <c r="M143" s="44"/>
      <c r="N143" s="44"/>
      <c r="O143" s="44"/>
      <c r="P143" s="112"/>
      <c r="Q143" s="112"/>
      <c r="R143" s="112"/>
      <c r="S143" s="112"/>
      <c r="T143" s="114">
        <f t="shared" ref="T143:Z143" si="83">T134/P134-1</f>
        <v>1.5628865979381446</v>
      </c>
      <c r="U143" s="114">
        <f t="shared" si="83"/>
        <v>1.300462249614792</v>
      </c>
      <c r="V143" s="114">
        <f t="shared" si="83"/>
        <v>1.1538461538461537</v>
      </c>
      <c r="W143" s="114">
        <f t="shared" si="83"/>
        <v>1.0290806754221387</v>
      </c>
      <c r="X143" s="114">
        <f t="shared" si="83"/>
        <v>0.95575221238938046</v>
      </c>
      <c r="Y143" s="114">
        <f t="shared" si="83"/>
        <v>0.99263228399196257</v>
      </c>
      <c r="Z143" s="114">
        <f t="shared" si="83"/>
        <v>1.0402494331065761</v>
      </c>
    </row>
    <row r="144" spans="1:26">
      <c r="A144" s="44" t="s">
        <v>605</v>
      </c>
      <c r="D144" s="114"/>
      <c r="E144" s="114">
        <f>E135/D135-1</f>
        <v>2.7092145015105742</v>
      </c>
      <c r="F144" s="114"/>
      <c r="G144" s="114"/>
      <c r="H144" s="44"/>
      <c r="I144" s="44"/>
      <c r="J144" s="44"/>
      <c r="K144" s="44"/>
      <c r="L144" s="44"/>
      <c r="M144" s="44"/>
      <c r="N144" s="44"/>
      <c r="O144" s="44"/>
      <c r="P144" s="112"/>
      <c r="Q144" s="112"/>
      <c r="R144" s="112"/>
      <c r="S144" s="112"/>
      <c r="T144" s="114">
        <f t="shared" ref="T144:Z146" si="84">T135/P135-1</f>
        <v>2.8608374384236455</v>
      </c>
      <c r="U144" s="114">
        <f t="shared" si="84"/>
        <v>3.0178173719376389</v>
      </c>
      <c r="V144" s="114">
        <f t="shared" si="84"/>
        <v>2.734375</v>
      </c>
      <c r="W144" s="114">
        <f t="shared" si="84"/>
        <v>2.3449744463373086</v>
      </c>
      <c r="X144" s="114">
        <f t="shared" si="84"/>
        <v>0.30175438596491233</v>
      </c>
      <c r="Y144" s="114">
        <f t="shared" si="84"/>
        <v>0.32982261640798227</v>
      </c>
      <c r="Z144" s="114">
        <f t="shared" si="84"/>
        <v>0.3322667979325622</v>
      </c>
    </row>
    <row r="145" spans="1:26">
      <c r="A145" s="44" t="s">
        <v>606</v>
      </c>
      <c r="D145" s="114"/>
      <c r="E145" s="114">
        <f>E136/D136-1</f>
        <v>0.64942212438084757</v>
      </c>
      <c r="F145" s="114"/>
      <c r="G145" s="114"/>
      <c r="H145" s="44"/>
      <c r="I145" s="44"/>
      <c r="J145" s="44"/>
      <c r="K145" s="44"/>
      <c r="L145" s="44"/>
      <c r="M145" s="44"/>
      <c r="N145" s="44"/>
      <c r="O145" s="44"/>
      <c r="P145" s="112"/>
      <c r="Q145" s="112"/>
      <c r="R145" s="112"/>
      <c r="S145" s="112"/>
      <c r="T145" s="114">
        <f t="shared" si="84"/>
        <v>0.30487804878048785</v>
      </c>
      <c r="U145" s="114">
        <f t="shared" si="84"/>
        <v>0.77608142493638677</v>
      </c>
      <c r="V145" s="114">
        <f t="shared" si="84"/>
        <v>0.60952380952380958</v>
      </c>
      <c r="W145" s="114">
        <f t="shared" si="84"/>
        <v>0.87934560327198374</v>
      </c>
      <c r="X145" s="114">
        <f t="shared" si="84"/>
        <v>0.20560747663551404</v>
      </c>
      <c r="Y145" s="114">
        <f t="shared" si="84"/>
        <v>0.27077363896848139</v>
      </c>
      <c r="Z145" s="114">
        <f t="shared" si="84"/>
        <v>-8.6390532544378673E-2</v>
      </c>
    </row>
    <row r="146" spans="1:26">
      <c r="A146" s="43" t="s">
        <v>126</v>
      </c>
      <c r="D146" s="115"/>
      <c r="E146" s="115">
        <f>E137/D137-1</f>
        <v>0.56484383496633472</v>
      </c>
      <c r="F146" s="115"/>
      <c r="G146" s="115"/>
      <c r="H146" s="43"/>
      <c r="I146" s="43"/>
      <c r="J146" s="43"/>
      <c r="K146" s="43"/>
      <c r="L146" s="43"/>
      <c r="M146" s="43"/>
      <c r="N146" s="43"/>
      <c r="O146" s="43"/>
      <c r="P146" s="113"/>
      <c r="Q146" s="113"/>
      <c r="R146" s="113"/>
      <c r="S146" s="113"/>
      <c r="T146" s="115">
        <f t="shared" si="84"/>
        <v>0.58824401086688072</v>
      </c>
      <c r="U146" s="115">
        <f t="shared" si="84"/>
        <v>0.54670515538315811</v>
      </c>
      <c r="V146" s="115">
        <f t="shared" si="84"/>
        <v>0.54190073550703644</v>
      </c>
      <c r="W146" s="115">
        <f t="shared" si="84"/>
        <v>0.59522825008269931</v>
      </c>
      <c r="X146" s="115">
        <f t="shared" si="84"/>
        <v>0.56073894383280454</v>
      </c>
      <c r="Y146" s="115">
        <f t="shared" si="84"/>
        <v>0.60743030444418533</v>
      </c>
      <c r="Z146" s="115">
        <f t="shared" si="84"/>
        <v>0.55926983173076916</v>
      </c>
    </row>
    <row r="147" spans="1:26">
      <c r="A147" s="44"/>
      <c r="D147" s="112"/>
      <c r="E147" s="112"/>
      <c r="F147" s="112"/>
      <c r="G147" s="112"/>
      <c r="H147" s="44"/>
      <c r="I147" s="44"/>
      <c r="J147" s="44"/>
      <c r="K147" s="44"/>
      <c r="L147" s="44"/>
      <c r="M147" s="44"/>
      <c r="N147" s="44"/>
      <c r="O147" s="44"/>
      <c r="P147" s="112"/>
      <c r="Q147" s="112"/>
      <c r="R147" s="112"/>
      <c r="S147" s="112"/>
      <c r="T147" s="112"/>
      <c r="U147" s="112"/>
      <c r="V147" s="112"/>
      <c r="W147" s="112"/>
    </row>
    <row r="148" spans="1:26">
      <c r="A148" s="42" t="s">
        <v>597</v>
      </c>
      <c r="B148" s="110"/>
      <c r="C148" s="110"/>
      <c r="D148" s="116"/>
      <c r="E148" s="116"/>
      <c r="F148" s="112"/>
      <c r="G148" s="112"/>
      <c r="H148" s="110"/>
      <c r="I148" s="110"/>
      <c r="J148" s="110"/>
      <c r="K148" s="110"/>
      <c r="L148" s="110"/>
      <c r="M148" s="110"/>
      <c r="N148" s="110"/>
      <c r="O148" s="110"/>
      <c r="P148" s="116"/>
      <c r="Q148" s="116"/>
      <c r="R148" s="116"/>
      <c r="S148" s="116"/>
      <c r="T148" s="116"/>
      <c r="U148" s="116"/>
      <c r="V148" s="116"/>
      <c r="W148" s="116"/>
      <c r="X148" s="116"/>
      <c r="Y148" s="116"/>
      <c r="Z148" s="116"/>
    </row>
    <row r="149" spans="1:26">
      <c r="A149" s="44" t="s">
        <v>607</v>
      </c>
      <c r="D149" s="198">
        <v>58036</v>
      </c>
      <c r="E149" s="198">
        <v>82432</v>
      </c>
      <c r="F149" s="112"/>
      <c r="G149" s="112"/>
      <c r="H149" s="44"/>
      <c r="I149" s="44"/>
      <c r="J149" s="44"/>
      <c r="K149" s="44"/>
      <c r="L149" s="44"/>
      <c r="M149" s="44"/>
      <c r="N149" s="44"/>
      <c r="O149" s="44"/>
      <c r="P149" s="198">
        <v>12023</v>
      </c>
      <c r="Q149" s="35">
        <v>12576</v>
      </c>
      <c r="R149" s="198">
        <v>20744</v>
      </c>
      <c r="S149" s="198">
        <v>12693</v>
      </c>
      <c r="T149" s="198">
        <v>16624</v>
      </c>
      <c r="U149" s="198">
        <v>17599</v>
      </c>
      <c r="V149" s="198">
        <v>29630</v>
      </c>
      <c r="W149" s="198">
        <v>18579</v>
      </c>
      <c r="X149" s="198">
        <v>26970</v>
      </c>
      <c r="Y149" s="198">
        <v>26414</v>
      </c>
      <c r="Z149" s="198">
        <v>38530</v>
      </c>
    </row>
    <row r="150" spans="1:26">
      <c r="A150" s="44" t="s">
        <v>429</v>
      </c>
      <c r="D150" s="198">
        <v>-1252</v>
      </c>
      <c r="E150" s="198">
        <v>-476</v>
      </c>
      <c r="F150" s="112"/>
      <c r="G150" s="112"/>
      <c r="H150" s="44"/>
      <c r="I150" s="44"/>
      <c r="J150" s="44"/>
      <c r="K150" s="44"/>
      <c r="L150" s="44"/>
      <c r="M150" s="44"/>
      <c r="N150" s="44"/>
      <c r="O150" s="44"/>
      <c r="P150" s="198">
        <v>-368</v>
      </c>
      <c r="Q150" s="35">
        <v>-386</v>
      </c>
      <c r="R150" s="198">
        <v>-332</v>
      </c>
      <c r="S150" s="198">
        <v>-166</v>
      </c>
      <c r="T150" s="198">
        <v>-158</v>
      </c>
      <c r="U150" s="198">
        <v>-57</v>
      </c>
      <c r="V150" s="198">
        <v>-92</v>
      </c>
      <c r="W150" s="198">
        <v>-169</v>
      </c>
      <c r="X150" s="198">
        <v>-103</v>
      </c>
      <c r="Y150" s="198">
        <v>-162</v>
      </c>
      <c r="Z150" s="198">
        <v>-181</v>
      </c>
    </row>
    <row r="151" spans="1:26">
      <c r="A151" s="44" t="s">
        <v>605</v>
      </c>
      <c r="D151" s="198">
        <v>-1810</v>
      </c>
      <c r="E151" s="198">
        <v>-6542</v>
      </c>
      <c r="F151" s="112"/>
      <c r="G151" s="112"/>
      <c r="H151" s="44"/>
      <c r="I151" s="44"/>
      <c r="J151" s="44"/>
      <c r="K151" s="44"/>
      <c r="L151" s="44"/>
      <c r="M151" s="44"/>
      <c r="N151" s="44"/>
      <c r="O151" s="44"/>
      <c r="P151" s="198">
        <v>-543</v>
      </c>
      <c r="Q151" s="35">
        <v>-651</v>
      </c>
      <c r="R151" s="198">
        <v>-415</v>
      </c>
      <c r="S151" s="198">
        <v>-201</v>
      </c>
      <c r="T151" s="198">
        <v>-996</v>
      </c>
      <c r="U151" s="198">
        <v>-1404</v>
      </c>
      <c r="V151" s="198">
        <v>-2431</v>
      </c>
      <c r="W151" s="198">
        <v>-1711</v>
      </c>
      <c r="X151" s="198">
        <v>-1748</v>
      </c>
      <c r="Y151" s="198">
        <v>-1749</v>
      </c>
      <c r="Z151" s="198">
        <v>-2213</v>
      </c>
    </row>
    <row r="152" spans="1:26">
      <c r="A152" s="44" t="s">
        <v>606</v>
      </c>
      <c r="D152" s="198">
        <v>-3467</v>
      </c>
      <c r="E152" s="198">
        <v>-3125</v>
      </c>
      <c r="F152" s="112"/>
      <c r="G152" s="112"/>
      <c r="H152" s="44"/>
      <c r="I152" s="44"/>
      <c r="J152" s="44"/>
      <c r="K152" s="44"/>
      <c r="L152" s="44"/>
      <c r="M152" s="44"/>
      <c r="N152" s="44"/>
      <c r="O152" s="44"/>
      <c r="P152" s="198">
        <v>-620</v>
      </c>
      <c r="Q152" s="35">
        <v>-861</v>
      </c>
      <c r="R152" s="198">
        <v>-961</v>
      </c>
      <c r="S152" s="198">
        <v>-1025</v>
      </c>
      <c r="T152" s="198">
        <v>-887</v>
      </c>
      <c r="U152" s="198">
        <v>-771</v>
      </c>
      <c r="V152" s="198">
        <v>-785</v>
      </c>
      <c r="W152" s="198">
        <v>-682</v>
      </c>
      <c r="X152" s="198">
        <v>-634</v>
      </c>
      <c r="Y152" s="198">
        <v>-496</v>
      </c>
      <c r="Z152" s="198">
        <v>-1006</v>
      </c>
    </row>
    <row r="153" spans="1:26">
      <c r="A153" s="44" t="s">
        <v>598</v>
      </c>
      <c r="D153" s="112">
        <f>D154-SUM(D149:D152)</f>
        <v>-2937</v>
      </c>
      <c r="E153" s="112">
        <f>E154-SUM(E149:E152)</f>
        <v>-3117</v>
      </c>
      <c r="F153" s="112"/>
      <c r="G153" s="112"/>
      <c r="H153" s="44"/>
      <c r="I153" s="44"/>
      <c r="J153" s="44"/>
      <c r="K153" s="44"/>
      <c r="L153" s="44"/>
      <c r="M153" s="44"/>
      <c r="N153" s="44"/>
      <c r="O153" s="44"/>
      <c r="P153" s="198">
        <v>-689</v>
      </c>
      <c r="Q153" s="35">
        <v>-391</v>
      </c>
      <c r="R153" s="198">
        <v>-964</v>
      </c>
      <c r="S153" s="112">
        <f>S154-SUM(S149:S152)</f>
        <v>-893</v>
      </c>
      <c r="T153" s="198">
        <v>-824</v>
      </c>
      <c r="U153" s="198">
        <v>-774</v>
      </c>
      <c r="V153" s="198">
        <v>-653</v>
      </c>
      <c r="W153" s="112">
        <f>W154-SUM(W149:W152)</f>
        <v>-866</v>
      </c>
      <c r="X153" s="112">
        <f>X154-SUM(X149:X152)</f>
        <v>-967</v>
      </c>
      <c r="Y153" s="112">
        <f>Y154-SUM(Y149:Y152)</f>
        <v>-989</v>
      </c>
      <c r="Z153" s="112">
        <f>Z154-SUM(Z149:Z152)</f>
        <v>-1468</v>
      </c>
    </row>
    <row r="154" spans="1:26">
      <c r="A154" s="43" t="s">
        <v>126</v>
      </c>
      <c r="D154" s="199">
        <v>48570</v>
      </c>
      <c r="E154" s="199">
        <v>69172</v>
      </c>
      <c r="F154" s="113"/>
      <c r="G154" s="113"/>
      <c r="H154" s="43"/>
      <c r="I154" s="43"/>
      <c r="J154" s="43"/>
      <c r="K154" s="43"/>
      <c r="L154" s="43"/>
      <c r="M154" s="43"/>
      <c r="N154" s="43"/>
      <c r="O154" s="43"/>
      <c r="P154" s="199">
        <v>9803</v>
      </c>
      <c r="Q154" s="37">
        <f>SUM(Q149:Q153)</f>
        <v>10287</v>
      </c>
      <c r="R154" s="199">
        <v>18072</v>
      </c>
      <c r="S154" s="199">
        <v>10408</v>
      </c>
      <c r="T154" s="199">
        <v>13759</v>
      </c>
      <c r="U154" s="199">
        <v>14593</v>
      </c>
      <c r="V154" s="199">
        <v>25669</v>
      </c>
      <c r="W154" s="199">
        <v>15151</v>
      </c>
      <c r="X154" s="199">
        <v>23518</v>
      </c>
      <c r="Y154" s="199">
        <v>23018</v>
      </c>
      <c r="Z154" s="199">
        <v>33662</v>
      </c>
    </row>
    <row r="155" spans="1:26">
      <c r="A155" s="44"/>
      <c r="D155" s="112"/>
      <c r="E155" s="112"/>
      <c r="F155" s="112"/>
      <c r="G155" s="112"/>
      <c r="H155" s="44"/>
      <c r="I155" s="44"/>
      <c r="J155" s="44"/>
      <c r="K155" s="44"/>
      <c r="L155" s="44"/>
      <c r="M155" s="44"/>
      <c r="N155" s="44"/>
      <c r="O155" s="44"/>
      <c r="P155" s="112"/>
      <c r="Q155" s="112"/>
      <c r="R155" s="112"/>
      <c r="S155" s="112"/>
      <c r="T155" s="112"/>
      <c r="U155" s="112"/>
      <c r="V155" s="112"/>
      <c r="W155" s="112"/>
    </row>
    <row r="156" spans="1:26">
      <c r="A156" s="42" t="s">
        <v>609</v>
      </c>
      <c r="B156" s="110"/>
      <c r="C156" s="110"/>
      <c r="D156" s="116"/>
      <c r="E156" s="116"/>
      <c r="F156" s="112"/>
      <c r="G156" s="112"/>
      <c r="H156" s="110"/>
      <c r="I156" s="110"/>
      <c r="J156" s="110"/>
      <c r="K156" s="110"/>
      <c r="L156" s="110"/>
      <c r="M156" s="110"/>
      <c r="N156" s="110"/>
      <c r="O156" s="110"/>
      <c r="P156" s="116"/>
      <c r="Q156" s="116"/>
      <c r="R156" s="116"/>
      <c r="S156" s="116"/>
      <c r="T156" s="116"/>
      <c r="U156" s="116"/>
      <c r="V156" s="116"/>
      <c r="W156" s="116"/>
      <c r="X156" s="116"/>
      <c r="Y156" s="116"/>
      <c r="Z156" s="116"/>
    </row>
    <row r="157" spans="1:26">
      <c r="A157" s="44" t="s">
        <v>607</v>
      </c>
      <c r="D157" s="114"/>
      <c r="E157" s="114">
        <f>E149/E127</f>
        <v>0.61571556617866752</v>
      </c>
      <c r="F157" s="114"/>
      <c r="G157" s="114"/>
      <c r="H157" s="44"/>
      <c r="I157" s="44"/>
      <c r="J157" s="44"/>
      <c r="K157" s="44"/>
      <c r="L157" s="44"/>
      <c r="M157" s="44"/>
      <c r="N157" s="44"/>
      <c r="O157" s="44"/>
      <c r="P157" s="114">
        <f t="shared" ref="P157:W157" si="85">P149/P127</f>
        <v>0.64855971517963107</v>
      </c>
      <c r="Q157" s="114">
        <f t="shared" si="85"/>
        <v>0.62162028570016314</v>
      </c>
      <c r="R157" s="114">
        <f t="shared" si="85"/>
        <v>0.64600915574102336</v>
      </c>
      <c r="S157" s="114">
        <f t="shared" si="85"/>
        <v>0.591610347238406</v>
      </c>
      <c r="T157" s="114">
        <f t="shared" si="85"/>
        <v>0.61025659850959946</v>
      </c>
      <c r="U157" s="114">
        <f t="shared" si="85"/>
        <v>0.6176604780121433</v>
      </c>
      <c r="V157" s="114">
        <f t="shared" si="85"/>
        <v>0.63616454826520097</v>
      </c>
      <c r="W157" s="114">
        <f t="shared" si="85"/>
        <v>0.58850174216027873</v>
      </c>
      <c r="X157" s="114">
        <f>X149/X127</f>
        <v>0.62681572036163336</v>
      </c>
      <c r="Y157" s="114">
        <f>Y149/Y127</f>
        <v>0.56850759760664626</v>
      </c>
      <c r="Z157" s="114">
        <f>Z149/Z127</f>
        <v>0.52604991535142809</v>
      </c>
    </row>
    <row r="158" spans="1:26">
      <c r="A158" s="44" t="s">
        <v>429</v>
      </c>
      <c r="D158" s="114"/>
      <c r="E158" s="114">
        <f>E150/E134</f>
        <v>-7.1439291610385716E-2</v>
      </c>
      <c r="F158" s="114"/>
      <c r="G158" s="114"/>
      <c r="H158" s="44"/>
      <c r="I158" s="44"/>
      <c r="J158" s="44"/>
      <c r="K158" s="44"/>
      <c r="L158" s="44"/>
      <c r="M158" s="44"/>
      <c r="N158" s="44"/>
      <c r="O158" s="44"/>
      <c r="P158" s="114">
        <f t="shared" ref="P158:Q160" si="86">P150/P134</f>
        <v>-0.75876288659793811</v>
      </c>
      <c r="Q158" s="114">
        <f t="shared" si="86"/>
        <v>-0.59476117103235748</v>
      </c>
      <c r="R158" s="114">
        <f t="shared" ref="R158:S160" si="87">R150/R134</f>
        <v>-0.40537240537240538</v>
      </c>
      <c r="S158" s="114">
        <f t="shared" si="87"/>
        <v>-0.15572232645403378</v>
      </c>
      <c r="T158" s="114">
        <f t="shared" ref="T158:U160" si="88">T150/T134</f>
        <v>-0.12711182622687048</v>
      </c>
      <c r="U158" s="114">
        <f t="shared" si="88"/>
        <v>-3.8178164768921635E-2</v>
      </c>
      <c r="V158" s="114">
        <f t="shared" ref="V158:W160" si="89">V150/V134</f>
        <v>-5.2154195011337869E-2</v>
      </c>
      <c r="W158" s="114">
        <f t="shared" si="89"/>
        <v>-7.8132223763291722E-2</v>
      </c>
      <c r="X158" s="114">
        <f t="shared" ref="X158:Y160" si="90">X150/X134</f>
        <v>-4.2369395310571781E-2</v>
      </c>
      <c r="Y158" s="114">
        <f t="shared" si="90"/>
        <v>-5.4453781512605041E-2</v>
      </c>
      <c r="Z158" s="114">
        <f t="shared" ref="Z158" si="91">Z150/Z134</f>
        <v>-5.029174770769658E-2</v>
      </c>
    </row>
    <row r="159" spans="1:26">
      <c r="A159" s="44" t="s">
        <v>605</v>
      </c>
      <c r="D159" s="114"/>
      <c r="E159" s="114">
        <f>E151/E135</f>
        <v>-0.44403719541166092</v>
      </c>
      <c r="F159" s="114"/>
      <c r="G159" s="114"/>
      <c r="H159" s="44"/>
      <c r="I159" s="44"/>
      <c r="J159" s="44"/>
      <c r="K159" s="44"/>
      <c r="L159" s="44"/>
      <c r="M159" s="44"/>
      <c r="N159" s="44"/>
      <c r="O159" s="44"/>
      <c r="P159" s="114">
        <f t="shared" si="86"/>
        <v>-0.66871921182266014</v>
      </c>
      <c r="Q159" s="114">
        <f t="shared" si="86"/>
        <v>-0.72494432071269488</v>
      </c>
      <c r="R159" s="114">
        <f t="shared" si="87"/>
        <v>-0.38143382352941174</v>
      </c>
      <c r="S159" s="114">
        <f t="shared" si="87"/>
        <v>-0.17120954003407154</v>
      </c>
      <c r="T159" s="114">
        <f t="shared" si="88"/>
        <v>-0.31770334928229665</v>
      </c>
      <c r="U159" s="114">
        <f t="shared" si="88"/>
        <v>-0.38913525498891355</v>
      </c>
      <c r="V159" s="114">
        <f t="shared" si="89"/>
        <v>-0.59832635983263593</v>
      </c>
      <c r="W159" s="114">
        <f t="shared" si="89"/>
        <v>-0.43570155334861216</v>
      </c>
      <c r="X159" s="114">
        <f t="shared" si="90"/>
        <v>-0.42832639059054156</v>
      </c>
      <c r="Y159" s="114">
        <f t="shared" si="90"/>
        <v>-0.36452688620258439</v>
      </c>
      <c r="Z159" s="114">
        <f t="shared" ref="Z159" si="92">Z151/Z135</f>
        <v>-0.40883059301681141</v>
      </c>
    </row>
    <row r="160" spans="1:26">
      <c r="A160" s="44" t="s">
        <v>606</v>
      </c>
      <c r="D160" s="114"/>
      <c r="E160" s="114">
        <f>E152/E136</f>
        <v>-1.0427093760427093</v>
      </c>
      <c r="F160" s="114"/>
      <c r="G160" s="114"/>
      <c r="H160" s="44"/>
      <c r="I160" s="44"/>
      <c r="J160" s="44"/>
      <c r="K160" s="44"/>
      <c r="L160" s="44"/>
      <c r="M160" s="44"/>
      <c r="N160" s="44"/>
      <c r="O160" s="44"/>
      <c r="P160" s="114">
        <f t="shared" si="86"/>
        <v>-1.5121951219512195</v>
      </c>
      <c r="Q160" s="114">
        <f t="shared" si="86"/>
        <v>-2.1908396946564888</v>
      </c>
      <c r="R160" s="114">
        <f t="shared" si="87"/>
        <v>-1.8304761904761904</v>
      </c>
      <c r="S160" s="114">
        <f t="shared" si="87"/>
        <v>-2.0961145194274029</v>
      </c>
      <c r="T160" s="114">
        <f t="shared" si="88"/>
        <v>-1.6579439252336448</v>
      </c>
      <c r="U160" s="114">
        <f t="shared" si="88"/>
        <v>-1.1045845272206303</v>
      </c>
      <c r="V160" s="114">
        <f t="shared" si="89"/>
        <v>-0.92899408284023666</v>
      </c>
      <c r="W160" s="114">
        <f t="shared" si="89"/>
        <v>-0.74211099020674642</v>
      </c>
      <c r="X160" s="114">
        <f t="shared" si="90"/>
        <v>-0.98294573643410854</v>
      </c>
      <c r="Y160" s="114">
        <f t="shared" si="90"/>
        <v>-0.55918827508455471</v>
      </c>
      <c r="Z160" s="114">
        <f t="shared" ref="Z160" si="93">Z152/Z136</f>
        <v>-1.3031088082901554</v>
      </c>
    </row>
    <row r="161" spans="1:26">
      <c r="A161" s="44" t="s">
        <v>598</v>
      </c>
      <c r="D161" s="114"/>
      <c r="E161" s="114"/>
      <c r="F161" s="114"/>
      <c r="G161" s="114"/>
      <c r="H161" s="44"/>
      <c r="I161" s="44"/>
      <c r="J161" s="44"/>
      <c r="K161" s="44"/>
      <c r="L161" s="44"/>
      <c r="M161" s="44"/>
      <c r="N161" s="44"/>
      <c r="O161" s="44"/>
      <c r="P161" s="114"/>
      <c r="Q161" s="114"/>
      <c r="R161" s="114"/>
      <c r="S161" s="114"/>
      <c r="T161" s="114"/>
      <c r="U161" s="114"/>
      <c r="V161" s="114"/>
      <c r="W161" s="114"/>
      <c r="X161" s="114"/>
      <c r="Y161" s="114"/>
      <c r="Z161" s="114"/>
    </row>
    <row r="162" spans="1:26">
      <c r="A162" s="43" t="s">
        <v>126</v>
      </c>
      <c r="D162" s="115"/>
      <c r="E162" s="115">
        <f>E154/E137</f>
        <v>0.43704232560196621</v>
      </c>
      <c r="F162" s="115"/>
      <c r="G162" s="115"/>
      <c r="H162" s="43"/>
      <c r="I162" s="43"/>
      <c r="J162" s="43"/>
      <c r="K162" s="43"/>
      <c r="L162" s="43"/>
      <c r="M162" s="43"/>
      <c r="N162" s="43"/>
      <c r="O162" s="43"/>
      <c r="P162" s="115">
        <f t="shared" ref="P162:W162" si="94">P154/P137</f>
        <v>0.48421832551247224</v>
      </c>
      <c r="Q162" s="115">
        <f t="shared" si="94"/>
        <v>0.46398448423616434</v>
      </c>
      <c r="R162" s="115">
        <f t="shared" si="94"/>
        <v>0.52331036080384552</v>
      </c>
      <c r="S162" s="115">
        <f t="shared" si="94"/>
        <v>0.43036718491564668</v>
      </c>
      <c r="T162" s="115">
        <f t="shared" si="94"/>
        <v>0.42790943584001989</v>
      </c>
      <c r="U162" s="115">
        <f t="shared" si="94"/>
        <v>0.42555114895602475</v>
      </c>
      <c r="V162" s="115">
        <f t="shared" si="94"/>
        <v>0.48206505408653844</v>
      </c>
      <c r="W162" s="115">
        <f t="shared" si="94"/>
        <v>0.39272661292412969</v>
      </c>
      <c r="X162" s="115">
        <f>X154/X137</f>
        <v>0.46863542164833411</v>
      </c>
      <c r="Y162" s="115">
        <f>Y154/Y137</f>
        <v>0.41758281629839267</v>
      </c>
      <c r="Z162" s="115">
        <f>Z154/Z137</f>
        <v>0.40542949366478781</v>
      </c>
    </row>
    <row r="163" spans="1:26">
      <c r="A163" s="44"/>
      <c r="D163" s="112"/>
      <c r="E163" s="112"/>
      <c r="F163" s="112"/>
      <c r="G163" s="112"/>
      <c r="H163" s="44"/>
      <c r="I163" s="44"/>
      <c r="J163" s="44"/>
      <c r="K163" s="44"/>
      <c r="L163" s="44"/>
      <c r="M163" s="44"/>
      <c r="N163" s="44"/>
      <c r="O163" s="44"/>
      <c r="P163" s="112"/>
      <c r="Q163" s="112"/>
      <c r="R163" s="112"/>
      <c r="S163" s="112"/>
      <c r="T163" s="112"/>
      <c r="U163" s="112"/>
      <c r="V163" s="112"/>
      <c r="W163" s="112"/>
    </row>
    <row r="164" spans="1:26">
      <c r="A164" s="42" t="s">
        <v>608</v>
      </c>
      <c r="B164" s="110"/>
      <c r="C164" s="110"/>
      <c r="D164" s="116"/>
      <c r="E164" s="116"/>
      <c r="F164" s="112"/>
      <c r="G164" s="112"/>
      <c r="H164" s="110"/>
      <c r="I164" s="110"/>
      <c r="J164" s="110"/>
      <c r="K164" s="110"/>
      <c r="L164" s="110"/>
      <c r="M164" s="110"/>
      <c r="N164" s="110"/>
      <c r="O164" s="110"/>
      <c r="P164" s="116"/>
      <c r="Q164" s="116"/>
      <c r="R164" s="116"/>
      <c r="S164" s="116"/>
      <c r="T164" s="116"/>
      <c r="U164" s="116"/>
      <c r="V164" s="116"/>
      <c r="W164" s="116"/>
      <c r="X164" s="116"/>
      <c r="Y164" s="116"/>
      <c r="Z164" s="116"/>
    </row>
    <row r="165" spans="1:26">
      <c r="A165" s="117" t="s">
        <v>610</v>
      </c>
      <c r="D165" s="198">
        <v>-867</v>
      </c>
      <c r="E165" s="198">
        <v>-990</v>
      </c>
      <c r="F165" s="112"/>
      <c r="G165" s="112"/>
      <c r="H165" s="44"/>
      <c r="I165" s="44"/>
      <c r="J165" s="44"/>
      <c r="K165" s="44"/>
      <c r="L165" s="44"/>
      <c r="M165" s="44"/>
      <c r="N165" s="44"/>
      <c r="O165" s="44"/>
      <c r="P165" s="198">
        <v>0</v>
      </c>
      <c r="Q165" s="35">
        <v>0</v>
      </c>
      <c r="R165" s="198">
        <v>-105</v>
      </c>
      <c r="S165" s="198">
        <v>-762</v>
      </c>
      <c r="T165" s="198">
        <v>-245</v>
      </c>
      <c r="U165" s="198">
        <v>-3</v>
      </c>
      <c r="V165" s="198">
        <v>-237</v>
      </c>
      <c r="W165" s="198">
        <v>-505</v>
      </c>
      <c r="X165" s="198">
        <v>-391</v>
      </c>
      <c r="Y165" s="198">
        <v>-369</v>
      </c>
      <c r="Z165" s="198">
        <v>-580</v>
      </c>
    </row>
    <row r="166" spans="1:26">
      <c r="A166" s="117" t="s">
        <v>611</v>
      </c>
      <c r="D166" s="198">
        <v>-391</v>
      </c>
      <c r="E166" s="198"/>
      <c r="F166" s="112"/>
      <c r="G166" s="112"/>
      <c r="H166" s="44"/>
      <c r="I166" s="44"/>
      <c r="J166" s="44"/>
      <c r="K166" s="44"/>
      <c r="L166" s="44"/>
      <c r="M166" s="44"/>
      <c r="N166" s="44"/>
      <c r="O166" s="44"/>
      <c r="P166" s="198">
        <v>-95</v>
      </c>
      <c r="Q166" s="35">
        <v>-63</v>
      </c>
      <c r="R166" s="198">
        <v>-81</v>
      </c>
      <c r="S166" s="198">
        <v>-152</v>
      </c>
      <c r="T166" s="198">
        <v>0</v>
      </c>
      <c r="U166" s="198">
        <v>0</v>
      </c>
      <c r="V166" s="198">
        <v>0</v>
      </c>
      <c r="W166" s="198">
        <v>0</v>
      </c>
      <c r="X166" s="198">
        <v>0</v>
      </c>
      <c r="Y166" s="198"/>
      <c r="Z166" s="198"/>
    </row>
    <row r="167" spans="1:26">
      <c r="A167" s="117" t="s">
        <v>612</v>
      </c>
      <c r="D167" s="198">
        <v>-295</v>
      </c>
      <c r="E167" s="198">
        <v>-1056</v>
      </c>
      <c r="F167" s="112"/>
      <c r="G167" s="112"/>
      <c r="H167" s="44"/>
      <c r="I167" s="44"/>
      <c r="J167" s="44"/>
      <c r="K167" s="44"/>
      <c r="L167" s="44"/>
      <c r="M167" s="44"/>
      <c r="N167" s="44"/>
      <c r="O167" s="198">
        <v>-41</v>
      </c>
      <c r="P167" s="198">
        <v>-59</v>
      </c>
      <c r="Q167" s="35">
        <v>-56</v>
      </c>
      <c r="R167" s="198">
        <v>-86</v>
      </c>
      <c r="S167" s="198">
        <v>-94</v>
      </c>
      <c r="T167" s="198">
        <v>-227</v>
      </c>
      <c r="U167" s="198">
        <v>-220</v>
      </c>
      <c r="V167" s="198">
        <v>-234</v>
      </c>
      <c r="W167" s="198">
        <v>-375</v>
      </c>
      <c r="X167" s="198">
        <v>-245</v>
      </c>
      <c r="Y167" s="198">
        <v>-273</v>
      </c>
      <c r="Z167" s="198"/>
    </row>
    <row r="168" spans="1:26">
      <c r="A168" s="117" t="s">
        <v>617</v>
      </c>
      <c r="D168" s="198">
        <v>62</v>
      </c>
      <c r="E168" s="198">
        <v>-838</v>
      </c>
      <c r="F168" s="112"/>
      <c r="G168" s="112"/>
      <c r="H168" s="44"/>
      <c r="I168" s="44"/>
      <c r="J168" s="44"/>
      <c r="K168" s="44"/>
      <c r="L168" s="44"/>
      <c r="M168" s="44"/>
      <c r="N168" s="44"/>
      <c r="O168" s="44"/>
      <c r="P168" s="198">
        <v>-140</v>
      </c>
      <c r="Q168" s="35">
        <v>217</v>
      </c>
      <c r="R168" s="198">
        <v>87</v>
      </c>
      <c r="S168" s="198">
        <v>-102</v>
      </c>
      <c r="T168" s="198">
        <v>-264</v>
      </c>
      <c r="U168" s="198">
        <v>-160</v>
      </c>
      <c r="V168" s="198">
        <v>-373</v>
      </c>
      <c r="W168" s="198">
        <v>-41</v>
      </c>
      <c r="X168" s="198">
        <v>-311</v>
      </c>
      <c r="Y168" s="198">
        <v>190</v>
      </c>
      <c r="Z168" s="198">
        <v>681</v>
      </c>
    </row>
    <row r="169" spans="1:26">
      <c r="A169" s="44" t="s">
        <v>637</v>
      </c>
      <c r="D169" s="198">
        <v>827</v>
      </c>
      <c r="E169" s="198">
        <v>-336</v>
      </c>
      <c r="F169" s="112"/>
      <c r="G169" s="112"/>
      <c r="H169" s="44"/>
      <c r="I169" s="44"/>
      <c r="J169" s="44"/>
      <c r="K169" s="44"/>
      <c r="L169" s="44"/>
      <c r="M169" s="44"/>
      <c r="N169" s="44"/>
      <c r="O169" s="44"/>
      <c r="P169" s="198">
        <v>79</v>
      </c>
      <c r="Q169" s="35">
        <v>3</v>
      </c>
      <c r="R169" s="198">
        <v>0</v>
      </c>
      <c r="S169" s="198">
        <v>745</v>
      </c>
      <c r="T169" s="198">
        <v>-239</v>
      </c>
      <c r="U169" s="198">
        <v>46</v>
      </c>
      <c r="V169" s="198">
        <v>-245</v>
      </c>
      <c r="W169" s="198">
        <v>0</v>
      </c>
      <c r="X169" s="198">
        <v>-29</v>
      </c>
      <c r="Y169" s="198">
        <v>-14</v>
      </c>
      <c r="Z169" s="198">
        <f>-18153-10</f>
        <v>-18163</v>
      </c>
    </row>
    <row r="170" spans="1:26">
      <c r="A170" s="44" t="s">
        <v>82</v>
      </c>
      <c r="D170" s="198">
        <v>-1066</v>
      </c>
      <c r="E170" s="198">
        <f>-1562-245</f>
        <v>-1807</v>
      </c>
      <c r="F170" s="112"/>
      <c r="G170" s="112"/>
      <c r="H170" s="44"/>
      <c r="I170" s="44"/>
      <c r="J170" s="44"/>
      <c r="K170" s="44"/>
      <c r="L170" s="44"/>
      <c r="M170" s="44"/>
      <c r="N170" s="44"/>
      <c r="O170" s="44"/>
      <c r="P170" s="198">
        <v>-192</v>
      </c>
      <c r="Q170" s="35">
        <v>-217</v>
      </c>
      <c r="R170" s="198">
        <v>-310</v>
      </c>
      <c r="S170" s="198">
        <v>-347</v>
      </c>
      <c r="T170" s="198">
        <v>-493</v>
      </c>
      <c r="U170" s="198">
        <v>-230</v>
      </c>
      <c r="V170" s="198">
        <v>-459</v>
      </c>
      <c r="W170" s="198">
        <f>-61-462</f>
        <v>-523</v>
      </c>
      <c r="X170" s="198">
        <v>-412</v>
      </c>
      <c r="Y170" s="198">
        <v>-416</v>
      </c>
      <c r="Z170" s="198">
        <v>-390</v>
      </c>
    </row>
    <row r="171" spans="1:26">
      <c r="A171" s="43" t="s">
        <v>126</v>
      </c>
      <c r="D171" s="199">
        <v>-1730</v>
      </c>
      <c r="E171" s="199">
        <v>-5027</v>
      </c>
      <c r="F171" s="113"/>
      <c r="G171" s="113"/>
      <c r="H171" s="44"/>
      <c r="I171" s="44"/>
      <c r="J171" s="44"/>
      <c r="K171" s="44"/>
      <c r="L171" s="44"/>
      <c r="M171" s="44"/>
      <c r="N171" s="44"/>
      <c r="O171" s="44"/>
      <c r="P171" s="199">
        <v>-407</v>
      </c>
      <c r="Q171" s="36">
        <v>-116</v>
      </c>
      <c r="R171" s="199">
        <v>-495</v>
      </c>
      <c r="S171" s="199">
        <v>-712</v>
      </c>
      <c r="T171" s="199">
        <v>-1468</v>
      </c>
      <c r="U171" s="199">
        <v>-567</v>
      </c>
      <c r="V171" s="199">
        <v>-1548</v>
      </c>
      <c r="W171" s="199">
        <v>-1444</v>
      </c>
      <c r="X171" s="199">
        <v>-1388</v>
      </c>
      <c r="Y171" s="199">
        <v>-882</v>
      </c>
      <c r="Z171" s="199">
        <v>-18452</v>
      </c>
    </row>
    <row r="172" spans="1:26">
      <c r="X172" s="198"/>
      <c r="Y172" s="198"/>
      <c r="Z172" s="198"/>
    </row>
    <row r="173" spans="1:26">
      <c r="A173" s="42" t="s">
        <v>675</v>
      </c>
      <c r="B173" s="110"/>
      <c r="C173" s="110"/>
      <c r="D173" s="116"/>
      <c r="E173" s="116"/>
      <c r="F173" s="112"/>
      <c r="G173" s="112"/>
      <c r="H173" s="110"/>
      <c r="I173" s="110"/>
      <c r="J173" s="110"/>
      <c r="K173" s="110"/>
      <c r="L173" s="110"/>
      <c r="M173" s="110"/>
      <c r="N173" s="110"/>
      <c r="O173" s="110"/>
      <c r="P173" s="116"/>
      <c r="Q173" s="116"/>
      <c r="R173" s="116"/>
      <c r="S173" s="116"/>
      <c r="T173" s="116"/>
      <c r="U173" s="116"/>
      <c r="V173" s="116"/>
      <c r="W173" s="116"/>
      <c r="X173" s="116"/>
      <c r="Y173" s="116"/>
      <c r="Z173" s="116"/>
    </row>
    <row r="174" spans="1:26">
      <c r="A174" s="44" t="s">
        <v>607</v>
      </c>
      <c r="D174" s="200">
        <v>6224</v>
      </c>
      <c r="E174" s="200">
        <v>5994</v>
      </c>
      <c r="F174" s="112"/>
      <c r="G174" s="112"/>
      <c r="H174" s="44"/>
      <c r="I174" s="44"/>
      <c r="J174" s="44"/>
      <c r="K174" s="44"/>
      <c r="L174" s="44"/>
      <c r="M174" s="44"/>
      <c r="N174" s="44"/>
      <c r="O174" s="44"/>
      <c r="P174" s="200">
        <v>961</v>
      </c>
      <c r="Q174" s="202">
        <v>1868</v>
      </c>
      <c r="R174" s="200">
        <v>1625</v>
      </c>
      <c r="S174" s="200">
        <v>1770</v>
      </c>
      <c r="T174" s="200">
        <v>1456</v>
      </c>
      <c r="U174" s="200">
        <v>1471</v>
      </c>
      <c r="V174" s="200">
        <v>1590</v>
      </c>
      <c r="W174" s="200">
        <v>1477</v>
      </c>
      <c r="X174" s="200">
        <v>1560</v>
      </c>
      <c r="Y174" s="200">
        <v>1987</v>
      </c>
      <c r="Z174" s="200">
        <v>2226</v>
      </c>
    </row>
    <row r="175" spans="1:26">
      <c r="A175" s="44" t="s">
        <v>429</v>
      </c>
      <c r="D175" s="200">
        <v>1349</v>
      </c>
      <c r="E175" s="200">
        <v>1201</v>
      </c>
      <c r="F175" s="112"/>
      <c r="G175" s="112"/>
      <c r="H175" s="44"/>
      <c r="I175" s="44"/>
      <c r="J175" s="44"/>
      <c r="K175" s="44"/>
      <c r="L175" s="44"/>
      <c r="M175" s="44"/>
      <c r="N175" s="44"/>
      <c r="O175" s="44"/>
      <c r="P175" s="200">
        <v>184</v>
      </c>
      <c r="Q175" s="202">
        <v>346</v>
      </c>
      <c r="R175" s="200">
        <v>379</v>
      </c>
      <c r="S175" s="200">
        <v>440</v>
      </c>
      <c r="T175" s="200">
        <v>280</v>
      </c>
      <c r="U175" s="200">
        <v>340</v>
      </c>
      <c r="V175" s="200">
        <v>246</v>
      </c>
      <c r="W175" s="200">
        <v>335</v>
      </c>
      <c r="X175" s="200">
        <v>428</v>
      </c>
      <c r="Y175" s="200">
        <v>531</v>
      </c>
      <c r="Z175" s="200">
        <v>608</v>
      </c>
    </row>
    <row r="176" spans="1:26">
      <c r="A176" s="44" t="s">
        <v>605</v>
      </c>
      <c r="D176" s="200">
        <v>981</v>
      </c>
      <c r="E176" s="200">
        <v>1454</v>
      </c>
      <c r="F176" s="112"/>
      <c r="G176" s="112"/>
      <c r="H176" s="44"/>
      <c r="I176" s="44"/>
      <c r="J176" s="44"/>
      <c r="K176" s="44"/>
      <c r="L176" s="44"/>
      <c r="M176" s="44"/>
      <c r="N176" s="44"/>
      <c r="O176" s="44"/>
      <c r="P176" s="200">
        <v>190</v>
      </c>
      <c r="Q176" s="202">
        <v>242</v>
      </c>
      <c r="R176" s="200">
        <v>222</v>
      </c>
      <c r="S176" s="200">
        <v>327</v>
      </c>
      <c r="T176" s="200">
        <v>334</v>
      </c>
      <c r="U176" s="200">
        <v>358</v>
      </c>
      <c r="V176" s="200">
        <v>344</v>
      </c>
      <c r="W176" s="200">
        <v>418</v>
      </c>
      <c r="X176" s="200">
        <v>502</v>
      </c>
      <c r="Y176" s="200">
        <v>594</v>
      </c>
      <c r="Z176" s="200">
        <v>510</v>
      </c>
    </row>
    <row r="177" spans="1:26">
      <c r="A177" s="44" t="s">
        <v>606</v>
      </c>
      <c r="D177" s="200">
        <v>3092</v>
      </c>
      <c r="E177" s="200">
        <v>3017</v>
      </c>
      <c r="F177" s="112"/>
      <c r="G177" s="112"/>
      <c r="H177" s="44"/>
      <c r="I177" s="44"/>
      <c r="J177" s="44"/>
      <c r="K177" s="44"/>
      <c r="L177" s="44"/>
      <c r="M177" s="44"/>
      <c r="N177" s="44"/>
      <c r="O177" s="44"/>
      <c r="P177" s="200">
        <v>651</v>
      </c>
      <c r="Q177" s="202">
        <v>423</v>
      </c>
      <c r="R177" s="200">
        <v>1237</v>
      </c>
      <c r="S177" s="200">
        <v>781</v>
      </c>
      <c r="T177" s="200">
        <v>520</v>
      </c>
      <c r="U177" s="200">
        <v>952</v>
      </c>
      <c r="V177" s="200">
        <v>502</v>
      </c>
      <c r="W177" s="200">
        <v>1043</v>
      </c>
      <c r="X177" s="200">
        <v>816</v>
      </c>
      <c r="Y177" s="200">
        <v>930</v>
      </c>
      <c r="Z177" s="200">
        <v>808</v>
      </c>
    </row>
    <row r="178" spans="1:26">
      <c r="A178" s="44" t="s">
        <v>598</v>
      </c>
      <c r="D178" s="200">
        <v>4436</v>
      </c>
      <c r="E178" s="200">
        <v>4329</v>
      </c>
      <c r="F178" s="112"/>
      <c r="G178" s="112"/>
      <c r="H178" s="44"/>
      <c r="I178" s="44"/>
      <c r="J178" s="44"/>
      <c r="K178" s="44"/>
      <c r="L178" s="44"/>
      <c r="M178" s="44"/>
      <c r="N178" s="44"/>
      <c r="O178" s="44"/>
      <c r="P178" s="200">
        <v>2009</v>
      </c>
      <c r="Q178" s="202">
        <v>285</v>
      </c>
      <c r="R178" s="200">
        <v>907</v>
      </c>
      <c r="S178" s="200">
        <v>1235</v>
      </c>
      <c r="T178" s="200">
        <v>1104</v>
      </c>
      <c r="U178" s="200">
        <v>1130</v>
      </c>
      <c r="V178" s="200">
        <v>1062</v>
      </c>
      <c r="W178" s="200">
        <v>1033</v>
      </c>
      <c r="X178" s="200">
        <v>713</v>
      </c>
      <c r="Y178" s="200">
        <v>644</v>
      </c>
      <c r="Z178" s="200">
        <v>963</v>
      </c>
    </row>
    <row r="179" spans="1:26">
      <c r="A179" s="43" t="s">
        <v>126</v>
      </c>
      <c r="D179" s="201">
        <v>16082</v>
      </c>
      <c r="E179" s="201">
        <v>15995</v>
      </c>
      <c r="F179" s="113"/>
      <c r="G179" s="113"/>
      <c r="H179" s="43"/>
      <c r="I179" s="43"/>
      <c r="J179" s="43"/>
      <c r="K179" s="43"/>
      <c r="L179" s="43"/>
      <c r="M179" s="43"/>
      <c r="N179" s="43"/>
      <c r="O179" s="43"/>
      <c r="P179" s="201">
        <v>3995</v>
      </c>
      <c r="Q179" s="203">
        <v>3164</v>
      </c>
      <c r="R179" s="201">
        <v>4370</v>
      </c>
      <c r="S179" s="201">
        <v>4553</v>
      </c>
      <c r="T179" s="201">
        <v>3694</v>
      </c>
      <c r="U179" s="201">
        <v>4251</v>
      </c>
      <c r="V179" s="201">
        <v>3744</v>
      </c>
      <c r="W179" s="201">
        <v>4306</v>
      </c>
      <c r="X179" s="201">
        <v>4019</v>
      </c>
      <c r="Y179" s="201">
        <v>4686</v>
      </c>
      <c r="Z179" s="201">
        <v>5115</v>
      </c>
    </row>
    <row r="181" spans="1:26">
      <c r="A181" s="42" t="s">
        <v>676</v>
      </c>
      <c r="B181" s="110"/>
      <c r="C181" s="110"/>
      <c r="D181" s="116"/>
      <c r="E181" s="116"/>
      <c r="F181" s="112"/>
      <c r="G181" s="112"/>
      <c r="H181" s="110"/>
      <c r="I181" s="110"/>
      <c r="J181" s="110"/>
      <c r="K181" s="110"/>
      <c r="L181" s="110"/>
      <c r="M181" s="110"/>
      <c r="N181" s="110"/>
      <c r="O181" s="110"/>
      <c r="P181" s="116"/>
      <c r="Q181" s="116"/>
      <c r="R181" s="116"/>
      <c r="S181" s="116"/>
      <c r="T181" s="116"/>
      <c r="U181" s="116"/>
      <c r="V181" s="116"/>
      <c r="W181" s="116"/>
      <c r="X181" s="116"/>
      <c r="Y181" s="116"/>
      <c r="Z181" s="116"/>
    </row>
    <row r="182" spans="1:26">
      <c r="A182" s="44" t="s">
        <v>607</v>
      </c>
      <c r="D182" s="200">
        <v>659</v>
      </c>
      <c r="E182" s="200">
        <v>2258</v>
      </c>
      <c r="F182" s="112"/>
      <c r="G182" s="112"/>
      <c r="H182" s="44"/>
      <c r="I182" s="44"/>
      <c r="J182" s="44"/>
      <c r="K182" s="44"/>
      <c r="L182" s="44"/>
      <c r="M182" s="44"/>
      <c r="N182" s="44"/>
      <c r="O182" s="44"/>
      <c r="P182" s="200">
        <v>99</v>
      </c>
      <c r="Q182" s="202">
        <v>179</v>
      </c>
      <c r="R182" s="200">
        <v>191</v>
      </c>
      <c r="S182" s="200">
        <v>190</v>
      </c>
      <c r="T182" s="200">
        <v>486</v>
      </c>
      <c r="U182" s="200">
        <v>569</v>
      </c>
      <c r="V182" s="200">
        <v>601</v>
      </c>
      <c r="W182" s="200">
        <v>602</v>
      </c>
      <c r="X182" s="200">
        <v>602</v>
      </c>
      <c r="Y182" s="200">
        <v>591</v>
      </c>
      <c r="Z182" s="200">
        <v>865</v>
      </c>
    </row>
    <row r="183" spans="1:26">
      <c r="A183" s="44" t="s">
        <v>429</v>
      </c>
      <c r="D183" s="200">
        <v>4</v>
      </c>
      <c r="E183" s="200">
        <v>4</v>
      </c>
      <c r="F183" s="112"/>
      <c r="G183" s="112"/>
      <c r="H183" s="44"/>
      <c r="I183" s="44"/>
      <c r="J183" s="44"/>
      <c r="K183" s="44"/>
      <c r="L183" s="44"/>
      <c r="M183" s="44"/>
      <c r="N183" s="44"/>
      <c r="O183" s="44"/>
      <c r="P183" s="200">
        <v>1</v>
      </c>
      <c r="Q183" s="202">
        <v>1</v>
      </c>
      <c r="R183" s="200">
        <v>1</v>
      </c>
      <c r="S183" s="200">
        <v>1</v>
      </c>
      <c r="T183" s="200">
        <v>1</v>
      </c>
      <c r="U183" s="200">
        <v>1</v>
      </c>
      <c r="V183" s="200">
        <v>1</v>
      </c>
      <c r="W183" s="200">
        <v>1</v>
      </c>
      <c r="X183" s="200">
        <v>1</v>
      </c>
      <c r="Y183" s="200">
        <v>4</v>
      </c>
      <c r="Z183" s="200">
        <v>4</v>
      </c>
    </row>
    <row r="184" spans="1:26">
      <c r="A184" s="44" t="s">
        <v>605</v>
      </c>
      <c r="D184" s="200">
        <v>1321</v>
      </c>
      <c r="E184" s="200">
        <v>1886</v>
      </c>
      <c r="F184" s="112"/>
      <c r="G184" s="112"/>
      <c r="H184" s="44"/>
      <c r="I184" s="44"/>
      <c r="J184" s="44"/>
      <c r="K184" s="44"/>
      <c r="L184" s="44"/>
      <c r="M184" s="44"/>
      <c r="N184" s="44"/>
      <c r="O184" s="44"/>
      <c r="P184" s="200">
        <v>321</v>
      </c>
      <c r="Q184" s="202">
        <v>308</v>
      </c>
      <c r="R184" s="200">
        <v>382</v>
      </c>
      <c r="S184" s="200">
        <v>310</v>
      </c>
      <c r="T184" s="200">
        <v>523</v>
      </c>
      <c r="U184" s="200">
        <v>485</v>
      </c>
      <c r="V184" s="200">
        <v>421</v>
      </c>
      <c r="W184" s="200">
        <v>457</v>
      </c>
      <c r="X184" s="200">
        <v>1138</v>
      </c>
      <c r="Y184" s="200">
        <v>1040</v>
      </c>
      <c r="Z184" s="200">
        <v>1105</v>
      </c>
    </row>
    <row r="185" spans="1:26">
      <c r="A185" s="44" t="s">
        <v>606</v>
      </c>
      <c r="D185" s="200">
        <v>657</v>
      </c>
      <c r="E185" s="200">
        <v>656</v>
      </c>
      <c r="F185" s="112"/>
      <c r="G185" s="112"/>
      <c r="H185" s="44"/>
      <c r="I185" s="44"/>
      <c r="J185" s="44"/>
      <c r="K185" s="44"/>
      <c r="L185" s="44"/>
      <c r="M185" s="44"/>
      <c r="N185" s="44"/>
      <c r="O185" s="44"/>
      <c r="P185" s="200">
        <v>163</v>
      </c>
      <c r="Q185" s="202">
        <v>164</v>
      </c>
      <c r="R185" s="200">
        <v>165</v>
      </c>
      <c r="S185" s="200">
        <v>165</v>
      </c>
      <c r="T185" s="200">
        <v>165</v>
      </c>
      <c r="U185" s="200">
        <v>165</v>
      </c>
      <c r="V185" s="200">
        <v>163</v>
      </c>
      <c r="W185" s="200">
        <v>163</v>
      </c>
      <c r="X185" s="200">
        <v>162</v>
      </c>
      <c r="Y185" s="200">
        <v>30</v>
      </c>
      <c r="Z185" s="200">
        <v>0</v>
      </c>
    </row>
    <row r="186" spans="1:26">
      <c r="A186" s="44" t="s">
        <v>598</v>
      </c>
      <c r="D186" s="200">
        <v>745</v>
      </c>
      <c r="E186" s="200">
        <v>318</v>
      </c>
      <c r="F186" s="112"/>
      <c r="G186" s="112"/>
      <c r="H186" s="44"/>
      <c r="I186" s="44"/>
      <c r="J186" s="44"/>
      <c r="K186" s="44"/>
      <c r="L186" s="44"/>
      <c r="M186" s="44"/>
      <c r="N186" s="44"/>
      <c r="O186" s="44"/>
      <c r="P186" s="200">
        <v>63</v>
      </c>
      <c r="Q186" s="202">
        <v>76</v>
      </c>
      <c r="R186" s="200">
        <v>529</v>
      </c>
      <c r="S186" s="200">
        <v>77</v>
      </c>
      <c r="T186" s="200">
        <v>76</v>
      </c>
      <c r="U186" s="200">
        <v>77</v>
      </c>
      <c r="V186" s="200">
        <v>75</v>
      </c>
      <c r="W186" s="200">
        <v>90</v>
      </c>
      <c r="X186" s="200">
        <v>83</v>
      </c>
      <c r="Y186" s="200">
        <v>83</v>
      </c>
      <c r="Z186" s="200">
        <v>83</v>
      </c>
    </row>
    <row r="187" spans="1:26">
      <c r="A187" s="43" t="s">
        <v>126</v>
      </c>
      <c r="D187" s="201">
        <v>3386</v>
      </c>
      <c r="E187" s="201">
        <v>5122</v>
      </c>
      <c r="F187" s="113"/>
      <c r="G187" s="113"/>
      <c r="H187" s="43"/>
      <c r="I187" s="43"/>
      <c r="J187" s="43"/>
      <c r="K187" s="43"/>
      <c r="L187" s="43"/>
      <c r="M187" s="43"/>
      <c r="N187" s="43"/>
      <c r="O187" s="43"/>
      <c r="P187" s="201">
        <v>647</v>
      </c>
      <c r="Q187" s="203">
        <v>728</v>
      </c>
      <c r="R187" s="201">
        <v>1268</v>
      </c>
      <c r="S187" s="201">
        <v>743</v>
      </c>
      <c r="T187" s="201">
        <v>1251</v>
      </c>
      <c r="U187" s="201">
        <v>1297</v>
      </c>
      <c r="V187" s="201">
        <v>1261</v>
      </c>
      <c r="W187" s="201">
        <v>1313</v>
      </c>
      <c r="X187" s="201">
        <v>1986</v>
      </c>
      <c r="Y187" s="201">
        <v>1748</v>
      </c>
      <c r="Z187" s="201">
        <v>2057</v>
      </c>
    </row>
    <row r="188" spans="1:26">
      <c r="X188" s="18"/>
      <c r="Y188" s="18"/>
      <c r="Z188" s="18"/>
    </row>
    <row r="189" spans="1:26">
      <c r="A189" s="48" t="s">
        <v>487</v>
      </c>
      <c r="B189" s="50">
        <f t="shared" ref="B189:E190" si="95">B1</f>
        <v>41699</v>
      </c>
      <c r="C189" s="50">
        <f t="shared" si="95"/>
        <v>42064</v>
      </c>
      <c r="D189" s="50">
        <f t="shared" si="95"/>
        <v>42430</v>
      </c>
      <c r="E189" s="50">
        <f t="shared" si="95"/>
        <v>42795</v>
      </c>
      <c r="F189" s="118"/>
      <c r="G189" s="118"/>
      <c r="H189" s="49">
        <v>41426</v>
      </c>
      <c r="I189" s="50">
        <v>41518</v>
      </c>
      <c r="J189" s="50">
        <v>41609</v>
      </c>
      <c r="K189" s="50">
        <v>41699</v>
      </c>
      <c r="L189" s="49">
        <v>41791</v>
      </c>
      <c r="M189" s="50">
        <v>41883</v>
      </c>
      <c r="N189" s="49">
        <v>41974</v>
      </c>
      <c r="O189" s="50">
        <v>42064</v>
      </c>
      <c r="P189" s="49">
        <v>42156</v>
      </c>
      <c r="Q189" s="50">
        <v>42248</v>
      </c>
      <c r="R189" s="49">
        <v>42339</v>
      </c>
      <c r="S189" s="50">
        <v>42430</v>
      </c>
      <c r="T189" s="49">
        <v>42522</v>
      </c>
      <c r="U189" s="50">
        <v>42614</v>
      </c>
      <c r="V189" s="49">
        <v>42705</v>
      </c>
      <c r="W189" s="49">
        <v>42795</v>
      </c>
      <c r="X189" s="49">
        <v>42903</v>
      </c>
      <c r="Y189" s="49">
        <v>42995</v>
      </c>
      <c r="Z189" s="49">
        <v>43086</v>
      </c>
    </row>
    <row r="190" spans="1:26">
      <c r="A190" s="48" t="s">
        <v>512</v>
      </c>
      <c r="B190" s="51" t="str">
        <f t="shared" si="95"/>
        <v>FY14</v>
      </c>
      <c r="C190" s="51" t="str">
        <f t="shared" si="95"/>
        <v>FY15</v>
      </c>
      <c r="D190" s="51" t="str">
        <f t="shared" si="95"/>
        <v>FY16</v>
      </c>
      <c r="E190" s="51" t="str">
        <f t="shared" si="95"/>
        <v>FY17</v>
      </c>
      <c r="F190" s="119"/>
      <c r="G190" s="119"/>
      <c r="H190" s="51" t="s">
        <v>72</v>
      </c>
      <c r="I190" s="51" t="s">
        <v>73</v>
      </c>
      <c r="J190" s="51" t="s">
        <v>74</v>
      </c>
      <c r="K190" s="51" t="s">
        <v>75</v>
      </c>
      <c r="L190" s="51" t="s">
        <v>76</v>
      </c>
      <c r="M190" s="51" t="s">
        <v>77</v>
      </c>
      <c r="N190" s="51" t="s">
        <v>78</v>
      </c>
      <c r="O190" s="51" t="s">
        <v>79</v>
      </c>
      <c r="P190" s="51" t="s">
        <v>135</v>
      </c>
      <c r="Q190" s="51" t="s">
        <v>136</v>
      </c>
      <c r="R190" s="51" t="s">
        <v>137</v>
      </c>
      <c r="S190" s="51" t="s">
        <v>138</v>
      </c>
      <c r="T190" s="51" t="s">
        <v>17</v>
      </c>
      <c r="U190" s="51" t="s">
        <v>18</v>
      </c>
      <c r="V190" s="51" t="str">
        <f>V2</f>
        <v>3Q17</v>
      </c>
      <c r="W190" s="51" t="str">
        <f>W2</f>
        <v>4Q17</v>
      </c>
      <c r="X190" s="51" t="s">
        <v>640</v>
      </c>
      <c r="Y190" s="51" t="s">
        <v>800</v>
      </c>
      <c r="Z190" s="51" t="s">
        <v>801</v>
      </c>
    </row>
    <row r="191" spans="1:26">
      <c r="A191" s="43" t="s">
        <v>91</v>
      </c>
      <c r="B191" s="175">
        <v>52504</v>
      </c>
      <c r="C191" s="175">
        <v>76204</v>
      </c>
      <c r="D191" s="175">
        <v>101143</v>
      </c>
      <c r="E191" s="175">
        <v>158273</v>
      </c>
      <c r="F191" s="93"/>
      <c r="G191" s="93"/>
      <c r="H191" s="43"/>
      <c r="I191" s="100">
        <v>10950</v>
      </c>
      <c r="J191" s="100">
        <v>18745</v>
      </c>
      <c r="K191" s="100">
        <v>12031</v>
      </c>
      <c r="L191" s="100">
        <v>15771</v>
      </c>
      <c r="M191" s="100">
        <v>16829</v>
      </c>
      <c r="N191" s="100">
        <v>26179</v>
      </c>
      <c r="O191" s="100">
        <v>17425</v>
      </c>
      <c r="P191" s="100">
        <v>20245</v>
      </c>
      <c r="Q191" s="100">
        <v>22171</v>
      </c>
      <c r="R191" s="100">
        <v>34543</v>
      </c>
      <c r="S191" s="100">
        <v>24184</v>
      </c>
      <c r="T191" s="100">
        <v>32154</v>
      </c>
      <c r="U191" s="100">
        <v>34292</v>
      </c>
      <c r="V191" s="100">
        <v>53248</v>
      </c>
      <c r="W191" s="100">
        <v>38579</v>
      </c>
      <c r="X191" s="100">
        <f>X137</f>
        <v>50184</v>
      </c>
      <c r="Y191" s="100">
        <v>55122</v>
      </c>
      <c r="Z191" s="100">
        <v>83028</v>
      </c>
    </row>
    <row r="192" spans="1:26">
      <c r="A192" s="44" t="s">
        <v>92</v>
      </c>
      <c r="B192" s="176">
        <v>-13369</v>
      </c>
      <c r="C192" s="176">
        <v>-23834</v>
      </c>
      <c r="D192" s="176">
        <v>-34355</v>
      </c>
      <c r="E192" s="176">
        <v>-59483</v>
      </c>
      <c r="F192" s="96"/>
      <c r="G192" s="96"/>
      <c r="H192" s="44"/>
      <c r="I192" s="99">
        <v>-3001</v>
      </c>
      <c r="J192" s="99">
        <v>-1707</v>
      </c>
      <c r="K192" s="99">
        <v>-3470</v>
      </c>
      <c r="L192" s="99">
        <v>-4585</v>
      </c>
      <c r="M192" s="99">
        <v>-5596</v>
      </c>
      <c r="N192" s="99">
        <v>-7520</v>
      </c>
      <c r="O192" s="99">
        <v>-6133</v>
      </c>
      <c r="P192" s="99">
        <v>-6711</v>
      </c>
      <c r="Q192" s="99">
        <v>-7131</v>
      </c>
      <c r="R192" s="178">
        <v>-10951</v>
      </c>
      <c r="S192" s="99">
        <v>-9562</v>
      </c>
      <c r="T192" s="99">
        <v>-11744</v>
      </c>
      <c r="U192" s="99">
        <v>-13123</v>
      </c>
      <c r="V192" s="99">
        <v>-19126</v>
      </c>
      <c r="W192" s="99">
        <v>-15490</v>
      </c>
      <c r="X192" s="99">
        <v>-17460</v>
      </c>
      <c r="Y192" s="99">
        <v>-22002</v>
      </c>
      <c r="Z192" s="99">
        <v>-35078</v>
      </c>
    </row>
    <row r="193" spans="1:26">
      <c r="A193" s="44" t="s">
        <v>363</v>
      </c>
      <c r="B193" s="176">
        <v>-5093</v>
      </c>
      <c r="C193" s="176">
        <v>-10658</v>
      </c>
      <c r="D193" s="176">
        <v>-13788</v>
      </c>
      <c r="E193" s="176">
        <v>-17060</v>
      </c>
      <c r="F193" s="96"/>
      <c r="G193" s="96"/>
      <c r="H193" s="44"/>
      <c r="I193" s="99">
        <v>-1168</v>
      </c>
      <c r="J193" s="99">
        <v>-1897</v>
      </c>
      <c r="K193" s="99">
        <v>-1200</v>
      </c>
      <c r="L193" s="99">
        <v>-1952</v>
      </c>
      <c r="M193" s="99">
        <v>-2581</v>
      </c>
      <c r="N193" s="99">
        <v>-3083</v>
      </c>
      <c r="O193" s="99">
        <v>-3042</v>
      </c>
      <c r="P193" s="99">
        <v>-3241</v>
      </c>
      <c r="Q193" s="99">
        <v>-3225</v>
      </c>
      <c r="R193" s="179">
        <v>-3749</v>
      </c>
      <c r="S193" s="99">
        <v>-3573</v>
      </c>
      <c r="T193" s="99">
        <v>-3988</v>
      </c>
      <c r="U193" s="99">
        <v>-4134</v>
      </c>
      <c r="V193" s="99">
        <v>-4420</v>
      </c>
      <c r="W193" s="99">
        <v>-4518</v>
      </c>
      <c r="X193" s="99">
        <v>-4696</v>
      </c>
      <c r="Y193" s="99">
        <v>-5083</v>
      </c>
      <c r="Z193" s="99">
        <v>-6289</v>
      </c>
    </row>
    <row r="194" spans="1:26">
      <c r="A194" s="44" t="s">
        <v>480</v>
      </c>
      <c r="B194" s="176">
        <v>-4545</v>
      </c>
      <c r="C194" s="176">
        <v>-8513</v>
      </c>
      <c r="D194" s="176">
        <v>-11307</v>
      </c>
      <c r="E194" s="176">
        <v>-16314</v>
      </c>
      <c r="F194" s="96"/>
      <c r="G194" s="96"/>
      <c r="H194" s="44"/>
      <c r="I194" s="99">
        <v>-657</v>
      </c>
      <c r="J194" s="99">
        <v>-2046</v>
      </c>
      <c r="K194" s="99">
        <v>-1278</v>
      </c>
      <c r="L194" s="99">
        <v>-1212</v>
      </c>
      <c r="M194" s="99">
        <v>-1749</v>
      </c>
      <c r="N194" s="99">
        <v>-3021</v>
      </c>
      <c r="O194" s="99">
        <v>-2531</v>
      </c>
      <c r="P194" s="99">
        <v>-2241</v>
      </c>
      <c r="Q194" s="99">
        <v>-2564</v>
      </c>
      <c r="R194" s="179">
        <v>-3641</v>
      </c>
      <c r="S194" s="99">
        <v>-2861</v>
      </c>
      <c r="T194" s="99">
        <v>-3614</v>
      </c>
      <c r="U194" s="99">
        <v>-3878</v>
      </c>
      <c r="V194" s="99">
        <v>-4490</v>
      </c>
      <c r="W194" s="99">
        <v>-4332</v>
      </c>
      <c r="X194" s="99">
        <v>-4850</v>
      </c>
      <c r="Y194" s="99">
        <v>-6266</v>
      </c>
      <c r="Z194" s="99">
        <v>-8542</v>
      </c>
    </row>
    <row r="195" spans="1:26">
      <c r="A195" s="44" t="s">
        <v>481</v>
      </c>
      <c r="B195" s="176">
        <v>-4218</v>
      </c>
      <c r="C195" s="176">
        <v>-7800</v>
      </c>
      <c r="D195" s="176">
        <v>-9205</v>
      </c>
      <c r="E195" s="176">
        <v>-12239</v>
      </c>
      <c r="F195" s="96"/>
      <c r="G195" s="96"/>
      <c r="H195" s="44"/>
      <c r="I195" s="99">
        <v>-793</v>
      </c>
      <c r="J195" s="99">
        <v>-123</v>
      </c>
      <c r="K195" s="99">
        <v>-514</v>
      </c>
      <c r="L195" s="99">
        <v>-944</v>
      </c>
      <c r="M195" s="99">
        <v>-1960</v>
      </c>
      <c r="N195" s="99">
        <v>-2419</v>
      </c>
      <c r="O195" s="99">
        <v>-2477</v>
      </c>
      <c r="P195" s="99">
        <v>-2244</v>
      </c>
      <c r="Q195" s="99">
        <v>-2128</v>
      </c>
      <c r="R195" s="179">
        <v>-2500</v>
      </c>
      <c r="S195" s="99">
        <v>-2333</v>
      </c>
      <c r="T195" s="99">
        <v>-2743</v>
      </c>
      <c r="U195" s="99">
        <v>-2815</v>
      </c>
      <c r="V195" s="99">
        <v>-3287</v>
      </c>
      <c r="W195" s="99">
        <v>-3394</v>
      </c>
      <c r="X195" s="99">
        <v>-3679</v>
      </c>
      <c r="Y195" s="99">
        <v>-3439</v>
      </c>
      <c r="Z195" s="99">
        <v>-4572</v>
      </c>
    </row>
    <row r="196" spans="1:26">
      <c r="A196" s="44" t="s">
        <v>94</v>
      </c>
      <c r="B196" s="176">
        <v>-315</v>
      </c>
      <c r="C196" s="176">
        <v>-2089</v>
      </c>
      <c r="D196" s="176">
        <v>-2931</v>
      </c>
      <c r="E196" s="176">
        <v>-5122</v>
      </c>
      <c r="F196" s="96"/>
      <c r="G196" s="96"/>
      <c r="H196" s="44"/>
      <c r="I196" s="99">
        <v>-39</v>
      </c>
      <c r="J196" s="99">
        <v>0</v>
      </c>
      <c r="K196" s="99">
        <v>-118</v>
      </c>
      <c r="L196" s="99">
        <v>-234</v>
      </c>
      <c r="M196" s="99">
        <v>-598</v>
      </c>
      <c r="N196" s="99">
        <v>-614</v>
      </c>
      <c r="O196" s="99">
        <v>-643</v>
      </c>
      <c r="P196" s="99">
        <v>-647</v>
      </c>
      <c r="Q196" s="99">
        <v>-728</v>
      </c>
      <c r="R196" s="179">
        <v>-813</v>
      </c>
      <c r="S196" s="99">
        <v>-743</v>
      </c>
      <c r="T196" s="99">
        <v>-1251</v>
      </c>
      <c r="U196" s="99">
        <v>-1297</v>
      </c>
      <c r="V196" s="99">
        <v>-1261</v>
      </c>
      <c r="W196" s="99">
        <v>-1313</v>
      </c>
      <c r="X196" s="99">
        <v>-1986</v>
      </c>
      <c r="Y196" s="99">
        <v>-1748</v>
      </c>
      <c r="Z196" s="99">
        <v>-2057</v>
      </c>
    </row>
    <row r="197" spans="1:26">
      <c r="A197" s="44" t="s">
        <v>95</v>
      </c>
      <c r="B197" s="176">
        <v>-44</v>
      </c>
      <c r="C197" s="176">
        <v>-175</v>
      </c>
      <c r="D197" s="176">
        <v>-455</v>
      </c>
      <c r="E197" s="176">
        <v>0</v>
      </c>
      <c r="F197" s="96"/>
      <c r="G197" s="96"/>
      <c r="H197" s="44"/>
      <c r="I197" s="99">
        <v>-44</v>
      </c>
      <c r="J197" s="99"/>
      <c r="K197" s="99" t="s">
        <v>483</v>
      </c>
      <c r="L197" s="99"/>
      <c r="M197" s="99"/>
      <c r="N197" s="99">
        <v>-175</v>
      </c>
      <c r="O197" s="99" t="s">
        <v>483</v>
      </c>
      <c r="P197" s="99">
        <v>-60</v>
      </c>
      <c r="Q197" s="99">
        <v>-645</v>
      </c>
      <c r="R197" s="99">
        <v>-455</v>
      </c>
      <c r="S197" s="99">
        <v>0</v>
      </c>
      <c r="T197" s="99">
        <v>-77</v>
      </c>
      <c r="U197" s="99">
        <v>-856</v>
      </c>
      <c r="V197" s="99">
        <v>0</v>
      </c>
      <c r="W197" s="99">
        <v>0</v>
      </c>
      <c r="X197" s="99">
        <v>0</v>
      </c>
      <c r="Y197" s="99">
        <v>0</v>
      </c>
      <c r="Z197" s="99">
        <v>494</v>
      </c>
    </row>
    <row r="198" spans="1:26">
      <c r="A198" s="44"/>
      <c r="B198" s="96"/>
      <c r="C198" s="96"/>
      <c r="D198" s="18"/>
      <c r="E198" s="18"/>
      <c r="H198" s="44"/>
      <c r="I198" s="95"/>
      <c r="J198" s="95"/>
      <c r="K198" s="95"/>
      <c r="L198" s="95"/>
      <c r="M198" s="95"/>
      <c r="N198" s="95"/>
      <c r="O198" s="95"/>
      <c r="P198" s="95"/>
      <c r="Q198" s="95"/>
      <c r="R198" s="95"/>
      <c r="S198" s="95"/>
      <c r="T198" s="95"/>
      <c r="U198" s="95"/>
      <c r="V198" s="95"/>
      <c r="W198" s="95"/>
      <c r="X198" s="95"/>
      <c r="Y198" s="95"/>
      <c r="Z198" s="95"/>
    </row>
    <row r="199" spans="1:26">
      <c r="A199" s="43" t="s">
        <v>239</v>
      </c>
      <c r="B199" s="175">
        <v>24920</v>
      </c>
      <c r="C199" s="175">
        <v>23135</v>
      </c>
      <c r="D199" s="175">
        <v>29102</v>
      </c>
      <c r="E199" s="175">
        <v>48055</v>
      </c>
      <c r="F199" s="93"/>
      <c r="G199" s="93"/>
      <c r="H199" s="43"/>
      <c r="I199" s="100">
        <v>5248</v>
      </c>
      <c r="J199" s="100">
        <v>8801</v>
      </c>
      <c r="K199" s="100">
        <v>5451</v>
      </c>
      <c r="L199" s="100">
        <v>6844</v>
      </c>
      <c r="M199" s="100">
        <v>4345</v>
      </c>
      <c r="N199" s="100">
        <v>9347</v>
      </c>
      <c r="O199" s="100">
        <v>2599</v>
      </c>
      <c r="P199" s="100">
        <v>5161</v>
      </c>
      <c r="Q199" s="100">
        <v>6395</v>
      </c>
      <c r="R199" s="100">
        <v>12434</v>
      </c>
      <c r="S199" s="100">
        <v>5112</v>
      </c>
      <c r="T199" s="100">
        <v>8814</v>
      </c>
      <c r="U199" s="100">
        <v>9045</v>
      </c>
      <c r="V199" s="100">
        <v>20664</v>
      </c>
      <c r="W199" s="100">
        <v>9532</v>
      </c>
      <c r="X199" s="100">
        <v>17513</v>
      </c>
      <c r="Y199" s="100">
        <v>16584</v>
      </c>
      <c r="Z199" s="100">
        <v>25996</v>
      </c>
    </row>
    <row r="200" spans="1:26">
      <c r="A200" s="44" t="s">
        <v>513</v>
      </c>
      <c r="B200" s="176">
        <v>1648</v>
      </c>
      <c r="C200" s="176">
        <v>9455</v>
      </c>
      <c r="D200" s="176">
        <v>52254</v>
      </c>
      <c r="E200" s="176">
        <v>8559</v>
      </c>
      <c r="F200" s="96"/>
      <c r="G200" s="96"/>
      <c r="H200" s="44"/>
      <c r="I200" s="99">
        <v>318</v>
      </c>
      <c r="J200" s="99">
        <v>296</v>
      </c>
      <c r="K200" s="99">
        <v>568</v>
      </c>
      <c r="L200" s="99">
        <v>6828</v>
      </c>
      <c r="M200" s="99">
        <v>468</v>
      </c>
      <c r="N200" s="99">
        <v>313</v>
      </c>
      <c r="O200" s="99">
        <v>1846</v>
      </c>
      <c r="P200" s="99">
        <v>27382</v>
      </c>
      <c r="Q200" s="99">
        <v>18150</v>
      </c>
      <c r="R200" s="99">
        <v>2944</v>
      </c>
      <c r="S200" s="99">
        <v>3778</v>
      </c>
      <c r="T200" s="99">
        <v>750</v>
      </c>
      <c r="U200" s="99">
        <v>419</v>
      </c>
      <c r="V200" s="99">
        <v>837</v>
      </c>
      <c r="W200" s="99">
        <v>6553</v>
      </c>
      <c r="X200" s="99">
        <v>1472</v>
      </c>
      <c r="Y200" s="99">
        <v>3435</v>
      </c>
      <c r="Z200" s="99">
        <v>23643</v>
      </c>
    </row>
    <row r="201" spans="1:26">
      <c r="A201" s="44" t="s">
        <v>358</v>
      </c>
      <c r="B201" s="176">
        <v>-2195</v>
      </c>
      <c r="C201" s="176">
        <v>-2750</v>
      </c>
      <c r="D201" s="176">
        <v>-1946</v>
      </c>
      <c r="E201" s="176">
        <v>-2671</v>
      </c>
      <c r="F201" s="96"/>
      <c r="G201" s="96"/>
      <c r="H201" s="44"/>
      <c r="I201" s="99">
        <v>-374</v>
      </c>
      <c r="J201" s="99">
        <v>-387</v>
      </c>
      <c r="K201" s="99">
        <v>-353</v>
      </c>
      <c r="L201" s="99">
        <v>-410</v>
      </c>
      <c r="M201" s="99">
        <v>-521</v>
      </c>
      <c r="N201" s="99">
        <v>-1344</v>
      </c>
      <c r="O201" s="99">
        <v>-475</v>
      </c>
      <c r="P201" s="99">
        <v>-477</v>
      </c>
      <c r="Q201" s="99">
        <v>-484</v>
      </c>
      <c r="R201" s="99">
        <v>-475</v>
      </c>
      <c r="S201" s="99">
        <v>-510</v>
      </c>
      <c r="T201" s="99">
        <v>-626</v>
      </c>
      <c r="U201" s="99">
        <v>-668</v>
      </c>
      <c r="V201" s="99">
        <v>-701</v>
      </c>
      <c r="W201" s="99">
        <v>-676</v>
      </c>
      <c r="X201" s="99">
        <v>-800</v>
      </c>
      <c r="Y201" s="99">
        <v>-747</v>
      </c>
      <c r="Z201" s="99">
        <v>-844</v>
      </c>
    </row>
    <row r="202" spans="1:26">
      <c r="A202" s="44" t="s">
        <v>99</v>
      </c>
      <c r="B202" s="176">
        <v>2429</v>
      </c>
      <c r="C202" s="176">
        <v>2486</v>
      </c>
      <c r="D202" s="176">
        <v>2058</v>
      </c>
      <c r="E202" s="176">
        <v>6086</v>
      </c>
      <c r="F202" s="96"/>
      <c r="G202" s="96"/>
      <c r="H202" s="44"/>
      <c r="I202" s="99">
        <v>389</v>
      </c>
      <c r="J202" s="99">
        <v>548</v>
      </c>
      <c r="K202" s="99">
        <v>1251</v>
      </c>
      <c r="L202" s="99">
        <v>711</v>
      </c>
      <c r="M202" s="99">
        <v>378</v>
      </c>
      <c r="N202" s="99">
        <v>901</v>
      </c>
      <c r="O202" s="99">
        <v>496</v>
      </c>
      <c r="P202" s="99">
        <v>551</v>
      </c>
      <c r="Q202" s="99">
        <v>429</v>
      </c>
      <c r="R202" s="99">
        <v>1607</v>
      </c>
      <c r="S202" s="99">
        <v>-529</v>
      </c>
      <c r="T202" s="99">
        <v>1763</v>
      </c>
      <c r="U202" s="99">
        <v>868</v>
      </c>
      <c r="V202" s="99">
        <v>3015</v>
      </c>
      <c r="W202" s="99">
        <v>440</v>
      </c>
      <c r="X202" s="99">
        <v>1887</v>
      </c>
      <c r="Y202" s="99">
        <v>1737</v>
      </c>
      <c r="Z202" s="99">
        <v>-348</v>
      </c>
    </row>
    <row r="203" spans="1:26">
      <c r="A203" s="44" t="s">
        <v>101</v>
      </c>
      <c r="B203" s="176">
        <v>26802</v>
      </c>
      <c r="C203" s="176">
        <v>32326</v>
      </c>
      <c r="D203" s="176">
        <v>81468</v>
      </c>
      <c r="E203" s="176">
        <v>60029</v>
      </c>
      <c r="F203" s="96"/>
      <c r="G203" s="96"/>
      <c r="H203" s="44"/>
      <c r="I203" s="99">
        <v>5581</v>
      </c>
      <c r="J203" s="99">
        <v>9258</v>
      </c>
      <c r="K203" s="99">
        <v>6917</v>
      </c>
      <c r="L203" s="99">
        <v>13973</v>
      </c>
      <c r="M203" s="99">
        <v>4670</v>
      </c>
      <c r="N203" s="99">
        <v>9217</v>
      </c>
      <c r="O203" s="99">
        <v>4466</v>
      </c>
      <c r="P203" s="99">
        <v>32617</v>
      </c>
      <c r="Q203" s="99">
        <v>24490</v>
      </c>
      <c r="R203" s="99">
        <v>16510</v>
      </c>
      <c r="S203" s="99">
        <v>7851</v>
      </c>
      <c r="T203" s="99">
        <v>10701</v>
      </c>
      <c r="U203" s="99">
        <v>9664</v>
      </c>
      <c r="V203" s="99">
        <v>23815</v>
      </c>
      <c r="W203" s="99">
        <v>15849</v>
      </c>
      <c r="X203" s="99">
        <v>20072</v>
      </c>
      <c r="Y203" s="99">
        <v>21009</v>
      </c>
      <c r="Z203" s="99">
        <v>48447</v>
      </c>
    </row>
    <row r="204" spans="1:26">
      <c r="A204" s="44" t="s">
        <v>102</v>
      </c>
      <c r="B204" s="176">
        <v>-3196</v>
      </c>
      <c r="C204" s="176">
        <v>-6416</v>
      </c>
      <c r="D204" s="176">
        <v>-8449</v>
      </c>
      <c r="E204" s="176">
        <v>-13776</v>
      </c>
      <c r="F204" s="96"/>
      <c r="G204" s="96"/>
      <c r="H204" s="44"/>
      <c r="I204" s="99">
        <v>-637</v>
      </c>
      <c r="J204" s="99">
        <v>-741</v>
      </c>
      <c r="K204" s="99">
        <v>-1227</v>
      </c>
      <c r="L204" s="99">
        <v>-1445</v>
      </c>
      <c r="M204" s="99">
        <v>-1339</v>
      </c>
      <c r="N204" s="99">
        <v>-2429</v>
      </c>
      <c r="O204" s="99">
        <v>-1203</v>
      </c>
      <c r="P204" s="99">
        <v>-1394</v>
      </c>
      <c r="Q204" s="99">
        <v>-1671</v>
      </c>
      <c r="R204" s="99">
        <v>-3559</v>
      </c>
      <c r="S204" s="99">
        <v>-1825</v>
      </c>
      <c r="T204" s="99">
        <v>-2091</v>
      </c>
      <c r="U204" s="99">
        <v>-2022</v>
      </c>
      <c r="V204" s="99">
        <v>-5110</v>
      </c>
      <c r="W204" s="99">
        <v>-4553</v>
      </c>
      <c r="X204" s="99">
        <v>-4653</v>
      </c>
      <c r="Y204" s="99">
        <v>-2719</v>
      </c>
      <c r="Z204" s="99">
        <v>-6663</v>
      </c>
    </row>
    <row r="205" spans="1:26">
      <c r="A205" s="44" t="s">
        <v>103</v>
      </c>
      <c r="B205" s="176">
        <v>-203</v>
      </c>
      <c r="C205" s="176">
        <v>-1590</v>
      </c>
      <c r="D205" s="176">
        <v>-1730</v>
      </c>
      <c r="E205" s="176">
        <v>-5027</v>
      </c>
      <c r="F205" s="96"/>
      <c r="G205" s="96"/>
      <c r="H205" s="44"/>
      <c r="I205" s="99">
        <v>-7</v>
      </c>
      <c r="J205" s="99">
        <v>-160</v>
      </c>
      <c r="K205" s="99">
        <v>-29</v>
      </c>
      <c r="L205" s="99">
        <v>-90</v>
      </c>
      <c r="M205" s="99">
        <v>-301</v>
      </c>
      <c r="N205" s="99">
        <v>-805</v>
      </c>
      <c r="O205" s="99">
        <v>-394</v>
      </c>
      <c r="P205" s="99">
        <v>-407</v>
      </c>
      <c r="Q205" s="99">
        <v>-116</v>
      </c>
      <c r="R205" s="99">
        <v>-495</v>
      </c>
      <c r="S205" s="99">
        <v>-712</v>
      </c>
      <c r="T205" s="99">
        <v>-1468</v>
      </c>
      <c r="U205" s="99">
        <v>-567</v>
      </c>
      <c r="V205" s="99">
        <v>-1548</v>
      </c>
      <c r="W205" s="99">
        <v>-1444</v>
      </c>
      <c r="X205" s="99">
        <v>-1388</v>
      </c>
      <c r="Y205" s="99">
        <v>-882</v>
      </c>
      <c r="Z205" s="99">
        <v>-18452</v>
      </c>
    </row>
    <row r="206" spans="1:26">
      <c r="A206" s="44"/>
      <c r="B206" s="96"/>
      <c r="C206" s="96"/>
      <c r="D206" s="96"/>
      <c r="E206" s="96"/>
      <c r="F206" s="96"/>
      <c r="G206" s="96"/>
      <c r="H206" s="44"/>
      <c r="I206" s="95"/>
      <c r="J206" s="95"/>
      <c r="K206" s="95"/>
      <c r="L206" s="95"/>
      <c r="M206" s="95"/>
      <c r="N206" s="95"/>
      <c r="O206" s="95"/>
      <c r="P206" s="95"/>
      <c r="Q206" s="95"/>
      <c r="R206" s="95"/>
      <c r="S206" s="95"/>
      <c r="T206" s="95"/>
      <c r="U206" s="95"/>
      <c r="V206" s="95"/>
      <c r="W206" s="95"/>
      <c r="X206" s="95"/>
      <c r="Y206" s="95"/>
      <c r="Z206" s="95"/>
    </row>
    <row r="207" spans="1:26">
      <c r="A207" s="44" t="s">
        <v>104</v>
      </c>
      <c r="B207" s="176">
        <v>23403</v>
      </c>
      <c r="C207" s="176">
        <v>24320</v>
      </c>
      <c r="D207" s="176">
        <v>71289</v>
      </c>
      <c r="E207" s="176">
        <v>41226</v>
      </c>
      <c r="F207" s="96"/>
      <c r="G207" s="96"/>
      <c r="H207" s="44"/>
      <c r="I207" s="99">
        <v>4937</v>
      </c>
      <c r="J207" s="99">
        <v>8357</v>
      </c>
      <c r="K207" s="99">
        <v>5661</v>
      </c>
      <c r="L207" s="99">
        <v>12438</v>
      </c>
      <c r="M207" s="99">
        <v>3030</v>
      </c>
      <c r="N207" s="99">
        <v>5983</v>
      </c>
      <c r="O207" s="99">
        <v>2869</v>
      </c>
      <c r="P207" s="99">
        <v>30816</v>
      </c>
      <c r="Q207" s="99">
        <v>22703</v>
      </c>
      <c r="R207" s="99">
        <v>12456</v>
      </c>
      <c r="S207" s="99">
        <v>5314</v>
      </c>
      <c r="T207" s="99">
        <v>7142</v>
      </c>
      <c r="U207" s="99">
        <v>7075</v>
      </c>
      <c r="V207" s="99">
        <v>17157</v>
      </c>
      <c r="W207" s="99">
        <v>9852</v>
      </c>
      <c r="X207" s="99">
        <v>14031</v>
      </c>
      <c r="Y207" s="99">
        <v>17408</v>
      </c>
      <c r="Z207" s="99">
        <v>23332</v>
      </c>
    </row>
    <row r="208" spans="1:26">
      <c r="A208" s="44" t="s">
        <v>514</v>
      </c>
      <c r="B208" s="176">
        <v>-88</v>
      </c>
      <c r="C208" s="176">
        <v>-59</v>
      </c>
      <c r="D208" s="176">
        <v>171</v>
      </c>
      <c r="E208" s="176">
        <v>2449</v>
      </c>
      <c r="F208" s="96"/>
      <c r="G208" s="96"/>
      <c r="H208" s="44"/>
      <c r="I208" s="99">
        <v>6</v>
      </c>
      <c r="J208" s="99">
        <v>-31</v>
      </c>
      <c r="K208" s="99">
        <v>-59</v>
      </c>
      <c r="L208" s="99">
        <v>-34</v>
      </c>
      <c r="M208" s="99">
        <v>-2</v>
      </c>
      <c r="N208" s="99">
        <v>-47</v>
      </c>
      <c r="O208" s="99">
        <v>24</v>
      </c>
      <c r="P208" s="99">
        <v>27</v>
      </c>
      <c r="Q208" s="99">
        <v>51</v>
      </c>
      <c r="R208" s="99">
        <v>42</v>
      </c>
      <c r="S208" s="99">
        <v>51</v>
      </c>
      <c r="T208" s="99">
        <v>408</v>
      </c>
      <c r="U208" s="99">
        <v>548</v>
      </c>
      <c r="V208" s="99">
        <v>698</v>
      </c>
      <c r="W208" s="99">
        <v>795</v>
      </c>
      <c r="X208" s="99">
        <v>652</v>
      </c>
      <c r="Y208" s="99">
        <v>260</v>
      </c>
      <c r="Z208" s="99">
        <v>741</v>
      </c>
    </row>
    <row r="209" spans="1:26">
      <c r="A209" s="44" t="s">
        <v>105</v>
      </c>
      <c r="B209" s="176">
        <v>23315</v>
      </c>
      <c r="C209" s="176">
        <v>24261</v>
      </c>
      <c r="D209" s="176">
        <v>71460</v>
      </c>
      <c r="E209" s="176">
        <v>43675</v>
      </c>
      <c r="F209" s="96"/>
      <c r="G209" s="96"/>
      <c r="H209" s="44"/>
      <c r="I209" s="99">
        <v>4943</v>
      </c>
      <c r="J209" s="99">
        <v>8326</v>
      </c>
      <c r="K209" s="99">
        <v>5602</v>
      </c>
      <c r="L209" s="99">
        <v>12404</v>
      </c>
      <c r="M209" s="99">
        <v>3028</v>
      </c>
      <c r="N209" s="99">
        <v>5936</v>
      </c>
      <c r="O209" s="99">
        <v>2893</v>
      </c>
      <c r="P209" s="99">
        <v>30843</v>
      </c>
      <c r="Q209" s="99">
        <v>22754</v>
      </c>
      <c r="R209" s="99">
        <v>12498</v>
      </c>
      <c r="S209" s="99">
        <v>5365</v>
      </c>
      <c r="T209" s="99">
        <v>7550</v>
      </c>
      <c r="U209" s="99">
        <v>7623</v>
      </c>
      <c r="V209" s="99">
        <v>17855</v>
      </c>
      <c r="W209" s="99">
        <v>10647</v>
      </c>
      <c r="X209" s="99">
        <v>14683</v>
      </c>
      <c r="Y209" s="99">
        <v>17668</v>
      </c>
      <c r="Z209" s="99">
        <v>24073</v>
      </c>
    </row>
    <row r="210" spans="1:26">
      <c r="A210" s="44" t="s">
        <v>106</v>
      </c>
      <c r="B210" s="176">
        <v>-31</v>
      </c>
      <c r="C210" s="176">
        <v>-15</v>
      </c>
      <c r="D210" s="176"/>
      <c r="E210" s="176"/>
      <c r="F210" s="96"/>
      <c r="G210" s="96"/>
      <c r="H210" s="44"/>
      <c r="I210" s="99">
        <v>-8</v>
      </c>
      <c r="J210" s="99">
        <v>-8</v>
      </c>
      <c r="K210" s="99">
        <v>-7</v>
      </c>
      <c r="L210" s="99">
        <v>-8</v>
      </c>
      <c r="M210" s="99">
        <v>-7</v>
      </c>
      <c r="N210" s="99">
        <v>0</v>
      </c>
      <c r="O210" s="99" t="s">
        <v>483</v>
      </c>
      <c r="P210" s="99" t="s">
        <v>483</v>
      </c>
      <c r="Q210" s="99" t="s">
        <v>483</v>
      </c>
      <c r="R210" s="99"/>
      <c r="S210" s="99"/>
      <c r="T210" s="99"/>
      <c r="U210" s="99"/>
      <c r="V210" s="99"/>
      <c r="W210" s="99"/>
      <c r="X210" s="99"/>
      <c r="Y210" s="99"/>
      <c r="Z210" s="99"/>
    </row>
    <row r="211" spans="1:26">
      <c r="A211" s="44" t="s">
        <v>107</v>
      </c>
      <c r="B211" s="176">
        <v>-208</v>
      </c>
      <c r="C211" s="176">
        <v>-97</v>
      </c>
      <c r="D211" s="176"/>
      <c r="E211" s="176"/>
      <c r="F211" s="96"/>
      <c r="G211" s="96"/>
      <c r="H211" s="44"/>
      <c r="I211" s="99">
        <v>-52</v>
      </c>
      <c r="J211" s="99">
        <v>-52</v>
      </c>
      <c r="K211" s="99">
        <v>-52</v>
      </c>
      <c r="L211" s="99">
        <v>-52</v>
      </c>
      <c r="M211" s="99">
        <v>-45</v>
      </c>
      <c r="N211" s="99">
        <v>0</v>
      </c>
      <c r="O211" s="99" t="s">
        <v>483</v>
      </c>
      <c r="P211" s="99" t="s">
        <v>483</v>
      </c>
      <c r="Q211" s="99" t="s">
        <v>483</v>
      </c>
      <c r="R211" s="99"/>
      <c r="S211" s="99"/>
      <c r="T211" s="99"/>
      <c r="U211" s="99"/>
      <c r="V211" s="99"/>
      <c r="W211" s="99"/>
      <c r="X211" s="99"/>
      <c r="Y211" s="99"/>
      <c r="Z211" s="99"/>
    </row>
    <row r="212" spans="1:26">
      <c r="A212" s="44" t="s">
        <v>108</v>
      </c>
      <c r="B212" s="176">
        <v>23076</v>
      </c>
      <c r="C212" s="176">
        <v>24149</v>
      </c>
      <c r="D212" s="176">
        <v>71460</v>
      </c>
      <c r="E212" s="176">
        <v>43675</v>
      </c>
      <c r="F212" s="96"/>
      <c r="G212" s="96"/>
      <c r="H212" s="44"/>
      <c r="I212" s="99">
        <v>4883</v>
      </c>
      <c r="J212" s="99">
        <v>8266</v>
      </c>
      <c r="K212" s="99">
        <v>5543</v>
      </c>
      <c r="L212" s="99">
        <v>12344</v>
      </c>
      <c r="M212" s="99">
        <v>2976</v>
      </c>
      <c r="N212" s="99">
        <v>5936</v>
      </c>
      <c r="O212" s="99">
        <v>2893</v>
      </c>
      <c r="P212" s="99">
        <v>30843</v>
      </c>
      <c r="Q212" s="99">
        <v>22754</v>
      </c>
      <c r="R212" s="99">
        <v>12498</v>
      </c>
      <c r="S212" s="99">
        <v>5365</v>
      </c>
      <c r="T212" s="99">
        <v>7550</v>
      </c>
      <c r="U212" s="99">
        <v>7623</v>
      </c>
      <c r="V212" s="99">
        <v>17855</v>
      </c>
      <c r="W212" s="99">
        <v>10647</v>
      </c>
      <c r="X212" s="99">
        <v>14683</v>
      </c>
      <c r="Y212" s="99">
        <v>17668</v>
      </c>
      <c r="Z212" s="99">
        <v>24073</v>
      </c>
    </row>
    <row r="213" spans="1:26">
      <c r="A213" s="18"/>
      <c r="B213" s="96"/>
      <c r="C213" s="96"/>
      <c r="D213" s="96"/>
      <c r="E213" s="96"/>
      <c r="F213" s="96"/>
      <c r="G213" s="96"/>
      <c r="H213" s="18"/>
      <c r="I213" s="95"/>
      <c r="J213" s="95"/>
      <c r="K213" s="95"/>
      <c r="L213" s="95"/>
      <c r="M213" s="95"/>
      <c r="N213" s="95"/>
      <c r="O213" s="95"/>
      <c r="P213" s="95"/>
      <c r="Q213" s="95"/>
      <c r="R213" s="95"/>
      <c r="S213" s="95"/>
      <c r="T213" s="95"/>
      <c r="U213" s="95"/>
      <c r="V213" s="95"/>
      <c r="W213" s="95"/>
      <c r="X213" s="95"/>
      <c r="Y213" s="95"/>
      <c r="Z213" s="95"/>
    </row>
    <row r="214" spans="1:26">
      <c r="A214" s="44" t="s">
        <v>109</v>
      </c>
      <c r="B214" s="96"/>
      <c r="C214" s="96"/>
      <c r="D214" s="96"/>
      <c r="E214" s="96"/>
      <c r="F214" s="96"/>
      <c r="G214" s="96"/>
      <c r="H214" s="44"/>
      <c r="I214" s="95"/>
      <c r="J214" s="95"/>
      <c r="K214" s="95"/>
      <c r="L214" s="95"/>
      <c r="M214" s="95"/>
      <c r="N214" s="95"/>
      <c r="O214" s="95"/>
      <c r="P214" s="95"/>
      <c r="Q214" s="95"/>
      <c r="R214" s="95"/>
      <c r="S214" s="95"/>
      <c r="T214" s="95"/>
      <c r="U214" s="95"/>
      <c r="V214" s="95"/>
      <c r="W214" s="95"/>
      <c r="X214" s="95"/>
      <c r="Y214" s="95"/>
      <c r="Z214" s="95"/>
    </row>
    <row r="215" spans="1:26">
      <c r="A215" s="44" t="s">
        <v>110</v>
      </c>
      <c r="B215" s="177">
        <v>10.61</v>
      </c>
      <c r="C215" s="177">
        <v>10.33</v>
      </c>
      <c r="D215" s="176">
        <v>29.07</v>
      </c>
      <c r="E215" s="176">
        <v>17.52</v>
      </c>
      <c r="F215" s="96"/>
      <c r="G215" s="96"/>
      <c r="H215" s="44"/>
      <c r="I215" s="180">
        <v>2.2599999999999998</v>
      </c>
      <c r="J215" s="180">
        <v>3.79</v>
      </c>
      <c r="K215" s="180">
        <v>2.5299999999999998</v>
      </c>
      <c r="L215" s="180">
        <v>5.62</v>
      </c>
      <c r="M215" s="180">
        <v>1.33</v>
      </c>
      <c r="N215" s="180">
        <v>2.42</v>
      </c>
      <c r="O215" s="180">
        <v>1.18</v>
      </c>
      <c r="P215" s="180">
        <v>12.45</v>
      </c>
      <c r="Q215" s="180">
        <v>9.25</v>
      </c>
      <c r="R215" s="181">
        <v>5.1100000000000003</v>
      </c>
      <c r="S215" s="181">
        <v>2.19</v>
      </c>
      <c r="T215" s="181">
        <v>3.05</v>
      </c>
      <c r="U215" s="181">
        <v>3.08</v>
      </c>
      <c r="V215" s="181">
        <v>7.19</v>
      </c>
      <c r="W215" s="181">
        <v>4.24</v>
      </c>
      <c r="X215" s="181">
        <v>5.77</v>
      </c>
      <c r="Y215" s="181">
        <v>6.92</v>
      </c>
      <c r="Z215" s="181">
        <v>9.41</v>
      </c>
    </row>
    <row r="216" spans="1:26">
      <c r="A216" s="44" t="s">
        <v>111</v>
      </c>
      <c r="B216" s="177">
        <v>10</v>
      </c>
      <c r="C216" s="177">
        <v>9.6999999999999993</v>
      </c>
      <c r="D216" s="176">
        <v>27.89</v>
      </c>
      <c r="E216" s="176">
        <v>16.97</v>
      </c>
      <c r="F216" s="96"/>
      <c r="G216" s="96"/>
      <c r="H216" s="44"/>
      <c r="I216" s="180">
        <v>2.13</v>
      </c>
      <c r="J216" s="180">
        <v>3.55</v>
      </c>
      <c r="K216" s="180">
        <v>2.37</v>
      </c>
      <c r="L216" s="180">
        <v>5.2</v>
      </c>
      <c r="M216" s="180">
        <v>1.24</v>
      </c>
      <c r="N216" s="180">
        <v>2.29</v>
      </c>
      <c r="O216" s="180">
        <v>1.1200000000000001</v>
      </c>
      <c r="P216" s="180">
        <v>11.92</v>
      </c>
      <c r="Q216" s="180">
        <v>8.8699999999999992</v>
      </c>
      <c r="R216" s="181">
        <v>4.9000000000000004</v>
      </c>
      <c r="S216" s="181">
        <v>2.11</v>
      </c>
      <c r="T216" s="181">
        <v>2.94</v>
      </c>
      <c r="U216" s="181">
        <v>2.97</v>
      </c>
      <c r="V216" s="181">
        <v>6.94</v>
      </c>
      <c r="W216" s="181">
        <v>4.12</v>
      </c>
      <c r="X216" s="181">
        <v>5.65</v>
      </c>
      <c r="Y216" s="181">
        <v>6.78</v>
      </c>
      <c r="Z216" s="181">
        <v>9.1999999999999993</v>
      </c>
    </row>
    <row r="217" spans="1:26">
      <c r="A217" s="44"/>
      <c r="B217" s="96"/>
      <c r="C217" s="96"/>
      <c r="D217" s="96"/>
      <c r="E217" s="96"/>
      <c r="F217" s="96"/>
      <c r="G217" s="96"/>
      <c r="H217" s="44"/>
      <c r="I217" s="95"/>
      <c r="J217" s="95"/>
      <c r="K217" s="95"/>
      <c r="L217" s="95"/>
      <c r="M217" s="95"/>
      <c r="N217" s="95"/>
      <c r="O217" s="95"/>
      <c r="P217" s="95"/>
      <c r="Q217" s="95"/>
      <c r="R217" s="95"/>
      <c r="S217" s="95"/>
      <c r="T217" s="95"/>
      <c r="U217" s="95"/>
      <c r="V217" s="95"/>
      <c r="W217" s="95"/>
      <c r="X217" s="95"/>
      <c r="Y217" s="95"/>
      <c r="Z217" s="95"/>
    </row>
    <row r="218" spans="1:26">
      <c r="A218" s="44" t="s">
        <v>515</v>
      </c>
      <c r="B218" s="96"/>
      <c r="C218" s="96"/>
      <c r="D218" s="96"/>
      <c r="E218" s="96"/>
      <c r="F218" s="96"/>
      <c r="G218" s="96"/>
      <c r="H218" s="44"/>
      <c r="I218" s="95"/>
      <c r="J218" s="95"/>
      <c r="K218" s="95"/>
      <c r="L218" s="95"/>
      <c r="M218" s="95"/>
      <c r="N218" s="95"/>
      <c r="O218" s="95"/>
      <c r="P218" s="95"/>
      <c r="Q218" s="95"/>
      <c r="R218" s="95"/>
      <c r="S218" s="95"/>
      <c r="T218" s="95"/>
      <c r="U218" s="95"/>
      <c r="V218" s="95"/>
      <c r="W218" s="95"/>
      <c r="X218" s="95"/>
      <c r="Y218" s="95"/>
      <c r="Z218" s="95"/>
    </row>
    <row r="219" spans="1:26">
      <c r="A219" s="44" t="s">
        <v>110</v>
      </c>
      <c r="B219" s="176">
        <v>2175</v>
      </c>
      <c r="C219" s="176">
        <v>2337</v>
      </c>
      <c r="D219" s="176">
        <v>2458</v>
      </c>
      <c r="E219" s="176">
        <v>2493</v>
      </c>
      <c r="F219" s="96"/>
      <c r="G219" s="96"/>
      <c r="H219" s="44"/>
      <c r="I219" s="99">
        <v>2165</v>
      </c>
      <c r="J219" s="99">
        <v>2180</v>
      </c>
      <c r="K219" s="99">
        <v>2188</v>
      </c>
      <c r="L219" s="99">
        <v>2198</v>
      </c>
      <c r="M219" s="99">
        <v>2238</v>
      </c>
      <c r="N219" s="99">
        <v>2450</v>
      </c>
      <c r="O219" s="99">
        <v>2461</v>
      </c>
      <c r="P219" s="99">
        <v>2477</v>
      </c>
      <c r="Q219" s="99">
        <v>2461</v>
      </c>
      <c r="R219" s="99">
        <v>2446</v>
      </c>
      <c r="S219" s="99">
        <v>2448</v>
      </c>
      <c r="T219" s="99">
        <v>2473</v>
      </c>
      <c r="U219" s="99">
        <v>2478</v>
      </c>
      <c r="V219" s="99">
        <v>2485</v>
      </c>
      <c r="W219" s="99">
        <v>2513</v>
      </c>
      <c r="X219" s="99">
        <v>2543</v>
      </c>
      <c r="Y219" s="99">
        <v>2552</v>
      </c>
      <c r="Z219" s="99">
        <v>2557</v>
      </c>
    </row>
    <row r="220" spans="1:26">
      <c r="A220" s="44" t="s">
        <v>111</v>
      </c>
      <c r="B220" s="176">
        <v>2332</v>
      </c>
      <c r="C220" s="176">
        <v>2500</v>
      </c>
      <c r="D220" s="176">
        <v>2562</v>
      </c>
      <c r="E220" s="176">
        <v>2573</v>
      </c>
      <c r="F220" s="96"/>
      <c r="G220" s="96"/>
      <c r="H220" s="44"/>
      <c r="I220" s="99">
        <v>2317</v>
      </c>
      <c r="J220" s="99">
        <v>2343</v>
      </c>
      <c r="K220" s="99">
        <v>2363</v>
      </c>
      <c r="L220" s="99">
        <v>2384</v>
      </c>
      <c r="M220" s="99">
        <v>2438</v>
      </c>
      <c r="N220" s="99">
        <v>2588</v>
      </c>
      <c r="O220" s="99">
        <v>2585</v>
      </c>
      <c r="P220" s="99">
        <v>2588</v>
      </c>
      <c r="Q220" s="99">
        <v>2564</v>
      </c>
      <c r="R220" s="99">
        <v>2550</v>
      </c>
      <c r="S220" s="99">
        <v>2546</v>
      </c>
      <c r="T220" s="99">
        <v>2568</v>
      </c>
      <c r="U220" s="99">
        <v>2566</v>
      </c>
      <c r="V220" s="99">
        <v>2571</v>
      </c>
      <c r="W220" s="99">
        <v>2581</v>
      </c>
      <c r="X220" s="99">
        <v>2599</v>
      </c>
      <c r="Y220" s="99">
        <v>2607</v>
      </c>
      <c r="Z220" s="99">
        <v>2615</v>
      </c>
    </row>
    <row r="221" spans="1:26">
      <c r="A221" s="44"/>
      <c r="B221" s="96"/>
      <c r="C221" s="96"/>
      <c r="D221" s="96"/>
      <c r="E221" s="96"/>
      <c r="F221" s="96"/>
      <c r="G221" s="96"/>
      <c r="H221" s="44"/>
      <c r="I221" s="95"/>
      <c r="J221" s="95"/>
      <c r="K221" s="95"/>
      <c r="L221" s="95"/>
      <c r="M221" s="95"/>
      <c r="N221" s="95"/>
      <c r="O221" s="95"/>
      <c r="P221" s="95"/>
      <c r="Q221" s="95"/>
      <c r="R221" s="95"/>
      <c r="S221" s="95"/>
      <c r="T221" s="95"/>
      <c r="U221" s="95"/>
      <c r="V221" s="95"/>
      <c r="W221" s="95"/>
      <c r="X221" s="96"/>
      <c r="Y221" s="96"/>
      <c r="Z221" s="96"/>
    </row>
    <row r="222" spans="1:26">
      <c r="A222" s="43" t="s">
        <v>517</v>
      </c>
      <c r="B222" s="96"/>
      <c r="C222" s="96"/>
      <c r="D222" s="96"/>
      <c r="E222" s="96"/>
      <c r="F222" s="96"/>
      <c r="G222" s="96"/>
      <c r="H222" s="43"/>
      <c r="I222" s="95"/>
      <c r="J222" s="95"/>
      <c r="K222" s="95"/>
      <c r="L222" s="95"/>
      <c r="M222" s="95"/>
      <c r="N222" s="95"/>
      <c r="O222" s="95"/>
      <c r="P222" s="95"/>
      <c r="Q222" s="95"/>
      <c r="R222" s="95"/>
      <c r="S222" s="95"/>
      <c r="T222" s="95"/>
      <c r="U222" s="95"/>
      <c r="V222" s="95"/>
      <c r="W222" s="95"/>
      <c r="X222" s="96"/>
      <c r="Y222" s="96"/>
      <c r="Z222" s="96"/>
    </row>
    <row r="223" spans="1:26">
      <c r="A223" s="44" t="s">
        <v>92</v>
      </c>
      <c r="B223" s="176">
        <v>1154</v>
      </c>
      <c r="C223" s="176">
        <v>4176</v>
      </c>
      <c r="D223" s="176">
        <v>4003</v>
      </c>
      <c r="E223" s="176">
        <v>3893</v>
      </c>
      <c r="F223" s="96"/>
      <c r="G223" s="96"/>
      <c r="H223" s="44"/>
      <c r="I223" s="99">
        <v>247</v>
      </c>
      <c r="J223" s="95"/>
      <c r="K223" s="99">
        <v>530</v>
      </c>
      <c r="L223" s="99">
        <v>593</v>
      </c>
      <c r="M223" s="99">
        <v>1155</v>
      </c>
      <c r="N223" s="99">
        <v>1413</v>
      </c>
      <c r="O223" s="99">
        <v>1015</v>
      </c>
      <c r="P223" s="99">
        <v>983</v>
      </c>
      <c r="Q223" s="99">
        <v>506</v>
      </c>
      <c r="R223" s="99">
        <v>1467</v>
      </c>
      <c r="S223" s="99">
        <v>1047</v>
      </c>
      <c r="T223" s="99">
        <v>894</v>
      </c>
      <c r="U223" s="99">
        <v>1183</v>
      </c>
      <c r="V223" s="99">
        <v>590</v>
      </c>
      <c r="W223" s="99">
        <v>1226</v>
      </c>
      <c r="X223" s="99">
        <v>1128</v>
      </c>
      <c r="Y223" s="99">
        <v>1369</v>
      </c>
      <c r="Z223" s="99">
        <v>1328</v>
      </c>
    </row>
    <row r="224" spans="1:26">
      <c r="A224" s="44" t="s">
        <v>363</v>
      </c>
      <c r="B224" s="176">
        <v>795</v>
      </c>
      <c r="C224" s="176">
        <v>3876</v>
      </c>
      <c r="D224" s="176">
        <v>5703</v>
      </c>
      <c r="E224" s="176">
        <v>5712</v>
      </c>
      <c r="F224" s="96"/>
      <c r="G224" s="96"/>
      <c r="H224" s="44"/>
      <c r="I224" s="99">
        <v>218</v>
      </c>
      <c r="J224" s="95"/>
      <c r="K224" s="99">
        <v>207</v>
      </c>
      <c r="L224" s="99">
        <v>245</v>
      </c>
      <c r="M224" s="99">
        <v>700</v>
      </c>
      <c r="N224" s="99">
        <v>1266</v>
      </c>
      <c r="O224" s="99">
        <v>1665</v>
      </c>
      <c r="P224" s="99">
        <v>1284</v>
      </c>
      <c r="Q224" s="99">
        <v>1273</v>
      </c>
      <c r="R224" s="99">
        <v>1561</v>
      </c>
      <c r="S224" s="99">
        <v>1585</v>
      </c>
      <c r="T224" s="99">
        <v>1276</v>
      </c>
      <c r="U224" s="99">
        <v>1451</v>
      </c>
      <c r="V224" s="99">
        <v>1591</v>
      </c>
      <c r="W224" s="99">
        <v>1394</v>
      </c>
      <c r="X224" s="99">
        <v>1332</v>
      </c>
      <c r="Y224" s="99">
        <v>1686</v>
      </c>
      <c r="Z224" s="99">
        <v>1895</v>
      </c>
    </row>
    <row r="225" spans="1:26">
      <c r="A225" s="44" t="s">
        <v>480</v>
      </c>
      <c r="B225" s="176">
        <v>189</v>
      </c>
      <c r="C225" s="176">
        <v>1235</v>
      </c>
      <c r="D225" s="176">
        <v>1963</v>
      </c>
      <c r="E225" s="176">
        <v>1772</v>
      </c>
      <c r="F225" s="96"/>
      <c r="G225" s="96"/>
      <c r="H225" s="44"/>
      <c r="I225" s="99">
        <v>57</v>
      </c>
      <c r="J225" s="95"/>
      <c r="K225" s="99">
        <v>43</v>
      </c>
      <c r="L225" s="99">
        <v>62</v>
      </c>
      <c r="M225" s="99">
        <v>173</v>
      </c>
      <c r="N225" s="99">
        <v>402</v>
      </c>
      <c r="O225" s="99">
        <v>598</v>
      </c>
      <c r="P225" s="99">
        <v>497</v>
      </c>
      <c r="Q225" s="99">
        <v>403</v>
      </c>
      <c r="R225" s="99">
        <v>492</v>
      </c>
      <c r="S225" s="99">
        <v>571</v>
      </c>
      <c r="T225" s="99">
        <v>447</v>
      </c>
      <c r="U225" s="99">
        <v>478</v>
      </c>
      <c r="V225" s="99">
        <v>386</v>
      </c>
      <c r="W225" s="99">
        <v>461</v>
      </c>
      <c r="X225" s="99">
        <v>396</v>
      </c>
      <c r="Y225" s="99">
        <v>501</v>
      </c>
      <c r="Z225" s="99">
        <v>469</v>
      </c>
    </row>
    <row r="226" spans="1:26">
      <c r="A226" s="44" t="s">
        <v>481</v>
      </c>
      <c r="B226" s="176">
        <v>706</v>
      </c>
      <c r="C226" s="176">
        <v>3741</v>
      </c>
      <c r="D226" s="176">
        <v>4413</v>
      </c>
      <c r="E226" s="176">
        <v>4618</v>
      </c>
      <c r="F226" s="96"/>
      <c r="G226" s="96"/>
      <c r="H226" s="44"/>
      <c r="I226" s="99">
        <v>342</v>
      </c>
      <c r="J226" s="95"/>
      <c r="K226" s="99">
        <v>145</v>
      </c>
      <c r="L226" s="99">
        <v>173</v>
      </c>
      <c r="M226" s="99">
        <v>982</v>
      </c>
      <c r="N226" s="99">
        <v>1232</v>
      </c>
      <c r="O226" s="99">
        <v>1354</v>
      </c>
      <c r="P226" s="99">
        <v>1231</v>
      </c>
      <c r="Q226" s="99">
        <v>982</v>
      </c>
      <c r="R226" s="99">
        <v>850</v>
      </c>
      <c r="S226" s="99">
        <v>1350</v>
      </c>
      <c r="T226" s="99">
        <v>1077</v>
      </c>
      <c r="U226" s="99">
        <v>1139</v>
      </c>
      <c r="V226" s="99">
        <v>1177</v>
      </c>
      <c r="W226" s="99">
        <v>1225</v>
      </c>
      <c r="X226" s="99">
        <v>1163</v>
      </c>
      <c r="Y226" s="99">
        <v>1130</v>
      </c>
      <c r="Z226" s="99">
        <v>1423</v>
      </c>
    </row>
    <row r="227" spans="1:26" s="70" customFormat="1">
      <c r="A227" s="43" t="s">
        <v>126</v>
      </c>
      <c r="B227" s="175">
        <v>2844</v>
      </c>
      <c r="C227" s="175">
        <v>13028</v>
      </c>
      <c r="D227" s="175">
        <v>16082</v>
      </c>
      <c r="E227" s="175">
        <v>15995</v>
      </c>
      <c r="F227" s="93"/>
      <c r="G227" s="93"/>
      <c r="H227" s="43"/>
      <c r="I227" s="100">
        <v>864</v>
      </c>
      <c r="J227" s="92"/>
      <c r="K227" s="100">
        <v>925</v>
      </c>
      <c r="L227" s="100">
        <v>1073</v>
      </c>
      <c r="M227" s="100">
        <v>3010</v>
      </c>
      <c r="N227" s="100">
        <v>4313</v>
      </c>
      <c r="O227" s="100">
        <v>4632</v>
      </c>
      <c r="P227" s="100">
        <v>3995</v>
      </c>
      <c r="Q227" s="100">
        <v>3164</v>
      </c>
      <c r="R227" s="100">
        <v>4370</v>
      </c>
      <c r="S227" s="100">
        <v>4553</v>
      </c>
      <c r="T227" s="100">
        <v>3694</v>
      </c>
      <c r="U227" s="100">
        <v>4251</v>
      </c>
      <c r="V227" s="100">
        <v>3744</v>
      </c>
      <c r="W227" s="100">
        <v>4306</v>
      </c>
      <c r="X227" s="100">
        <v>4019</v>
      </c>
      <c r="Y227" s="100">
        <v>4686</v>
      </c>
      <c r="Z227" s="100">
        <v>5115</v>
      </c>
    </row>
    <row r="228" spans="1:26">
      <c r="A228" s="44"/>
      <c r="B228" s="96"/>
      <c r="C228" s="96"/>
      <c r="D228" s="96"/>
      <c r="E228" s="96"/>
      <c r="F228" s="96"/>
      <c r="G228" s="96"/>
      <c r="H228" s="44"/>
      <c r="I228" s="95"/>
      <c r="J228" s="95"/>
      <c r="K228" s="95"/>
      <c r="L228" s="95"/>
      <c r="M228" s="95"/>
      <c r="N228" s="95"/>
      <c r="O228" s="95"/>
      <c r="P228" s="95"/>
      <c r="Q228" s="95"/>
      <c r="R228" s="95"/>
      <c r="S228" s="95"/>
      <c r="T228" s="95"/>
      <c r="U228" s="95"/>
      <c r="V228" s="95"/>
      <c r="W228" s="95"/>
      <c r="X228" s="96"/>
      <c r="Y228" s="96"/>
      <c r="Z228" s="96"/>
    </row>
    <row r="229" spans="1:26">
      <c r="A229" s="43" t="s">
        <v>516</v>
      </c>
      <c r="B229" s="96"/>
      <c r="C229" s="96"/>
      <c r="D229" s="96"/>
      <c r="E229" s="96"/>
      <c r="F229" s="96"/>
      <c r="G229" s="96"/>
      <c r="H229" s="43"/>
      <c r="I229" s="95"/>
      <c r="J229" s="95"/>
      <c r="K229" s="95"/>
      <c r="L229" s="95"/>
      <c r="M229" s="95"/>
      <c r="N229" s="95"/>
      <c r="O229" s="95"/>
      <c r="P229" s="95"/>
      <c r="Q229" s="95"/>
      <c r="R229" s="95"/>
      <c r="S229" s="95"/>
      <c r="T229" s="95"/>
      <c r="U229" s="95"/>
      <c r="V229" s="95"/>
      <c r="W229" s="95"/>
      <c r="X229" s="96"/>
      <c r="Y229" s="96"/>
      <c r="Z229" s="96"/>
    </row>
    <row r="230" spans="1:26">
      <c r="A230" s="44" t="s">
        <v>92</v>
      </c>
      <c r="B230" s="176">
        <v>12215</v>
      </c>
      <c r="C230" s="176">
        <v>19658</v>
      </c>
      <c r="D230" s="176">
        <v>30352</v>
      </c>
      <c r="E230" s="176">
        <v>55590</v>
      </c>
      <c r="F230" s="96"/>
      <c r="G230" s="96"/>
      <c r="H230" s="44"/>
      <c r="I230" s="99">
        <v>2754</v>
      </c>
      <c r="J230" s="182">
        <f>-J192-J223</f>
        <v>1707</v>
      </c>
      <c r="K230" s="99">
        <v>2940</v>
      </c>
      <c r="L230" s="99">
        <v>3992</v>
      </c>
      <c r="M230" s="99">
        <v>4441</v>
      </c>
      <c r="N230" s="182">
        <f>-N192-N223</f>
        <v>6107</v>
      </c>
      <c r="O230" s="99">
        <v>5118</v>
      </c>
      <c r="P230" s="99">
        <v>5728</v>
      </c>
      <c r="Q230" s="99">
        <v>6625</v>
      </c>
      <c r="R230" s="99">
        <v>9484</v>
      </c>
      <c r="S230" s="99">
        <v>8515</v>
      </c>
      <c r="T230" s="182">
        <f t="shared" ref="T230:U233" si="96">-T192-T223</f>
        <v>10850</v>
      </c>
      <c r="U230" s="182">
        <f t="shared" si="96"/>
        <v>11940</v>
      </c>
      <c r="V230" s="99">
        <v>18536</v>
      </c>
      <c r="W230" s="99">
        <v>14264</v>
      </c>
      <c r="X230" s="1252">
        <v>16332</v>
      </c>
      <c r="Y230" s="1252">
        <v>20633</v>
      </c>
      <c r="Z230" s="1252">
        <v>33750</v>
      </c>
    </row>
    <row r="231" spans="1:26">
      <c r="A231" s="44" t="s">
        <v>363</v>
      </c>
      <c r="B231" s="176">
        <v>4298</v>
      </c>
      <c r="C231" s="176">
        <v>6782</v>
      </c>
      <c r="D231" s="176">
        <v>8085</v>
      </c>
      <c r="E231" s="176">
        <v>11348</v>
      </c>
      <c r="F231" s="96"/>
      <c r="G231" s="96"/>
      <c r="H231" s="44"/>
      <c r="I231" s="99">
        <v>950</v>
      </c>
      <c r="J231" s="182">
        <f>-J193-J224</f>
        <v>1897</v>
      </c>
      <c r="K231" s="99">
        <v>993</v>
      </c>
      <c r="L231" s="99">
        <v>1707</v>
      </c>
      <c r="M231" s="99">
        <v>1881</v>
      </c>
      <c r="N231" s="182">
        <f>-N193-N224</f>
        <v>1817</v>
      </c>
      <c r="O231" s="99">
        <v>1377</v>
      </c>
      <c r="P231" s="99">
        <v>1957</v>
      </c>
      <c r="Q231" s="99">
        <v>1952</v>
      </c>
      <c r="R231" s="99">
        <v>2188</v>
      </c>
      <c r="S231" s="99">
        <v>1988</v>
      </c>
      <c r="T231" s="182">
        <f t="shared" si="96"/>
        <v>2712</v>
      </c>
      <c r="U231" s="182">
        <f t="shared" si="96"/>
        <v>2683</v>
      </c>
      <c r="V231" s="99">
        <v>2829</v>
      </c>
      <c r="W231" s="99">
        <v>3124</v>
      </c>
      <c r="X231" s="1252">
        <v>3364</v>
      </c>
      <c r="Y231" s="1252">
        <v>3397</v>
      </c>
      <c r="Z231" s="1252">
        <v>4394</v>
      </c>
    </row>
    <row r="232" spans="1:26">
      <c r="A232" s="44" t="s">
        <v>480</v>
      </c>
      <c r="B232" s="176">
        <v>4356</v>
      </c>
      <c r="C232" s="176">
        <v>7278</v>
      </c>
      <c r="D232" s="176">
        <v>9344</v>
      </c>
      <c r="E232" s="176">
        <v>14542</v>
      </c>
      <c r="F232" s="96"/>
      <c r="G232" s="96"/>
      <c r="H232" s="44"/>
      <c r="I232" s="99">
        <v>600</v>
      </c>
      <c r="J232" s="182">
        <f>-J194-J225</f>
        <v>2046</v>
      </c>
      <c r="K232" s="99">
        <v>1235</v>
      </c>
      <c r="L232" s="99">
        <v>1150</v>
      </c>
      <c r="M232" s="99">
        <v>1576</v>
      </c>
      <c r="N232" s="182">
        <f>-N194-N225</f>
        <v>2619</v>
      </c>
      <c r="O232" s="99">
        <v>1933</v>
      </c>
      <c r="P232" s="99">
        <v>1744</v>
      </c>
      <c r="Q232" s="99">
        <v>2161</v>
      </c>
      <c r="R232" s="99">
        <v>3149</v>
      </c>
      <c r="S232" s="99">
        <v>2290</v>
      </c>
      <c r="T232" s="182">
        <f t="shared" si="96"/>
        <v>3167</v>
      </c>
      <c r="U232" s="182">
        <f t="shared" si="96"/>
        <v>3400</v>
      </c>
      <c r="V232" s="99">
        <v>4104</v>
      </c>
      <c r="W232" s="99">
        <v>3871</v>
      </c>
      <c r="X232" s="1252">
        <v>4454</v>
      </c>
      <c r="Y232" s="1252">
        <v>5765</v>
      </c>
      <c r="Z232" s="1252">
        <v>8073</v>
      </c>
    </row>
    <row r="233" spans="1:26">
      <c r="A233" s="44" t="s">
        <v>481</v>
      </c>
      <c r="B233" s="176">
        <v>3512</v>
      </c>
      <c r="C233" s="176">
        <v>4059</v>
      </c>
      <c r="D233" s="176">
        <v>4792</v>
      </c>
      <c r="E233" s="176">
        <v>7621</v>
      </c>
      <c r="F233" s="96"/>
      <c r="G233" s="96"/>
      <c r="H233" s="44"/>
      <c r="I233" s="99">
        <v>451</v>
      </c>
      <c r="J233" s="182">
        <f>-J195-J226</f>
        <v>123</v>
      </c>
      <c r="K233" s="99">
        <v>369</v>
      </c>
      <c r="L233" s="99">
        <v>771</v>
      </c>
      <c r="M233" s="99">
        <v>978</v>
      </c>
      <c r="N233" s="182">
        <f>-N195-N226</f>
        <v>1187</v>
      </c>
      <c r="O233" s="99">
        <v>1123</v>
      </c>
      <c r="P233" s="99">
        <v>1013</v>
      </c>
      <c r="Q233" s="99">
        <v>1146</v>
      </c>
      <c r="R233" s="99">
        <v>1650</v>
      </c>
      <c r="S233" s="99">
        <v>983</v>
      </c>
      <c r="T233" s="182">
        <f t="shared" si="96"/>
        <v>1666</v>
      </c>
      <c r="U233" s="182">
        <f t="shared" si="96"/>
        <v>1676</v>
      </c>
      <c r="V233" s="99">
        <v>2110</v>
      </c>
      <c r="W233" s="99">
        <v>2169</v>
      </c>
      <c r="X233" s="1252">
        <v>2516</v>
      </c>
      <c r="Y233" s="1252">
        <v>2309</v>
      </c>
      <c r="Z233" s="1252">
        <v>3149</v>
      </c>
    </row>
    <row r="234" spans="1:26" s="70" customFormat="1">
      <c r="A234" s="43" t="s">
        <v>126</v>
      </c>
      <c r="B234" s="175">
        <v>24381</v>
      </c>
      <c r="C234" s="175">
        <v>37777</v>
      </c>
      <c r="D234" s="175">
        <v>2931</v>
      </c>
      <c r="E234" s="175">
        <v>5122</v>
      </c>
      <c r="F234" s="93"/>
      <c r="G234" s="93"/>
      <c r="H234" s="43"/>
      <c r="I234" s="100">
        <v>4755</v>
      </c>
      <c r="J234" s="183">
        <f>SUM(J230:J233)</f>
        <v>5773</v>
      </c>
      <c r="K234" s="100">
        <v>5537</v>
      </c>
      <c r="L234" s="100">
        <v>7620</v>
      </c>
      <c r="M234" s="183">
        <f>SUM(M230:M233)</f>
        <v>8876</v>
      </c>
      <c r="N234" s="183">
        <f>SUM(N230:N233)</f>
        <v>11730</v>
      </c>
      <c r="O234" s="100">
        <v>9551</v>
      </c>
      <c r="P234" s="100">
        <v>10442</v>
      </c>
      <c r="Q234" s="92">
        <f t="shared" ref="Q234:Z234" si="97">SUM(Q230:Q233)</f>
        <v>11884</v>
      </c>
      <c r="R234" s="92">
        <f t="shared" si="97"/>
        <v>16471</v>
      </c>
      <c r="S234" s="92">
        <f t="shared" si="97"/>
        <v>13776</v>
      </c>
      <c r="T234" s="183">
        <f t="shared" si="97"/>
        <v>18395</v>
      </c>
      <c r="U234" s="183">
        <f t="shared" si="97"/>
        <v>19699</v>
      </c>
      <c r="V234" s="92">
        <f t="shared" si="97"/>
        <v>27579</v>
      </c>
      <c r="W234" s="92">
        <f t="shared" si="97"/>
        <v>23428</v>
      </c>
      <c r="X234" s="92">
        <f t="shared" si="97"/>
        <v>26666</v>
      </c>
      <c r="Y234" s="92">
        <f t="shared" si="97"/>
        <v>32104</v>
      </c>
      <c r="Z234" s="92">
        <f t="shared" si="97"/>
        <v>49366</v>
      </c>
    </row>
    <row r="235" spans="1:26">
      <c r="A235" s="44"/>
      <c r="B235" s="96"/>
      <c r="C235" s="96"/>
      <c r="D235" s="96"/>
      <c r="E235" s="96"/>
      <c r="F235" s="96"/>
      <c r="G235" s="96"/>
      <c r="H235" s="44"/>
      <c r="I235" s="95"/>
      <c r="J235" s="95"/>
      <c r="K235" s="95"/>
      <c r="L235" s="95"/>
      <c r="M235" s="95"/>
      <c r="N235" s="95"/>
      <c r="O235" s="95"/>
      <c r="P235" s="95"/>
      <c r="Q235" s="95"/>
      <c r="R235" s="95"/>
      <c r="S235" s="95"/>
      <c r="T235" s="95"/>
      <c r="U235" s="95"/>
      <c r="V235" s="95"/>
      <c r="W235" s="95"/>
      <c r="X235" s="125"/>
      <c r="Y235" s="125"/>
      <c r="Z235" s="125"/>
    </row>
    <row r="236" spans="1:26" s="70" customFormat="1">
      <c r="A236" s="43" t="s">
        <v>239</v>
      </c>
      <c r="B236" s="175">
        <v>24920</v>
      </c>
      <c r="C236" s="175">
        <v>23135</v>
      </c>
      <c r="D236" s="175">
        <v>29102</v>
      </c>
      <c r="E236" s="175">
        <v>48055</v>
      </c>
      <c r="F236" s="93"/>
      <c r="G236" s="93"/>
      <c r="H236" s="43"/>
      <c r="I236" s="100">
        <v>5248</v>
      </c>
      <c r="J236" s="100">
        <v>8801</v>
      </c>
      <c r="K236" s="100">
        <v>5451</v>
      </c>
      <c r="L236" s="100">
        <v>6844</v>
      </c>
      <c r="M236" s="100">
        <v>4345</v>
      </c>
      <c r="N236" s="100">
        <v>9347</v>
      </c>
      <c r="O236" s="100">
        <v>2599</v>
      </c>
      <c r="P236" s="100">
        <v>5161</v>
      </c>
      <c r="Q236" s="100">
        <v>6395</v>
      </c>
      <c r="R236" s="100">
        <v>12434</v>
      </c>
      <c r="S236" s="100">
        <v>5112</v>
      </c>
      <c r="T236" s="100">
        <v>8814</v>
      </c>
      <c r="U236" s="100">
        <v>9045</v>
      </c>
      <c r="V236" s="100">
        <v>20664</v>
      </c>
      <c r="W236" s="100">
        <v>9532</v>
      </c>
      <c r="X236" s="100">
        <v>17513</v>
      </c>
      <c r="Y236" s="100">
        <v>16584</v>
      </c>
      <c r="Z236" s="100">
        <v>25996</v>
      </c>
    </row>
    <row r="237" spans="1:26">
      <c r="A237" s="44" t="s">
        <v>536</v>
      </c>
      <c r="B237" s="176">
        <v>2844</v>
      </c>
      <c r="C237" s="176">
        <v>13028</v>
      </c>
      <c r="D237" s="176">
        <v>16082</v>
      </c>
      <c r="E237" s="176">
        <v>15995</v>
      </c>
      <c r="F237" s="96"/>
      <c r="G237" s="96"/>
      <c r="H237" s="44"/>
      <c r="I237" s="99">
        <v>864</v>
      </c>
      <c r="J237" s="99">
        <v>659</v>
      </c>
      <c r="K237" s="99">
        <v>925</v>
      </c>
      <c r="L237" s="99">
        <v>1073</v>
      </c>
      <c r="M237" s="99">
        <v>3010</v>
      </c>
      <c r="N237" s="99">
        <v>4313</v>
      </c>
      <c r="O237" s="99">
        <v>4632</v>
      </c>
      <c r="P237" s="99">
        <v>3995</v>
      </c>
      <c r="Q237" s="99">
        <v>3164</v>
      </c>
      <c r="R237" s="99">
        <v>4370</v>
      </c>
      <c r="S237" s="99">
        <v>4553</v>
      </c>
      <c r="T237" s="99">
        <v>3694</v>
      </c>
      <c r="U237" s="99">
        <v>4251</v>
      </c>
      <c r="V237" s="99">
        <v>3744</v>
      </c>
      <c r="W237" s="99">
        <v>4306</v>
      </c>
      <c r="X237" s="99">
        <v>4019</v>
      </c>
      <c r="Y237" s="99">
        <v>4686</v>
      </c>
      <c r="Z237" s="99">
        <v>5115</v>
      </c>
    </row>
    <row r="238" spans="1:26">
      <c r="A238" s="44" t="s">
        <v>240</v>
      </c>
      <c r="B238" s="176">
        <v>315</v>
      </c>
      <c r="C238" s="176">
        <v>2089</v>
      </c>
      <c r="D238" s="176">
        <v>2931</v>
      </c>
      <c r="E238" s="176">
        <v>-5122</v>
      </c>
      <c r="F238" s="96"/>
      <c r="G238" s="96"/>
      <c r="H238" s="44"/>
      <c r="I238" s="99">
        <v>39</v>
      </c>
      <c r="J238" s="99">
        <v>123</v>
      </c>
      <c r="K238" s="99">
        <v>118</v>
      </c>
      <c r="L238" s="99">
        <v>234</v>
      </c>
      <c r="M238" s="99">
        <v>598</v>
      </c>
      <c r="N238" s="99">
        <v>614</v>
      </c>
      <c r="O238" s="99">
        <v>643</v>
      </c>
      <c r="P238" s="99">
        <v>647</v>
      </c>
      <c r="Q238" s="99">
        <v>728</v>
      </c>
      <c r="R238" s="99">
        <v>813</v>
      </c>
      <c r="S238" s="99">
        <v>743</v>
      </c>
      <c r="T238" s="99">
        <v>1251</v>
      </c>
      <c r="U238" s="99">
        <v>1297</v>
      </c>
      <c r="V238" s="99">
        <v>1261</v>
      </c>
      <c r="W238" s="99">
        <v>1313</v>
      </c>
      <c r="X238" s="99">
        <v>1986</v>
      </c>
      <c r="Y238" s="99">
        <v>1748</v>
      </c>
      <c r="Z238" s="99">
        <v>2057</v>
      </c>
    </row>
    <row r="239" spans="1:26">
      <c r="A239" s="44" t="s">
        <v>537</v>
      </c>
      <c r="B239" s="176">
        <v>1339</v>
      </c>
      <c r="C239" s="176">
        <v>2326</v>
      </c>
      <c r="D239" s="176">
        <v>3770</v>
      </c>
      <c r="E239" s="176"/>
      <c r="F239" s="96"/>
      <c r="G239" s="96"/>
      <c r="H239" s="44"/>
      <c r="I239" s="99">
        <v>310</v>
      </c>
      <c r="J239" s="99">
        <v>394</v>
      </c>
      <c r="K239" s="99">
        <v>392</v>
      </c>
      <c r="L239" s="99">
        <v>423</v>
      </c>
      <c r="M239" s="99">
        <v>540</v>
      </c>
      <c r="N239" s="99">
        <v>654</v>
      </c>
      <c r="O239" s="99">
        <v>709</v>
      </c>
      <c r="P239" s="99">
        <v>782</v>
      </c>
      <c r="Q239" s="99">
        <v>859</v>
      </c>
      <c r="R239" s="99">
        <v>1039</v>
      </c>
      <c r="S239" s="99">
        <v>1090</v>
      </c>
      <c r="T239" s="99">
        <v>1204</v>
      </c>
      <c r="U239" s="99">
        <v>1282</v>
      </c>
      <c r="V239" s="99">
        <v>1352</v>
      </c>
      <c r="W239" s="99">
        <v>1446</v>
      </c>
      <c r="X239" s="99">
        <v>1606</v>
      </c>
      <c r="Y239" s="99">
        <v>2013</v>
      </c>
      <c r="Z239" s="99">
        <v>2521</v>
      </c>
    </row>
    <row r="240" spans="1:26">
      <c r="A240" s="44" t="s">
        <v>538</v>
      </c>
      <c r="B240" s="176">
        <v>44</v>
      </c>
      <c r="C240" s="176">
        <v>175</v>
      </c>
      <c r="D240" s="176">
        <v>455</v>
      </c>
      <c r="E240" s="176"/>
      <c r="F240" s="96"/>
      <c r="G240" s="96"/>
      <c r="H240" s="44"/>
      <c r="I240" s="99">
        <v>44</v>
      </c>
      <c r="J240" s="99"/>
      <c r="K240" s="99" t="s">
        <v>483</v>
      </c>
      <c r="L240" s="99"/>
      <c r="M240" s="99"/>
      <c r="N240" s="99">
        <v>175</v>
      </c>
      <c r="O240" s="99" t="s">
        <v>483</v>
      </c>
      <c r="P240" s="179"/>
      <c r="Q240" s="179"/>
      <c r="R240" s="99">
        <v>455</v>
      </c>
      <c r="S240" s="179"/>
      <c r="T240" s="99"/>
      <c r="U240" s="99"/>
      <c r="V240" s="99"/>
      <c r="W240" s="99"/>
      <c r="X240" s="99"/>
      <c r="Y240" s="99"/>
      <c r="Z240" s="99">
        <v>494</v>
      </c>
    </row>
    <row r="241" spans="1:26">
      <c r="A241" s="44" t="s">
        <v>539</v>
      </c>
      <c r="B241" s="176">
        <v>1269</v>
      </c>
      <c r="C241" s="176" t="s">
        <v>483</v>
      </c>
      <c r="D241" s="33"/>
      <c r="E241" s="33"/>
      <c r="H241" s="44"/>
      <c r="I241" s="99"/>
      <c r="J241" s="99">
        <v>1269</v>
      </c>
      <c r="K241" s="99" t="s">
        <v>483</v>
      </c>
      <c r="L241" s="99"/>
      <c r="M241" s="99"/>
      <c r="N241" s="99"/>
      <c r="O241" s="99" t="s">
        <v>483</v>
      </c>
      <c r="P241" s="99"/>
      <c r="Q241" s="99"/>
      <c r="R241" s="99"/>
      <c r="S241" s="99"/>
      <c r="T241" s="99"/>
      <c r="U241" s="99"/>
      <c r="V241" s="99"/>
      <c r="W241" s="99"/>
      <c r="X241" s="99"/>
      <c r="Y241" s="99"/>
      <c r="Z241" s="99"/>
    </row>
    <row r="242" spans="1:26">
      <c r="A242" s="43" t="s">
        <v>469</v>
      </c>
      <c r="B242" s="175">
        <v>30731</v>
      </c>
      <c r="C242" s="175">
        <v>40753</v>
      </c>
      <c r="D242" s="176">
        <v>52340</v>
      </c>
      <c r="E242" s="176">
        <v>74456</v>
      </c>
      <c r="F242" s="96"/>
      <c r="G242" s="96"/>
      <c r="H242" s="43"/>
      <c r="I242" s="100">
        <v>6505</v>
      </c>
      <c r="J242" s="183">
        <f>SUM(J236:J241)</f>
        <v>11246</v>
      </c>
      <c r="K242" s="100">
        <v>6886</v>
      </c>
      <c r="L242" s="100">
        <v>8574</v>
      </c>
      <c r="M242" s="100">
        <v>8493</v>
      </c>
      <c r="N242" s="183">
        <f>SUM(N236:N241)</f>
        <v>15103</v>
      </c>
      <c r="O242" s="100">
        <v>8583</v>
      </c>
      <c r="P242" s="100">
        <v>10585</v>
      </c>
      <c r="Q242" s="100">
        <v>11146</v>
      </c>
      <c r="R242" s="100">
        <v>19111</v>
      </c>
      <c r="S242" s="99">
        <v>11498</v>
      </c>
      <c r="T242" s="100">
        <v>14963</v>
      </c>
      <c r="U242" s="100">
        <v>15875</v>
      </c>
      <c r="V242" s="100">
        <v>27021</v>
      </c>
      <c r="W242" s="100">
        <v>16597</v>
      </c>
      <c r="X242" s="100">
        <v>25124</v>
      </c>
      <c r="Y242" s="100">
        <v>25031</v>
      </c>
      <c r="Z242" s="100">
        <v>33662</v>
      </c>
    </row>
    <row r="243" spans="1:26">
      <c r="A243" s="44"/>
      <c r="B243" s="96"/>
      <c r="C243" s="96"/>
      <c r="D243" s="96"/>
      <c r="E243" s="96"/>
      <c r="F243" s="96"/>
      <c r="G243" s="96"/>
      <c r="H243" s="44"/>
      <c r="I243" s="95"/>
      <c r="J243" s="95"/>
      <c r="K243" s="95"/>
      <c r="L243" s="95"/>
      <c r="M243" s="95"/>
      <c r="N243" s="95"/>
      <c r="O243" s="95"/>
      <c r="P243" s="95"/>
      <c r="Q243" s="95"/>
      <c r="R243" s="95"/>
      <c r="S243" s="95"/>
      <c r="T243" s="95"/>
      <c r="U243" s="95"/>
      <c r="V243" s="95"/>
      <c r="W243" s="95"/>
      <c r="X243" s="95"/>
      <c r="Y243" s="95"/>
      <c r="Z243" s="95"/>
    </row>
    <row r="244" spans="1:26" s="70" customFormat="1">
      <c r="A244" s="43" t="s">
        <v>104</v>
      </c>
      <c r="B244" s="175">
        <v>23403</v>
      </c>
      <c r="C244" s="175">
        <v>24320</v>
      </c>
      <c r="D244" s="175">
        <v>71289</v>
      </c>
      <c r="E244" s="175">
        <v>41226</v>
      </c>
      <c r="F244" s="93"/>
      <c r="G244" s="93"/>
      <c r="H244" s="43"/>
      <c r="I244" s="100">
        <v>4937</v>
      </c>
      <c r="J244" s="100">
        <v>8357</v>
      </c>
      <c r="K244" s="100">
        <v>5661</v>
      </c>
      <c r="L244" s="100">
        <v>12438</v>
      </c>
      <c r="M244" s="100">
        <v>3030</v>
      </c>
      <c r="N244" s="100">
        <v>5983</v>
      </c>
      <c r="O244" s="100">
        <v>2869</v>
      </c>
      <c r="P244" s="100">
        <v>30816</v>
      </c>
      <c r="Q244" s="100">
        <v>22703</v>
      </c>
      <c r="R244" s="100">
        <v>12456</v>
      </c>
      <c r="S244" s="100">
        <v>5314</v>
      </c>
      <c r="T244" s="100">
        <v>7142</v>
      </c>
      <c r="U244" s="100">
        <v>7075</v>
      </c>
      <c r="V244" s="100">
        <v>17157</v>
      </c>
      <c r="W244" s="100">
        <v>9852</v>
      </c>
      <c r="X244" s="100">
        <v>14031</v>
      </c>
      <c r="Y244" s="100">
        <v>17408</v>
      </c>
      <c r="Z244" s="100">
        <v>23332</v>
      </c>
    </row>
    <row r="245" spans="1:26">
      <c r="A245" s="44" t="s">
        <v>536</v>
      </c>
      <c r="B245" s="176">
        <v>2844</v>
      </c>
      <c r="C245" s="176">
        <v>13028</v>
      </c>
      <c r="D245" s="176">
        <v>16082</v>
      </c>
      <c r="E245" s="176">
        <v>15995</v>
      </c>
      <c r="F245" s="96"/>
      <c r="G245" s="96"/>
      <c r="H245" s="44"/>
      <c r="I245" s="99">
        <v>864</v>
      </c>
      <c r="J245" s="99">
        <v>659</v>
      </c>
      <c r="K245" s="99">
        <v>925</v>
      </c>
      <c r="L245" s="99">
        <v>1073</v>
      </c>
      <c r="M245" s="99">
        <v>3010</v>
      </c>
      <c r="N245" s="99">
        <v>4313</v>
      </c>
      <c r="O245" s="99">
        <v>4632</v>
      </c>
      <c r="P245" s="99">
        <v>3995</v>
      </c>
      <c r="Q245" s="99">
        <v>3164</v>
      </c>
      <c r="R245" s="99">
        <v>4370</v>
      </c>
      <c r="S245" s="99">
        <v>4553</v>
      </c>
      <c r="T245" s="99">
        <v>3694</v>
      </c>
      <c r="U245" s="99">
        <v>4251</v>
      </c>
      <c r="V245" s="99">
        <v>3744</v>
      </c>
      <c r="W245" s="99">
        <v>4306</v>
      </c>
      <c r="X245" s="99">
        <v>4019</v>
      </c>
      <c r="Y245" s="99">
        <v>4686</v>
      </c>
      <c r="Z245" s="99">
        <v>5115</v>
      </c>
    </row>
    <row r="246" spans="1:26">
      <c r="A246" s="44" t="s">
        <v>240</v>
      </c>
      <c r="B246" s="176">
        <v>315</v>
      </c>
      <c r="C246" s="176">
        <v>2089</v>
      </c>
      <c r="D246" s="176">
        <v>2931</v>
      </c>
      <c r="E246" s="176">
        <v>5122</v>
      </c>
      <c r="F246" s="96"/>
      <c r="G246" s="96"/>
      <c r="H246" s="44"/>
      <c r="I246" s="99">
        <v>39</v>
      </c>
      <c r="J246" s="99">
        <v>123</v>
      </c>
      <c r="K246" s="99">
        <v>118</v>
      </c>
      <c r="L246" s="99">
        <v>234</v>
      </c>
      <c r="M246" s="99">
        <v>598</v>
      </c>
      <c r="N246" s="99">
        <v>614</v>
      </c>
      <c r="O246" s="99">
        <v>643</v>
      </c>
      <c r="P246" s="99">
        <v>647</v>
      </c>
      <c r="Q246" s="99">
        <v>728</v>
      </c>
      <c r="R246" s="99">
        <v>813</v>
      </c>
      <c r="S246" s="99">
        <v>743</v>
      </c>
      <c r="T246" s="99">
        <v>1251</v>
      </c>
      <c r="U246" s="99">
        <v>1297</v>
      </c>
      <c r="V246" s="99">
        <v>1261</v>
      </c>
      <c r="W246" s="99">
        <v>1313</v>
      </c>
      <c r="X246" s="99">
        <v>1986</v>
      </c>
      <c r="Y246" s="99">
        <v>1748</v>
      </c>
      <c r="Z246" s="99">
        <v>2057</v>
      </c>
    </row>
    <row r="247" spans="1:26">
      <c r="A247" s="44" t="s">
        <v>540</v>
      </c>
      <c r="B247" s="176">
        <v>163</v>
      </c>
      <c r="C247" s="176">
        <v>1032</v>
      </c>
      <c r="D247" s="176">
        <v>2319</v>
      </c>
      <c r="E247" s="176">
        <v>2542</v>
      </c>
      <c r="F247" s="96"/>
      <c r="G247" s="96"/>
      <c r="H247" s="44"/>
      <c r="I247" s="99">
        <v>53</v>
      </c>
      <c r="J247" s="99">
        <v>55</v>
      </c>
      <c r="K247" s="99">
        <v>39</v>
      </c>
      <c r="L247" s="99" t="s">
        <v>483</v>
      </c>
      <c r="M247" s="99" t="s">
        <v>483</v>
      </c>
      <c r="N247" s="99">
        <v>1032</v>
      </c>
      <c r="O247" s="99" t="s">
        <v>483</v>
      </c>
      <c r="P247" s="99">
        <v>60</v>
      </c>
      <c r="Q247" s="99">
        <v>645</v>
      </c>
      <c r="R247" s="99">
        <v>1611</v>
      </c>
      <c r="S247" s="99">
        <v>3</v>
      </c>
      <c r="T247" s="99">
        <v>77</v>
      </c>
      <c r="U247" s="99">
        <v>856</v>
      </c>
      <c r="V247" s="99">
        <v>1476</v>
      </c>
      <c r="W247" s="99">
        <v>133</v>
      </c>
      <c r="X247" s="99">
        <v>952</v>
      </c>
      <c r="Y247" s="99">
        <v>389</v>
      </c>
      <c r="Z247" s="99">
        <v>19033</v>
      </c>
    </row>
    <row r="248" spans="1:26">
      <c r="A248" s="44" t="s">
        <v>541</v>
      </c>
      <c r="B248" s="176">
        <v>-384</v>
      </c>
      <c r="C248" s="176">
        <v>-6715</v>
      </c>
      <c r="D248" s="176">
        <v>-50435</v>
      </c>
      <c r="E248" s="176">
        <v>-7346</v>
      </c>
      <c r="F248" s="96"/>
      <c r="G248" s="96"/>
      <c r="H248" s="44"/>
      <c r="I248" s="99"/>
      <c r="J248" s="99"/>
      <c r="K248" s="99">
        <v>-72</v>
      </c>
      <c r="L248" s="99">
        <v>-6428</v>
      </c>
      <c r="M248" s="99">
        <v>-60</v>
      </c>
      <c r="N248" s="99">
        <v>241</v>
      </c>
      <c r="O248" s="99">
        <v>-468</v>
      </c>
      <c r="P248" s="99">
        <v>-26088</v>
      </c>
      <c r="Q248" s="99">
        <v>-18054</v>
      </c>
      <c r="R248" s="99">
        <v>-2959</v>
      </c>
      <c r="S248" s="99">
        <v>-3334</v>
      </c>
      <c r="T248" s="99">
        <v>-55</v>
      </c>
      <c r="U248" s="99">
        <v>-527</v>
      </c>
      <c r="V248" s="99">
        <v>-1161</v>
      </c>
      <c r="W248" s="99">
        <v>-5603</v>
      </c>
      <c r="X248" s="99">
        <v>-1089</v>
      </c>
      <c r="Y248" s="99">
        <v>-2297</v>
      </c>
      <c r="Z248" s="99">
        <v>-22406</v>
      </c>
    </row>
    <row r="249" spans="1:26">
      <c r="A249" s="44" t="s">
        <v>542</v>
      </c>
      <c r="B249" s="176" t="s">
        <v>483</v>
      </c>
      <c r="C249" s="176">
        <v>166</v>
      </c>
      <c r="D249" s="176">
        <v>264</v>
      </c>
      <c r="E249" s="176">
        <v>264</v>
      </c>
      <c r="F249" s="96"/>
      <c r="G249" s="96"/>
      <c r="H249" s="44"/>
      <c r="I249" s="99"/>
      <c r="J249" s="99"/>
      <c r="K249" s="99" t="s">
        <v>483</v>
      </c>
      <c r="L249" s="99" t="s">
        <v>483</v>
      </c>
      <c r="M249" s="99">
        <v>35</v>
      </c>
      <c r="N249" s="99">
        <v>66</v>
      </c>
      <c r="O249" s="99">
        <v>65</v>
      </c>
      <c r="P249" s="99">
        <v>66</v>
      </c>
      <c r="Q249" s="99">
        <v>66</v>
      </c>
      <c r="R249" s="99">
        <v>67</v>
      </c>
      <c r="S249" s="99">
        <v>65</v>
      </c>
      <c r="T249" s="99">
        <v>66</v>
      </c>
      <c r="U249" s="99">
        <v>66</v>
      </c>
      <c r="V249" s="99">
        <v>67</v>
      </c>
      <c r="W249" s="99">
        <v>65</v>
      </c>
      <c r="X249" s="99">
        <v>67</v>
      </c>
      <c r="Y249" s="99">
        <v>66</v>
      </c>
      <c r="Z249" s="99">
        <v>66</v>
      </c>
    </row>
    <row r="250" spans="1:26">
      <c r="A250" s="44" t="s">
        <v>543</v>
      </c>
      <c r="B250" s="176" t="s">
        <v>483</v>
      </c>
      <c r="C250" s="176">
        <v>231</v>
      </c>
      <c r="D250" s="176"/>
      <c r="E250" s="176"/>
      <c r="F250" s="96"/>
      <c r="G250" s="96"/>
      <c r="H250" s="44"/>
      <c r="I250" s="99"/>
      <c r="J250" s="99"/>
      <c r="K250" s="99" t="s">
        <v>483</v>
      </c>
      <c r="L250" s="99"/>
      <c r="M250" s="99">
        <v>195</v>
      </c>
      <c r="N250" s="99">
        <v>36</v>
      </c>
      <c r="O250" s="99" t="s">
        <v>483</v>
      </c>
      <c r="P250" s="99"/>
      <c r="Q250" s="99"/>
      <c r="R250" s="99">
        <v>0</v>
      </c>
      <c r="S250" s="99"/>
      <c r="T250" s="179"/>
      <c r="U250" s="99"/>
      <c r="V250" s="99"/>
      <c r="W250" s="99"/>
      <c r="X250" s="179"/>
      <c r="Y250" s="179"/>
      <c r="Z250" s="179"/>
    </row>
    <row r="251" spans="1:26">
      <c r="A251" s="44" t="s">
        <v>539</v>
      </c>
      <c r="B251" s="176">
        <v>1269</v>
      </c>
      <c r="C251" s="176" t="s">
        <v>483</v>
      </c>
      <c r="D251" s="176"/>
      <c r="E251" s="176"/>
      <c r="F251" s="96"/>
      <c r="G251" s="96"/>
      <c r="H251" s="44"/>
      <c r="I251" s="99"/>
      <c r="J251" s="99">
        <v>1269</v>
      </c>
      <c r="K251" s="99" t="s">
        <v>483</v>
      </c>
      <c r="L251" s="99"/>
      <c r="M251" s="99"/>
      <c r="N251" s="99"/>
      <c r="O251" s="99" t="s">
        <v>483</v>
      </c>
      <c r="P251" s="99"/>
      <c r="Q251" s="99"/>
      <c r="R251" s="99">
        <v>0</v>
      </c>
      <c r="S251" s="99"/>
      <c r="T251" s="99"/>
      <c r="U251" s="99"/>
      <c r="V251" s="99"/>
      <c r="W251" s="99"/>
      <c r="X251" s="99"/>
      <c r="Y251" s="99"/>
      <c r="Z251" s="99"/>
    </row>
    <row r="252" spans="1:26">
      <c r="A252" s="44" t="s">
        <v>82</v>
      </c>
      <c r="B252" s="176">
        <v>664</v>
      </c>
      <c r="C252" s="176">
        <v>830</v>
      </c>
      <c r="D252" s="176">
        <v>341</v>
      </c>
      <c r="E252" s="176">
        <v>68</v>
      </c>
      <c r="F252" s="96"/>
      <c r="G252" s="96"/>
      <c r="H252" s="44"/>
      <c r="I252" s="99"/>
      <c r="J252" s="99"/>
      <c r="K252" s="99" t="s">
        <v>483</v>
      </c>
      <c r="L252" s="99"/>
      <c r="M252" s="99"/>
      <c r="N252" s="99">
        <v>830</v>
      </c>
      <c r="O252" s="99" t="s">
        <v>483</v>
      </c>
      <c r="P252" s="99"/>
      <c r="Q252" s="99">
        <v>-51</v>
      </c>
      <c r="R252" s="99">
        <v>217</v>
      </c>
      <c r="S252" s="99">
        <v>212</v>
      </c>
      <c r="T252" s="99">
        <v>-184</v>
      </c>
      <c r="U252" s="99">
        <v>-69</v>
      </c>
      <c r="V252" s="99">
        <v>-53</v>
      </c>
      <c r="W252" s="99">
        <v>374</v>
      </c>
      <c r="X252" s="99">
        <f>92-39</f>
        <v>53</v>
      </c>
      <c r="Y252" s="99">
        <v>89</v>
      </c>
      <c r="Z252" s="99">
        <v>-190</v>
      </c>
    </row>
    <row r="253" spans="1:26" s="70" customFormat="1">
      <c r="A253" s="43" t="s">
        <v>544</v>
      </c>
      <c r="B253" s="175">
        <v>28274</v>
      </c>
      <c r="C253" s="175">
        <v>34981</v>
      </c>
      <c r="D253" s="175">
        <v>42791</v>
      </c>
      <c r="E253" s="175">
        <v>57871</v>
      </c>
      <c r="F253" s="93"/>
      <c r="G253" s="93"/>
      <c r="H253" s="43"/>
      <c r="I253" s="100">
        <v>5893</v>
      </c>
      <c r="J253" s="183">
        <f>SUM(J244:J252)</f>
        <v>10463</v>
      </c>
      <c r="K253" s="100">
        <v>6671</v>
      </c>
      <c r="L253" s="100">
        <v>7317</v>
      </c>
      <c r="M253" s="100">
        <v>6808</v>
      </c>
      <c r="N253" s="183">
        <f>SUM(N244:N252)</f>
        <v>13115</v>
      </c>
      <c r="O253" s="100">
        <v>7741</v>
      </c>
      <c r="P253" s="100">
        <v>9496</v>
      </c>
      <c r="Q253" s="100">
        <v>9252</v>
      </c>
      <c r="R253" s="100">
        <v>16575</v>
      </c>
      <c r="S253" s="100">
        <v>7556</v>
      </c>
      <c r="T253" s="100">
        <v>11991</v>
      </c>
      <c r="U253" s="100">
        <v>12949</v>
      </c>
      <c r="V253" s="100">
        <v>22491</v>
      </c>
      <c r="W253" s="100">
        <v>10440</v>
      </c>
      <c r="X253" s="100">
        <v>20019</v>
      </c>
      <c r="Y253" s="100">
        <v>22089</v>
      </c>
      <c r="Z253" s="100">
        <v>27007</v>
      </c>
    </row>
    <row r="254" spans="1:26">
      <c r="A254" s="44"/>
      <c r="B254" s="96"/>
      <c r="C254" s="96"/>
      <c r="D254" s="96"/>
      <c r="E254" s="96"/>
      <c r="F254" s="96"/>
      <c r="G254" s="96"/>
      <c r="H254" s="44"/>
      <c r="I254" s="95"/>
      <c r="J254" s="95"/>
      <c r="K254" s="95"/>
      <c r="L254" s="95"/>
      <c r="M254" s="95"/>
      <c r="N254" s="95"/>
      <c r="O254" s="95"/>
      <c r="P254" s="95"/>
      <c r="Q254" s="95"/>
      <c r="R254" s="95"/>
      <c r="S254" s="95"/>
      <c r="T254" s="95"/>
      <c r="U254" s="95"/>
      <c r="V254" s="95"/>
      <c r="W254" s="95"/>
      <c r="X254" s="95"/>
      <c r="Y254" s="95"/>
      <c r="Z254" s="95"/>
    </row>
    <row r="255" spans="1:26">
      <c r="A255" s="44" t="s">
        <v>108</v>
      </c>
      <c r="B255" s="176">
        <v>23076</v>
      </c>
      <c r="C255" s="176">
        <v>24149</v>
      </c>
      <c r="D255" s="176">
        <v>71460</v>
      </c>
      <c r="E255" s="176">
        <v>43675</v>
      </c>
      <c r="F255" s="96"/>
      <c r="G255" s="96"/>
      <c r="H255" s="44"/>
      <c r="I255" s="99">
        <v>4883</v>
      </c>
      <c r="J255" s="99">
        <v>8266</v>
      </c>
      <c r="K255" s="99">
        <v>5543</v>
      </c>
      <c r="L255" s="99">
        <v>12344</v>
      </c>
      <c r="M255" s="99">
        <v>2976</v>
      </c>
      <c r="N255" s="99">
        <v>5936</v>
      </c>
      <c r="O255" s="99">
        <v>2893</v>
      </c>
      <c r="P255" s="99">
        <v>30843</v>
      </c>
      <c r="Q255" s="99">
        <v>22754</v>
      </c>
      <c r="R255" s="99">
        <v>12498</v>
      </c>
      <c r="S255" s="99">
        <v>5365</v>
      </c>
      <c r="T255" s="99">
        <v>7550</v>
      </c>
      <c r="U255" s="99">
        <v>7623</v>
      </c>
      <c r="V255" s="99">
        <v>17855</v>
      </c>
      <c r="W255" s="99">
        <v>10647</v>
      </c>
      <c r="X255" s="99">
        <v>14683</v>
      </c>
      <c r="Y255" s="99">
        <v>17668</v>
      </c>
      <c r="Z255" s="99">
        <v>24073</v>
      </c>
    </row>
    <row r="256" spans="1:26">
      <c r="A256" s="44" t="s">
        <v>545</v>
      </c>
      <c r="B256" s="176">
        <v>31</v>
      </c>
      <c r="C256" s="176">
        <v>15</v>
      </c>
      <c r="D256" s="176"/>
      <c r="E256" s="176"/>
      <c r="F256" s="96"/>
      <c r="G256" s="96"/>
      <c r="H256" s="44"/>
      <c r="I256" s="99">
        <v>8</v>
      </c>
      <c r="J256" s="99">
        <v>8</v>
      </c>
      <c r="K256" s="99">
        <v>7</v>
      </c>
      <c r="L256" s="99">
        <v>8</v>
      </c>
      <c r="M256" s="99">
        <v>7</v>
      </c>
      <c r="N256" s="99">
        <v>0</v>
      </c>
      <c r="O256" s="99">
        <v>0</v>
      </c>
      <c r="P256" s="99">
        <v>0</v>
      </c>
      <c r="Q256" s="99">
        <v>0</v>
      </c>
      <c r="R256" s="99">
        <v>0</v>
      </c>
      <c r="S256" s="99">
        <v>0</v>
      </c>
      <c r="T256" s="99">
        <v>0</v>
      </c>
      <c r="U256" s="99">
        <v>-3</v>
      </c>
      <c r="V256" s="99">
        <v>-3</v>
      </c>
      <c r="W256" s="99">
        <v>-5</v>
      </c>
      <c r="X256" s="99">
        <v>-3</v>
      </c>
      <c r="Y256" s="99">
        <v>-3</v>
      </c>
      <c r="Z256" s="99">
        <v>-4</v>
      </c>
    </row>
    <row r="257" spans="1:26">
      <c r="A257" s="44" t="s">
        <v>719</v>
      </c>
      <c r="B257" s="176">
        <v>208</v>
      </c>
      <c r="C257" s="176">
        <v>97</v>
      </c>
      <c r="D257" s="176">
        <v>0</v>
      </c>
      <c r="E257" s="176">
        <v>-11</v>
      </c>
      <c r="F257" s="96"/>
      <c r="G257" s="96"/>
      <c r="H257" s="44"/>
      <c r="I257" s="99">
        <v>52</v>
      </c>
      <c r="J257" s="99">
        <v>52</v>
      </c>
      <c r="K257" s="99">
        <v>52</v>
      </c>
      <c r="L257" s="99">
        <v>52</v>
      </c>
      <c r="M257" s="99">
        <v>45</v>
      </c>
      <c r="N257" s="99">
        <v>0</v>
      </c>
      <c r="O257" s="99">
        <v>0</v>
      </c>
      <c r="P257" s="99">
        <v>0</v>
      </c>
      <c r="Q257" s="99">
        <v>0</v>
      </c>
      <c r="R257" s="99">
        <v>0</v>
      </c>
      <c r="S257" s="99">
        <v>0</v>
      </c>
      <c r="T257" s="99">
        <v>0</v>
      </c>
      <c r="U257" s="99">
        <v>0</v>
      </c>
      <c r="V257" s="99">
        <v>0</v>
      </c>
      <c r="W257" s="99">
        <v>0</v>
      </c>
      <c r="X257" s="99">
        <v>0</v>
      </c>
      <c r="Y257" s="99">
        <v>0</v>
      </c>
      <c r="Z257" s="99">
        <v>0</v>
      </c>
    </row>
    <row r="258" spans="1:26">
      <c r="A258" s="44" t="s">
        <v>546</v>
      </c>
      <c r="B258" s="176">
        <v>23315</v>
      </c>
      <c r="C258" s="176">
        <v>24261</v>
      </c>
      <c r="D258" s="176">
        <v>71460</v>
      </c>
      <c r="E258" s="176">
        <v>43664</v>
      </c>
      <c r="F258" s="96"/>
      <c r="G258" s="96"/>
      <c r="H258" s="44"/>
      <c r="I258" s="99">
        <v>4943</v>
      </c>
      <c r="J258" s="99">
        <v>8326</v>
      </c>
      <c r="K258" s="99">
        <v>5602</v>
      </c>
      <c r="L258" s="99">
        <v>12404</v>
      </c>
      <c r="M258" s="99">
        <v>3028</v>
      </c>
      <c r="N258" s="99">
        <v>5936</v>
      </c>
      <c r="O258" s="99">
        <v>2893</v>
      </c>
      <c r="P258" s="99">
        <v>30843</v>
      </c>
      <c r="Q258" s="99">
        <v>22754</v>
      </c>
      <c r="R258" s="99">
        <v>12498</v>
      </c>
      <c r="S258" s="99">
        <v>5365</v>
      </c>
      <c r="T258" s="99">
        <v>7550</v>
      </c>
      <c r="U258" s="99">
        <v>7620</v>
      </c>
      <c r="V258" s="99">
        <v>17852</v>
      </c>
      <c r="W258" s="99">
        <v>10642</v>
      </c>
      <c r="X258" s="99">
        <v>14680</v>
      </c>
      <c r="Y258" s="99">
        <v>17665</v>
      </c>
      <c r="Z258" s="99">
        <v>24069</v>
      </c>
    </row>
    <row r="259" spans="1:26">
      <c r="A259" s="44" t="s">
        <v>547</v>
      </c>
      <c r="B259" s="176">
        <v>4871</v>
      </c>
      <c r="C259" s="176">
        <v>10661</v>
      </c>
      <c r="D259" s="176">
        <v>-28498</v>
      </c>
      <c r="E259" s="176">
        <v>16645</v>
      </c>
      <c r="F259" s="96"/>
      <c r="G259" s="96"/>
      <c r="H259" s="44"/>
      <c r="I259" s="99">
        <v>956</v>
      </c>
      <c r="J259" s="99">
        <v>2106</v>
      </c>
      <c r="K259" s="99">
        <v>1010</v>
      </c>
      <c r="L259" s="99">
        <v>-5121</v>
      </c>
      <c r="M259" s="99">
        <v>3778</v>
      </c>
      <c r="N259" s="99">
        <v>7132</v>
      </c>
      <c r="O259" s="99">
        <v>4872</v>
      </c>
      <c r="P259" s="99">
        <v>-21320</v>
      </c>
      <c r="Q259" s="99">
        <v>-13451</v>
      </c>
      <c r="R259" s="99">
        <v>4119</v>
      </c>
      <c r="S259" s="99">
        <v>2242</v>
      </c>
      <c r="T259" s="99">
        <v>4849</v>
      </c>
      <c r="U259" s="99">
        <v>5874</v>
      </c>
      <c r="V259" s="99">
        <v>5344</v>
      </c>
      <c r="W259" s="99">
        <v>588</v>
      </c>
      <c r="X259" s="99">
        <v>5988</v>
      </c>
      <c r="Y259" s="99">
        <v>4681</v>
      </c>
      <c r="Z259" s="99">
        <v>3675</v>
      </c>
    </row>
    <row r="260" spans="1:26" s="70" customFormat="1">
      <c r="A260" s="43" t="s">
        <v>548</v>
      </c>
      <c r="B260" s="175">
        <v>28186</v>
      </c>
      <c r="C260" s="175">
        <v>34922</v>
      </c>
      <c r="D260" s="175">
        <v>42962</v>
      </c>
      <c r="E260" s="175">
        <v>60309</v>
      </c>
      <c r="F260" s="93"/>
      <c r="G260" s="93"/>
      <c r="H260" s="43"/>
      <c r="I260" s="100">
        <v>5899</v>
      </c>
      <c r="J260" s="183">
        <f>SUM(J258:J259)</f>
        <v>10432</v>
      </c>
      <c r="K260" s="100">
        <v>6612</v>
      </c>
      <c r="L260" s="100">
        <v>7283</v>
      </c>
      <c r="M260" s="100">
        <v>6806</v>
      </c>
      <c r="N260" s="183">
        <f>SUM(N258:N259)</f>
        <v>13068</v>
      </c>
      <c r="O260" s="100">
        <v>7765</v>
      </c>
      <c r="P260" s="100">
        <v>9523</v>
      </c>
      <c r="Q260" s="100">
        <v>9303</v>
      </c>
      <c r="R260" s="100">
        <v>16617</v>
      </c>
      <c r="S260" s="100">
        <v>7607</v>
      </c>
      <c r="T260" s="100">
        <v>12399</v>
      </c>
      <c r="U260" s="100">
        <v>13494</v>
      </c>
      <c r="V260" s="100">
        <v>23186</v>
      </c>
      <c r="W260" s="100">
        <v>11230</v>
      </c>
      <c r="X260" s="100">
        <v>20668</v>
      </c>
      <c r="Y260" s="100">
        <v>22346</v>
      </c>
      <c r="Z260" s="100">
        <v>27744</v>
      </c>
    </row>
    <row r="261" spans="1:26" s="70" customFormat="1">
      <c r="A261" s="43"/>
      <c r="B261" s="93"/>
      <c r="C261" s="93"/>
      <c r="D261" s="93"/>
      <c r="E261" s="93"/>
      <c r="F261" s="93"/>
      <c r="G261" s="93"/>
      <c r="H261" s="43"/>
      <c r="I261" s="92"/>
      <c r="J261" s="92"/>
      <c r="K261" s="92"/>
      <c r="L261" s="92"/>
      <c r="M261" s="92"/>
      <c r="N261" s="92"/>
      <c r="O261" s="92"/>
      <c r="P261" s="92"/>
      <c r="Q261" s="92"/>
      <c r="R261" s="92"/>
      <c r="S261" s="92"/>
      <c r="T261" s="92"/>
      <c r="U261" s="92"/>
      <c r="V261" s="92"/>
      <c r="W261" s="92"/>
      <c r="X261" s="93"/>
      <c r="Y261" s="93"/>
      <c r="Z261" s="93"/>
    </row>
    <row r="262" spans="1:26" s="70" customFormat="1">
      <c r="A262" s="44" t="s">
        <v>549</v>
      </c>
      <c r="B262" s="99">
        <v>2332</v>
      </c>
      <c r="C262" s="99">
        <v>2500</v>
      </c>
      <c r="D262" s="175">
        <v>2562</v>
      </c>
      <c r="E262" s="175">
        <v>2573</v>
      </c>
      <c r="F262" s="93"/>
      <c r="G262" s="93"/>
      <c r="H262" s="44"/>
      <c r="I262" s="99">
        <v>2317</v>
      </c>
      <c r="J262" s="99">
        <v>2343</v>
      </c>
      <c r="K262" s="99">
        <v>2363</v>
      </c>
      <c r="L262" s="100">
        <v>2384</v>
      </c>
      <c r="M262" s="100">
        <v>2438</v>
      </c>
      <c r="N262" s="100">
        <v>2588</v>
      </c>
      <c r="O262" s="99">
        <v>2585</v>
      </c>
      <c r="P262" s="100">
        <v>2588</v>
      </c>
      <c r="Q262" s="100">
        <v>2564</v>
      </c>
      <c r="R262" s="100">
        <v>2550</v>
      </c>
      <c r="S262" s="100">
        <v>2546</v>
      </c>
      <c r="T262" s="100">
        <v>2568</v>
      </c>
      <c r="U262" s="100">
        <v>2566</v>
      </c>
      <c r="V262" s="100">
        <v>2571</v>
      </c>
      <c r="W262" s="100">
        <v>2581</v>
      </c>
      <c r="X262" s="100">
        <v>2599</v>
      </c>
      <c r="Y262" s="100">
        <v>2607</v>
      </c>
      <c r="Z262" s="100">
        <v>2615</v>
      </c>
    </row>
    <row r="263" spans="1:26" s="70" customFormat="1">
      <c r="A263" s="44" t="s">
        <v>550</v>
      </c>
      <c r="B263" s="180">
        <v>10</v>
      </c>
      <c r="C263" s="180">
        <v>9.6999999999999993</v>
      </c>
      <c r="D263" s="175">
        <v>27.89</v>
      </c>
      <c r="E263" s="175">
        <v>16.97</v>
      </c>
      <c r="F263" s="93"/>
      <c r="G263" s="93"/>
      <c r="H263" s="44"/>
      <c r="I263" s="180">
        <v>2.13</v>
      </c>
      <c r="J263" s="180">
        <v>3.55</v>
      </c>
      <c r="K263" s="180">
        <v>2.37</v>
      </c>
      <c r="L263" s="181">
        <v>5.2</v>
      </c>
      <c r="M263" s="180">
        <v>1.24</v>
      </c>
      <c r="N263" s="180">
        <v>2.29</v>
      </c>
      <c r="O263" s="180">
        <v>1.1200000000000001</v>
      </c>
      <c r="P263" s="181">
        <v>11.92</v>
      </c>
      <c r="Q263" s="184">
        <v>8.8699999999999992</v>
      </c>
      <c r="R263" s="185">
        <v>4.9000000000000004</v>
      </c>
      <c r="S263" s="186">
        <v>2.11</v>
      </c>
      <c r="T263" s="186">
        <v>2.94</v>
      </c>
      <c r="U263" s="185">
        <v>2.97</v>
      </c>
      <c r="V263" s="185">
        <v>6.94</v>
      </c>
      <c r="W263" s="185">
        <v>4.12</v>
      </c>
      <c r="X263" s="186">
        <v>5.65</v>
      </c>
      <c r="Y263" s="186">
        <v>6.78</v>
      </c>
      <c r="Z263" s="186">
        <v>9.1999999999999993</v>
      </c>
    </row>
    <row r="264" spans="1:26" s="70" customFormat="1">
      <c r="A264" s="44" t="s">
        <v>551</v>
      </c>
      <c r="B264" s="180">
        <v>2.09</v>
      </c>
      <c r="C264" s="180">
        <v>4.2699999999999996</v>
      </c>
      <c r="D264" s="175">
        <v>-11.12</v>
      </c>
      <c r="E264" s="175">
        <v>6.47</v>
      </c>
      <c r="F264" s="93"/>
      <c r="G264" s="93"/>
      <c r="H264" s="44"/>
      <c r="I264" s="180">
        <v>0.42</v>
      </c>
      <c r="J264" s="180">
        <v>0.9</v>
      </c>
      <c r="K264" s="180">
        <v>0.43</v>
      </c>
      <c r="L264" s="181">
        <v>-2.15</v>
      </c>
      <c r="M264" s="180">
        <v>1.55</v>
      </c>
      <c r="N264" s="180">
        <v>2.76</v>
      </c>
      <c r="O264" s="180">
        <v>1.88</v>
      </c>
      <c r="P264" s="181">
        <v>-8.24</v>
      </c>
      <c r="Q264" s="184">
        <v>-5.24</v>
      </c>
      <c r="R264" s="185">
        <v>1.62</v>
      </c>
      <c r="S264" s="186">
        <v>0.88</v>
      </c>
      <c r="T264" s="186">
        <v>1.89</v>
      </c>
      <c r="U264" s="185">
        <v>2.29</v>
      </c>
      <c r="V264" s="185">
        <v>2.08</v>
      </c>
      <c r="W264" s="185">
        <v>0.23</v>
      </c>
      <c r="X264" s="186">
        <v>2.2999999999999998</v>
      </c>
      <c r="Y264" s="186">
        <v>1.79</v>
      </c>
      <c r="Z264" s="186">
        <v>1.41</v>
      </c>
    </row>
    <row r="265" spans="1:26" s="70" customFormat="1">
      <c r="A265" s="43" t="s">
        <v>552</v>
      </c>
      <c r="B265" s="184">
        <v>12.09</v>
      </c>
      <c r="C265" s="184">
        <v>13.97</v>
      </c>
      <c r="D265" s="175">
        <v>16.77</v>
      </c>
      <c r="E265" s="175">
        <v>23.44</v>
      </c>
      <c r="F265" s="93"/>
      <c r="G265" s="93"/>
      <c r="H265" s="43"/>
      <c r="I265" s="184">
        <v>2.5499999999999998</v>
      </c>
      <c r="J265" s="184">
        <v>4.45</v>
      </c>
      <c r="K265" s="184">
        <v>2.8</v>
      </c>
      <c r="L265" s="185">
        <v>3.05</v>
      </c>
      <c r="M265" s="184">
        <v>2.79</v>
      </c>
      <c r="N265" s="184">
        <v>5.05</v>
      </c>
      <c r="O265" s="184">
        <v>3</v>
      </c>
      <c r="P265" s="185">
        <v>3.68</v>
      </c>
      <c r="Q265" s="184">
        <v>3.63</v>
      </c>
      <c r="R265" s="185">
        <v>6.52</v>
      </c>
      <c r="S265" s="186">
        <v>2.99</v>
      </c>
      <c r="T265" s="186">
        <v>4.83</v>
      </c>
      <c r="U265" s="185">
        <v>5.26</v>
      </c>
      <c r="V265" s="185">
        <v>9.02</v>
      </c>
      <c r="W265" s="185">
        <v>4.3499999999999996</v>
      </c>
      <c r="X265" s="186">
        <v>7.95</v>
      </c>
      <c r="Y265" s="186">
        <v>8.57</v>
      </c>
      <c r="Z265" s="186">
        <v>10.61</v>
      </c>
    </row>
    <row r="266" spans="1:26" s="70" customFormat="1">
      <c r="A266" s="43"/>
      <c r="B266" s="93"/>
      <c r="C266" s="93"/>
      <c r="D266" s="93"/>
      <c r="E266" s="93"/>
      <c r="F266" s="93"/>
      <c r="G266" s="93"/>
      <c r="H266" s="43"/>
      <c r="I266" s="43"/>
      <c r="J266" s="92"/>
      <c r="K266" s="92"/>
      <c r="L266" s="92"/>
      <c r="M266" s="92"/>
      <c r="N266" s="92"/>
      <c r="O266" s="92"/>
      <c r="P266" s="92"/>
      <c r="Q266" s="92"/>
      <c r="R266" s="92"/>
      <c r="S266" s="92"/>
      <c r="T266" s="92"/>
      <c r="U266" s="92"/>
      <c r="V266" s="92"/>
      <c r="W266" s="92"/>
      <c r="X266" s="93"/>
      <c r="Y266" s="93"/>
      <c r="Z266" s="93"/>
    </row>
    <row r="267" spans="1:26">
      <c r="B267" s="102"/>
      <c r="C267" s="102"/>
      <c r="D267" s="102"/>
      <c r="E267" s="102"/>
      <c r="F267" s="136"/>
      <c r="G267" s="136"/>
      <c r="J267" s="101"/>
      <c r="K267" s="101"/>
      <c r="L267" s="101"/>
      <c r="M267" s="101"/>
      <c r="N267" s="101"/>
      <c r="O267" s="101"/>
      <c r="P267" s="101"/>
      <c r="Q267" s="101"/>
      <c r="R267" s="101"/>
      <c r="S267" s="97"/>
      <c r="T267" s="101"/>
      <c r="U267" s="101"/>
      <c r="V267" s="101"/>
      <c r="W267" s="101"/>
      <c r="X267" s="102"/>
      <c r="Y267" s="102"/>
      <c r="Z267" s="102"/>
    </row>
    <row r="268" spans="1:26">
      <c r="A268" s="48" t="s">
        <v>487</v>
      </c>
      <c r="B268" s="50">
        <v>41699</v>
      </c>
      <c r="C268" s="50">
        <v>42064</v>
      </c>
      <c r="D268" s="50">
        <f>D1</f>
        <v>42430</v>
      </c>
      <c r="E268" s="50">
        <f>E1</f>
        <v>42795</v>
      </c>
      <c r="F268" s="118"/>
      <c r="G268" s="118"/>
      <c r="H268" s="49">
        <v>41426</v>
      </c>
      <c r="I268" s="50">
        <v>41518</v>
      </c>
      <c r="J268" s="50">
        <v>41609</v>
      </c>
      <c r="K268" s="50">
        <v>41699</v>
      </c>
      <c r="L268" s="49">
        <v>41791</v>
      </c>
      <c r="M268" s="50">
        <v>41883</v>
      </c>
      <c r="N268" s="49">
        <v>41974</v>
      </c>
      <c r="O268" s="50">
        <v>42064</v>
      </c>
      <c r="P268" s="49">
        <v>42156</v>
      </c>
      <c r="Q268" s="50">
        <v>42248</v>
      </c>
      <c r="R268" s="49">
        <v>42339</v>
      </c>
      <c r="S268" s="50">
        <v>42430</v>
      </c>
      <c r="T268" s="49">
        <v>42522</v>
      </c>
      <c r="U268" s="50">
        <v>42614</v>
      </c>
      <c r="V268" s="49">
        <v>42705</v>
      </c>
      <c r="W268" s="49">
        <v>42795</v>
      </c>
      <c r="X268" s="49">
        <v>42903</v>
      </c>
      <c r="Y268" s="49">
        <f>Y1</f>
        <v>42995</v>
      </c>
      <c r="Z268" s="49">
        <f>Z1</f>
        <v>43086</v>
      </c>
    </row>
    <row r="269" spans="1:26">
      <c r="A269" s="48" t="s">
        <v>518</v>
      </c>
      <c r="B269" s="51" t="str">
        <f>B2</f>
        <v>FY14</v>
      </c>
      <c r="C269" s="51" t="str">
        <f>C2</f>
        <v>FY15</v>
      </c>
      <c r="D269" s="51" t="str">
        <f>D2</f>
        <v>FY16</v>
      </c>
      <c r="E269" s="51" t="str">
        <f>E2</f>
        <v>FY17</v>
      </c>
      <c r="F269" s="119"/>
      <c r="G269" s="119"/>
      <c r="H269" s="51" t="s">
        <v>72</v>
      </c>
      <c r="I269" s="51" t="s">
        <v>73</v>
      </c>
      <c r="J269" s="51" t="s">
        <v>74</v>
      </c>
      <c r="K269" s="51" t="s">
        <v>75</v>
      </c>
      <c r="L269" s="51" t="s">
        <v>76</v>
      </c>
      <c r="M269" s="51" t="s">
        <v>77</v>
      </c>
      <c r="N269" s="51" t="str">
        <f t="shared" ref="N269:W269" si="98">N2</f>
        <v>3Q15</v>
      </c>
      <c r="O269" s="51" t="str">
        <f t="shared" si="98"/>
        <v>4Q15</v>
      </c>
      <c r="P269" s="51" t="str">
        <f t="shared" si="98"/>
        <v>1Q16</v>
      </c>
      <c r="Q269" s="51" t="str">
        <f t="shared" si="98"/>
        <v>2Q16</v>
      </c>
      <c r="R269" s="51" t="str">
        <f t="shared" si="98"/>
        <v>3Q16</v>
      </c>
      <c r="S269" s="51" t="str">
        <f t="shared" si="98"/>
        <v>4Q16</v>
      </c>
      <c r="T269" s="51" t="str">
        <f t="shared" si="98"/>
        <v>1Q17</v>
      </c>
      <c r="U269" s="51" t="str">
        <f t="shared" si="98"/>
        <v>2Q17</v>
      </c>
      <c r="V269" s="51" t="str">
        <f t="shared" si="98"/>
        <v>3Q17</v>
      </c>
      <c r="W269" s="51" t="str">
        <f t="shared" si="98"/>
        <v>4Q17</v>
      </c>
      <c r="X269" s="51" t="s">
        <v>640</v>
      </c>
      <c r="Y269" s="51" t="str">
        <f>Y2</f>
        <v>2Q18</v>
      </c>
      <c r="Z269" s="51" t="str">
        <f>Z2</f>
        <v>3Q18</v>
      </c>
    </row>
    <row r="270" spans="1:26">
      <c r="A270" s="21" t="s">
        <v>519</v>
      </c>
      <c r="B270" s="102"/>
      <c r="C270" s="102"/>
      <c r="D270" s="102"/>
      <c r="E270" s="102"/>
      <c r="F270" s="136"/>
      <c r="G270" s="136"/>
      <c r="J270" s="101"/>
      <c r="K270" s="101"/>
      <c r="L270" s="101"/>
      <c r="M270" s="101"/>
      <c r="N270" s="101"/>
      <c r="O270" s="101"/>
      <c r="P270" s="101"/>
      <c r="Q270" s="101"/>
      <c r="R270" s="101"/>
      <c r="S270" s="103"/>
      <c r="T270" s="103"/>
      <c r="U270" s="101"/>
      <c r="V270" s="103"/>
      <c r="W270" s="103"/>
      <c r="X270" s="102"/>
      <c r="Y270" s="102"/>
      <c r="Z270" s="102"/>
    </row>
    <row r="271" spans="1:26">
      <c r="A271" s="21" t="s">
        <v>520</v>
      </c>
      <c r="B271" s="102"/>
      <c r="C271" s="102"/>
      <c r="D271" s="102"/>
      <c r="E271" s="102"/>
      <c r="F271" s="136"/>
      <c r="G271" s="136"/>
      <c r="J271" s="101"/>
      <c r="K271" s="101"/>
      <c r="L271" s="101"/>
      <c r="M271" s="101"/>
      <c r="N271" s="101"/>
      <c r="O271" s="101"/>
      <c r="P271" s="101"/>
      <c r="Q271" s="101"/>
      <c r="R271" s="101"/>
      <c r="S271" s="101"/>
      <c r="T271" s="101"/>
      <c r="U271" s="101"/>
      <c r="V271" s="101"/>
      <c r="W271" s="101"/>
      <c r="X271" s="102"/>
      <c r="Y271" s="102"/>
      <c r="Z271" s="102"/>
    </row>
    <row r="272" spans="1:26">
      <c r="A272" s="22" t="s">
        <v>143</v>
      </c>
      <c r="B272" s="187">
        <v>33045</v>
      </c>
      <c r="C272" s="187">
        <v>108193</v>
      </c>
      <c r="D272" s="187">
        <v>106818</v>
      </c>
      <c r="E272" s="187">
        <v>143736</v>
      </c>
      <c r="F272" s="137"/>
      <c r="G272" s="137"/>
      <c r="H272" s="22"/>
      <c r="I272" s="22"/>
      <c r="J272" s="103"/>
      <c r="K272" s="188">
        <v>33045</v>
      </c>
      <c r="L272" s="101"/>
      <c r="M272" s="101"/>
      <c r="N272" s="101"/>
      <c r="O272" s="188">
        <v>108193</v>
      </c>
      <c r="P272" s="188">
        <v>104064</v>
      </c>
      <c r="Q272" s="188">
        <v>96747</v>
      </c>
      <c r="R272" s="190">
        <v>110301</v>
      </c>
      <c r="S272" s="104">
        <f>D272</f>
        <v>106818</v>
      </c>
      <c r="T272" s="188">
        <v>82246</v>
      </c>
      <c r="U272" s="188">
        <v>103684</v>
      </c>
      <c r="V272" s="188">
        <v>133989</v>
      </c>
      <c r="W272" s="104">
        <f>E272</f>
        <v>143736</v>
      </c>
      <c r="X272" s="188">
        <v>145114</v>
      </c>
      <c r="Y272" s="188">
        <v>148746</v>
      </c>
      <c r="Z272" s="188">
        <v>212196</v>
      </c>
    </row>
    <row r="273" spans="1:26">
      <c r="A273" s="22" t="s">
        <v>169</v>
      </c>
      <c r="B273" s="187">
        <v>10587</v>
      </c>
      <c r="C273" s="187">
        <v>14148</v>
      </c>
      <c r="D273" s="187">
        <v>4700</v>
      </c>
      <c r="E273" s="187">
        <v>3011</v>
      </c>
      <c r="F273" s="137"/>
      <c r="G273" s="137"/>
      <c r="H273" s="22"/>
      <c r="I273" s="22"/>
      <c r="J273" s="103"/>
      <c r="K273" s="188">
        <v>10587</v>
      </c>
      <c r="L273" s="101"/>
      <c r="M273" s="101"/>
      <c r="N273" s="101"/>
      <c r="O273" s="188">
        <v>14148</v>
      </c>
      <c r="P273" s="188">
        <v>11207</v>
      </c>
      <c r="Q273" s="188">
        <v>8944</v>
      </c>
      <c r="R273" s="190">
        <v>8022</v>
      </c>
      <c r="S273" s="104">
        <f>D273</f>
        <v>4700</v>
      </c>
      <c r="T273" s="188">
        <v>7170</v>
      </c>
      <c r="U273" s="188">
        <v>3870</v>
      </c>
      <c r="V273" s="188">
        <v>4499</v>
      </c>
      <c r="W273" s="104">
        <f>E273</f>
        <v>3011</v>
      </c>
      <c r="X273" s="188">
        <v>3008</v>
      </c>
      <c r="Y273" s="188">
        <v>11109</v>
      </c>
      <c r="Z273" s="188">
        <v>8184</v>
      </c>
    </row>
    <row r="274" spans="1:26">
      <c r="A274" s="22" t="s">
        <v>190</v>
      </c>
      <c r="B274" s="187">
        <v>4921</v>
      </c>
      <c r="C274" s="187">
        <v>2297</v>
      </c>
      <c r="D274" s="187">
        <v>1346</v>
      </c>
      <c r="E274" s="187">
        <v>2655</v>
      </c>
      <c r="F274" s="137"/>
      <c r="G274" s="137"/>
      <c r="H274" s="22"/>
      <c r="I274" s="22"/>
      <c r="J274" s="103"/>
      <c r="K274" s="188">
        <v>4921</v>
      </c>
      <c r="L274" s="101"/>
      <c r="M274" s="101"/>
      <c r="N274" s="101"/>
      <c r="O274" s="188">
        <v>2297</v>
      </c>
      <c r="P274" s="188">
        <v>1915</v>
      </c>
      <c r="Q274" s="188">
        <v>1919</v>
      </c>
      <c r="R274" s="190">
        <v>1312</v>
      </c>
      <c r="S274" s="192">
        <f>D274</f>
        <v>1346</v>
      </c>
      <c r="T274" s="191">
        <v>508</v>
      </c>
      <c r="U274" s="191">
        <v>203</v>
      </c>
      <c r="V274" s="188">
        <v>1004</v>
      </c>
      <c r="W274" s="104">
        <f>E274</f>
        <v>2655</v>
      </c>
      <c r="X274" s="191">
        <v>3211</v>
      </c>
      <c r="Y274" s="188">
        <v>2941</v>
      </c>
      <c r="Z274" s="188">
        <v>3381</v>
      </c>
    </row>
    <row r="275" spans="1:26">
      <c r="A275" s="22" t="s">
        <v>217</v>
      </c>
      <c r="B275" s="86">
        <v>13159</v>
      </c>
      <c r="C275" s="56">
        <v>835</v>
      </c>
      <c r="D275" s="56"/>
      <c r="E275" s="56"/>
      <c r="H275" s="22"/>
      <c r="I275" s="22"/>
      <c r="J275" s="58"/>
      <c r="K275" s="157">
        <v>13159</v>
      </c>
      <c r="O275" s="151">
        <v>835</v>
      </c>
      <c r="P275" s="157">
        <v>2508</v>
      </c>
      <c r="Q275" s="157"/>
      <c r="R275" s="152"/>
      <c r="S275" s="47"/>
      <c r="U275" s="58"/>
      <c r="X275" s="21"/>
      <c r="Y275" s="21"/>
      <c r="Z275" s="21"/>
    </row>
    <row r="276" spans="1:26">
      <c r="A276" s="22" t="s">
        <v>192</v>
      </c>
      <c r="B276" s="86">
        <v>1442</v>
      </c>
      <c r="C276" s="86">
        <v>3658</v>
      </c>
      <c r="D276" s="86">
        <v>4178</v>
      </c>
      <c r="E276" s="86">
        <v>4054</v>
      </c>
      <c r="F276" s="125"/>
      <c r="G276" s="125"/>
      <c r="H276" s="22"/>
      <c r="I276" s="22"/>
      <c r="J276" s="58"/>
      <c r="K276" s="157">
        <v>1442</v>
      </c>
      <c r="O276" s="157">
        <v>3658</v>
      </c>
      <c r="P276" s="151">
        <v>391</v>
      </c>
      <c r="Q276" s="157">
        <v>2274</v>
      </c>
      <c r="R276" s="152">
        <v>2059</v>
      </c>
      <c r="S276" s="104">
        <f t="shared" ref="S276:S286" si="99">D276</f>
        <v>4178</v>
      </c>
      <c r="T276" s="157">
        <v>2672</v>
      </c>
      <c r="U276" s="157">
        <v>3454</v>
      </c>
      <c r="V276" s="157">
        <v>3308</v>
      </c>
      <c r="W276" s="58">
        <f t="shared" ref="W276:W286" si="100">E276</f>
        <v>4054</v>
      </c>
      <c r="X276" s="157">
        <v>4462</v>
      </c>
      <c r="Y276" s="157">
        <v>5155</v>
      </c>
      <c r="Z276" s="157">
        <v>3752</v>
      </c>
    </row>
    <row r="277" spans="1:26">
      <c r="A277" s="22" t="s">
        <v>194</v>
      </c>
      <c r="B277" s="86">
        <v>4679</v>
      </c>
      <c r="C277" s="86">
        <v>12978</v>
      </c>
      <c r="D277" s="86">
        <v>16993</v>
      </c>
      <c r="E277" s="86">
        <v>29060</v>
      </c>
      <c r="F277" s="125"/>
      <c r="G277" s="125"/>
      <c r="H277" s="22"/>
      <c r="I277" s="22"/>
      <c r="J277" s="58"/>
      <c r="K277" s="157">
        <v>4679</v>
      </c>
      <c r="O277" s="157">
        <v>12978</v>
      </c>
      <c r="P277" s="157">
        <v>14812</v>
      </c>
      <c r="Q277" s="157">
        <v>12107</v>
      </c>
      <c r="R277" s="152">
        <v>14938</v>
      </c>
      <c r="S277" s="104">
        <f t="shared" si="99"/>
        <v>16993</v>
      </c>
      <c r="T277" s="157">
        <v>20492</v>
      </c>
      <c r="U277" s="157">
        <v>25115</v>
      </c>
      <c r="V277" s="157">
        <v>25728</v>
      </c>
      <c r="W277" s="1292">
        <f t="shared" si="100"/>
        <v>29060</v>
      </c>
      <c r="X277" s="157">
        <v>30569</v>
      </c>
      <c r="Y277" s="157">
        <v>36697</v>
      </c>
      <c r="Z277" s="157">
        <v>40777</v>
      </c>
    </row>
    <row r="278" spans="1:26">
      <c r="A278" s="21" t="s">
        <v>145</v>
      </c>
      <c r="B278" s="86">
        <v>67833</v>
      </c>
      <c r="C278" s="86">
        <v>142109</v>
      </c>
      <c r="D278" s="86">
        <v>134035</v>
      </c>
      <c r="E278" s="86">
        <v>182516</v>
      </c>
      <c r="F278" s="125"/>
      <c r="G278" s="125"/>
      <c r="J278" s="58"/>
      <c r="K278" s="157">
        <v>67833</v>
      </c>
      <c r="O278" s="157">
        <v>142109</v>
      </c>
      <c r="P278" s="157">
        <v>134897</v>
      </c>
      <c r="Q278" s="157">
        <v>121991</v>
      </c>
      <c r="R278" s="152">
        <v>136632</v>
      </c>
      <c r="S278" s="52">
        <f t="shared" si="99"/>
        <v>134035</v>
      </c>
      <c r="T278" s="157">
        <v>113088</v>
      </c>
      <c r="U278" s="157">
        <v>136326</v>
      </c>
      <c r="V278" s="157">
        <v>168528</v>
      </c>
      <c r="W278" s="58">
        <f t="shared" si="100"/>
        <v>182516</v>
      </c>
      <c r="X278" s="157">
        <v>186394</v>
      </c>
      <c r="Y278" s="157">
        <v>204648</v>
      </c>
      <c r="Z278" s="157">
        <v>268290</v>
      </c>
    </row>
    <row r="279" spans="1:26">
      <c r="A279" s="21" t="s">
        <v>192</v>
      </c>
      <c r="B279" s="86">
        <v>3023</v>
      </c>
      <c r="C279" s="86">
        <v>14611</v>
      </c>
      <c r="D279" s="86">
        <v>29392</v>
      </c>
      <c r="E279" s="86">
        <v>31452</v>
      </c>
      <c r="F279" s="125"/>
      <c r="G279" s="125"/>
      <c r="J279" s="58"/>
      <c r="K279" s="157">
        <v>3023</v>
      </c>
      <c r="O279" s="157">
        <v>14611</v>
      </c>
      <c r="P279" s="157">
        <v>27105</v>
      </c>
      <c r="Q279" s="157">
        <v>27555</v>
      </c>
      <c r="R279" s="152">
        <v>36091</v>
      </c>
      <c r="S279" s="52">
        <f>D279</f>
        <v>29392</v>
      </c>
      <c r="T279" s="157">
        <v>25775</v>
      </c>
      <c r="U279" s="157">
        <v>37758</v>
      </c>
      <c r="V279" s="157">
        <v>34331</v>
      </c>
      <c r="W279" s="58">
        <f>E279</f>
        <v>31452</v>
      </c>
      <c r="X279" s="157">
        <v>30888</v>
      </c>
      <c r="Y279" s="157">
        <v>33049</v>
      </c>
      <c r="Z279" s="157">
        <v>34855</v>
      </c>
    </row>
    <row r="280" spans="1:26">
      <c r="A280" s="21" t="s">
        <v>194</v>
      </c>
      <c r="B280" s="86">
        <v>2087</v>
      </c>
      <c r="C280" s="86">
        <v>4085</v>
      </c>
      <c r="D280" s="86">
        <v>5837</v>
      </c>
      <c r="E280" s="86">
        <v>8051</v>
      </c>
      <c r="F280" s="125"/>
      <c r="G280" s="125"/>
      <c r="J280" s="58"/>
      <c r="K280" s="157">
        <v>2087</v>
      </c>
      <c r="O280" s="157">
        <v>4085</v>
      </c>
      <c r="P280" s="157">
        <v>4020</v>
      </c>
      <c r="Q280" s="157">
        <v>6924</v>
      </c>
      <c r="R280" s="152">
        <v>8351</v>
      </c>
      <c r="S280" s="52">
        <f>D280</f>
        <v>5837</v>
      </c>
      <c r="T280" s="157">
        <v>4996</v>
      </c>
      <c r="U280" s="157">
        <v>6138</v>
      </c>
      <c r="V280" s="157">
        <v>7864</v>
      </c>
      <c r="W280" s="1292">
        <f>E280</f>
        <v>8051</v>
      </c>
      <c r="X280" s="157">
        <v>11127</v>
      </c>
      <c r="Y280" s="157">
        <v>13173</v>
      </c>
      <c r="Z280" s="157">
        <v>14750</v>
      </c>
    </row>
    <row r="281" spans="1:26">
      <c r="A281" s="21" t="s">
        <v>193</v>
      </c>
      <c r="B281" s="86">
        <v>17666</v>
      </c>
      <c r="C281" s="86">
        <v>33877</v>
      </c>
      <c r="D281" s="86">
        <v>91461</v>
      </c>
      <c r="E281" s="86">
        <v>120368</v>
      </c>
      <c r="F281" s="125"/>
      <c r="G281" s="125"/>
      <c r="J281" s="58"/>
      <c r="K281" s="157">
        <v>17666</v>
      </c>
      <c r="O281" s="157">
        <v>33877</v>
      </c>
      <c r="P281" s="157">
        <v>64768</v>
      </c>
      <c r="Q281" s="157">
        <v>68180</v>
      </c>
      <c r="R281" s="152">
        <v>79235</v>
      </c>
      <c r="S281" s="52">
        <f t="shared" si="99"/>
        <v>91461</v>
      </c>
      <c r="T281" s="157">
        <v>117100</v>
      </c>
      <c r="U281" s="157">
        <v>119674</v>
      </c>
      <c r="V281" s="157">
        <v>120065</v>
      </c>
      <c r="W281" s="58">
        <f t="shared" si="100"/>
        <v>120368</v>
      </c>
      <c r="X281" s="157">
        <v>118971</v>
      </c>
      <c r="Y281" s="157">
        <v>126850</v>
      </c>
      <c r="Z281" s="157">
        <v>129505</v>
      </c>
    </row>
    <row r="282" spans="1:26">
      <c r="A282" s="21" t="s">
        <v>264</v>
      </c>
      <c r="B282" s="86">
        <v>5581</v>
      </c>
      <c r="C282" s="86">
        <v>9139</v>
      </c>
      <c r="D282" s="86">
        <v>13629</v>
      </c>
      <c r="E282" s="86">
        <v>20206</v>
      </c>
      <c r="F282" s="125"/>
      <c r="G282" s="125"/>
      <c r="J282" s="58"/>
      <c r="K282" s="157">
        <v>5581</v>
      </c>
      <c r="O282" s="157">
        <v>9139</v>
      </c>
      <c r="P282" s="157">
        <v>9967</v>
      </c>
      <c r="Q282" s="157">
        <v>11428</v>
      </c>
      <c r="R282" s="152">
        <v>13844</v>
      </c>
      <c r="S282" s="52">
        <f t="shared" si="99"/>
        <v>13629</v>
      </c>
      <c r="T282" s="157">
        <v>15791</v>
      </c>
      <c r="U282" s="157">
        <v>16400</v>
      </c>
      <c r="V282" s="157">
        <v>19899</v>
      </c>
      <c r="W282" s="58">
        <f t="shared" si="100"/>
        <v>20206</v>
      </c>
      <c r="X282" s="157">
        <v>43922</v>
      </c>
      <c r="Y282" s="157">
        <v>49587</v>
      </c>
      <c r="Z282" s="157">
        <v>64973</v>
      </c>
    </row>
    <row r="283" spans="1:26">
      <c r="A283" s="21" t="s">
        <v>195</v>
      </c>
      <c r="B283" s="86">
        <v>1660</v>
      </c>
      <c r="C283" s="86">
        <v>3105</v>
      </c>
      <c r="D283" s="86">
        <v>2876</v>
      </c>
      <c r="E283" s="86">
        <v>4691</v>
      </c>
      <c r="F283" s="125"/>
      <c r="G283" s="125"/>
      <c r="J283" s="58"/>
      <c r="K283" s="157">
        <v>1660</v>
      </c>
      <c r="O283" s="157">
        <v>3105</v>
      </c>
      <c r="P283" s="157">
        <v>2927</v>
      </c>
      <c r="Q283" s="157">
        <v>2910</v>
      </c>
      <c r="R283" s="152">
        <v>2893</v>
      </c>
      <c r="S283" s="52">
        <f t="shared" si="99"/>
        <v>2876</v>
      </c>
      <c r="T283" s="157">
        <v>4770</v>
      </c>
      <c r="U283" s="157">
        <v>4743</v>
      </c>
      <c r="V283" s="157">
        <v>4718</v>
      </c>
      <c r="W283" s="58">
        <f t="shared" si="100"/>
        <v>4691</v>
      </c>
      <c r="X283" s="157">
        <v>6629</v>
      </c>
      <c r="Y283" s="157">
        <v>6779</v>
      </c>
      <c r="Z283" s="157">
        <v>9257</v>
      </c>
    </row>
    <row r="284" spans="1:26">
      <c r="A284" s="21" t="s">
        <v>146</v>
      </c>
      <c r="B284" s="86">
        <v>1906</v>
      </c>
      <c r="C284" s="86">
        <v>6575</v>
      </c>
      <c r="D284" s="86">
        <v>5370</v>
      </c>
      <c r="E284" s="86">
        <v>14108</v>
      </c>
      <c r="F284" s="125"/>
      <c r="G284" s="125"/>
      <c r="J284" s="58"/>
      <c r="K284" s="157">
        <v>1906</v>
      </c>
      <c r="O284" s="157">
        <v>6575</v>
      </c>
      <c r="P284" s="157">
        <v>6202</v>
      </c>
      <c r="Q284" s="157">
        <v>6661</v>
      </c>
      <c r="R284" s="152">
        <v>5980</v>
      </c>
      <c r="S284" s="52">
        <f t="shared" si="99"/>
        <v>5370</v>
      </c>
      <c r="T284" s="151">
        <v>14236</v>
      </c>
      <c r="U284" s="157">
        <v>14010</v>
      </c>
      <c r="V284" s="157">
        <v>12921</v>
      </c>
      <c r="W284" s="58">
        <f t="shared" si="100"/>
        <v>14108</v>
      </c>
      <c r="X284" s="151">
        <v>16244</v>
      </c>
      <c r="Y284" s="157">
        <v>14542</v>
      </c>
      <c r="Z284" s="157">
        <v>27119</v>
      </c>
    </row>
    <row r="285" spans="1:26">
      <c r="A285" s="21" t="s">
        <v>147</v>
      </c>
      <c r="B285" s="86">
        <v>11793</v>
      </c>
      <c r="C285" s="86">
        <v>41933</v>
      </c>
      <c r="D285" s="86">
        <v>81645</v>
      </c>
      <c r="E285" s="86">
        <v>125420</v>
      </c>
      <c r="F285" s="125"/>
      <c r="G285" s="125"/>
      <c r="J285" s="58"/>
      <c r="K285" s="157">
        <v>11793</v>
      </c>
      <c r="O285" s="157">
        <v>41933</v>
      </c>
      <c r="P285" s="157">
        <v>32174</v>
      </c>
      <c r="Q285" s="157">
        <v>82109</v>
      </c>
      <c r="R285" s="152">
        <v>81645</v>
      </c>
      <c r="S285" s="52">
        <f t="shared" si="99"/>
        <v>81645</v>
      </c>
      <c r="T285" s="151">
        <v>114214</v>
      </c>
      <c r="U285" s="157">
        <v>121353</v>
      </c>
      <c r="V285" s="157">
        <v>122540</v>
      </c>
      <c r="W285" s="58">
        <f t="shared" si="100"/>
        <v>125420</v>
      </c>
      <c r="X285" s="151">
        <v>129539</v>
      </c>
      <c r="Y285" s="157">
        <v>130196</v>
      </c>
      <c r="Z285" s="157">
        <v>162683</v>
      </c>
    </row>
    <row r="286" spans="1:26" s="70" customFormat="1">
      <c r="A286" s="26" t="s">
        <v>148</v>
      </c>
      <c r="B286" s="172">
        <v>111549</v>
      </c>
      <c r="C286" s="172">
        <v>255434</v>
      </c>
      <c r="D286" s="172">
        <v>364245</v>
      </c>
      <c r="E286" s="172">
        <v>506812</v>
      </c>
      <c r="F286" s="135"/>
      <c r="G286" s="135"/>
      <c r="H286" s="26"/>
      <c r="I286" s="26"/>
      <c r="J286" s="105"/>
      <c r="K286" s="189">
        <v>111549</v>
      </c>
      <c r="L286" s="26"/>
      <c r="M286" s="26"/>
      <c r="N286" s="26"/>
      <c r="O286" s="189">
        <v>255434</v>
      </c>
      <c r="P286" s="189">
        <v>282060</v>
      </c>
      <c r="Q286" s="189">
        <v>327758</v>
      </c>
      <c r="R286" s="89">
        <v>364671</v>
      </c>
      <c r="S286" s="90">
        <f t="shared" si="99"/>
        <v>364245</v>
      </c>
      <c r="T286" s="88">
        <v>409970</v>
      </c>
      <c r="U286" s="189">
        <v>456402</v>
      </c>
      <c r="V286" s="189">
        <v>490866</v>
      </c>
      <c r="W286" s="105">
        <f t="shared" si="100"/>
        <v>506812</v>
      </c>
      <c r="X286" s="88">
        <v>543714</v>
      </c>
      <c r="Y286" s="189">
        <v>578824</v>
      </c>
      <c r="Z286" s="189">
        <v>711432</v>
      </c>
    </row>
    <row r="287" spans="1:26">
      <c r="S287" s="47"/>
      <c r="X287" s="21"/>
      <c r="Y287" s="21"/>
      <c r="Z287" s="21"/>
    </row>
    <row r="288" spans="1:26">
      <c r="A288" s="21" t="s">
        <v>521</v>
      </c>
      <c r="D288" s="52"/>
      <c r="E288" s="52"/>
      <c r="F288" s="125"/>
      <c r="G288" s="125"/>
      <c r="R288" s="25">
        <f>(R272+R273)/6.5-R290/6.5</f>
        <v>17749.692307692309</v>
      </c>
      <c r="S288" s="52"/>
      <c r="X288" s="21"/>
      <c r="Y288" s="21"/>
      <c r="Z288" s="21"/>
    </row>
    <row r="289" spans="1:26">
      <c r="A289" s="21" t="s">
        <v>522</v>
      </c>
      <c r="D289" s="52"/>
      <c r="E289" s="52"/>
      <c r="F289" s="125"/>
      <c r="G289" s="125"/>
      <c r="S289" s="52"/>
      <c r="X289" s="21"/>
      <c r="Y289" s="21"/>
      <c r="Z289" s="21"/>
    </row>
    <row r="290" spans="1:26" s="18" customFormat="1">
      <c r="A290" s="45" t="s">
        <v>196</v>
      </c>
      <c r="B290" s="193">
        <v>1100</v>
      </c>
      <c r="C290" s="193">
        <v>1990</v>
      </c>
      <c r="D290" s="133">
        <v>4304</v>
      </c>
      <c r="E290" s="133">
        <v>5948</v>
      </c>
      <c r="F290" s="125"/>
      <c r="G290" s="125"/>
      <c r="H290" s="45"/>
      <c r="I290" s="45"/>
      <c r="J290" s="147"/>
      <c r="K290" s="193">
        <v>1100</v>
      </c>
      <c r="L290" s="44"/>
      <c r="M290" s="44"/>
      <c r="N290" s="44"/>
      <c r="O290" s="193">
        <v>1990</v>
      </c>
      <c r="P290" s="178">
        <v>2265</v>
      </c>
      <c r="Q290" s="178">
        <v>1440</v>
      </c>
      <c r="R290" s="179">
        <v>2950</v>
      </c>
      <c r="S290" s="197">
        <f>D290</f>
        <v>4304</v>
      </c>
      <c r="T290" s="178">
        <v>4684</v>
      </c>
      <c r="U290" s="178">
        <v>5520</v>
      </c>
      <c r="V290" s="178">
        <v>4655</v>
      </c>
      <c r="W290" s="94">
        <f t="shared" ref="W290:W303" si="101">E290</f>
        <v>5948</v>
      </c>
      <c r="X290" s="178">
        <v>7660</v>
      </c>
      <c r="Y290" s="178">
        <v>7696</v>
      </c>
      <c r="Z290" s="178">
        <v>6447</v>
      </c>
    </row>
    <row r="291" spans="1:26" s="18" customFormat="1">
      <c r="A291" s="45" t="s">
        <v>197</v>
      </c>
      <c r="B291" s="193">
        <v>9264</v>
      </c>
      <c r="C291" s="194">
        <v>0</v>
      </c>
      <c r="D291" s="33"/>
      <c r="E291" s="33">
        <v>8949</v>
      </c>
      <c r="H291" s="45"/>
      <c r="I291" s="45"/>
      <c r="J291" s="147"/>
      <c r="K291" s="193">
        <v>9264</v>
      </c>
      <c r="L291" s="44"/>
      <c r="M291" s="44"/>
      <c r="N291" s="44"/>
      <c r="O291" s="194">
        <v>0</v>
      </c>
      <c r="P291" s="178"/>
      <c r="Q291" s="179"/>
      <c r="R291" s="179"/>
      <c r="T291" s="94"/>
      <c r="U291" s="44"/>
      <c r="V291" s="178">
        <v>9024</v>
      </c>
      <c r="W291" s="94">
        <f t="shared" si="101"/>
        <v>8949</v>
      </c>
      <c r="X291" s="94">
        <v>8795</v>
      </c>
      <c r="Y291" s="94">
        <v>8665</v>
      </c>
      <c r="Z291" s="94"/>
    </row>
    <row r="292" spans="1:26" s="18" customFormat="1">
      <c r="A292" s="45" t="s">
        <v>162</v>
      </c>
      <c r="B292" s="193">
        <v>1267</v>
      </c>
      <c r="C292" s="193">
        <v>2733</v>
      </c>
      <c r="D292" s="133">
        <v>2790</v>
      </c>
      <c r="E292" s="133">
        <v>6125</v>
      </c>
      <c r="F292" s="125"/>
      <c r="G292" s="125"/>
      <c r="H292" s="45"/>
      <c r="I292" s="45"/>
      <c r="J292" s="147"/>
      <c r="K292" s="193">
        <v>1267</v>
      </c>
      <c r="L292" s="44"/>
      <c r="M292" s="44"/>
      <c r="N292" s="44"/>
      <c r="O292" s="193">
        <v>2733</v>
      </c>
      <c r="P292" s="179">
        <v>953</v>
      </c>
      <c r="Q292" s="178">
        <v>1413</v>
      </c>
      <c r="R292" s="179">
        <v>3056</v>
      </c>
      <c r="S292" s="125">
        <f>D292</f>
        <v>2790</v>
      </c>
      <c r="T292" s="178">
        <v>2348</v>
      </c>
      <c r="U292" s="178">
        <v>3158</v>
      </c>
      <c r="V292" s="178">
        <v>5736</v>
      </c>
      <c r="W292" s="94">
        <f t="shared" si="101"/>
        <v>6125</v>
      </c>
      <c r="X292" s="178">
        <v>10229</v>
      </c>
      <c r="Y292" s="178">
        <v>11637</v>
      </c>
      <c r="Z292" s="178">
        <v>12474</v>
      </c>
    </row>
    <row r="293" spans="1:26" s="18" customFormat="1">
      <c r="A293" s="45" t="s">
        <v>198</v>
      </c>
      <c r="B293" s="193">
        <v>2659</v>
      </c>
      <c r="C293" s="194">
        <v>0</v>
      </c>
      <c r="D293" s="33"/>
      <c r="E293" s="33">
        <v>2322</v>
      </c>
      <c r="H293" s="45"/>
      <c r="I293" s="45"/>
      <c r="J293" s="147"/>
      <c r="K293" s="193">
        <v>2659</v>
      </c>
      <c r="L293" s="44"/>
      <c r="M293" s="44"/>
      <c r="N293" s="44"/>
      <c r="O293" s="194">
        <v>0</v>
      </c>
      <c r="P293" s="178"/>
      <c r="Q293" s="179"/>
      <c r="R293" s="179"/>
      <c r="T293" s="178"/>
      <c r="U293" s="179"/>
      <c r="V293" s="179">
        <v>802</v>
      </c>
      <c r="W293" s="94">
        <f t="shared" si="101"/>
        <v>2322</v>
      </c>
      <c r="X293" s="178">
        <v>2541</v>
      </c>
      <c r="Y293" s="178">
        <v>2602</v>
      </c>
      <c r="Z293" s="178">
        <v>2844</v>
      </c>
    </row>
    <row r="294" spans="1:26" s="18" customFormat="1">
      <c r="A294" s="45" t="s">
        <v>199</v>
      </c>
      <c r="B294" s="193">
        <v>11887</v>
      </c>
      <c r="C294" s="193">
        <v>19834</v>
      </c>
      <c r="D294" s="133">
        <v>27334</v>
      </c>
      <c r="E294" s="133">
        <v>47186</v>
      </c>
      <c r="F294" s="125"/>
      <c r="G294" s="125"/>
      <c r="H294" s="45"/>
      <c r="I294" s="45"/>
      <c r="J294" s="147"/>
      <c r="K294" s="193">
        <v>11887</v>
      </c>
      <c r="L294" s="44"/>
      <c r="M294" s="44"/>
      <c r="N294" s="44"/>
      <c r="O294" s="193">
        <v>19834</v>
      </c>
      <c r="P294" s="178">
        <v>20601</v>
      </c>
      <c r="Q294" s="178">
        <v>23609</v>
      </c>
      <c r="R294" s="179">
        <v>25445</v>
      </c>
      <c r="S294" s="125">
        <f t="shared" ref="S294:S303" si="102">D294</f>
        <v>27334</v>
      </c>
      <c r="T294" s="178">
        <v>33620</v>
      </c>
      <c r="U294" s="178">
        <v>37206</v>
      </c>
      <c r="V294" s="178">
        <v>44236</v>
      </c>
      <c r="W294" s="1293">
        <f t="shared" si="101"/>
        <v>47186</v>
      </c>
      <c r="X294" s="178">
        <v>51988</v>
      </c>
      <c r="Y294" s="178">
        <v>60580</v>
      </c>
      <c r="Z294" s="178">
        <v>77358</v>
      </c>
    </row>
    <row r="295" spans="1:26" s="18" customFormat="1">
      <c r="A295" s="45" t="s">
        <v>200</v>
      </c>
      <c r="B295" s="193">
        <v>4711</v>
      </c>
      <c r="C295" s="193">
        <v>7201</v>
      </c>
      <c r="D295" s="133">
        <v>7314</v>
      </c>
      <c r="E295" s="133">
        <v>8189</v>
      </c>
      <c r="F295" s="125"/>
      <c r="G295" s="125"/>
      <c r="H295" s="45"/>
      <c r="I295" s="45"/>
      <c r="J295" s="147"/>
      <c r="K295" s="193">
        <v>4711</v>
      </c>
      <c r="L295" s="44"/>
      <c r="M295" s="44"/>
      <c r="N295" s="44"/>
      <c r="O295" s="193">
        <v>7201</v>
      </c>
      <c r="P295" s="178">
        <v>7478</v>
      </c>
      <c r="Q295" s="178">
        <v>7468</v>
      </c>
      <c r="R295" s="179">
        <v>12688</v>
      </c>
      <c r="S295" s="125">
        <f t="shared" si="102"/>
        <v>7314</v>
      </c>
      <c r="T295" s="178">
        <v>7609</v>
      </c>
      <c r="U295" s="178">
        <v>8125</v>
      </c>
      <c r="V295" s="178">
        <v>13649</v>
      </c>
      <c r="W295" s="94">
        <f t="shared" si="101"/>
        <v>8189</v>
      </c>
      <c r="X295" s="178">
        <v>8481</v>
      </c>
      <c r="Y295" s="178">
        <v>8689</v>
      </c>
      <c r="Z295" s="178">
        <v>15287</v>
      </c>
    </row>
    <row r="296" spans="1:26" s="18" customFormat="1">
      <c r="A296" s="45" t="s">
        <v>201</v>
      </c>
      <c r="B296" s="193">
        <v>6496</v>
      </c>
      <c r="C296" s="193">
        <v>7914</v>
      </c>
      <c r="D296" s="133">
        <v>10297</v>
      </c>
      <c r="E296" s="133">
        <v>15052</v>
      </c>
      <c r="F296" s="125"/>
      <c r="G296" s="125"/>
      <c r="H296" s="45"/>
      <c r="I296" s="45"/>
      <c r="J296" s="147"/>
      <c r="K296" s="193">
        <v>6496</v>
      </c>
      <c r="L296" s="44"/>
      <c r="M296" s="44"/>
      <c r="N296" s="44"/>
      <c r="O296" s="193">
        <v>7914</v>
      </c>
      <c r="P296" s="178">
        <v>8400</v>
      </c>
      <c r="Q296" s="178">
        <v>9157</v>
      </c>
      <c r="R296" s="179">
        <v>9863</v>
      </c>
      <c r="S296" s="125">
        <f t="shared" si="102"/>
        <v>10297</v>
      </c>
      <c r="T296" s="178">
        <v>12577</v>
      </c>
      <c r="U296" s="178">
        <v>13422</v>
      </c>
      <c r="V296" s="178">
        <v>14494</v>
      </c>
      <c r="W296" s="94">
        <f t="shared" si="101"/>
        <v>15052</v>
      </c>
      <c r="X296" s="178">
        <v>17312</v>
      </c>
      <c r="Y296" s="178">
        <v>19665</v>
      </c>
      <c r="Z296" s="178">
        <v>22028</v>
      </c>
    </row>
    <row r="297" spans="1:26" s="18" customFormat="1">
      <c r="A297" s="44" t="s">
        <v>149</v>
      </c>
      <c r="B297" s="193">
        <v>37384</v>
      </c>
      <c r="C297" s="193">
        <v>39672</v>
      </c>
      <c r="D297" s="133">
        <v>52039</v>
      </c>
      <c r="E297" s="133">
        <v>93771</v>
      </c>
      <c r="F297" s="125"/>
      <c r="G297" s="125"/>
      <c r="H297" s="44"/>
      <c r="I297" s="44"/>
      <c r="J297" s="147"/>
      <c r="K297" s="193">
        <v>37384</v>
      </c>
      <c r="L297" s="44"/>
      <c r="M297" s="44"/>
      <c r="N297" s="44"/>
      <c r="O297" s="193">
        <v>39672</v>
      </c>
      <c r="P297" s="178">
        <v>39697</v>
      </c>
      <c r="Q297" s="178">
        <v>43087</v>
      </c>
      <c r="R297" s="179">
        <v>54002</v>
      </c>
      <c r="S297" s="125">
        <f t="shared" si="102"/>
        <v>52039</v>
      </c>
      <c r="T297" s="178">
        <v>60838</v>
      </c>
      <c r="U297" s="178">
        <v>67431</v>
      </c>
      <c r="V297" s="178">
        <v>92596</v>
      </c>
      <c r="W297" s="94">
        <f t="shared" si="101"/>
        <v>93771</v>
      </c>
      <c r="X297" s="178">
        <v>107006</v>
      </c>
      <c r="Y297" s="178">
        <v>119534</v>
      </c>
      <c r="Z297" s="178">
        <v>136438</v>
      </c>
    </row>
    <row r="298" spans="1:26" s="18" customFormat="1">
      <c r="A298" s="44" t="s">
        <v>163</v>
      </c>
      <c r="B298" s="194">
        <v>428</v>
      </c>
      <c r="C298" s="194">
        <v>445</v>
      </c>
      <c r="D298" s="33">
        <v>418</v>
      </c>
      <c r="E298" s="33">
        <v>641</v>
      </c>
      <c r="H298" s="44"/>
      <c r="I298" s="44"/>
      <c r="J298" s="148"/>
      <c r="K298" s="194">
        <v>428</v>
      </c>
      <c r="L298" s="44"/>
      <c r="M298" s="44"/>
      <c r="N298" s="44"/>
      <c r="O298" s="194">
        <v>445</v>
      </c>
      <c r="P298" s="179">
        <v>437</v>
      </c>
      <c r="Q298" s="179">
        <v>415</v>
      </c>
      <c r="R298" s="179">
        <v>402</v>
      </c>
      <c r="S298" s="18">
        <f t="shared" si="102"/>
        <v>418</v>
      </c>
      <c r="T298" s="179">
        <v>455</v>
      </c>
      <c r="U298" s="179">
        <v>438</v>
      </c>
      <c r="V298" s="179">
        <v>518</v>
      </c>
      <c r="W298" s="44">
        <f t="shared" si="101"/>
        <v>641</v>
      </c>
      <c r="X298" s="179">
        <v>812</v>
      </c>
      <c r="Y298" s="179">
        <v>800</v>
      </c>
      <c r="Z298" s="179">
        <v>898</v>
      </c>
    </row>
    <row r="299" spans="1:26" s="18" customFormat="1">
      <c r="A299" s="44" t="s">
        <v>150</v>
      </c>
      <c r="B299" s="193">
        <v>2136</v>
      </c>
      <c r="C299" s="193">
        <v>4493</v>
      </c>
      <c r="D299" s="133">
        <v>6471</v>
      </c>
      <c r="E299" s="133">
        <v>10154</v>
      </c>
      <c r="F299" s="125"/>
      <c r="G299" s="125"/>
      <c r="H299" s="44"/>
      <c r="I299" s="44"/>
      <c r="J299" s="147"/>
      <c r="K299" s="193">
        <v>2136</v>
      </c>
      <c r="L299" s="44"/>
      <c r="M299" s="44"/>
      <c r="N299" s="44"/>
      <c r="O299" s="193">
        <v>4493</v>
      </c>
      <c r="P299" s="178">
        <v>4783</v>
      </c>
      <c r="Q299" s="178">
        <v>5420</v>
      </c>
      <c r="R299" s="179">
        <v>6286</v>
      </c>
      <c r="S299" s="125">
        <f t="shared" si="102"/>
        <v>6471</v>
      </c>
      <c r="T299" s="178">
        <v>8469</v>
      </c>
      <c r="U299" s="178">
        <v>10030</v>
      </c>
      <c r="V299" s="178">
        <v>9734</v>
      </c>
      <c r="W299" s="1293">
        <f t="shared" si="101"/>
        <v>10154</v>
      </c>
      <c r="X299" s="178">
        <v>12968</v>
      </c>
      <c r="Y299" s="178">
        <v>13523</v>
      </c>
      <c r="Z299" s="178">
        <v>19076</v>
      </c>
    </row>
    <row r="300" spans="1:26" s="18" customFormat="1">
      <c r="A300" s="44" t="s">
        <v>203</v>
      </c>
      <c r="B300" s="193">
        <v>30711</v>
      </c>
      <c r="C300" s="193">
        <v>1609</v>
      </c>
      <c r="D300" s="133">
        <v>1871</v>
      </c>
      <c r="E300" s="133">
        <v>30959</v>
      </c>
      <c r="F300" s="125"/>
      <c r="G300" s="125"/>
      <c r="H300" s="44"/>
      <c r="I300" s="44"/>
      <c r="J300" s="147"/>
      <c r="K300" s="193">
        <v>30711</v>
      </c>
      <c r="L300" s="44"/>
      <c r="M300" s="44"/>
      <c r="N300" s="44"/>
      <c r="O300" s="193">
        <v>1609</v>
      </c>
      <c r="P300" s="178">
        <v>1694</v>
      </c>
      <c r="Q300" s="178">
        <v>2012</v>
      </c>
      <c r="R300" s="179">
        <v>1754</v>
      </c>
      <c r="S300" s="125">
        <f t="shared" si="102"/>
        <v>1871</v>
      </c>
      <c r="T300" s="178">
        <v>21692</v>
      </c>
      <c r="U300" s="178">
        <v>29527</v>
      </c>
      <c r="V300" s="178">
        <v>30884</v>
      </c>
      <c r="W300" s="94">
        <f t="shared" si="101"/>
        <v>30959</v>
      </c>
      <c r="X300" s="178">
        <v>31783</v>
      </c>
      <c r="Y300" s="178">
        <v>30971</v>
      </c>
      <c r="Z300" s="178">
        <v>34385</v>
      </c>
    </row>
    <row r="301" spans="1:26" s="18" customFormat="1">
      <c r="A301" s="44" t="s">
        <v>466</v>
      </c>
      <c r="B301" s="194">
        <v>0</v>
      </c>
      <c r="C301" s="193">
        <v>48994</v>
      </c>
      <c r="D301" s="133">
        <v>51391</v>
      </c>
      <c r="E301" s="133">
        <v>45876</v>
      </c>
      <c r="F301" s="125"/>
      <c r="G301" s="125"/>
      <c r="H301" s="44"/>
      <c r="I301" s="44"/>
      <c r="J301" s="148"/>
      <c r="K301" s="194">
        <v>0</v>
      </c>
      <c r="L301" s="44"/>
      <c r="M301" s="44"/>
      <c r="N301" s="44"/>
      <c r="O301" s="193">
        <v>48994</v>
      </c>
      <c r="P301" s="178">
        <v>48771</v>
      </c>
      <c r="Q301" s="178">
        <v>50711</v>
      </c>
      <c r="R301" s="179">
        <v>51812</v>
      </c>
      <c r="S301" s="125">
        <f t="shared" si="102"/>
        <v>51391</v>
      </c>
      <c r="T301" s="178">
        <v>52818</v>
      </c>
      <c r="U301" s="178">
        <v>53048</v>
      </c>
      <c r="V301" s="178">
        <v>46262</v>
      </c>
      <c r="W301" s="94">
        <f t="shared" si="101"/>
        <v>45876</v>
      </c>
      <c r="X301" s="178">
        <v>45080</v>
      </c>
      <c r="Y301" s="178">
        <v>44402</v>
      </c>
      <c r="Z301" s="178">
        <v>88499</v>
      </c>
    </row>
    <row r="302" spans="1:26" s="18" customFormat="1">
      <c r="A302" s="44" t="s">
        <v>204</v>
      </c>
      <c r="B302" s="194">
        <v>72</v>
      </c>
      <c r="C302" s="193">
        <v>2150</v>
      </c>
      <c r="D302" s="133">
        <v>2166</v>
      </c>
      <c r="E302" s="133">
        <v>1290</v>
      </c>
      <c r="F302" s="125"/>
      <c r="G302" s="125"/>
      <c r="H302" s="44"/>
      <c r="I302" s="44"/>
      <c r="J302" s="148"/>
      <c r="K302" s="194">
        <v>72</v>
      </c>
      <c r="L302" s="44"/>
      <c r="M302" s="44"/>
      <c r="N302" s="44"/>
      <c r="O302" s="193">
        <v>2150</v>
      </c>
      <c r="P302" s="178">
        <v>2029</v>
      </c>
      <c r="Q302" s="178">
        <v>2194</v>
      </c>
      <c r="R302" s="179">
        <v>2485</v>
      </c>
      <c r="S302" s="125">
        <f t="shared" si="102"/>
        <v>2166</v>
      </c>
      <c r="T302" s="178">
        <v>2602</v>
      </c>
      <c r="U302" s="178">
        <v>2856</v>
      </c>
      <c r="V302" s="178">
        <v>1313</v>
      </c>
      <c r="W302" s="94">
        <f t="shared" si="101"/>
        <v>1290</v>
      </c>
      <c r="X302" s="178">
        <v>1660</v>
      </c>
      <c r="Y302" s="178">
        <v>1595</v>
      </c>
      <c r="Z302" s="178">
        <v>2186</v>
      </c>
    </row>
    <row r="303" spans="1:26" s="70" customFormat="1">
      <c r="A303" s="26" t="s">
        <v>151</v>
      </c>
      <c r="B303" s="195">
        <v>70731</v>
      </c>
      <c r="C303" s="195">
        <v>97363</v>
      </c>
      <c r="D303" s="172">
        <v>114356</v>
      </c>
      <c r="E303" s="172">
        <v>182691</v>
      </c>
      <c r="F303" s="135"/>
      <c r="G303" s="135"/>
      <c r="H303" s="26"/>
      <c r="I303" s="26"/>
      <c r="J303" s="107"/>
      <c r="K303" s="195">
        <v>70731</v>
      </c>
      <c r="L303" s="26"/>
      <c r="M303" s="26"/>
      <c r="N303" s="26"/>
      <c r="O303" s="195">
        <v>97363</v>
      </c>
      <c r="P303" s="189">
        <v>97411</v>
      </c>
      <c r="Q303" s="189">
        <v>103839</v>
      </c>
      <c r="R303" s="88">
        <v>116741</v>
      </c>
      <c r="S303" s="90">
        <f t="shared" si="102"/>
        <v>114356</v>
      </c>
      <c r="T303" s="189">
        <v>146874</v>
      </c>
      <c r="U303" s="189">
        <v>163330</v>
      </c>
      <c r="V303" s="189">
        <v>181307</v>
      </c>
      <c r="W303" s="105">
        <f t="shared" si="101"/>
        <v>182691</v>
      </c>
      <c r="X303" s="189">
        <v>199309</v>
      </c>
      <c r="Y303" s="189">
        <v>210825</v>
      </c>
      <c r="Z303" s="189">
        <v>281482</v>
      </c>
    </row>
    <row r="304" spans="1:26">
      <c r="S304" s="47"/>
      <c r="V304" s="58"/>
      <c r="W304" s="58"/>
    </row>
    <row r="305" spans="1:26">
      <c r="A305" s="21" t="s">
        <v>523</v>
      </c>
      <c r="S305" s="47"/>
      <c r="V305" s="58"/>
      <c r="W305" s="58"/>
    </row>
    <row r="306" spans="1:26">
      <c r="A306" s="21" t="s">
        <v>524</v>
      </c>
      <c r="S306" s="47"/>
      <c r="V306" s="58"/>
      <c r="W306" s="58"/>
    </row>
    <row r="307" spans="1:26">
      <c r="A307" s="22" t="s">
        <v>205</v>
      </c>
      <c r="B307" s="157">
        <v>10284</v>
      </c>
      <c r="C307" s="56"/>
      <c r="D307" s="56"/>
      <c r="E307" s="56"/>
      <c r="H307" s="22"/>
      <c r="I307" s="22"/>
      <c r="J307" s="58"/>
      <c r="K307" s="157">
        <v>10284</v>
      </c>
      <c r="R307" s="25"/>
      <c r="S307" s="47"/>
      <c r="V307" s="58"/>
      <c r="W307" s="58"/>
    </row>
    <row r="308" spans="1:26">
      <c r="A308" s="22" t="s">
        <v>82</v>
      </c>
      <c r="B308" s="151">
        <v>117</v>
      </c>
      <c r="C308" s="151">
        <v>658</v>
      </c>
      <c r="D308" s="56">
        <v>350</v>
      </c>
      <c r="E308" s="56">
        <v>2992</v>
      </c>
      <c r="H308" s="22"/>
      <c r="I308" s="22"/>
      <c r="K308" s="151">
        <v>117</v>
      </c>
      <c r="O308" s="151">
        <v>658</v>
      </c>
      <c r="P308" s="151">
        <v>654</v>
      </c>
      <c r="Q308" s="151">
        <v>366</v>
      </c>
      <c r="R308" s="152">
        <v>384</v>
      </c>
      <c r="S308" s="47">
        <f>D308</f>
        <v>350</v>
      </c>
      <c r="T308" s="157">
        <v>4424</v>
      </c>
      <c r="U308" s="157">
        <v>3863</v>
      </c>
      <c r="V308" s="157">
        <v>3547</v>
      </c>
      <c r="W308" s="58">
        <f>E308</f>
        <v>2992</v>
      </c>
      <c r="X308" s="157">
        <v>736</v>
      </c>
      <c r="Y308" s="157">
        <v>898</v>
      </c>
      <c r="Z308" s="157">
        <v>2979</v>
      </c>
    </row>
    <row r="309" spans="1:26" s="70" customFormat="1">
      <c r="A309" s="26" t="s">
        <v>173</v>
      </c>
      <c r="B309" s="189">
        <v>10401</v>
      </c>
      <c r="C309" s="88">
        <v>658</v>
      </c>
      <c r="D309" s="56">
        <v>350</v>
      </c>
      <c r="E309" s="56">
        <v>2992</v>
      </c>
      <c r="F309" s="18"/>
      <c r="G309" s="18"/>
      <c r="H309" s="26"/>
      <c r="I309" s="26"/>
      <c r="J309" s="105"/>
      <c r="K309" s="189">
        <v>10401</v>
      </c>
      <c r="L309" s="26"/>
      <c r="M309" s="26"/>
      <c r="N309" s="26"/>
      <c r="O309" s="88">
        <v>658</v>
      </c>
      <c r="P309" s="88">
        <v>654</v>
      </c>
      <c r="Q309" s="88">
        <v>366</v>
      </c>
      <c r="R309" s="89">
        <v>384</v>
      </c>
      <c r="S309" s="47">
        <f>D309</f>
        <v>350</v>
      </c>
      <c r="T309" s="189">
        <v>4424</v>
      </c>
      <c r="U309" s="189">
        <v>3863</v>
      </c>
      <c r="V309" s="189">
        <v>3547</v>
      </c>
      <c r="W309" s="58">
        <f>E309</f>
        <v>2992</v>
      </c>
      <c r="X309" s="189">
        <v>736</v>
      </c>
      <c r="Y309" s="157">
        <v>898</v>
      </c>
      <c r="Z309" s="157">
        <v>2979</v>
      </c>
    </row>
    <row r="310" spans="1:26">
      <c r="K310" s="151"/>
      <c r="R310" s="25"/>
      <c r="S310" s="47"/>
      <c r="X310" s="21"/>
      <c r="Y310" s="21"/>
      <c r="Z310" s="21"/>
    </row>
    <row r="311" spans="1:26">
      <c r="A311" s="21" t="s">
        <v>525</v>
      </c>
      <c r="K311" s="151"/>
      <c r="R311" s="25"/>
      <c r="S311" s="47"/>
      <c r="X311" s="21"/>
      <c r="Y311" s="21"/>
      <c r="Z311" s="21"/>
    </row>
    <row r="312" spans="1:26">
      <c r="A312" s="22" t="s">
        <v>160</v>
      </c>
      <c r="B312" s="152">
        <v>1</v>
      </c>
      <c r="C312" s="152">
        <v>1</v>
      </c>
      <c r="D312" s="56">
        <v>1</v>
      </c>
      <c r="E312" s="56">
        <v>1</v>
      </c>
      <c r="H312" s="22"/>
      <c r="I312" s="22"/>
      <c r="J312" s="25"/>
      <c r="K312" s="152">
        <v>1</v>
      </c>
      <c r="L312" s="25"/>
      <c r="M312" s="25"/>
      <c r="N312" s="25"/>
      <c r="O312" s="152">
        <v>1</v>
      </c>
      <c r="P312" s="152">
        <v>1</v>
      </c>
      <c r="Q312" s="152">
        <v>1</v>
      </c>
      <c r="R312" s="152">
        <v>1</v>
      </c>
      <c r="S312" s="47">
        <f t="shared" ref="S312:S323" si="103">D312</f>
        <v>1</v>
      </c>
      <c r="T312" s="152">
        <v>1</v>
      </c>
      <c r="U312" s="152">
        <v>1</v>
      </c>
      <c r="V312" s="152">
        <v>1</v>
      </c>
      <c r="W312" s="58">
        <f t="shared" ref="W312:W323" si="104">E312</f>
        <v>1</v>
      </c>
      <c r="X312" s="152">
        <v>1</v>
      </c>
      <c r="Y312" s="152">
        <v>1</v>
      </c>
      <c r="Z312" s="152">
        <v>1</v>
      </c>
    </row>
    <row r="313" spans="1:26">
      <c r="A313" s="22" t="s">
        <v>152</v>
      </c>
      <c r="B313" s="152">
        <v>27043</v>
      </c>
      <c r="C313" s="152">
        <v>117142</v>
      </c>
      <c r="D313" s="86">
        <v>132206</v>
      </c>
      <c r="E313" s="86">
        <v>164585</v>
      </c>
      <c r="F313" s="125"/>
      <c r="G313" s="125"/>
      <c r="H313" s="22"/>
      <c r="I313" s="22"/>
      <c r="J313" s="25"/>
      <c r="K313" s="152">
        <v>27043</v>
      </c>
      <c r="L313" s="25"/>
      <c r="M313" s="25"/>
      <c r="N313" s="25"/>
      <c r="O313" s="152">
        <v>117142</v>
      </c>
      <c r="P313" s="152">
        <v>122146</v>
      </c>
      <c r="Q313" s="152">
        <v>122975</v>
      </c>
      <c r="R313" s="152">
        <v>127802</v>
      </c>
      <c r="S313" s="52">
        <f t="shared" si="103"/>
        <v>132206</v>
      </c>
      <c r="T313" s="152">
        <v>150553</v>
      </c>
      <c r="U313" s="152">
        <v>154927</v>
      </c>
      <c r="V313" s="152">
        <v>158596</v>
      </c>
      <c r="W313" s="58">
        <f t="shared" si="104"/>
        <v>164585</v>
      </c>
      <c r="X313" s="152">
        <v>170707</v>
      </c>
      <c r="Y313" s="152">
        <v>175186</v>
      </c>
      <c r="Z313" s="152">
        <v>179686</v>
      </c>
    </row>
    <row r="314" spans="1:26">
      <c r="A314" s="22" t="s">
        <v>459</v>
      </c>
      <c r="B314" s="152">
        <v>0</v>
      </c>
      <c r="C314" s="152">
        <v>0</v>
      </c>
      <c r="D314" s="152">
        <v>0</v>
      </c>
      <c r="E314" s="152">
        <v>-2823</v>
      </c>
      <c r="F314" s="112"/>
      <c r="G314" s="112"/>
      <c r="H314" s="22"/>
      <c r="I314" s="22"/>
      <c r="J314" s="25"/>
      <c r="K314" s="152">
        <v>0</v>
      </c>
      <c r="L314" s="25"/>
      <c r="M314" s="25"/>
      <c r="N314" s="25"/>
      <c r="O314" s="152">
        <v>0</v>
      </c>
      <c r="P314" s="152">
        <v>0</v>
      </c>
      <c r="Q314" s="152">
        <v>0</v>
      </c>
      <c r="R314" s="152"/>
      <c r="S314" s="25">
        <f t="shared" si="103"/>
        <v>0</v>
      </c>
      <c r="T314" s="152">
        <v>-2823</v>
      </c>
      <c r="U314" s="152">
        <v>-2823</v>
      </c>
      <c r="V314" s="152">
        <v>-2823</v>
      </c>
      <c r="W314" s="25">
        <f t="shared" si="104"/>
        <v>-2823</v>
      </c>
      <c r="X314" s="152">
        <v>-2823</v>
      </c>
      <c r="Y314" s="152">
        <v>-2823</v>
      </c>
      <c r="Z314" s="152">
        <v>-2233</v>
      </c>
    </row>
    <row r="315" spans="1:26">
      <c r="A315" s="22" t="s">
        <v>467</v>
      </c>
      <c r="B315" s="152">
        <v>0</v>
      </c>
      <c r="C315" s="152">
        <v>-1152</v>
      </c>
      <c r="D315" s="56">
        <v>-888</v>
      </c>
      <c r="E315" s="56">
        <v>-624</v>
      </c>
      <c r="H315" s="22"/>
      <c r="I315" s="22"/>
      <c r="J315" s="25"/>
      <c r="K315" s="152">
        <v>0</v>
      </c>
      <c r="L315" s="25"/>
      <c r="M315" s="25"/>
      <c r="N315" s="25"/>
      <c r="O315" s="152">
        <v>-1152</v>
      </c>
      <c r="P315" s="152">
        <v>-1087</v>
      </c>
      <c r="Q315" s="152">
        <v>-1020</v>
      </c>
      <c r="R315" s="152">
        <v>-953</v>
      </c>
      <c r="S315" s="47">
        <f t="shared" si="103"/>
        <v>-888</v>
      </c>
      <c r="T315" s="152">
        <v>-822</v>
      </c>
      <c r="U315" s="152">
        <v>-756</v>
      </c>
      <c r="V315" s="152">
        <v>-689</v>
      </c>
      <c r="W315" s="25">
        <f t="shared" si="104"/>
        <v>-624</v>
      </c>
      <c r="X315" s="152">
        <v>-559</v>
      </c>
      <c r="Y315" s="152">
        <v>-492</v>
      </c>
      <c r="Z315" s="152">
        <v>-426</v>
      </c>
    </row>
    <row r="316" spans="1:26">
      <c r="A316" s="22" t="s">
        <v>206</v>
      </c>
      <c r="B316" s="152">
        <v>-540</v>
      </c>
      <c r="C316" s="152">
        <v>-411</v>
      </c>
      <c r="D316" s="56">
        <v>-172</v>
      </c>
      <c r="E316" s="56">
        <v>-63</v>
      </c>
      <c r="H316" s="22"/>
      <c r="I316" s="22"/>
      <c r="J316" s="25"/>
      <c r="K316" s="152">
        <v>-540</v>
      </c>
      <c r="L316" s="25"/>
      <c r="M316" s="25"/>
      <c r="N316" s="25"/>
      <c r="O316" s="152">
        <v>-411</v>
      </c>
      <c r="P316" s="152">
        <v>-470</v>
      </c>
      <c r="Q316" s="152">
        <v>-71</v>
      </c>
      <c r="R316" s="152">
        <v>-87</v>
      </c>
      <c r="S316" s="47">
        <f t="shared" si="103"/>
        <v>-172</v>
      </c>
      <c r="T316" s="152">
        <v>-272</v>
      </c>
      <c r="U316" s="152">
        <v>-282</v>
      </c>
      <c r="V316" s="152">
        <v>-301</v>
      </c>
      <c r="W316" s="25">
        <f t="shared" si="104"/>
        <v>-63</v>
      </c>
      <c r="X316" s="152">
        <v>-160</v>
      </c>
      <c r="Y316" s="152">
        <v>-164</v>
      </c>
      <c r="Z316" s="152">
        <v>-164</v>
      </c>
    </row>
    <row r="317" spans="1:26">
      <c r="A317" s="22" t="s">
        <v>153</v>
      </c>
      <c r="B317" s="152">
        <v>2474</v>
      </c>
      <c r="C317" s="152">
        <v>2715</v>
      </c>
      <c r="D317" s="86">
        <v>3244</v>
      </c>
      <c r="E317" s="86">
        <v>4080</v>
      </c>
      <c r="F317" s="125"/>
      <c r="G317" s="125"/>
      <c r="H317" s="22"/>
      <c r="I317" s="22"/>
      <c r="J317" s="25"/>
      <c r="K317" s="152">
        <v>2474</v>
      </c>
      <c r="L317" s="25"/>
      <c r="M317" s="25"/>
      <c r="N317" s="25"/>
      <c r="O317" s="152">
        <v>2715</v>
      </c>
      <c r="P317" s="152">
        <v>2700</v>
      </c>
      <c r="Q317" s="152">
        <v>3016</v>
      </c>
      <c r="R317" s="152">
        <v>3016</v>
      </c>
      <c r="S317" s="52">
        <f t="shared" si="103"/>
        <v>3244</v>
      </c>
      <c r="T317" s="152">
        <v>3522</v>
      </c>
      <c r="U317" s="152">
        <v>3653</v>
      </c>
      <c r="V317" s="152">
        <v>4022</v>
      </c>
      <c r="W317" s="25">
        <f t="shared" si="104"/>
        <v>4080</v>
      </c>
      <c r="X317" s="152">
        <v>4051</v>
      </c>
      <c r="Y317" s="152">
        <v>4118</v>
      </c>
      <c r="Z317" s="152">
        <v>4183</v>
      </c>
    </row>
    <row r="318" spans="1:26">
      <c r="A318" s="22" t="s">
        <v>155</v>
      </c>
      <c r="B318" s="152">
        <v>-823</v>
      </c>
      <c r="C318" s="152">
        <v>2302</v>
      </c>
      <c r="D318" s="86">
        <v>3844</v>
      </c>
      <c r="E318" s="86">
        <v>5085</v>
      </c>
      <c r="F318" s="125"/>
      <c r="G318" s="125"/>
      <c r="H318" s="22"/>
      <c r="I318" s="22"/>
      <c r="J318" s="25"/>
      <c r="K318" s="152">
        <v>-823</v>
      </c>
      <c r="L318" s="25"/>
      <c r="M318" s="25"/>
      <c r="N318" s="25"/>
      <c r="O318" s="152">
        <v>2302</v>
      </c>
      <c r="P318" s="152">
        <v>3884</v>
      </c>
      <c r="Q318" s="152">
        <v>3002</v>
      </c>
      <c r="R318" s="152">
        <v>9598</v>
      </c>
      <c r="S318" s="52">
        <f t="shared" si="103"/>
        <v>3844</v>
      </c>
      <c r="T318" s="152">
        <v>2096</v>
      </c>
      <c r="U318" s="152">
        <v>11212</v>
      </c>
      <c r="V318" s="152">
        <v>6910</v>
      </c>
      <c r="W318" s="25">
        <f t="shared" si="104"/>
        <v>5085</v>
      </c>
      <c r="X318" s="152">
        <v>4132</v>
      </c>
      <c r="Y318" s="152">
        <v>5474</v>
      </c>
      <c r="Z318" s="152">
        <v>4035</v>
      </c>
    </row>
    <row r="319" spans="1:26">
      <c r="A319" s="22" t="s">
        <v>154</v>
      </c>
      <c r="B319" s="152">
        <v>1183</v>
      </c>
      <c r="C319" s="152">
        <v>24842</v>
      </c>
      <c r="D319" s="86">
        <v>78752</v>
      </c>
      <c r="E319" s="86">
        <v>108558</v>
      </c>
      <c r="F319" s="125"/>
      <c r="G319" s="125"/>
      <c r="H319" s="22"/>
      <c r="I319" s="22"/>
      <c r="J319" s="25"/>
      <c r="K319" s="152">
        <v>1183</v>
      </c>
      <c r="L319" s="25"/>
      <c r="M319" s="25"/>
      <c r="N319" s="25"/>
      <c r="O319" s="152">
        <v>24842</v>
      </c>
      <c r="P319" s="152">
        <v>55700</v>
      </c>
      <c r="Q319" s="152">
        <v>63120</v>
      </c>
      <c r="R319" s="152">
        <v>75618</v>
      </c>
      <c r="S319" s="52">
        <f t="shared" si="103"/>
        <v>78752</v>
      </c>
      <c r="T319" s="152">
        <v>72992</v>
      </c>
      <c r="U319" s="152">
        <v>80484</v>
      </c>
      <c r="V319" s="152">
        <v>97969</v>
      </c>
      <c r="W319" s="25">
        <f t="shared" si="104"/>
        <v>108558</v>
      </c>
      <c r="X319" s="152">
        <v>123271</v>
      </c>
      <c r="Y319" s="152">
        <v>140872</v>
      </c>
      <c r="Z319" s="152">
        <v>164879</v>
      </c>
    </row>
    <row r="320" spans="1:26">
      <c r="A320" s="21" t="s">
        <v>526</v>
      </c>
      <c r="B320" s="152">
        <v>29338</v>
      </c>
      <c r="C320" s="46">
        <v>145439</v>
      </c>
      <c r="D320" s="86">
        <v>216987</v>
      </c>
      <c r="E320" s="86">
        <v>278799</v>
      </c>
      <c r="F320" s="125"/>
      <c r="G320" s="125"/>
      <c r="J320" s="25"/>
      <c r="K320" s="152">
        <v>29338</v>
      </c>
      <c r="L320" s="25"/>
      <c r="M320" s="25"/>
      <c r="N320" s="25"/>
      <c r="O320" s="152">
        <v>145439</v>
      </c>
      <c r="P320" s="152">
        <v>182874</v>
      </c>
      <c r="Q320" s="152">
        <v>191023</v>
      </c>
      <c r="R320" s="152">
        <v>214995</v>
      </c>
      <c r="S320" s="52">
        <f t="shared" si="103"/>
        <v>216987</v>
      </c>
      <c r="T320" s="152">
        <v>225247</v>
      </c>
      <c r="U320" s="152">
        <v>246416</v>
      </c>
      <c r="V320" s="152">
        <v>263685</v>
      </c>
      <c r="W320" s="25">
        <f t="shared" si="104"/>
        <v>278799</v>
      </c>
      <c r="X320" s="152">
        <v>298620</v>
      </c>
      <c r="Y320" s="152">
        <v>322172</v>
      </c>
      <c r="Z320" s="152">
        <v>349961</v>
      </c>
    </row>
    <row r="321" spans="1:26">
      <c r="A321" s="21" t="s">
        <v>527</v>
      </c>
      <c r="B321" s="152">
        <v>1079</v>
      </c>
      <c r="C321" s="46">
        <v>11974</v>
      </c>
      <c r="D321" s="86">
        <v>32552</v>
      </c>
      <c r="E321" s="86">
        <v>42330</v>
      </c>
      <c r="F321" s="125"/>
      <c r="G321" s="125"/>
      <c r="J321" s="25"/>
      <c r="K321" s="152">
        <v>1079</v>
      </c>
      <c r="L321" s="25"/>
      <c r="M321" s="25"/>
      <c r="N321" s="25"/>
      <c r="O321" s="152">
        <v>11974</v>
      </c>
      <c r="P321" s="152">
        <v>1121</v>
      </c>
      <c r="Q321" s="152">
        <v>32530</v>
      </c>
      <c r="R321" s="152">
        <v>32551</v>
      </c>
      <c r="S321" s="52">
        <f t="shared" si="103"/>
        <v>32552</v>
      </c>
      <c r="T321" s="152">
        <v>33425</v>
      </c>
      <c r="U321" s="152">
        <v>42793</v>
      </c>
      <c r="V321" s="152">
        <v>42327</v>
      </c>
      <c r="W321" s="25">
        <f t="shared" si="104"/>
        <v>42330</v>
      </c>
      <c r="X321" s="152">
        <v>45022</v>
      </c>
      <c r="Y321" s="152">
        <v>44929</v>
      </c>
      <c r="Z321" s="152">
        <v>77010</v>
      </c>
    </row>
    <row r="322" spans="1:26" s="70" customFormat="1">
      <c r="A322" s="26" t="s">
        <v>346</v>
      </c>
      <c r="B322" s="89">
        <v>30417</v>
      </c>
      <c r="C322" s="196">
        <v>157413</v>
      </c>
      <c r="D322" s="172">
        <v>249539</v>
      </c>
      <c r="E322" s="172">
        <v>321129</v>
      </c>
      <c r="F322" s="135"/>
      <c r="G322" s="135"/>
      <c r="H322" s="26"/>
      <c r="I322" s="26"/>
      <c r="J322" s="106"/>
      <c r="K322" s="89">
        <v>30417</v>
      </c>
      <c r="L322" s="106"/>
      <c r="M322" s="106"/>
      <c r="N322" s="106"/>
      <c r="O322" s="89">
        <v>157413</v>
      </c>
      <c r="P322" s="89">
        <v>183995</v>
      </c>
      <c r="Q322" s="89">
        <v>223553</v>
      </c>
      <c r="R322" s="89">
        <v>247546</v>
      </c>
      <c r="S322" s="90">
        <f t="shared" si="103"/>
        <v>249539</v>
      </c>
      <c r="T322" s="89">
        <v>258672</v>
      </c>
      <c r="U322" s="89">
        <v>289209</v>
      </c>
      <c r="V322" s="89">
        <v>306012</v>
      </c>
      <c r="W322" s="106">
        <f t="shared" si="104"/>
        <v>321129</v>
      </c>
      <c r="X322" s="89">
        <v>343642</v>
      </c>
      <c r="Y322" s="89">
        <v>367101</v>
      </c>
      <c r="Z322" s="89">
        <v>426971</v>
      </c>
    </row>
    <row r="323" spans="1:26" s="70" customFormat="1">
      <c r="A323" s="26" t="s">
        <v>528</v>
      </c>
      <c r="B323" s="89">
        <v>111549</v>
      </c>
      <c r="C323" s="196">
        <v>255434</v>
      </c>
      <c r="D323" s="172">
        <v>364245</v>
      </c>
      <c r="E323" s="172">
        <v>506812</v>
      </c>
      <c r="F323" s="135"/>
      <c r="G323" s="135"/>
      <c r="H323" s="26"/>
      <c r="I323" s="26"/>
      <c r="J323" s="106"/>
      <c r="K323" s="89">
        <v>111549</v>
      </c>
      <c r="L323" s="106"/>
      <c r="M323" s="106"/>
      <c r="N323" s="106"/>
      <c r="O323" s="89">
        <v>255434</v>
      </c>
      <c r="P323" s="89">
        <v>282060</v>
      </c>
      <c r="Q323" s="89">
        <v>327758</v>
      </c>
      <c r="R323" s="89">
        <v>364671</v>
      </c>
      <c r="S323" s="90">
        <f t="shared" si="103"/>
        <v>364245</v>
      </c>
      <c r="T323" s="89">
        <v>409970</v>
      </c>
      <c r="U323" s="89">
        <v>456402</v>
      </c>
      <c r="V323" s="89">
        <v>490866</v>
      </c>
      <c r="W323" s="106">
        <f t="shared" si="104"/>
        <v>506812</v>
      </c>
      <c r="X323" s="89">
        <v>543714</v>
      </c>
      <c r="Y323" s="89">
        <v>578824</v>
      </c>
      <c r="Z323" s="89">
        <v>711432</v>
      </c>
    </row>
    <row r="324" spans="1:26">
      <c r="B324" s="72"/>
      <c r="C324" s="72"/>
      <c r="J324" s="25"/>
      <c r="K324" s="25"/>
      <c r="L324" s="25"/>
      <c r="M324" s="25"/>
      <c r="N324" s="25"/>
      <c r="O324" s="25"/>
      <c r="P324" s="25"/>
      <c r="Q324" s="25"/>
      <c r="R324" s="25"/>
      <c r="S324" s="25"/>
      <c r="T324" s="25"/>
      <c r="U324" s="25"/>
      <c r="V324" s="25"/>
      <c r="W324" s="25"/>
      <c r="X324" s="25"/>
      <c r="Y324" s="25"/>
      <c r="Z324" s="25"/>
    </row>
    <row r="325" spans="1:26" ht="15" customHeight="1">
      <c r="A325" s="21" t="s">
        <v>578</v>
      </c>
      <c r="B325" s="72"/>
      <c r="C325" s="72"/>
      <c r="E325" s="25"/>
      <c r="F325" s="112"/>
      <c r="G325" s="112"/>
      <c r="J325" s="25"/>
      <c r="K325" s="25"/>
      <c r="L325" s="25"/>
      <c r="M325" s="25"/>
      <c r="N325" s="25"/>
      <c r="O325" s="25"/>
      <c r="P325" s="25"/>
      <c r="Q325" s="25"/>
      <c r="R325" s="25"/>
      <c r="S325" s="25">
        <f>S334-S290-S300-S301</f>
        <v>49252</v>
      </c>
      <c r="T325" s="25"/>
      <c r="U325" s="25"/>
      <c r="V325" s="25"/>
      <c r="W325" s="25">
        <f>W334-W290-W300-W301</f>
        <v>60953</v>
      </c>
      <c r="X325" s="25">
        <f>X334-X290-X300-X301</f>
        <v>60621</v>
      </c>
      <c r="Y325" s="25">
        <f t="shared" ref="Y325:Z325" si="105">Y334-Y290-Y300-Y301</f>
        <v>65677</v>
      </c>
      <c r="Z325" s="25">
        <f t="shared" si="105"/>
        <v>82865</v>
      </c>
    </row>
    <row r="326" spans="1:26">
      <c r="A326" s="48" t="s">
        <v>487</v>
      </c>
      <c r="B326" s="50">
        <f>B$1</f>
        <v>41699</v>
      </c>
      <c r="C326" s="50">
        <f>C$1</f>
        <v>42064</v>
      </c>
      <c r="D326" s="50">
        <f>D$1</f>
        <v>42430</v>
      </c>
      <c r="E326" s="50">
        <f>E$1</f>
        <v>42795</v>
      </c>
      <c r="F326" s="118"/>
      <c r="G326" s="118"/>
      <c r="H326" s="49">
        <v>41426</v>
      </c>
      <c r="I326" s="50">
        <v>41518</v>
      </c>
      <c r="J326" s="50">
        <v>41609</v>
      </c>
      <c r="K326" s="50">
        <v>41699</v>
      </c>
      <c r="L326" s="49">
        <v>41791</v>
      </c>
      <c r="M326" s="50">
        <v>41883</v>
      </c>
      <c r="N326" s="49">
        <f>N$1</f>
        <v>41974</v>
      </c>
      <c r="O326" s="50">
        <f t="shared" ref="O326:W326" si="106">O$1</f>
        <v>42064</v>
      </c>
      <c r="P326" s="49">
        <f t="shared" si="106"/>
        <v>42156</v>
      </c>
      <c r="Q326" s="50">
        <f t="shared" si="106"/>
        <v>42248</v>
      </c>
      <c r="R326" s="49">
        <f t="shared" si="106"/>
        <v>42339</v>
      </c>
      <c r="S326" s="50">
        <f t="shared" si="106"/>
        <v>42430</v>
      </c>
      <c r="T326" s="49">
        <f t="shared" si="106"/>
        <v>42522</v>
      </c>
      <c r="U326" s="50">
        <f t="shared" si="106"/>
        <v>42614</v>
      </c>
      <c r="V326" s="49">
        <f t="shared" si="106"/>
        <v>42705</v>
      </c>
      <c r="W326" s="49">
        <f t="shared" si="106"/>
        <v>42795</v>
      </c>
      <c r="X326" s="49">
        <v>42903</v>
      </c>
      <c r="Y326" s="49">
        <f>Y1</f>
        <v>42995</v>
      </c>
      <c r="Z326" s="49">
        <f>Z1</f>
        <v>43086</v>
      </c>
    </row>
    <row r="327" spans="1:26">
      <c r="A327" s="48" t="s">
        <v>553</v>
      </c>
      <c r="B327" s="51" t="str">
        <f>B$2</f>
        <v>FY14</v>
      </c>
      <c r="C327" s="51" t="str">
        <f>C$2</f>
        <v>FY15</v>
      </c>
      <c r="D327" s="51" t="str">
        <f>D$2</f>
        <v>FY16</v>
      </c>
      <c r="E327" s="51" t="str">
        <f>E$2</f>
        <v>FY17</v>
      </c>
      <c r="F327" s="119"/>
      <c r="G327" s="119"/>
      <c r="H327" s="51" t="s">
        <v>72</v>
      </c>
      <c r="I327" s="51" t="s">
        <v>73</v>
      </c>
      <c r="J327" s="51" t="s">
        <v>74</v>
      </c>
      <c r="K327" s="51" t="s">
        <v>75</v>
      </c>
      <c r="L327" s="51" t="s">
        <v>76</v>
      </c>
      <c r="M327" s="51" t="s">
        <v>77</v>
      </c>
      <c r="N327" s="51" t="str">
        <f>N$2</f>
        <v>3Q15</v>
      </c>
      <c r="O327" s="51" t="str">
        <f t="shared" ref="O327:W327" si="107">O$2</f>
        <v>4Q15</v>
      </c>
      <c r="P327" s="51" t="str">
        <f t="shared" si="107"/>
        <v>1Q16</v>
      </c>
      <c r="Q327" s="51" t="str">
        <f t="shared" si="107"/>
        <v>2Q16</v>
      </c>
      <c r="R327" s="51" t="str">
        <f t="shared" si="107"/>
        <v>3Q16</v>
      </c>
      <c r="S327" s="51" t="str">
        <f t="shared" si="107"/>
        <v>4Q16</v>
      </c>
      <c r="T327" s="51" t="str">
        <f t="shared" si="107"/>
        <v>1Q17</v>
      </c>
      <c r="U327" s="51" t="str">
        <f t="shared" si="107"/>
        <v>2Q17</v>
      </c>
      <c r="V327" s="51" t="str">
        <f t="shared" si="107"/>
        <v>3Q17</v>
      </c>
      <c r="W327" s="51" t="str">
        <f t="shared" si="107"/>
        <v>4Q17</v>
      </c>
      <c r="X327" s="51" t="s">
        <v>640</v>
      </c>
      <c r="Y327" s="49" t="str">
        <f>Y2</f>
        <v>2Q18</v>
      </c>
      <c r="Z327" s="49" t="str">
        <f>Z2</f>
        <v>3Q18</v>
      </c>
    </row>
    <row r="328" spans="1:26">
      <c r="A328" s="21" t="s">
        <v>529</v>
      </c>
      <c r="B328" s="46">
        <v>26379</v>
      </c>
      <c r="C328" s="46">
        <v>41217</v>
      </c>
      <c r="D328" s="86">
        <v>56836</v>
      </c>
      <c r="E328" s="86">
        <v>80326</v>
      </c>
      <c r="F328" s="125"/>
      <c r="G328" s="125"/>
      <c r="I328" s="152">
        <v>4526</v>
      </c>
      <c r="J328" s="25"/>
      <c r="K328" s="152">
        <v>1800</v>
      </c>
      <c r="L328" s="25"/>
      <c r="M328" s="152">
        <v>5865</v>
      </c>
      <c r="N328" s="25"/>
      <c r="O328" s="152">
        <v>5767</v>
      </c>
      <c r="P328" s="152">
        <v>10400</v>
      </c>
      <c r="Q328" s="152">
        <v>15124</v>
      </c>
      <c r="R328" s="152">
        <v>26230</v>
      </c>
      <c r="S328" s="152">
        <v>5082</v>
      </c>
      <c r="T328" s="152">
        <v>14958</v>
      </c>
      <c r="U328" s="152">
        <v>17206</v>
      </c>
      <c r="V328" s="152">
        <v>37416</v>
      </c>
      <c r="W328" s="152">
        <v>10746</v>
      </c>
      <c r="X328" s="152">
        <v>25311</v>
      </c>
      <c r="Y328" s="152">
        <v>30507</v>
      </c>
      <c r="Z328" s="152">
        <v>55173</v>
      </c>
    </row>
    <row r="329" spans="1:26">
      <c r="A329" s="21" t="s">
        <v>530</v>
      </c>
      <c r="B329" s="46">
        <v>-32997</v>
      </c>
      <c r="C329" s="46">
        <v>-53454</v>
      </c>
      <c r="D329" s="86">
        <v>-42831</v>
      </c>
      <c r="E329" s="86">
        <v>-78364</v>
      </c>
      <c r="F329" s="125"/>
      <c r="G329" s="125"/>
      <c r="I329" s="152">
        <v>-5724</v>
      </c>
      <c r="J329" s="25"/>
      <c r="K329" s="152">
        <v>-10805</v>
      </c>
      <c r="L329" s="25"/>
      <c r="M329" s="152">
        <v>-32555</v>
      </c>
      <c r="N329" s="25"/>
      <c r="O329" s="152">
        <v>-5672</v>
      </c>
      <c r="P329" s="152">
        <v>-15592</v>
      </c>
      <c r="Q329" s="152">
        <v>-5575</v>
      </c>
      <c r="R329" s="152">
        <v>-14271</v>
      </c>
      <c r="S329" s="152">
        <v>-7393</v>
      </c>
      <c r="T329" s="152">
        <v>-61468</v>
      </c>
      <c r="U329" s="152">
        <v>-5715</v>
      </c>
      <c r="V329" s="152">
        <v>-8146</v>
      </c>
      <c r="W329" s="152">
        <v>-3035</v>
      </c>
      <c r="X329" s="152">
        <v>-13912</v>
      </c>
      <c r="Y329" s="152">
        <v>-25683</v>
      </c>
      <c r="Z329" s="152">
        <v>-24479</v>
      </c>
    </row>
    <row r="330" spans="1:26">
      <c r="A330" s="21" t="s">
        <v>531</v>
      </c>
      <c r="B330" s="46">
        <v>9364</v>
      </c>
      <c r="C330" s="46">
        <v>87497</v>
      </c>
      <c r="D330" s="86">
        <v>-15846</v>
      </c>
      <c r="E330" s="86">
        <v>32914</v>
      </c>
      <c r="F330" s="125"/>
      <c r="G330" s="125"/>
      <c r="I330" s="152">
        <v>2297</v>
      </c>
      <c r="J330" s="25"/>
      <c r="K330" s="152">
        <v>318</v>
      </c>
      <c r="L330" s="25"/>
      <c r="M330" s="152">
        <v>62864</v>
      </c>
      <c r="N330" s="25"/>
      <c r="O330" s="152">
        <v>1035</v>
      </c>
      <c r="P330" s="152">
        <v>1111</v>
      </c>
      <c r="Q330" s="152">
        <v>-17235</v>
      </c>
      <c r="R330" s="152">
        <v>1268</v>
      </c>
      <c r="S330" s="152">
        <v>-990</v>
      </c>
      <c r="T330" s="152">
        <v>21312</v>
      </c>
      <c r="U330" s="152">
        <v>9830</v>
      </c>
      <c r="V330" s="152">
        <v>-710</v>
      </c>
      <c r="W330" s="152">
        <v>2482</v>
      </c>
      <c r="X330" s="152">
        <v>-8894</v>
      </c>
      <c r="Y330" s="152">
        <v>-416</v>
      </c>
      <c r="Z330" s="152">
        <v>34274</v>
      </c>
    </row>
    <row r="331" spans="1:26">
      <c r="A331" s="21" t="s">
        <v>532</v>
      </c>
      <c r="B331" s="46">
        <v>-97</v>
      </c>
      <c r="C331" s="46">
        <v>-112</v>
      </c>
      <c r="D331" s="56">
        <v>466</v>
      </c>
      <c r="E331" s="56">
        <v>2042</v>
      </c>
      <c r="I331" s="152">
        <v>-17</v>
      </c>
      <c r="J331" s="25"/>
      <c r="K331" s="152">
        <v>18</v>
      </c>
      <c r="L331" s="25"/>
      <c r="M331" s="152">
        <v>3</v>
      </c>
      <c r="N331" s="25"/>
      <c r="O331" s="152">
        <v>13</v>
      </c>
      <c r="P331" s="152">
        <v>-48</v>
      </c>
      <c r="Q331" s="152">
        <v>369</v>
      </c>
      <c r="R331" s="152">
        <v>327</v>
      </c>
      <c r="S331" s="152">
        <v>-182</v>
      </c>
      <c r="T331" s="152">
        <v>626</v>
      </c>
      <c r="U331" s="152">
        <v>117</v>
      </c>
      <c r="V331" s="152">
        <v>1745</v>
      </c>
      <c r="W331" s="152">
        <v>-446</v>
      </c>
      <c r="X331" s="152">
        <v>-1097</v>
      </c>
      <c r="Y331" s="152">
        <v>-806</v>
      </c>
      <c r="Z331" s="152">
        <v>-1518</v>
      </c>
    </row>
    <row r="332" spans="1:26">
      <c r="A332" s="21" t="s">
        <v>533</v>
      </c>
      <c r="B332" s="46">
        <v>2649</v>
      </c>
      <c r="C332" s="46">
        <v>75148</v>
      </c>
      <c r="D332" s="86">
        <v>-1375</v>
      </c>
      <c r="E332" s="86">
        <v>36918</v>
      </c>
      <c r="F332" s="125"/>
      <c r="G332" s="125"/>
      <c r="I332" s="152">
        <v>1082</v>
      </c>
      <c r="J332" s="25"/>
      <c r="K332" s="152">
        <v>-8669</v>
      </c>
      <c r="L332" s="25"/>
      <c r="M332" s="152">
        <v>36177</v>
      </c>
      <c r="N332" s="25"/>
      <c r="O332" s="152">
        <v>1143</v>
      </c>
      <c r="P332" s="152">
        <v>-4129</v>
      </c>
      <c r="Q332" s="152">
        <v>-7317</v>
      </c>
      <c r="R332" s="152">
        <v>13554</v>
      </c>
      <c r="S332" s="152">
        <v>-3483</v>
      </c>
      <c r="T332" s="152">
        <v>-24572</v>
      </c>
      <c r="U332" s="152">
        <v>21438</v>
      </c>
      <c r="V332" s="152">
        <v>30305</v>
      </c>
      <c r="W332" s="152">
        <v>9747</v>
      </c>
      <c r="X332" s="152">
        <v>1408</v>
      </c>
      <c r="Y332" s="152">
        <v>3602</v>
      </c>
      <c r="Z332" s="152">
        <v>63450</v>
      </c>
    </row>
    <row r="333" spans="1:26">
      <c r="A333" s="21" t="s">
        <v>534</v>
      </c>
      <c r="B333" s="46">
        <v>30396</v>
      </c>
      <c r="C333" s="46">
        <v>33045</v>
      </c>
      <c r="D333" s="86">
        <v>108193</v>
      </c>
      <c r="E333" s="86">
        <v>106818</v>
      </c>
      <c r="F333" s="125"/>
      <c r="G333" s="125"/>
      <c r="I333" s="152">
        <v>27037</v>
      </c>
      <c r="J333" s="25"/>
      <c r="K333" s="152">
        <v>41714</v>
      </c>
      <c r="L333" s="25"/>
      <c r="M333" s="152">
        <v>51912</v>
      </c>
      <c r="N333" s="25"/>
      <c r="O333" s="152">
        <v>107050</v>
      </c>
      <c r="P333" s="152">
        <v>108193</v>
      </c>
      <c r="Q333" s="152">
        <v>104064</v>
      </c>
      <c r="R333" s="152">
        <v>96747</v>
      </c>
      <c r="S333" s="152">
        <v>110301</v>
      </c>
      <c r="T333" s="152">
        <v>106818</v>
      </c>
      <c r="U333" s="152">
        <v>82246</v>
      </c>
      <c r="V333" s="152">
        <v>103684</v>
      </c>
      <c r="W333" s="152">
        <v>133989</v>
      </c>
      <c r="X333" s="152">
        <v>143736</v>
      </c>
      <c r="Y333" s="152">
        <v>145144</v>
      </c>
      <c r="Z333" s="152">
        <v>148746</v>
      </c>
    </row>
    <row r="334" spans="1:26">
      <c r="A334" s="21" t="s">
        <v>535</v>
      </c>
      <c r="B334" s="46">
        <v>33045</v>
      </c>
      <c r="C334" s="46">
        <v>108193</v>
      </c>
      <c r="D334" s="86">
        <v>106818</v>
      </c>
      <c r="E334" s="86">
        <v>143736</v>
      </c>
      <c r="F334" s="125"/>
      <c r="G334" s="125"/>
      <c r="I334" s="152">
        <v>28119</v>
      </c>
      <c r="J334" s="25"/>
      <c r="K334" s="152">
        <v>33045</v>
      </c>
      <c r="L334" s="25"/>
      <c r="M334" s="152">
        <v>88089</v>
      </c>
      <c r="N334" s="25"/>
      <c r="O334" s="152">
        <v>108193</v>
      </c>
      <c r="P334" s="152">
        <v>104064</v>
      </c>
      <c r="Q334" s="152">
        <v>96747</v>
      </c>
      <c r="R334" s="152">
        <v>110301</v>
      </c>
      <c r="S334" s="152">
        <v>106818</v>
      </c>
      <c r="T334" s="152">
        <v>82246</v>
      </c>
      <c r="U334" s="152">
        <v>103684</v>
      </c>
      <c r="V334" s="152">
        <v>133989</v>
      </c>
      <c r="W334" s="152">
        <v>143736</v>
      </c>
      <c r="X334" s="152">
        <v>145144</v>
      </c>
      <c r="Y334" s="152">
        <v>148746</v>
      </c>
      <c r="Z334" s="152">
        <v>212196</v>
      </c>
    </row>
    <row r="335" spans="1:26">
      <c r="B335" s="72"/>
      <c r="C335" s="72"/>
      <c r="I335" s="152"/>
      <c r="J335" s="25"/>
      <c r="K335" s="152"/>
      <c r="L335" s="25"/>
      <c r="M335" s="152"/>
      <c r="N335" s="25"/>
      <c r="O335" s="25"/>
      <c r="P335" s="25"/>
      <c r="Q335" s="25"/>
      <c r="R335" s="25"/>
      <c r="S335" s="25"/>
      <c r="T335" s="25"/>
      <c r="U335" s="25"/>
      <c r="V335" s="25"/>
      <c r="W335" s="25"/>
      <c r="X335" s="25"/>
      <c r="Y335" s="25"/>
      <c r="Z335" s="25"/>
    </row>
    <row r="336" spans="1:26">
      <c r="A336" s="21" t="s">
        <v>529</v>
      </c>
      <c r="B336" s="46">
        <v>26379</v>
      </c>
      <c r="C336" s="46">
        <v>41217</v>
      </c>
      <c r="D336" s="86">
        <v>56836</v>
      </c>
      <c r="E336" s="86">
        <v>80326</v>
      </c>
      <c r="F336" s="125"/>
      <c r="G336" s="125"/>
      <c r="I336" s="152">
        <v>4526</v>
      </c>
      <c r="J336" s="25"/>
      <c r="K336" s="152">
        <v>1800</v>
      </c>
      <c r="L336" s="25"/>
      <c r="M336" s="152">
        <v>5865</v>
      </c>
      <c r="N336" s="25"/>
      <c r="O336" s="152">
        <v>5767</v>
      </c>
      <c r="P336" s="152">
        <v>10177</v>
      </c>
      <c r="Q336" s="152">
        <v>15124</v>
      </c>
      <c r="R336" s="152">
        <v>26230</v>
      </c>
      <c r="S336" s="152">
        <v>5082</v>
      </c>
      <c r="T336" s="152">
        <v>14958</v>
      </c>
      <c r="U336" s="152">
        <v>17206</v>
      </c>
      <c r="V336" s="152">
        <v>37416</v>
      </c>
      <c r="W336" s="152">
        <v>10746</v>
      </c>
      <c r="X336" s="152">
        <v>25311</v>
      </c>
      <c r="Y336" s="152">
        <v>30507</v>
      </c>
      <c r="Z336" s="152">
        <v>55173</v>
      </c>
    </row>
    <row r="337" spans="1:26">
      <c r="A337" s="21" t="s">
        <v>554</v>
      </c>
      <c r="B337" s="46">
        <v>-3285</v>
      </c>
      <c r="C337" s="46">
        <v>-4770</v>
      </c>
      <c r="D337" s="86">
        <v>-5438</v>
      </c>
      <c r="E337" s="86">
        <v>-12220</v>
      </c>
      <c r="F337" s="125"/>
      <c r="G337" s="125"/>
      <c r="I337" s="152">
        <v>-996</v>
      </c>
      <c r="J337" s="25"/>
      <c r="K337" s="152">
        <v>-275</v>
      </c>
      <c r="L337" s="25"/>
      <c r="M337" s="152">
        <v>-1693</v>
      </c>
      <c r="N337" s="25"/>
      <c r="O337" s="152">
        <v>-700</v>
      </c>
      <c r="P337" s="152">
        <v>-1155</v>
      </c>
      <c r="Q337" s="152">
        <v>-1260</v>
      </c>
      <c r="R337" s="152">
        <v>-2365</v>
      </c>
      <c r="S337" s="152">
        <v>-683</v>
      </c>
      <c r="T337" s="152">
        <v>-2794</v>
      </c>
      <c r="U337" s="152">
        <v>-3348</v>
      </c>
      <c r="V337" s="152">
        <v>-3246</v>
      </c>
      <c r="W337" s="152">
        <v>-2832</v>
      </c>
      <c r="X337" s="152">
        <v>-3162</v>
      </c>
      <c r="Y337" s="152">
        <v>-8002</v>
      </c>
      <c r="Z337" s="152">
        <v>-9029</v>
      </c>
    </row>
    <row r="338" spans="1:26">
      <c r="A338" s="21" t="s">
        <v>259</v>
      </c>
      <c r="B338" s="46">
        <v>9175</v>
      </c>
      <c r="C338" s="46">
        <v>11674</v>
      </c>
      <c r="D338" s="56">
        <v>-119</v>
      </c>
      <c r="E338" s="56">
        <v>684</v>
      </c>
      <c r="I338" s="152">
        <v>3153</v>
      </c>
      <c r="J338" s="25"/>
      <c r="K338" s="152">
        <v>808</v>
      </c>
      <c r="L338" s="25"/>
      <c r="M338" s="152">
        <v>4766</v>
      </c>
      <c r="N338" s="25"/>
      <c r="O338" s="152">
        <v>598</v>
      </c>
      <c r="P338" s="152">
        <v>1572</v>
      </c>
      <c r="Q338" s="152">
        <v>-240</v>
      </c>
      <c r="R338" s="152">
        <v>-146</v>
      </c>
      <c r="S338" s="152">
        <v>-11</v>
      </c>
      <c r="T338" s="152">
        <v>581</v>
      </c>
      <c r="U338" s="152">
        <v>85</v>
      </c>
      <c r="V338" s="152">
        <v>-48</v>
      </c>
      <c r="W338" s="152">
        <v>66</v>
      </c>
      <c r="X338" s="152">
        <v>0</v>
      </c>
      <c r="Y338" s="152" t="s">
        <v>483</v>
      </c>
      <c r="Z338" s="152"/>
    </row>
    <row r="339" spans="1:26" s="70" customFormat="1">
      <c r="A339" s="26" t="s">
        <v>369</v>
      </c>
      <c r="B339" s="172">
        <v>32269</v>
      </c>
      <c r="C339" s="172">
        <v>48121</v>
      </c>
      <c r="D339" s="172">
        <v>51279</v>
      </c>
      <c r="E339" s="172">
        <v>68790</v>
      </c>
      <c r="F339" s="135"/>
      <c r="G339" s="135"/>
      <c r="H339" s="26"/>
      <c r="I339" s="189">
        <v>6683</v>
      </c>
      <c r="J339" s="105"/>
      <c r="K339" s="189">
        <v>2333</v>
      </c>
      <c r="L339" s="26"/>
      <c r="M339" s="189">
        <v>8938</v>
      </c>
      <c r="N339" s="26"/>
      <c r="O339" s="189">
        <v>5665</v>
      </c>
      <c r="P339" s="189">
        <v>10594</v>
      </c>
      <c r="Q339" s="189">
        <v>13624</v>
      </c>
      <c r="R339" s="189">
        <v>23719</v>
      </c>
      <c r="S339" s="189">
        <v>4388</v>
      </c>
      <c r="T339" s="189">
        <v>12745</v>
      </c>
      <c r="U339" s="189">
        <v>13943</v>
      </c>
      <c r="V339" s="189">
        <v>34122</v>
      </c>
      <c r="W339" s="189">
        <v>7980</v>
      </c>
      <c r="X339" s="189">
        <v>22149</v>
      </c>
      <c r="Y339" s="189">
        <v>22505</v>
      </c>
      <c r="Z339" s="189">
        <v>46144</v>
      </c>
    </row>
    <row r="341" spans="1:26">
      <c r="A341" s="48" t="s">
        <v>487</v>
      </c>
      <c r="B341" s="50">
        <f>B$1</f>
        <v>41699</v>
      </c>
      <c r="C341" s="50">
        <f>C$1</f>
        <v>42064</v>
      </c>
      <c r="D341" s="50">
        <f>D$1</f>
        <v>42430</v>
      </c>
      <c r="E341" s="50">
        <f>E$1</f>
        <v>42795</v>
      </c>
      <c r="F341" s="118"/>
      <c r="G341" s="118"/>
      <c r="H341" s="49">
        <v>41426</v>
      </c>
      <c r="I341" s="50">
        <v>41518</v>
      </c>
      <c r="J341" s="50">
        <v>41609</v>
      </c>
      <c r="K341" s="50">
        <v>41699</v>
      </c>
      <c r="L341" s="49">
        <v>41791</v>
      </c>
      <c r="M341" s="50">
        <v>41883</v>
      </c>
      <c r="N341" s="49">
        <f>N$1</f>
        <v>41974</v>
      </c>
      <c r="O341" s="50">
        <f t="shared" ref="O341:W341" si="108">O$1</f>
        <v>42064</v>
      </c>
      <c r="P341" s="49">
        <f t="shared" si="108"/>
        <v>42156</v>
      </c>
      <c r="Q341" s="50">
        <f t="shared" si="108"/>
        <v>42248</v>
      </c>
      <c r="R341" s="49">
        <f t="shared" si="108"/>
        <v>42339</v>
      </c>
      <c r="S341" s="50">
        <f t="shared" si="108"/>
        <v>42430</v>
      </c>
      <c r="T341" s="49">
        <f t="shared" si="108"/>
        <v>42522</v>
      </c>
      <c r="U341" s="50">
        <f t="shared" si="108"/>
        <v>42614</v>
      </c>
      <c r="V341" s="49">
        <f t="shared" si="108"/>
        <v>42705</v>
      </c>
      <c r="W341" s="49">
        <f t="shared" si="108"/>
        <v>42795</v>
      </c>
      <c r="X341" s="49">
        <v>42903</v>
      </c>
      <c r="Y341" s="49">
        <f>Y1</f>
        <v>42995</v>
      </c>
      <c r="Z341" s="49">
        <f>Z1</f>
        <v>43086</v>
      </c>
    </row>
    <row r="342" spans="1:26">
      <c r="A342" s="48" t="s">
        <v>553</v>
      </c>
      <c r="B342" s="51" t="str">
        <f>B$2</f>
        <v>FY14</v>
      </c>
      <c r="C342" s="51" t="str">
        <f>C$2</f>
        <v>FY15</v>
      </c>
      <c r="D342" s="51" t="str">
        <f>D$2</f>
        <v>FY16</v>
      </c>
      <c r="E342" s="51" t="str">
        <f>E$2</f>
        <v>FY17</v>
      </c>
      <c r="F342" s="119"/>
      <c r="G342" s="119"/>
      <c r="H342" s="51" t="s">
        <v>72</v>
      </c>
      <c r="I342" s="51" t="s">
        <v>73</v>
      </c>
      <c r="J342" s="51" t="s">
        <v>74</v>
      </c>
      <c r="K342" s="51" t="s">
        <v>75</v>
      </c>
      <c r="L342" s="51" t="s">
        <v>76</v>
      </c>
      <c r="M342" s="51" t="s">
        <v>77</v>
      </c>
      <c r="N342" s="51" t="str">
        <f>N$2</f>
        <v>3Q15</v>
      </c>
      <c r="O342" s="51" t="str">
        <f t="shared" ref="O342:W342" si="109">O$2</f>
        <v>4Q15</v>
      </c>
      <c r="P342" s="51" t="str">
        <f t="shared" si="109"/>
        <v>1Q16</v>
      </c>
      <c r="Q342" s="51" t="str">
        <f t="shared" si="109"/>
        <v>2Q16</v>
      </c>
      <c r="R342" s="51" t="str">
        <f t="shared" si="109"/>
        <v>3Q16</v>
      </c>
      <c r="S342" s="51" t="str">
        <f t="shared" si="109"/>
        <v>4Q16</v>
      </c>
      <c r="T342" s="51" t="str">
        <f t="shared" si="109"/>
        <v>1Q17</v>
      </c>
      <c r="U342" s="51" t="str">
        <f t="shared" si="109"/>
        <v>2Q17</v>
      </c>
      <c r="V342" s="51" t="str">
        <f t="shared" si="109"/>
        <v>3Q17</v>
      </c>
      <c r="W342" s="51" t="str">
        <f t="shared" si="109"/>
        <v>4Q17</v>
      </c>
      <c r="X342" s="51" t="s">
        <v>640</v>
      </c>
      <c r="Y342" s="49" t="str">
        <f>Y2</f>
        <v>2Q18</v>
      </c>
      <c r="Z342" s="49" t="str">
        <f>Z2</f>
        <v>3Q18</v>
      </c>
    </row>
    <row r="344" spans="1:26">
      <c r="A344" s="21" t="s">
        <v>566</v>
      </c>
      <c r="B344" s="46">
        <v>269</v>
      </c>
      <c r="C344" s="46">
        <v>1067</v>
      </c>
      <c r="X344" s="21"/>
      <c r="Y344" s="21"/>
      <c r="Z344" s="21"/>
    </row>
    <row r="345" spans="1:26">
      <c r="B345" s="72"/>
      <c r="C345" s="72"/>
    </row>
    <row r="346" spans="1:26">
      <c r="A346" s="21" t="s">
        <v>30</v>
      </c>
    </row>
    <row r="347" spans="1:26">
      <c r="A347" s="21" t="s">
        <v>567</v>
      </c>
      <c r="B347" s="46">
        <v>5675</v>
      </c>
      <c r="C347" s="46">
        <v>9829</v>
      </c>
      <c r="X347" s="101"/>
      <c r="Y347" s="101"/>
      <c r="Z347" s="101"/>
    </row>
    <row r="348" spans="1:26">
      <c r="A348" s="21" t="s">
        <v>568</v>
      </c>
      <c r="B348" s="46">
        <v>2434</v>
      </c>
      <c r="C348" s="46">
        <v>2828</v>
      </c>
      <c r="X348" s="101"/>
      <c r="Y348" s="101"/>
      <c r="Z348" s="101"/>
    </row>
    <row r="349" spans="1:26">
      <c r="A349" s="21" t="s">
        <v>263</v>
      </c>
      <c r="B349" s="46">
        <v>780</v>
      </c>
      <c r="C349" s="46">
        <v>1818</v>
      </c>
      <c r="X349" s="101"/>
      <c r="Y349" s="101"/>
      <c r="Z349" s="101"/>
    </row>
    <row r="350" spans="1:26">
      <c r="A350" s="21" t="s">
        <v>569</v>
      </c>
      <c r="B350" s="46">
        <v>272</v>
      </c>
      <c r="C350" s="46">
        <v>430</v>
      </c>
      <c r="X350" s="101"/>
      <c r="Y350" s="101"/>
      <c r="Z350" s="101"/>
    </row>
    <row r="351" spans="1:26">
      <c r="B351" s="108">
        <f>SUM(B347:B350)</f>
        <v>9161</v>
      </c>
      <c r="C351" s="108">
        <f>SUM(C347:C350)</f>
        <v>14905</v>
      </c>
      <c r="X351" s="102"/>
      <c r="Y351" s="102"/>
      <c r="Z351" s="102"/>
    </row>
    <row r="352" spans="1:26">
      <c r="B352" s="46">
        <v>-3580</v>
      </c>
      <c r="C352" s="46">
        <v>-5766</v>
      </c>
      <c r="X352" s="102"/>
      <c r="Y352" s="102"/>
      <c r="Z352" s="102"/>
    </row>
    <row r="353" spans="1:26">
      <c r="A353" s="21" t="s">
        <v>570</v>
      </c>
      <c r="B353" s="46"/>
      <c r="C353" s="46"/>
      <c r="K353" s="151">
        <v>168</v>
      </c>
      <c r="L353" s="151">
        <v>168</v>
      </c>
      <c r="M353" s="151">
        <v>166</v>
      </c>
      <c r="N353" s="151">
        <v>168</v>
      </c>
      <c r="O353" s="151">
        <v>171</v>
      </c>
      <c r="P353" s="151">
        <v>171</v>
      </c>
      <c r="Q353" s="151">
        <v>174</v>
      </c>
      <c r="R353" s="151">
        <v>184</v>
      </c>
      <c r="S353" s="151">
        <v>189</v>
      </c>
      <c r="T353" s="151">
        <v>202</v>
      </c>
      <c r="U353" s="151">
        <v>215</v>
      </c>
      <c r="V353" s="151">
        <v>241</v>
      </c>
      <c r="W353" s="151">
        <v>251</v>
      </c>
      <c r="X353" s="151">
        <v>273</v>
      </c>
      <c r="Y353" s="151">
        <v>293</v>
      </c>
      <c r="Z353" s="151">
        <v>315</v>
      </c>
    </row>
    <row r="354" spans="1:26">
      <c r="A354" s="21" t="s">
        <v>571</v>
      </c>
      <c r="B354" s="46">
        <v>-1295</v>
      </c>
      <c r="C354" s="46">
        <v>-2282</v>
      </c>
      <c r="K354" s="151">
        <v>18</v>
      </c>
      <c r="L354" s="151">
        <v>27</v>
      </c>
      <c r="M354" s="151">
        <v>39</v>
      </c>
      <c r="N354" s="151">
        <v>52</v>
      </c>
      <c r="O354" s="151">
        <v>62</v>
      </c>
      <c r="P354" s="151">
        <v>76</v>
      </c>
      <c r="Q354" s="151">
        <v>87</v>
      </c>
      <c r="R354" s="151">
        <v>108</v>
      </c>
      <c r="S354" s="151">
        <v>123</v>
      </c>
      <c r="T354" s="151">
        <v>140</v>
      </c>
      <c r="U354" s="151">
        <v>151</v>
      </c>
      <c r="V354" s="151">
        <v>166</v>
      </c>
      <c r="W354" s="151">
        <v>179</v>
      </c>
      <c r="X354" s="151">
        <v>196</v>
      </c>
      <c r="Y354" s="151">
        <v>151</v>
      </c>
      <c r="Z354" s="157">
        <v>229</v>
      </c>
    </row>
    <row r="355" spans="1:26">
      <c r="B355" s="53">
        <f>B354/SUM(B347:B350)</f>
        <v>-0.14136011352472438</v>
      </c>
      <c r="C355" s="53">
        <f>C354/SUM(C347:C350)</f>
        <v>-0.1531029855753103</v>
      </c>
      <c r="O355" s="59">
        <f t="shared" ref="O355:Z356" si="110">O353/K353-1</f>
        <v>1.7857142857142794E-2</v>
      </c>
      <c r="P355" s="59">
        <f t="shared" si="110"/>
        <v>1.7857142857142794E-2</v>
      </c>
      <c r="Q355" s="59">
        <f t="shared" si="110"/>
        <v>4.8192771084337283E-2</v>
      </c>
      <c r="R355" s="59">
        <f t="shared" si="110"/>
        <v>9.5238095238095344E-2</v>
      </c>
      <c r="S355" s="59">
        <f t="shared" si="110"/>
        <v>0.10526315789473695</v>
      </c>
      <c r="T355" s="59">
        <f t="shared" si="110"/>
        <v>0.18128654970760238</v>
      </c>
      <c r="U355" s="59">
        <f t="shared" ref="U355:Z355" si="111">U353/Q353-1</f>
        <v>0.23563218390804597</v>
      </c>
      <c r="V355" s="59">
        <f t="shared" si="111"/>
        <v>0.30978260869565211</v>
      </c>
      <c r="W355" s="59">
        <f t="shared" si="111"/>
        <v>0.32804232804232814</v>
      </c>
      <c r="X355" s="59">
        <f t="shared" si="111"/>
        <v>0.35148514851485158</v>
      </c>
      <c r="Y355" s="59">
        <f t="shared" si="111"/>
        <v>0.36279069767441863</v>
      </c>
      <c r="Z355" s="59">
        <f t="shared" si="111"/>
        <v>0.30705394190871371</v>
      </c>
    </row>
    <row r="356" spans="1:26">
      <c r="O356" s="59">
        <f t="shared" si="110"/>
        <v>2.4444444444444446</v>
      </c>
      <c r="P356" s="59">
        <f t="shared" si="110"/>
        <v>1.8148148148148149</v>
      </c>
      <c r="Q356" s="59">
        <f t="shared" si="110"/>
        <v>1.2307692307692308</v>
      </c>
      <c r="R356" s="59">
        <f t="shared" si="110"/>
        <v>1.0769230769230771</v>
      </c>
      <c r="S356" s="59">
        <f t="shared" si="110"/>
        <v>0.9838709677419355</v>
      </c>
      <c r="T356" s="59">
        <f t="shared" si="110"/>
        <v>0.84210526315789469</v>
      </c>
      <c r="U356" s="59">
        <f t="shared" si="110"/>
        <v>0.73563218390804597</v>
      </c>
      <c r="V356" s="59">
        <f t="shared" si="110"/>
        <v>0.53703703703703698</v>
      </c>
      <c r="W356" s="59">
        <f t="shared" si="110"/>
        <v>0.45528455284552849</v>
      </c>
      <c r="X356" s="59">
        <f t="shared" si="110"/>
        <v>0.39999999999999991</v>
      </c>
      <c r="Y356" s="59">
        <f t="shared" si="110"/>
        <v>0</v>
      </c>
      <c r="Z356" s="59">
        <f t="shared" si="110"/>
        <v>0.37951807228915668</v>
      </c>
    </row>
    <row r="359" spans="1:26" s="70" customFormat="1">
      <c r="A359" s="26" t="s">
        <v>288</v>
      </c>
      <c r="C359" s="51" t="s">
        <v>583</v>
      </c>
      <c r="D359" s="51" t="s">
        <v>584</v>
      </c>
      <c r="E359" s="51"/>
      <c r="F359" s="119"/>
      <c r="G359" s="119"/>
      <c r="H359" s="26"/>
      <c r="I359" s="26"/>
      <c r="J359" s="26"/>
      <c r="K359" s="109"/>
      <c r="L359" s="109"/>
      <c r="M359" s="109"/>
      <c r="N359" s="109"/>
      <c r="O359" s="109"/>
      <c r="P359" s="109"/>
      <c r="Q359" s="109"/>
      <c r="R359" s="109"/>
      <c r="S359" s="26"/>
      <c r="T359" s="26"/>
      <c r="U359" s="26"/>
      <c r="V359" s="26"/>
      <c r="W359" s="26"/>
    </row>
    <row r="360" spans="1:26">
      <c r="A360" s="21" t="s">
        <v>91</v>
      </c>
      <c r="C360" s="56">
        <v>941</v>
      </c>
      <c r="D360" s="56">
        <v>3099</v>
      </c>
      <c r="E360" s="18"/>
      <c r="K360" s="65"/>
      <c r="L360" s="65"/>
      <c r="M360" s="65"/>
      <c r="N360" s="65"/>
      <c r="O360" s="65"/>
      <c r="P360" s="65"/>
      <c r="Q360" s="65"/>
      <c r="R360" s="65"/>
    </row>
    <row r="361" spans="1:26">
      <c r="A361" s="21" t="s">
        <v>461</v>
      </c>
      <c r="C361" s="56">
        <v>-183</v>
      </c>
      <c r="D361" s="56">
        <v>-617</v>
      </c>
      <c r="E361" s="18"/>
      <c r="O361" s="59"/>
      <c r="P361" s="59"/>
      <c r="Q361" s="59"/>
      <c r="R361" s="59"/>
    </row>
    <row r="362" spans="1:26">
      <c r="A362" s="21" t="s">
        <v>582</v>
      </c>
      <c r="C362" s="56">
        <v>5951</v>
      </c>
      <c r="D362" s="56">
        <v>5929</v>
      </c>
      <c r="E362" s="18"/>
      <c r="O362" s="59"/>
      <c r="P362" s="59"/>
      <c r="Q362" s="59"/>
      <c r="R362" s="59"/>
    </row>
    <row r="363" spans="1:26">
      <c r="A363" s="21" t="s">
        <v>151</v>
      </c>
      <c r="C363" s="56">
        <v>2642</v>
      </c>
      <c r="D363" s="56">
        <v>1761</v>
      </c>
      <c r="E363" s="18"/>
    </row>
    <row r="364" spans="1:26">
      <c r="A364" s="21" t="s">
        <v>346</v>
      </c>
      <c r="C364" s="56">
        <v>3309</v>
      </c>
      <c r="D364" s="56">
        <v>4168</v>
      </c>
      <c r="E364" s="18"/>
    </row>
    <row r="365" spans="1:26" s="70" customFormat="1">
      <c r="A365" s="26"/>
      <c r="C365" s="51" t="s">
        <v>470</v>
      </c>
      <c r="D365" s="51" t="s">
        <v>471</v>
      </c>
      <c r="E365" s="51"/>
      <c r="F365" s="119"/>
      <c r="G365" s="119"/>
      <c r="H365" s="26"/>
      <c r="I365" s="26"/>
      <c r="J365" s="26"/>
      <c r="K365" s="26"/>
      <c r="L365" s="26"/>
      <c r="M365" s="26"/>
      <c r="N365" s="26"/>
      <c r="O365" s="26"/>
      <c r="P365" s="26"/>
      <c r="Q365" s="26"/>
      <c r="R365" s="26"/>
      <c r="S365" s="26"/>
      <c r="T365" s="26"/>
      <c r="U365" s="26"/>
      <c r="V365" s="26"/>
      <c r="W365" s="26"/>
    </row>
    <row r="366" spans="1:26">
      <c r="A366" s="21" t="s">
        <v>585</v>
      </c>
      <c r="C366" s="56">
        <v>-90</v>
      </c>
      <c r="D366" s="56">
        <v>-295</v>
      </c>
      <c r="E366" s="18"/>
    </row>
    <row r="368" spans="1:26" s="70" customFormat="1">
      <c r="A368" s="26" t="s">
        <v>579</v>
      </c>
      <c r="C368" s="51" t="s">
        <v>583</v>
      </c>
      <c r="D368" s="51" t="s">
        <v>584</v>
      </c>
      <c r="E368" s="51"/>
      <c r="F368" s="119"/>
      <c r="G368" s="119"/>
      <c r="H368" s="26"/>
      <c r="I368" s="26"/>
      <c r="J368" s="26"/>
      <c r="K368" s="26"/>
      <c r="L368" s="26"/>
      <c r="M368" s="26"/>
      <c r="N368" s="26"/>
      <c r="O368" s="26"/>
      <c r="P368" s="26"/>
      <c r="Q368" s="26"/>
      <c r="R368" s="26"/>
      <c r="S368" s="26"/>
      <c r="T368" s="26"/>
      <c r="U368" s="26"/>
      <c r="V368" s="26"/>
      <c r="W368" s="26"/>
    </row>
    <row r="369" spans="1:23">
      <c r="A369" s="21" t="s">
        <v>91</v>
      </c>
      <c r="D369" s="56">
        <v>31</v>
      </c>
      <c r="E369" s="18"/>
    </row>
    <row r="370" spans="1:23">
      <c r="A370" s="21" t="s">
        <v>461</v>
      </c>
      <c r="D370" s="56">
        <v>-1735</v>
      </c>
      <c r="E370" s="18"/>
    </row>
    <row r="371" spans="1:23">
      <c r="A371" s="21" t="s">
        <v>582</v>
      </c>
      <c r="D371" s="56">
        <v>1731</v>
      </c>
      <c r="E371" s="18"/>
    </row>
    <row r="372" spans="1:23">
      <c r="A372" s="21" t="s">
        <v>151</v>
      </c>
      <c r="D372" s="56">
        <v>445</v>
      </c>
      <c r="E372" s="18"/>
    </row>
    <row r="373" spans="1:23">
      <c r="A373" s="21" t="s">
        <v>346</v>
      </c>
      <c r="D373" s="56">
        <v>1286</v>
      </c>
      <c r="E373" s="18"/>
    </row>
    <row r="374" spans="1:23" s="70" customFormat="1">
      <c r="A374" s="26"/>
      <c r="C374" s="51" t="s">
        <v>470</v>
      </c>
      <c r="D374" s="51" t="s">
        <v>471</v>
      </c>
      <c r="E374" s="51"/>
      <c r="F374" s="119"/>
      <c r="G374" s="119"/>
      <c r="H374" s="26"/>
      <c r="I374" s="26"/>
      <c r="J374" s="26"/>
      <c r="K374" s="26"/>
      <c r="L374" s="26"/>
      <c r="M374" s="26"/>
      <c r="N374" s="26"/>
      <c r="O374" s="26"/>
      <c r="P374" s="26"/>
      <c r="Q374" s="26"/>
      <c r="R374" s="26"/>
      <c r="S374" s="26"/>
      <c r="T374" s="26"/>
      <c r="U374" s="26"/>
      <c r="V374" s="26"/>
      <c r="W374" s="26"/>
    </row>
    <row r="375" spans="1:23">
      <c r="A375" s="21" t="s">
        <v>585</v>
      </c>
      <c r="D375" s="56">
        <v>-876</v>
      </c>
      <c r="E375" s="18"/>
    </row>
    <row r="377" spans="1:23">
      <c r="A377" s="21" t="s">
        <v>586</v>
      </c>
      <c r="C377" s="51" t="s">
        <v>583</v>
      </c>
      <c r="D377" s="51" t="s">
        <v>584</v>
      </c>
      <c r="E377" s="51"/>
      <c r="F377" s="119"/>
      <c r="G377" s="119"/>
    </row>
    <row r="378" spans="1:23">
      <c r="A378" s="21" t="s">
        <v>91</v>
      </c>
      <c r="D378" s="56">
        <v>254</v>
      </c>
      <c r="E378" s="18"/>
    </row>
    <row r="379" spans="1:23">
      <c r="A379" s="21" t="s">
        <v>461</v>
      </c>
      <c r="D379" s="56">
        <v>544</v>
      </c>
      <c r="E379" s="18"/>
    </row>
    <row r="380" spans="1:23">
      <c r="A380" s="21" t="s">
        <v>582</v>
      </c>
      <c r="D380" s="56">
        <v>18976</v>
      </c>
      <c r="E380" s="18"/>
    </row>
    <row r="381" spans="1:23">
      <c r="A381" s="21" t="s">
        <v>151</v>
      </c>
      <c r="D381" s="56">
        <v>2782</v>
      </c>
      <c r="E381" s="18"/>
    </row>
    <row r="382" spans="1:23">
      <c r="A382" s="21" t="s">
        <v>346</v>
      </c>
      <c r="D382" s="56">
        <v>16194</v>
      </c>
      <c r="E382" s="18"/>
    </row>
    <row r="383" spans="1:23">
      <c r="A383" s="26"/>
      <c r="C383" s="51" t="s">
        <v>470</v>
      </c>
      <c r="D383" s="51" t="s">
        <v>471</v>
      </c>
      <c r="E383" s="51"/>
      <c r="F383" s="119"/>
      <c r="G383" s="119"/>
    </row>
    <row r="384" spans="1:23">
      <c r="A384" s="21" t="s">
        <v>587</v>
      </c>
      <c r="D384" s="56">
        <v>268</v>
      </c>
      <c r="E384" s="18"/>
    </row>
    <row r="386" spans="1:1">
      <c r="A386" s="26" t="s">
        <v>594</v>
      </c>
    </row>
    <row r="388" spans="1:1">
      <c r="A388" s="21" t="s">
        <v>91</v>
      </c>
    </row>
    <row r="389" spans="1:1">
      <c r="A389" s="21" t="s">
        <v>239</v>
      </c>
    </row>
    <row r="390" spans="1:1">
      <c r="A390" s="21" t="s">
        <v>600</v>
      </c>
    </row>
    <row r="391" spans="1:1">
      <c r="A391" s="21" t="s">
        <v>536</v>
      </c>
    </row>
    <row r="392" spans="1:1">
      <c r="A392" s="21" t="s">
        <v>240</v>
      </c>
    </row>
  </sheetData>
  <printOptions headings="1"/>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sheetPr>
  <dimension ref="A2:AH285"/>
  <sheetViews>
    <sheetView showGridLines="0" workbookViewId="0">
      <pane xSplit="2" ySplit="5" topLeftCell="F6" activePane="bottomRight" state="frozen"/>
      <selection pane="topRight" activeCell="B1" sqref="B1"/>
      <selection pane="bottomLeft" activeCell="A5" sqref="A5"/>
      <selection pane="bottomRight"/>
    </sheetView>
  </sheetViews>
  <sheetFormatPr defaultColWidth="9.140625" defaultRowHeight="12.75"/>
  <cols>
    <col min="1" max="1" width="6" style="141" customWidth="1"/>
    <col min="2" max="2" width="35.85546875" style="376" customWidth="1"/>
    <col min="3" max="18" width="9.7109375" style="376" customWidth="1"/>
    <col min="19" max="19" width="8" style="376" customWidth="1"/>
    <col min="20" max="21" width="6.85546875" style="1020" customWidth="1"/>
    <col min="22" max="16384" width="9.140625" style="376"/>
  </cols>
  <sheetData>
    <row r="2" spans="1:21" s="1016" customFormat="1" ht="15" customHeight="1">
      <c r="A2" s="225"/>
      <c r="B2" s="818" t="s">
        <v>643</v>
      </c>
      <c r="T2" s="1017"/>
      <c r="U2" s="1017"/>
    </row>
    <row r="3" spans="1:21" s="1016" customFormat="1">
      <c r="A3" s="225"/>
      <c r="T3" s="1017"/>
      <c r="U3" s="1017"/>
    </row>
    <row r="4" spans="1:21" s="1016" customFormat="1">
      <c r="A4" s="225"/>
      <c r="B4" s="818">
        <v>1</v>
      </c>
      <c r="T4" s="1017"/>
      <c r="U4" s="1017"/>
    </row>
    <row r="5" spans="1:21" s="818" customFormat="1" ht="13.5" customHeight="1">
      <c r="A5" s="226"/>
      <c r="C5" s="818">
        <v>2010</v>
      </c>
      <c r="D5" s="815">
        <v>2011</v>
      </c>
      <c r="E5" s="815">
        <v>2012</v>
      </c>
      <c r="F5" s="815">
        <v>2013</v>
      </c>
      <c r="G5" s="815">
        <v>2014</v>
      </c>
      <c r="H5" s="815">
        <v>2015</v>
      </c>
      <c r="I5" s="815">
        <v>2016</v>
      </c>
      <c r="J5" s="815">
        <v>2017</v>
      </c>
      <c r="K5" s="815" t="s">
        <v>58</v>
      </c>
      <c r="L5" s="815" t="s">
        <v>59</v>
      </c>
      <c r="M5" s="815" t="s">
        <v>60</v>
      </c>
      <c r="N5" s="815" t="s">
        <v>61</v>
      </c>
      <c r="O5" s="815" t="s">
        <v>62</v>
      </c>
      <c r="P5" s="815" t="s">
        <v>45</v>
      </c>
      <c r="Q5" s="815" t="s">
        <v>46</v>
      </c>
      <c r="R5" s="815" t="s">
        <v>44</v>
      </c>
      <c r="T5" s="1018"/>
      <c r="U5" s="1018"/>
    </row>
    <row r="6" spans="1:21">
      <c r="B6" s="376" t="s">
        <v>309</v>
      </c>
      <c r="C6" s="1019">
        <v>41931</v>
      </c>
    </row>
    <row r="7" spans="1:21" s="1022" customFormat="1">
      <c r="A7" s="141"/>
      <c r="B7" s="1021" t="s">
        <v>327</v>
      </c>
      <c r="T7" s="1023"/>
      <c r="U7" s="1023"/>
    </row>
    <row r="8" spans="1:21">
      <c r="T8" s="376"/>
      <c r="U8" s="376"/>
    </row>
    <row r="9" spans="1:21" s="1024" customFormat="1">
      <c r="A9" s="454"/>
      <c r="B9" s="1024" t="s">
        <v>307</v>
      </c>
      <c r="C9" s="1024">
        <v>34877.506999999998</v>
      </c>
      <c r="D9" s="1024">
        <v>40281.646999999997</v>
      </c>
      <c r="E9" s="1024">
        <v>47261.917000000001</v>
      </c>
      <c r="F9" s="1025">
        <v>59524</v>
      </c>
      <c r="G9" s="1025">
        <v>64397</v>
      </c>
      <c r="H9" s="1025">
        <v>68905</v>
      </c>
      <c r="I9" s="1025">
        <v>74413</v>
      </c>
      <c r="J9" s="1026">
        <v>81907</v>
      </c>
      <c r="K9" s="1026">
        <v>88876</v>
      </c>
      <c r="L9" s="1024">
        <f t="shared" ref="L9:R9" si="0">K9*(1+L10)</f>
        <v>96874.840000000011</v>
      </c>
      <c r="M9" s="1024">
        <f t="shared" si="0"/>
        <v>104624.82720000001</v>
      </c>
      <c r="N9" s="1024">
        <f t="shared" si="0"/>
        <v>112994.81337600002</v>
      </c>
      <c r="O9" s="1024">
        <f t="shared" si="0"/>
        <v>122034.39844608003</v>
      </c>
      <c r="P9" s="1024">
        <f t="shared" si="0"/>
        <v>130576.80633730564</v>
      </c>
      <c r="Q9" s="1024">
        <f t="shared" si="0"/>
        <v>139717.18278091704</v>
      </c>
      <c r="R9" s="1024">
        <f t="shared" si="0"/>
        <v>149497.38557558123</v>
      </c>
      <c r="T9" s="1027"/>
      <c r="U9" s="1027"/>
    </row>
    <row r="10" spans="1:21" s="1029" customFormat="1">
      <c r="A10" s="450"/>
      <c r="B10" s="1028" t="s">
        <v>80</v>
      </c>
      <c r="D10" s="1030">
        <v>0.15494628099422347</v>
      </c>
      <c r="E10" s="1030">
        <v>0.17328660866324563</v>
      </c>
      <c r="F10" s="1030">
        <v>0.1201390751881688</v>
      </c>
      <c r="G10" s="1030">
        <v>0.10818641206862423</v>
      </c>
      <c r="H10" s="1030">
        <f>H9/G9-1</f>
        <v>7.0003261021476249E-2</v>
      </c>
      <c r="I10" s="1030">
        <f>I9/H9-1</f>
        <v>7.993614396633042E-2</v>
      </c>
      <c r="J10" s="1030">
        <f>J9/I9-1</f>
        <v>0.10070820958703441</v>
      </c>
      <c r="K10" s="1030">
        <f>K9/J9-1</f>
        <v>8.5084302928931654E-2</v>
      </c>
      <c r="L10" s="1031">
        <v>0.09</v>
      </c>
      <c r="M10" s="1031">
        <v>0.08</v>
      </c>
      <c r="N10" s="1031">
        <v>0.08</v>
      </c>
      <c r="O10" s="1031">
        <v>0.08</v>
      </c>
      <c r="P10" s="1031">
        <v>7.0000000000000007E-2</v>
      </c>
      <c r="Q10" s="1031">
        <v>7.0000000000000007E-2</v>
      </c>
      <c r="R10" s="1031">
        <v>7.0000000000000007E-2</v>
      </c>
      <c r="T10" s="1027"/>
      <c r="U10" s="1027"/>
    </row>
    <row r="11" spans="1:21" s="1024" customFormat="1">
      <c r="A11" s="454"/>
      <c r="B11" s="1024" t="s">
        <v>308</v>
      </c>
      <c r="D11" s="1024">
        <v>14028.0389</v>
      </c>
      <c r="E11" s="1024">
        <v>16781.408500000001</v>
      </c>
      <c r="F11" s="1024">
        <v>18887.561000000002</v>
      </c>
      <c r="G11" s="1024">
        <v>21162.222599999994</v>
      </c>
      <c r="H11" s="1024">
        <v>23370.9</v>
      </c>
      <c r="I11" s="1024">
        <v>26071.5</v>
      </c>
      <c r="J11" s="1024">
        <v>28942.799999999999</v>
      </c>
      <c r="K11" s="1024">
        <v>32119.7</v>
      </c>
      <c r="L11" s="1024">
        <v>35533.300000000003</v>
      </c>
      <c r="M11" s="1024">
        <v>39167.699999999997</v>
      </c>
      <c r="N11" s="1024">
        <v>43074.6</v>
      </c>
      <c r="O11" s="1024">
        <v>47390.9</v>
      </c>
      <c r="P11" s="1024">
        <v>52061.7</v>
      </c>
      <c r="Q11" s="1024">
        <v>57169.599999999999</v>
      </c>
      <c r="R11" s="1024">
        <v>62755.1</v>
      </c>
      <c r="T11" s="1027"/>
      <c r="U11" s="1027"/>
    </row>
    <row r="12" spans="1:21" s="1029" customFormat="1">
      <c r="A12" s="450"/>
      <c r="B12" s="1028" t="s">
        <v>80</v>
      </c>
      <c r="E12" s="1029">
        <v>0.19627615945661536</v>
      </c>
      <c r="F12" s="1029">
        <v>0.12550510882325527</v>
      </c>
      <c r="G12" s="1029">
        <v>0.12043172752691533</v>
      </c>
      <c r="H12" s="1029">
        <f>H11/G11-1</f>
        <v>0.10436887664153049</v>
      </c>
      <c r="I12" s="1029">
        <f>I11/H11-1</f>
        <v>0.11555395812741476</v>
      </c>
      <c r="J12" s="1029">
        <f>J11/I11-1</f>
        <v>0.11013175306369027</v>
      </c>
      <c r="K12" s="1029">
        <f t="shared" ref="K12:R12" si="1">K11/J11-1</f>
        <v>0.10976477742305524</v>
      </c>
      <c r="L12" s="1029">
        <f t="shared" si="1"/>
        <v>0.10627745589155579</v>
      </c>
      <c r="M12" s="1029">
        <f t="shared" si="1"/>
        <v>0.10228152184007655</v>
      </c>
      <c r="N12" s="1029">
        <f t="shared" si="1"/>
        <v>9.9748006648335386E-2</v>
      </c>
      <c r="O12" s="1029">
        <f t="shared" si="1"/>
        <v>0.1002052253532244</v>
      </c>
      <c r="P12" s="1029">
        <f t="shared" si="1"/>
        <v>9.8559006053904774E-2</v>
      </c>
      <c r="Q12" s="1029">
        <f t="shared" si="1"/>
        <v>9.8112431979747061E-2</v>
      </c>
      <c r="R12" s="1029">
        <f t="shared" si="1"/>
        <v>9.7700526153760014E-2</v>
      </c>
      <c r="T12" s="1027"/>
      <c r="U12" s="1027"/>
    </row>
    <row r="13" spans="1:21" s="1029" customFormat="1">
      <c r="A13" s="450"/>
      <c r="B13" s="1028" t="s">
        <v>314</v>
      </c>
      <c r="G13" s="1029">
        <v>0.36071580931796748</v>
      </c>
      <c r="H13" s="1032">
        <f t="shared" ref="H13:R13" si="2">H11/H9</f>
        <v>0.33917567665626591</v>
      </c>
      <c r="I13" s="1029">
        <f t="shared" si="2"/>
        <v>0.35036216790077002</v>
      </c>
      <c r="J13" s="1029">
        <f t="shared" si="2"/>
        <v>0.35336173953386157</v>
      </c>
      <c r="K13" s="1029">
        <f t="shared" si="2"/>
        <v>0.36139902785903955</v>
      </c>
      <c r="L13" s="1029">
        <f t="shared" si="2"/>
        <v>0.36679596064365111</v>
      </c>
      <c r="M13" s="1029">
        <f t="shared" si="2"/>
        <v>0.37436334231766349</v>
      </c>
      <c r="N13" s="1029">
        <f t="shared" si="2"/>
        <v>0.38120864766301743</v>
      </c>
      <c r="O13" s="1029">
        <f t="shared" si="2"/>
        <v>0.3883405056561926</v>
      </c>
      <c r="P13" s="1029">
        <f t="shared" si="2"/>
        <v>0.39870557000386703</v>
      </c>
      <c r="Q13" s="1029">
        <f t="shared" si="2"/>
        <v>0.40918088142132497</v>
      </c>
      <c r="R13" s="1029">
        <f t="shared" si="2"/>
        <v>0.41977389610116611</v>
      </c>
    </row>
    <row r="14" spans="1:21" s="1029" customFormat="1">
      <c r="A14" s="450"/>
      <c r="B14" s="1033" t="s">
        <v>441</v>
      </c>
      <c r="D14" s="1024">
        <v>15455.37</v>
      </c>
      <c r="E14" s="1024">
        <v>18091.009999999998</v>
      </c>
      <c r="F14" s="1025">
        <v>24284.282812360001</v>
      </c>
      <c r="G14" s="1025">
        <v>27189.614332990001</v>
      </c>
      <c r="H14" s="1025">
        <v>30093.08</v>
      </c>
      <c r="I14" s="1025">
        <v>33231.629999999997</v>
      </c>
      <c r="J14" s="1026">
        <v>36654.487889999997</v>
      </c>
      <c r="K14" s="1026">
        <v>40356.591166889993</v>
      </c>
      <c r="L14" s="1024">
        <f t="shared" ref="L14:R14" si="3">K14*(1+L15)</f>
        <v>44432.606874745885</v>
      </c>
      <c r="M14" s="1024">
        <f t="shared" si="3"/>
        <v>48920.300169095215</v>
      </c>
      <c r="N14" s="1024">
        <f t="shared" si="3"/>
        <v>53861.250486173834</v>
      </c>
      <c r="O14" s="1024">
        <f t="shared" si="3"/>
        <v>59301.23678527739</v>
      </c>
      <c r="P14" s="1024">
        <f t="shared" si="3"/>
        <v>62859.310992394036</v>
      </c>
      <c r="Q14" s="1024">
        <f t="shared" si="3"/>
        <v>66630.869651937683</v>
      </c>
      <c r="R14" s="1024">
        <f t="shared" si="3"/>
        <v>70628.721831053947</v>
      </c>
      <c r="T14" s="1027"/>
      <c r="U14" s="1027"/>
    </row>
    <row r="15" spans="1:21" s="1029" customFormat="1">
      <c r="A15" s="450"/>
      <c r="B15" s="1028" t="s">
        <v>80</v>
      </c>
      <c r="E15" s="1029">
        <v>0.17053231336422203</v>
      </c>
      <c r="F15" s="1029">
        <v>0.14513617537108203</v>
      </c>
      <c r="G15" s="1029">
        <v>0.13135991450363416</v>
      </c>
      <c r="H15" s="1029">
        <f>H14/G14-1</f>
        <v>0.10678583489458093</v>
      </c>
      <c r="I15" s="1029">
        <f>I14/H14-1</f>
        <v>0.10429474151532503</v>
      </c>
      <c r="J15" s="1029">
        <f>J14/I14-1</f>
        <v>0.10299999999999998</v>
      </c>
      <c r="K15" s="1029">
        <f>K14/J14-1</f>
        <v>0.10099999999999998</v>
      </c>
      <c r="L15" s="1031">
        <f>K15</f>
        <v>0.10099999999999998</v>
      </c>
      <c r="M15" s="1031">
        <f>L15</f>
        <v>0.10099999999999998</v>
      </c>
      <c r="N15" s="1031">
        <f>M15</f>
        <v>0.10099999999999998</v>
      </c>
      <c r="O15" s="1031">
        <f>N15</f>
        <v>0.10099999999999998</v>
      </c>
      <c r="P15" s="1031">
        <v>0.06</v>
      </c>
      <c r="Q15" s="1031">
        <f>P15</f>
        <v>0.06</v>
      </c>
      <c r="R15" s="1031">
        <f>Q15</f>
        <v>0.06</v>
      </c>
    </row>
    <row r="16" spans="1:21" s="1029" customFormat="1">
      <c r="A16" s="450"/>
      <c r="B16" s="1028"/>
      <c r="H16" s="1032"/>
    </row>
    <row r="17" spans="1:21">
      <c r="T17" s="376"/>
      <c r="U17" s="376"/>
    </row>
    <row r="18" spans="1:21">
      <c r="B18" s="376" t="s">
        <v>304</v>
      </c>
      <c r="D18" s="1024">
        <v>29896.943630088695</v>
      </c>
      <c r="E18" s="1024">
        <v>34904.372839797936</v>
      </c>
      <c r="F18" s="1024">
        <v>38943.329838972219</v>
      </c>
      <c r="G18" s="1024">
        <v>43120.364641467109</v>
      </c>
      <c r="H18" s="1024">
        <f>H9*1000/H23</f>
        <v>50411.972742929305</v>
      </c>
      <c r="I18" s="1024">
        <f t="shared" ref="I18:R18" si="4">I9*1000/I23</f>
        <v>54203.730065671931</v>
      </c>
      <c r="J18" s="1024">
        <f t="shared" si="4"/>
        <v>59418.379327014874</v>
      </c>
      <c r="K18" s="1024">
        <f t="shared" si="4"/>
        <v>64230.801891309333</v>
      </c>
      <c r="L18" s="1024">
        <f t="shared" si="4"/>
        <v>69771.857353317726</v>
      </c>
      <c r="M18" s="1024">
        <f t="shared" si="4"/>
        <v>75122.970096808102</v>
      </c>
      <c r="N18" s="1024">
        <f t="shared" si="4"/>
        <v>80914.479692075489</v>
      </c>
      <c r="O18" s="1024">
        <f t="shared" si="4"/>
        <v>87184.440882377923</v>
      </c>
      <c r="P18" s="1024">
        <f t="shared" si="4"/>
        <v>93103.463120918706</v>
      </c>
      <c r="Q18" s="1024">
        <f t="shared" si="4"/>
        <v>99458.033039580536</v>
      </c>
      <c r="R18" s="1024">
        <f t="shared" si="4"/>
        <v>106280.21526533425</v>
      </c>
      <c r="T18" s="376"/>
      <c r="U18" s="376"/>
    </row>
    <row r="19" spans="1:21">
      <c r="B19" s="1028" t="s">
        <v>80</v>
      </c>
      <c r="H19" s="1029">
        <f>H18/G18-1</f>
        <v>0.16909894343634924</v>
      </c>
      <c r="I19" s="1029">
        <f t="shared" ref="I19:R19" si="5">I18/H18-1</f>
        <v>7.5215412459224806E-2</v>
      </c>
      <c r="J19" s="1029">
        <f t="shared" si="5"/>
        <v>9.620462014376141E-2</v>
      </c>
      <c r="K19" s="1029">
        <f t="shared" si="5"/>
        <v>8.0992154595951105E-2</v>
      </c>
      <c r="L19" s="1029">
        <f t="shared" si="5"/>
        <v>8.6267885482496531E-2</v>
      </c>
      <c r="M19" s="1029">
        <f t="shared" si="5"/>
        <v>7.669442876363286E-2</v>
      </c>
      <c r="N19" s="1029">
        <f t="shared" si="5"/>
        <v>7.7093724965933808E-2</v>
      </c>
      <c r="O19" s="1029">
        <f t="shared" si="5"/>
        <v>7.7488741374388326E-2</v>
      </c>
      <c r="P19" s="1029">
        <f t="shared" si="5"/>
        <v>6.7890809170024324E-2</v>
      </c>
      <c r="Q19" s="1029">
        <f t="shared" si="5"/>
        <v>6.8252777132562725E-2</v>
      </c>
      <c r="R19" s="1029">
        <f t="shared" si="5"/>
        <v>6.859357678065825E-2</v>
      </c>
      <c r="T19" s="376"/>
      <c r="U19" s="376"/>
    </row>
    <row r="20" spans="1:21">
      <c r="B20" s="376" t="s">
        <v>305</v>
      </c>
      <c r="D20" s="1024">
        <v>10411.577466879431</v>
      </c>
      <c r="E20" s="1024">
        <v>12393.584015243272</v>
      </c>
      <c r="F20" s="1024">
        <v>13893.948420713668</v>
      </c>
      <c r="G20" s="1024">
        <v>15554.197229732676</v>
      </c>
      <c r="H20" s="1024">
        <f t="shared" ref="H20:R20" si="6">H11*1000/H23</f>
        <v>17098.514966660277</v>
      </c>
      <c r="I20" s="1024">
        <f t="shared" si="6"/>
        <v>18990.936374116965</v>
      </c>
      <c r="J20" s="1024">
        <f t="shared" si="6"/>
        <v>20996.181879276814</v>
      </c>
      <c r="K20" s="1024">
        <f t="shared" si="6"/>
        <v>23212.949362125753</v>
      </c>
      <c r="L20" s="1024">
        <f t="shared" si="6"/>
        <v>25592.035443801964</v>
      </c>
      <c r="M20" s="1024">
        <f t="shared" si="6"/>
        <v>28123.286170270974</v>
      </c>
      <c r="N20" s="1024">
        <f t="shared" si="6"/>
        <v>30845.299379772783</v>
      </c>
      <c r="O20" s="1024">
        <f t="shared" si="6"/>
        <v>33857.249857615068</v>
      </c>
      <c r="P20" s="1024">
        <f t="shared" si="6"/>
        <v>37120.869332959905</v>
      </c>
      <c r="Q20" s="1024">
        <f t="shared" si="6"/>
        <v>40696.325623566816</v>
      </c>
      <c r="R20" s="1024">
        <f t="shared" si="6"/>
        <v>44613.660040399984</v>
      </c>
      <c r="T20" s="376"/>
      <c r="U20" s="376"/>
    </row>
    <row r="21" spans="1:21">
      <c r="B21" s="1028" t="s">
        <v>80</v>
      </c>
      <c r="E21" s="1029">
        <v>0.19036563428249553</v>
      </c>
      <c r="F21" s="1029">
        <v>0.12105976799165186</v>
      </c>
      <c r="G21" s="1029">
        <v>0.11949438408334956</v>
      </c>
      <c r="H21" s="1029">
        <f t="shared" ref="H21:R21" si="7">H20/G20-1</f>
        <v>9.928623857074137E-2</v>
      </c>
      <c r="I21" s="1029">
        <f t="shared" si="7"/>
        <v>0.11067753025023785</v>
      </c>
      <c r="J21" s="1029">
        <f t="shared" si="7"/>
        <v>0.10558960683438579</v>
      </c>
      <c r="K21" s="1029">
        <f t="shared" si="7"/>
        <v>0.10557955230121552</v>
      </c>
      <c r="L21" s="1029">
        <f t="shared" si="7"/>
        <v>0.10248960804428964</v>
      </c>
      <c r="M21" s="1029">
        <f t="shared" si="7"/>
        <v>9.8907753235471629E-2</v>
      </c>
      <c r="N21" s="1029">
        <f t="shared" si="7"/>
        <v>9.6788589819181148E-2</v>
      </c>
      <c r="O21" s="1029">
        <f t="shared" si="7"/>
        <v>9.7646984740158205E-2</v>
      </c>
      <c r="P21" s="1029">
        <f t="shared" si="7"/>
        <v>9.6393519528899185E-2</v>
      </c>
      <c r="Q21" s="1029">
        <f t="shared" si="7"/>
        <v>9.6319303800146638E-2</v>
      </c>
      <c r="R21" s="1029">
        <f t="shared" si="7"/>
        <v>9.6257692968838349E-2</v>
      </c>
      <c r="T21" s="376"/>
      <c r="U21" s="376"/>
    </row>
    <row r="22" spans="1:21">
      <c r="T22" s="376"/>
      <c r="U22" s="376"/>
    </row>
    <row r="23" spans="1:21" s="1024" customFormat="1">
      <c r="A23" s="454"/>
      <c r="B23" s="1024" t="s">
        <v>306</v>
      </c>
      <c r="C23" s="1024">
        <v>1340.91</v>
      </c>
      <c r="D23" s="1024">
        <v>1347.35</v>
      </c>
      <c r="E23" s="1024">
        <v>1354.04</v>
      </c>
      <c r="F23" s="1024">
        <v>1359.4091778721195</v>
      </c>
      <c r="G23" s="1034">
        <v>1360.5473999999999</v>
      </c>
      <c r="H23" s="1035">
        <v>1366.838</v>
      </c>
      <c r="I23" s="1035">
        <v>1372.8391000000001</v>
      </c>
      <c r="J23" s="1035">
        <v>1378.4792</v>
      </c>
      <c r="K23" s="1035">
        <v>1383.6975</v>
      </c>
      <c r="L23" s="1035">
        <v>1388.4514999999999</v>
      </c>
      <c r="M23" s="1035">
        <v>1392.7141999999999</v>
      </c>
      <c r="N23" s="1035">
        <v>1396.4721000000002</v>
      </c>
      <c r="O23" s="1035">
        <v>1399.7268000000001</v>
      </c>
      <c r="P23" s="1035">
        <v>1402.4913999999999</v>
      </c>
      <c r="Q23" s="1035">
        <v>1404.7853</v>
      </c>
      <c r="R23" s="1035">
        <v>1406.6342</v>
      </c>
    </row>
    <row r="24" spans="1:21" s="1024" customFormat="1">
      <c r="A24" s="454"/>
      <c r="B24" s="1024" t="s">
        <v>241</v>
      </c>
      <c r="D24" s="1024">
        <v>457.3</v>
      </c>
      <c r="E24" s="1024">
        <v>513.1</v>
      </c>
      <c r="F24" s="1024">
        <v>564</v>
      </c>
      <c r="G24" s="1024">
        <v>617.6</v>
      </c>
      <c r="H24" s="1035">
        <v>664.89789726109211</v>
      </c>
      <c r="I24" s="1035">
        <v>710.81815265983153</v>
      </c>
      <c r="J24" s="1035">
        <v>753.94295943084705</v>
      </c>
      <c r="K24" s="1035">
        <v>794.3841135805219</v>
      </c>
      <c r="L24" s="1035">
        <v>832.24093389189602</v>
      </c>
      <c r="M24" s="1035">
        <v>862.6502898039513</v>
      </c>
      <c r="N24" s="1035">
        <v>892.90738346719604</v>
      </c>
      <c r="O24" s="1035">
        <v>922.9829819252077</v>
      </c>
      <c r="P24" s="1035">
        <v>952.85579334727993</v>
      </c>
      <c r="Q24" s="1035">
        <v>982.50998013679452</v>
      </c>
      <c r="R24" s="1035">
        <v>1011.9357889312204</v>
      </c>
    </row>
    <row r="25" spans="1:21" s="1029" customFormat="1">
      <c r="A25" s="450"/>
      <c r="B25" s="1028" t="s">
        <v>80</v>
      </c>
      <c r="E25" s="1029">
        <v>0.12202055543406964</v>
      </c>
      <c r="F25" s="1029">
        <v>9.9200935490157738E-2</v>
      </c>
      <c r="G25" s="1029">
        <v>9.5035460992907828E-2</v>
      </c>
      <c r="H25" s="1029">
        <f t="shared" ref="H25:R25" si="8">H24/G24-1</f>
        <v>7.6583382870939243E-2</v>
      </c>
      <c r="I25" s="1029">
        <f t="shared" si="8"/>
        <v>6.9063619523987541E-2</v>
      </c>
      <c r="J25" s="1029">
        <f t="shared" si="8"/>
        <v>6.0669253605363904E-2</v>
      </c>
      <c r="K25" s="1029">
        <f t="shared" si="8"/>
        <v>5.363954082176714E-2</v>
      </c>
      <c r="L25" s="1029">
        <f t="shared" si="8"/>
        <v>4.7655560659115359E-2</v>
      </c>
      <c r="M25" s="1029">
        <f t="shared" si="8"/>
        <v>3.6539125478782797E-2</v>
      </c>
      <c r="N25" s="1029">
        <f t="shared" si="8"/>
        <v>3.507457659362867E-2</v>
      </c>
      <c r="O25" s="1029">
        <f t="shared" si="8"/>
        <v>3.3682774960631212E-2</v>
      </c>
      <c r="P25" s="1029">
        <f t="shared" si="8"/>
        <v>3.2365506197917115E-2</v>
      </c>
      <c r="Q25" s="1029">
        <f t="shared" si="8"/>
        <v>3.1121379537760507E-2</v>
      </c>
      <c r="R25" s="1029">
        <f t="shared" si="8"/>
        <v>2.994962838986015E-2</v>
      </c>
    </row>
    <row r="26" spans="1:21" s="1024" customFormat="1">
      <c r="A26" s="454"/>
      <c r="B26" s="1024" t="s">
        <v>242</v>
      </c>
      <c r="E26" s="1024">
        <v>55.800000000000011</v>
      </c>
      <c r="F26" s="1024">
        <v>50.899999999999977</v>
      </c>
      <c r="G26" s="1024">
        <v>53.600000000000023</v>
      </c>
      <c r="H26" s="1024">
        <f t="shared" ref="H26:O26" si="9">H24-G24</f>
        <v>47.297897261092089</v>
      </c>
      <c r="I26" s="1024">
        <f t="shared" si="9"/>
        <v>45.920255398739414</v>
      </c>
      <c r="J26" s="1024">
        <f t="shared" si="9"/>
        <v>43.124806771015528</v>
      </c>
      <c r="K26" s="1024">
        <f t="shared" si="9"/>
        <v>40.441154149674844</v>
      </c>
      <c r="L26" s="1024">
        <f t="shared" si="9"/>
        <v>37.856820311374122</v>
      </c>
      <c r="M26" s="1024">
        <f t="shared" si="9"/>
        <v>30.409355912055275</v>
      </c>
      <c r="N26" s="1024">
        <f t="shared" si="9"/>
        <v>30.257093663244746</v>
      </c>
      <c r="O26" s="1024">
        <f t="shared" si="9"/>
        <v>30.075598458011655</v>
      </c>
      <c r="P26" s="1024">
        <f>P24-O24</f>
        <v>29.872811422072232</v>
      </c>
      <c r="Q26" s="1024">
        <f>Q24-P24</f>
        <v>29.654186789514597</v>
      </c>
      <c r="R26" s="1024">
        <f>R24-Q24</f>
        <v>29.425808794425848</v>
      </c>
    </row>
    <row r="27" spans="1:21" s="1029" customFormat="1">
      <c r="A27" s="450"/>
      <c r="B27" s="1028" t="s">
        <v>313</v>
      </c>
      <c r="E27" s="1029">
        <v>0.3789400608549231</v>
      </c>
      <c r="F27" s="1029">
        <v>0.41488612051511092</v>
      </c>
      <c r="G27" s="1029">
        <v>0.45393493824617948</v>
      </c>
      <c r="H27" s="1029">
        <f>H24/H23</f>
        <v>0.48644967235406983</v>
      </c>
      <c r="I27" s="1029">
        <f>I24/I23</f>
        <v>0.51777236870645038</v>
      </c>
      <c r="J27" s="1029">
        <f t="shared" ref="J27:R27" si="10">J24/J23</f>
        <v>0.54693821961974254</v>
      </c>
      <c r="K27" s="1029">
        <f t="shared" si="10"/>
        <v>0.5741024418852545</v>
      </c>
      <c r="L27" s="1029">
        <f t="shared" si="10"/>
        <v>0.59940223615437493</v>
      </c>
      <c r="M27" s="1029">
        <f t="shared" si="10"/>
        <v>0.61940223615437495</v>
      </c>
      <c r="N27" s="1029">
        <f t="shared" si="10"/>
        <v>0.63940223615437497</v>
      </c>
      <c r="O27" s="1029">
        <f t="shared" si="10"/>
        <v>0.65940223615437499</v>
      </c>
      <c r="P27" s="1029">
        <f t="shared" si="10"/>
        <v>0.67940223615437501</v>
      </c>
      <c r="Q27" s="1029">
        <f t="shared" si="10"/>
        <v>0.69940223615437502</v>
      </c>
      <c r="R27" s="1029">
        <f t="shared" si="10"/>
        <v>0.71940223615437504</v>
      </c>
    </row>
    <row r="28" spans="1:21" s="1029" customFormat="1">
      <c r="A28" s="450"/>
      <c r="B28" s="1029" t="s">
        <v>328</v>
      </c>
      <c r="D28" s="1035">
        <v>160.51229999999998</v>
      </c>
      <c r="E28" s="1035">
        <v>193.95180000000002</v>
      </c>
      <c r="F28" s="1035">
        <v>242.02</v>
      </c>
      <c r="G28" s="1035">
        <v>301.89</v>
      </c>
      <c r="H28" s="1035">
        <v>377.36249999999995</v>
      </c>
      <c r="I28" s="1035">
        <v>445.62187304687495</v>
      </c>
      <c r="J28" s="1035">
        <v>495.54068277915633</v>
      </c>
      <c r="K28" s="1035">
        <v>534.78796842869701</v>
      </c>
      <c r="L28" s="1035">
        <v>569.54918637656226</v>
      </c>
      <c r="M28" s="1035">
        <v>596.10057128286041</v>
      </c>
      <c r="N28" s="1035">
        <v>619.38641719748568</v>
      </c>
      <c r="O28" s="1035">
        <v>638.38253630623308</v>
      </c>
      <c r="P28" s="1035">
        <v>653.47360633314747</v>
      </c>
      <c r="Q28" s="1035">
        <v>668.27841726055897</v>
      </c>
      <c r="R28" s="1035">
        <v>675.989765772091</v>
      </c>
    </row>
    <row r="29" spans="1:21" s="1029" customFormat="1">
      <c r="A29" s="450"/>
      <c r="B29" s="1028" t="s">
        <v>329</v>
      </c>
      <c r="D29" s="1029">
        <v>0.35099999999999998</v>
      </c>
      <c r="E29" s="1029">
        <v>0.378</v>
      </c>
      <c r="F29" s="1029">
        <v>0.42911347517730497</v>
      </c>
      <c r="G29" s="1029">
        <v>0.48881152849740928</v>
      </c>
      <c r="H29" s="1029">
        <f>H28/H24</f>
        <v>0.5675495464107585</v>
      </c>
      <c r="I29" s="1029">
        <f t="shared" ref="I29:R29" si="11">I28/I24</f>
        <v>0.62691403051454053</v>
      </c>
      <c r="J29" s="1029">
        <f t="shared" si="11"/>
        <v>0.65726548219674463</v>
      </c>
      <c r="K29" s="1029">
        <f t="shared" si="11"/>
        <v>0.67321080480606665</v>
      </c>
      <c r="L29" s="1029">
        <f t="shared" si="11"/>
        <v>0.68435613195943068</v>
      </c>
      <c r="M29" s="1029">
        <f t="shared" si="11"/>
        <v>0.69101068918475894</v>
      </c>
      <c r="N29" s="1029">
        <f t="shared" si="11"/>
        <v>0.69367375459746206</v>
      </c>
      <c r="O29" s="1029">
        <f t="shared" si="11"/>
        <v>0.69165147007874439</v>
      </c>
      <c r="P29" s="1029">
        <f t="shared" si="11"/>
        <v>0.68580535574807699</v>
      </c>
      <c r="Q29" s="1029">
        <f t="shared" si="11"/>
        <v>0.68017468602966735</v>
      </c>
      <c r="R29" s="1029">
        <f t="shared" si="11"/>
        <v>0.6680164622757867</v>
      </c>
    </row>
    <row r="30" spans="1:21">
      <c r="B30" s="1036" t="s">
        <v>330</v>
      </c>
      <c r="D30" s="1029">
        <v>0.11913185141203102</v>
      </c>
      <c r="E30" s="1029">
        <v>0.14323934300316093</v>
      </c>
      <c r="F30" s="1029">
        <v>0.17803322497706942</v>
      </c>
      <c r="G30" s="1029">
        <v>0.22188863100249209</v>
      </c>
      <c r="H30" s="1029">
        <f>H28/H23</f>
        <v>0.27608429089621445</v>
      </c>
      <c r="I30" s="1029">
        <f t="shared" ref="I30:R30" si="12">I28/I23</f>
        <v>0.32459876255482156</v>
      </c>
      <c r="J30" s="1029">
        <f t="shared" si="12"/>
        <v>0.35948361265019907</v>
      </c>
      <c r="K30" s="1029">
        <f t="shared" si="12"/>
        <v>0.38649196694270027</v>
      </c>
      <c r="L30" s="1029">
        <f t="shared" si="12"/>
        <v>0.41020459582244129</v>
      </c>
      <c r="M30" s="1029">
        <f t="shared" si="12"/>
        <v>0.42801356608761543</v>
      </c>
      <c r="N30" s="1029">
        <f t="shared" si="12"/>
        <v>0.44353654985121838</v>
      </c>
      <c r="O30" s="1029">
        <f t="shared" si="12"/>
        <v>0.45607652600938486</v>
      </c>
      <c r="P30" s="1029">
        <f t="shared" si="12"/>
        <v>0.46593769226189019</v>
      </c>
      <c r="Q30" s="1029">
        <f t="shared" si="12"/>
        <v>0.47571569638474931</v>
      </c>
      <c r="R30" s="1029">
        <f t="shared" si="12"/>
        <v>0.48057253674913564</v>
      </c>
      <c r="T30" s="376"/>
      <c r="U30" s="376"/>
    </row>
    <row r="31" spans="1:21">
      <c r="T31" s="376"/>
      <c r="U31" s="376"/>
    </row>
    <row r="32" spans="1:21">
      <c r="B32" s="1037" t="s">
        <v>24</v>
      </c>
      <c r="T32" s="376"/>
      <c r="U32" s="376"/>
    </row>
    <row r="33" spans="1:18" s="1029" customFormat="1">
      <c r="A33" s="450"/>
      <c r="B33" s="1029" t="s">
        <v>312</v>
      </c>
      <c r="H33" s="1038">
        <f>H94/$G94</f>
        <v>1.4564958283671037</v>
      </c>
      <c r="I33" s="1038">
        <f t="shared" ref="I33:R33" si="13">I94/$G94</f>
        <v>1.8426698450536352</v>
      </c>
      <c r="J33" s="1038">
        <f t="shared" si="13"/>
        <v>2.2449344457687719</v>
      </c>
      <c r="K33" s="1038">
        <f t="shared" si="13"/>
        <v>2.8781182061978541</v>
      </c>
      <c r="L33" s="1038">
        <f t="shared" si="13"/>
        <v>3.5763496830214536</v>
      </c>
      <c r="M33" s="1038">
        <f t="shared" si="13"/>
        <v>4.2858974601329107</v>
      </c>
      <c r="N33" s="1038">
        <f t="shared" si="13"/>
        <v>5.0588813537346748</v>
      </c>
      <c r="O33" s="1038">
        <f t="shared" si="13"/>
        <v>5.8886740079853119</v>
      </c>
      <c r="P33" s="1038">
        <f t="shared" si="13"/>
        <v>6.7675052159975326</v>
      </c>
      <c r="Q33" s="1038">
        <f t="shared" si="13"/>
        <v>7.6735908348272179</v>
      </c>
      <c r="R33" s="1038">
        <f t="shared" si="13"/>
        <v>8.5955827774950553</v>
      </c>
    </row>
    <row r="34" spans="1:18" s="1029" customFormat="1">
      <c r="A34" s="450"/>
      <c r="B34" s="1029" t="s">
        <v>26</v>
      </c>
      <c r="D34" s="1029">
        <v>3.5354787427438153E-2</v>
      </c>
      <c r="E34" s="1029">
        <v>3.9508006732569552E-2</v>
      </c>
      <c r="F34" s="1029">
        <v>5.7030603369063904E-2</v>
      </c>
      <c r="G34" s="1029">
        <v>7.9272722516395819E-2</v>
      </c>
      <c r="H34" s="1029">
        <f t="shared" ref="H34:R34" si="14">H94/H11</f>
        <v>0.1045744922103984</v>
      </c>
      <c r="I34" s="1029">
        <f t="shared" si="14"/>
        <v>0.11859693535086205</v>
      </c>
      <c r="J34" s="1029">
        <f t="shared" si="14"/>
        <v>0.13015326782481307</v>
      </c>
      <c r="K34" s="1029">
        <f t="shared" si="14"/>
        <v>0.15035888722497406</v>
      </c>
      <c r="L34" s="1029">
        <f t="shared" si="14"/>
        <v>0.16888706560071817</v>
      </c>
      <c r="M34" s="1029">
        <f t="shared" si="14"/>
        <v>0.18361394562619263</v>
      </c>
      <c r="N34" s="1029">
        <f t="shared" si="14"/>
        <v>0.1970721239794864</v>
      </c>
      <c r="O34" s="1029">
        <f t="shared" si="14"/>
        <v>0.20850405848800832</v>
      </c>
      <c r="P34" s="1029">
        <f t="shared" si="14"/>
        <v>0.21812337577228291</v>
      </c>
      <c r="Q34" s="1029">
        <f t="shared" si="14"/>
        <v>0.22522958741778973</v>
      </c>
      <c r="R34" s="1029">
        <f t="shared" si="14"/>
        <v>0.22983610735440949</v>
      </c>
    </row>
    <row r="35" spans="1:18" s="1029" customFormat="1">
      <c r="A35" s="450"/>
      <c r="B35" s="1029" t="s">
        <v>442</v>
      </c>
      <c r="F35" s="1029">
        <v>5.1995277233261916E-2</v>
      </c>
      <c r="G35" s="1029">
        <v>7.1575487850717698E-2</v>
      </c>
      <c r="H35" s="1029">
        <f t="shared" ref="H35:R35" si="15">H94/H14</f>
        <v>8.1214684572001261E-2</v>
      </c>
      <c r="I35" s="1029">
        <f t="shared" si="15"/>
        <v>9.3043886201188447E-2</v>
      </c>
      <c r="J35" s="1029">
        <f t="shared" si="15"/>
        <v>0.10277049869867927</v>
      </c>
      <c r="K35" s="1029">
        <f t="shared" si="15"/>
        <v>0.11967022511956563</v>
      </c>
      <c r="L35" s="1029">
        <f t="shared" si="15"/>
        <v>0.13506105516219097</v>
      </c>
      <c r="M35" s="1029">
        <f t="shared" si="15"/>
        <v>0.14700923570060825</v>
      </c>
      <c r="N35" s="1029">
        <f t="shared" si="15"/>
        <v>0.15760500981583891</v>
      </c>
      <c r="O35" s="1029">
        <f t="shared" si="15"/>
        <v>0.16662713159217854</v>
      </c>
      <c r="P35" s="1029">
        <f t="shared" si="15"/>
        <v>0.18065539652221002</v>
      </c>
      <c r="Q35" s="1029">
        <f t="shared" si="15"/>
        <v>0.19324804686029814</v>
      </c>
      <c r="R35" s="1029">
        <f t="shared" si="15"/>
        <v>0.20421419964441501</v>
      </c>
    </row>
    <row r="36" spans="1:18" s="1029" customFormat="1">
      <c r="A36" s="450"/>
      <c r="B36" s="1029" t="s">
        <v>243</v>
      </c>
      <c r="F36" s="1029">
        <v>0.30496453900709219</v>
      </c>
      <c r="G36" s="1029">
        <v>0.4128886010362694</v>
      </c>
      <c r="H36" s="1029">
        <f t="shared" ref="H36:R36" si="16">H98/H24</f>
        <v>0.52639661133198323</v>
      </c>
      <c r="I36" s="1029">
        <f t="shared" si="16"/>
        <v>0.59508891045784884</v>
      </c>
      <c r="J36" s="1029">
        <f t="shared" si="16"/>
        <v>0.60216757026649004</v>
      </c>
      <c r="K36" s="1029">
        <f t="shared" si="16"/>
        <v>0.63437824521514519</v>
      </c>
      <c r="L36" s="1029">
        <f t="shared" si="16"/>
        <v>0.66001872490370761</v>
      </c>
      <c r="M36" s="1029">
        <f t="shared" si="16"/>
        <v>0.68132501541681856</v>
      </c>
      <c r="N36" s="1029">
        <f t="shared" si="16"/>
        <v>0.69970657937666525</v>
      </c>
      <c r="O36" s="1029">
        <f t="shared" si="16"/>
        <v>0.71528708839661381</v>
      </c>
      <c r="P36" s="1029">
        <f t="shared" si="16"/>
        <v>0.72821901158461033</v>
      </c>
      <c r="Q36" s="1029">
        <f t="shared" si="16"/>
        <v>0.73867533080450876</v>
      </c>
      <c r="R36" s="1029">
        <f t="shared" si="16"/>
        <v>0.74684036707028001</v>
      </c>
    </row>
    <row r="37" spans="1:18" s="1029" customFormat="1">
      <c r="A37" s="450"/>
      <c r="B37" s="1029" t="s">
        <v>303</v>
      </c>
      <c r="F37" s="1029">
        <v>0.71068506734980574</v>
      </c>
      <c r="G37" s="1029">
        <v>0.84467852529066878</v>
      </c>
      <c r="H37" s="1029">
        <f t="shared" ref="H37:R37" si="17">H98/H28</f>
        <v>0.92749014541720509</v>
      </c>
      <c r="I37" s="1029">
        <f t="shared" si="17"/>
        <v>0.94923527228993232</v>
      </c>
      <c r="J37" s="1029">
        <f t="shared" si="17"/>
        <v>0.91617099418319725</v>
      </c>
      <c r="K37" s="1029">
        <f t="shared" si="17"/>
        <v>0.94231738511370433</v>
      </c>
      <c r="L37" s="1029">
        <f t="shared" si="17"/>
        <v>0.96443751152482426</v>
      </c>
      <c r="M37" s="1029">
        <f t="shared" si="17"/>
        <v>0.98598332280595058</v>
      </c>
      <c r="N37" s="1029">
        <f t="shared" si="17"/>
        <v>1.0086969194656989</v>
      </c>
      <c r="O37" s="1029">
        <f t="shared" si="17"/>
        <v>1.0341727290989182</v>
      </c>
      <c r="P37" s="1029">
        <f t="shared" si="17"/>
        <v>1.0618450344271058</v>
      </c>
      <c r="Q37" s="1029">
        <f t="shared" si="17"/>
        <v>1.0860082651948175</v>
      </c>
      <c r="R37" s="1029">
        <f t="shared" si="17"/>
        <v>1.1179969495451616</v>
      </c>
    </row>
    <row r="38" spans="1:18" s="1029" customFormat="1">
      <c r="A38" s="450"/>
      <c r="B38" s="1029" t="s">
        <v>27</v>
      </c>
      <c r="F38" s="1029">
        <v>0.18376472144444314</v>
      </c>
      <c r="G38" s="1029">
        <v>0.31065741084382154</v>
      </c>
      <c r="H38" s="1029">
        <f t="shared" ref="H38:R38" si="18">H117/H116</f>
        <v>0.62070976827713398</v>
      </c>
      <c r="I38" s="1029">
        <f t="shared" si="18"/>
        <v>0.92155557268315524</v>
      </c>
      <c r="J38" s="1029">
        <f t="shared" si="18"/>
        <v>1.0233139940184661</v>
      </c>
      <c r="K38" s="1029">
        <f t="shared" si="18"/>
        <v>0.95526315789473681</v>
      </c>
      <c r="L38" s="1029">
        <f t="shared" si="18"/>
        <v>1.0256410256410258</v>
      </c>
      <c r="M38" s="1029">
        <f t="shared" si="18"/>
        <v>1.0999999999999999</v>
      </c>
      <c r="N38" s="1029">
        <f t="shared" si="18"/>
        <v>1.125</v>
      </c>
      <c r="O38" s="1029">
        <f t="shared" si="18"/>
        <v>1.1499999999999999</v>
      </c>
      <c r="P38" s="1029">
        <f t="shared" si="18"/>
        <v>1.2175</v>
      </c>
      <c r="Q38" s="1029">
        <f t="shared" si="18"/>
        <v>1.2175</v>
      </c>
      <c r="R38" s="1029">
        <f t="shared" si="18"/>
        <v>1.2175</v>
      </c>
    </row>
    <row r="39" spans="1:18" s="1029" customFormat="1">
      <c r="A39" s="450"/>
      <c r="B39" s="1039" t="s">
        <v>311</v>
      </c>
    </row>
    <row r="40" spans="1:18" s="1029" customFormat="1">
      <c r="A40" s="450"/>
      <c r="B40" s="1029" t="s">
        <v>312</v>
      </c>
      <c r="H40" s="1038">
        <f>H136/$G136</f>
        <v>1.4564958283671037</v>
      </c>
      <c r="I40" s="1038">
        <f t="shared" ref="I40:R40" si="19">I136/$G136</f>
        <v>1.8426698450536352</v>
      </c>
      <c r="J40" s="1038">
        <f t="shared" si="19"/>
        <v>2.2449344457687723</v>
      </c>
      <c r="K40" s="1038">
        <f t="shared" si="19"/>
        <v>3.0060794696066737</v>
      </c>
      <c r="L40" s="1038">
        <f t="shared" si="19"/>
        <v>3.8357574032181163</v>
      </c>
      <c r="M40" s="1038">
        <f t="shared" si="19"/>
        <v>4.7225845148421444</v>
      </c>
      <c r="N40" s="1038">
        <f t="shared" si="19"/>
        <v>5.7281134316747213</v>
      </c>
      <c r="O40" s="1038">
        <f t="shared" si="19"/>
        <v>6.8369196175031606</v>
      </c>
      <c r="P40" s="1038">
        <f t="shared" si="19"/>
        <v>8.039046624705291</v>
      </c>
      <c r="Q40" s="1038">
        <f t="shared" si="19"/>
        <v>9.3279205885285332</v>
      </c>
      <c r="R40" s="1038">
        <f t="shared" si="19"/>
        <v>10.570100953517192</v>
      </c>
    </row>
    <row r="41" spans="1:18" s="1029" customFormat="1">
      <c r="A41" s="450"/>
      <c r="B41" s="1029" t="s">
        <v>26</v>
      </c>
      <c r="D41" s="1029">
        <v>3.5354787427438153E-2</v>
      </c>
      <c r="E41" s="1029">
        <v>3.9508006732569552E-2</v>
      </c>
      <c r="F41" s="1029">
        <v>5.7030603369063904E-2</v>
      </c>
      <c r="G41" s="1029">
        <v>7.9272722516395819E-2</v>
      </c>
      <c r="H41" s="1029">
        <f t="shared" ref="H41:R41" si="20">H136/H$11</f>
        <v>0.1045744922103984</v>
      </c>
      <c r="I41" s="1029">
        <f t="shared" si="20"/>
        <v>0.11859693535086205</v>
      </c>
      <c r="J41" s="1029">
        <f t="shared" si="20"/>
        <v>0.1301532678248131</v>
      </c>
      <c r="K41" s="1029">
        <f t="shared" si="20"/>
        <v>0.15704385003595919</v>
      </c>
      <c r="L41" s="1029">
        <f t="shared" si="20"/>
        <v>0.18113715648701353</v>
      </c>
      <c r="M41" s="1029">
        <f t="shared" si="20"/>
        <v>0.20232224041506441</v>
      </c>
      <c r="N41" s="1029">
        <f t="shared" si="20"/>
        <v>0.22314250946846129</v>
      </c>
      <c r="O41" s="1029">
        <f t="shared" si="20"/>
        <v>0.24207919913254028</v>
      </c>
      <c r="P41" s="1029">
        <f t="shared" si="20"/>
        <v>0.25910641097496773</v>
      </c>
      <c r="Q41" s="1029">
        <f t="shared" si="20"/>
        <v>0.27378625611427887</v>
      </c>
      <c r="R41" s="1029">
        <f t="shared" si="20"/>
        <v>0.28263247767913446</v>
      </c>
    </row>
    <row r="42" spans="1:18" s="1029" customFormat="1">
      <c r="A42" s="450"/>
      <c r="B42" s="1029" t="s">
        <v>442</v>
      </c>
      <c r="F42" s="1029">
        <v>5.1995277233261916E-2</v>
      </c>
      <c r="G42" s="1029">
        <v>7.1575487850717698E-2</v>
      </c>
      <c r="H42" s="1029">
        <f t="shared" ref="H42:R42" si="21">H136/H14</f>
        <v>8.1214684572001261E-2</v>
      </c>
      <c r="I42" s="1029">
        <f t="shared" si="21"/>
        <v>9.3043886201188447E-2</v>
      </c>
      <c r="J42" s="1029">
        <f t="shared" si="21"/>
        <v>0.10277049869867928</v>
      </c>
      <c r="K42" s="1029">
        <f t="shared" si="21"/>
        <v>0.12499076864892503</v>
      </c>
      <c r="L42" s="1029">
        <f t="shared" si="21"/>
        <v>0.14485760290284136</v>
      </c>
      <c r="M42" s="1029">
        <f t="shared" si="21"/>
        <v>0.16198790253767328</v>
      </c>
      <c r="N42" s="1029">
        <f t="shared" si="21"/>
        <v>0.17845434800696877</v>
      </c>
      <c r="O42" s="1029">
        <f t="shared" si="21"/>
        <v>0.19345888450371279</v>
      </c>
      <c r="P42" s="1029">
        <f t="shared" si="21"/>
        <v>0.21459860159599436</v>
      </c>
      <c r="Q42" s="1029">
        <f t="shared" si="21"/>
        <v>0.23490989730907252</v>
      </c>
      <c r="R42" s="1029">
        <f t="shared" si="21"/>
        <v>0.25112488149549705</v>
      </c>
    </row>
    <row r="43" spans="1:18" s="1029" customFormat="1">
      <c r="A43" s="450"/>
      <c r="B43" s="1029" t="s">
        <v>243</v>
      </c>
      <c r="F43" s="1029">
        <v>0.30496453900709219</v>
      </c>
      <c r="G43" s="1029">
        <v>0.4128886010362694</v>
      </c>
      <c r="H43" s="1029">
        <f t="shared" ref="H43:R43" si="22">H139/H$24</f>
        <v>0.52639661133198323</v>
      </c>
      <c r="I43" s="1029">
        <f t="shared" si="22"/>
        <v>0.59508891045784884</v>
      </c>
      <c r="J43" s="1029">
        <f t="shared" si="22"/>
        <v>0.60216757026649004</v>
      </c>
      <c r="K43" s="1029">
        <f t="shared" si="22"/>
        <v>0.6458084838676702</v>
      </c>
      <c r="L43" s="1029">
        <f t="shared" si="22"/>
        <v>0.67807527486181385</v>
      </c>
      <c r="M43" s="1029">
        <f t="shared" si="22"/>
        <v>0.70650617892739553</v>
      </c>
      <c r="N43" s="1029">
        <f t="shared" si="22"/>
        <v>0.73239276389523256</v>
      </c>
      <c r="O43" s="1029">
        <f t="shared" si="22"/>
        <v>0.75401505976240257</v>
      </c>
      <c r="P43" s="1029">
        <f t="shared" si="22"/>
        <v>0.77129903971068625</v>
      </c>
      <c r="Q43" s="1029">
        <f t="shared" si="22"/>
        <v>0.78611403273337743</v>
      </c>
      <c r="R43" s="1029">
        <f t="shared" si="22"/>
        <v>0.79480343837429535</v>
      </c>
    </row>
    <row r="44" spans="1:18" s="1029" customFormat="1">
      <c r="A44" s="450"/>
      <c r="B44" s="1029" t="s">
        <v>303</v>
      </c>
      <c r="F44" s="1029">
        <v>0.71068506734980574</v>
      </c>
      <c r="G44" s="1029">
        <v>0.84467852529066878</v>
      </c>
      <c r="H44" s="1029">
        <f t="shared" ref="H44:R44" si="23">H139/H28</f>
        <v>0.92749014541720509</v>
      </c>
      <c r="I44" s="1029">
        <f t="shared" si="23"/>
        <v>0.94923527228993232</v>
      </c>
      <c r="J44" s="1029">
        <f t="shared" si="23"/>
        <v>0.91617099418319725</v>
      </c>
      <c r="K44" s="1029">
        <f t="shared" si="23"/>
        <v>0.9592960767373746</v>
      </c>
      <c r="L44" s="1029">
        <f t="shared" si="23"/>
        <v>0.99082223888367338</v>
      </c>
      <c r="M44" s="1029">
        <f t="shared" si="23"/>
        <v>1.022424385013375</v>
      </c>
      <c r="N44" s="1029">
        <f t="shared" si="23"/>
        <v>1.0558173190799747</v>
      </c>
      <c r="O44" s="1029">
        <f t="shared" si="23"/>
        <v>1.0901662070877376</v>
      </c>
      <c r="P44" s="1029">
        <f t="shared" si="23"/>
        <v>1.1246617327293291</v>
      </c>
      <c r="Q44" s="1029">
        <f t="shared" si="23"/>
        <v>1.1557531453016898</v>
      </c>
      <c r="R44" s="1029">
        <f t="shared" si="23"/>
        <v>1.1897961850619265</v>
      </c>
    </row>
    <row r="45" spans="1:18" s="1029" customFormat="1">
      <c r="A45" s="450"/>
      <c r="B45" s="1029" t="s">
        <v>27</v>
      </c>
      <c r="F45" s="1029">
        <v>0.18376472144444314</v>
      </c>
      <c r="G45" s="1029">
        <v>0.31065741084382154</v>
      </c>
      <c r="H45" s="1029">
        <f t="shared" ref="H45:R45" si="24">H162/H159</f>
        <v>0.62070976827713398</v>
      </c>
      <c r="I45" s="1029">
        <f t="shared" si="24"/>
        <v>0.92155557268315524</v>
      </c>
      <c r="J45" s="1029">
        <f t="shared" si="24"/>
        <v>1.0233139940184661</v>
      </c>
      <c r="K45" s="1029">
        <f t="shared" si="24"/>
        <v>0.95526315789473681</v>
      </c>
      <c r="L45" s="1029">
        <f t="shared" si="24"/>
        <v>1.0256410256410258</v>
      </c>
      <c r="M45" s="1029">
        <f t="shared" si="24"/>
        <v>1.1499999999999999</v>
      </c>
      <c r="N45" s="1029">
        <f t="shared" si="24"/>
        <v>1.175</v>
      </c>
      <c r="O45" s="1029">
        <f t="shared" si="24"/>
        <v>1.2</v>
      </c>
      <c r="P45" s="1029">
        <f t="shared" si="24"/>
        <v>1.2675000000000001</v>
      </c>
      <c r="Q45" s="1029">
        <f t="shared" si="24"/>
        <v>1.2675000000000001</v>
      </c>
      <c r="R45" s="1029">
        <f t="shared" si="24"/>
        <v>1.2675000000000001</v>
      </c>
    </row>
    <row r="46" spans="1:18" s="1029" customFormat="1">
      <c r="A46" s="450"/>
      <c r="B46" s="1039" t="s">
        <v>310</v>
      </c>
    </row>
    <row r="47" spans="1:18" s="1029" customFormat="1">
      <c r="A47" s="450"/>
      <c r="B47" s="1029" t="s">
        <v>312</v>
      </c>
      <c r="H47" s="1038">
        <f>H180/$G180</f>
        <v>1.4564958283671037</v>
      </c>
      <c r="I47" s="1038">
        <f t="shared" ref="I47:R47" si="25">I180/$G180</f>
        <v>1.8426698450536352</v>
      </c>
      <c r="J47" s="1038">
        <f t="shared" si="25"/>
        <v>2.2449344457687723</v>
      </c>
      <c r="K47" s="1038">
        <f t="shared" si="25"/>
        <v>2.6783190405244337</v>
      </c>
      <c r="L47" s="1038">
        <f t="shared" si="25"/>
        <v>3.1229200012514902</v>
      </c>
      <c r="M47" s="1038">
        <f t="shared" si="25"/>
        <v>3.507663745405674</v>
      </c>
      <c r="N47" s="1038">
        <f t="shared" si="25"/>
        <v>3.916051213824769</v>
      </c>
      <c r="O47" s="1038">
        <f t="shared" si="25"/>
        <v>4.309722230794474</v>
      </c>
      <c r="P47" s="1038">
        <f t="shared" si="25"/>
        <v>4.68092241045224</v>
      </c>
      <c r="Q47" s="1038">
        <f t="shared" si="25"/>
        <v>5.0140572957564613</v>
      </c>
      <c r="R47" s="1038">
        <f t="shared" si="25"/>
        <v>5.3037903958262014</v>
      </c>
    </row>
    <row r="48" spans="1:18" s="1029" customFormat="1">
      <c r="A48" s="450"/>
      <c r="B48" s="1029" t="s">
        <v>26</v>
      </c>
      <c r="D48" s="1029">
        <v>3.5354787427438153E-2</v>
      </c>
      <c r="E48" s="1029">
        <v>3.9508006732569552E-2</v>
      </c>
      <c r="F48" s="1029">
        <v>5.7030603369063904E-2</v>
      </c>
      <c r="G48" s="1029">
        <v>7.9272722516395819E-2</v>
      </c>
      <c r="H48" s="1029">
        <f t="shared" ref="H48:R48" si="26">H180/H$11</f>
        <v>0.1045744922103984</v>
      </c>
      <c r="I48" s="1029">
        <f t="shared" si="26"/>
        <v>0.11859693535086205</v>
      </c>
      <c r="J48" s="1029">
        <f t="shared" si="26"/>
        <v>0.1301532678248131</v>
      </c>
      <c r="K48" s="1029">
        <f t="shared" si="26"/>
        <v>0.13992096283589198</v>
      </c>
      <c r="L48" s="1029">
        <f t="shared" si="26"/>
        <v>0.14747461570132805</v>
      </c>
      <c r="M48" s="1029">
        <f t="shared" si="26"/>
        <v>0.15027330593296828</v>
      </c>
      <c r="N48" s="1029">
        <f t="shared" si="26"/>
        <v>0.15255240760907735</v>
      </c>
      <c r="O48" s="1029">
        <f t="shared" si="26"/>
        <v>0.15259709993423057</v>
      </c>
      <c r="P48" s="1029">
        <f t="shared" si="26"/>
        <v>0.15087075152634008</v>
      </c>
      <c r="Q48" s="1029">
        <f t="shared" si="26"/>
        <v>0.14716891743652821</v>
      </c>
      <c r="R48" s="1029">
        <f t="shared" si="26"/>
        <v>0.14181732296174121</v>
      </c>
    </row>
    <row r="49" spans="1:21" s="1029" customFormat="1">
      <c r="A49" s="450"/>
      <c r="B49" s="1029" t="s">
        <v>442</v>
      </c>
      <c r="F49" s="1029">
        <v>5.1995277233261916E-2</v>
      </c>
      <c r="G49" s="1029">
        <v>7.1575487850717698E-2</v>
      </c>
      <c r="H49" s="1029">
        <f t="shared" ref="H49:R49" si="27">H180/H14</f>
        <v>8.1214684572001261E-2</v>
      </c>
      <c r="I49" s="1029">
        <f t="shared" si="27"/>
        <v>9.3043886201188447E-2</v>
      </c>
      <c r="J49" s="1029">
        <f t="shared" si="27"/>
        <v>0.10277049869867928</v>
      </c>
      <c r="K49" s="1029">
        <f t="shared" si="27"/>
        <v>0.11136270978425004</v>
      </c>
      <c r="L49" s="1029">
        <f t="shared" si="27"/>
        <v>0.11793725668341107</v>
      </c>
      <c r="M49" s="1029">
        <f t="shared" si="27"/>
        <v>0.12031528311244989</v>
      </c>
      <c r="N49" s="1029">
        <f t="shared" si="27"/>
        <v>0.12200113954808328</v>
      </c>
      <c r="O49" s="1029">
        <f t="shared" si="27"/>
        <v>0.12194878716371953</v>
      </c>
      <c r="P49" s="1029">
        <f t="shared" si="27"/>
        <v>0.12495504135718673</v>
      </c>
      <c r="Q49" s="1029">
        <f t="shared" si="27"/>
        <v>0.12627162434213657</v>
      </c>
      <c r="R49" s="1029">
        <f t="shared" si="27"/>
        <v>0.12600766449497505</v>
      </c>
    </row>
    <row r="50" spans="1:21" s="1029" customFormat="1">
      <c r="A50" s="450"/>
      <c r="B50" s="1029" t="s">
        <v>243</v>
      </c>
      <c r="F50" s="1029">
        <v>0.30496453900709219</v>
      </c>
      <c r="G50" s="1029">
        <v>0.4128886010362694</v>
      </c>
      <c r="H50" s="1029">
        <f t="shared" ref="H50:R50" si="28">H183/H$24</f>
        <v>0.52639661133198323</v>
      </c>
      <c r="I50" s="1029">
        <f t="shared" si="28"/>
        <v>0.59508891045784884</v>
      </c>
      <c r="J50" s="1029">
        <f t="shared" si="28"/>
        <v>0.60216757026649004</v>
      </c>
      <c r="K50" s="1029">
        <f t="shared" si="28"/>
        <v>0.61151776791009482</v>
      </c>
      <c r="L50" s="1029">
        <f t="shared" si="28"/>
        <v>0.61872323149498742</v>
      </c>
      <c r="M50" s="1029">
        <f t="shared" si="28"/>
        <v>0.62078907099388447</v>
      </c>
      <c r="N50" s="1029">
        <f t="shared" si="28"/>
        <v>0.62554236736975122</v>
      </c>
      <c r="O50" s="1029">
        <f t="shared" si="28"/>
        <v>0.62736826806165913</v>
      </c>
      <c r="P50" s="1029">
        <f t="shared" si="28"/>
        <v>0.62655668126866515</v>
      </c>
      <c r="Q50" s="1029">
        <f t="shared" si="28"/>
        <v>0.62340033782645277</v>
      </c>
      <c r="R50" s="1029">
        <f t="shared" si="28"/>
        <v>0.61818571520736321</v>
      </c>
    </row>
    <row r="51" spans="1:21" s="1029" customFormat="1">
      <c r="A51" s="450"/>
      <c r="B51" s="1029" t="s">
        <v>303</v>
      </c>
      <c r="F51" s="1029">
        <v>0.71068506734980574</v>
      </c>
      <c r="G51" s="1029">
        <v>0.84467852529066878</v>
      </c>
      <c r="H51" s="1029">
        <f t="shared" ref="H51:R51" si="29">H183/H28</f>
        <v>0.92749014541720509</v>
      </c>
      <c r="I51" s="1029">
        <f t="shared" si="29"/>
        <v>0.94923527228993232</v>
      </c>
      <c r="J51" s="1029">
        <f t="shared" si="29"/>
        <v>0.91617099418319725</v>
      </c>
      <c r="K51" s="1029">
        <f t="shared" si="29"/>
        <v>0.90836000186636368</v>
      </c>
      <c r="L51" s="1029">
        <f t="shared" si="29"/>
        <v>0.90409540091863438</v>
      </c>
      <c r="M51" s="1029">
        <f t="shared" si="29"/>
        <v>0.89837839082674598</v>
      </c>
      <c r="N51" s="1029">
        <f t="shared" si="29"/>
        <v>0.90178180048451251</v>
      </c>
      <c r="O51" s="1029">
        <f t="shared" si="29"/>
        <v>0.90705838880127498</v>
      </c>
      <c r="P51" s="1029">
        <f t="shared" si="29"/>
        <v>0.91360715692460093</v>
      </c>
      <c r="Q51" s="1029">
        <f t="shared" si="29"/>
        <v>0.9165297542391363</v>
      </c>
      <c r="R51" s="1029">
        <f t="shared" si="29"/>
        <v>0.92540491158157845</v>
      </c>
    </row>
    <row r="52" spans="1:21" s="1029" customFormat="1">
      <c r="A52" s="450"/>
      <c r="B52" s="1029" t="s">
        <v>27</v>
      </c>
      <c r="F52" s="1029">
        <v>0.18376472144444314</v>
      </c>
      <c r="G52" s="1029">
        <v>0.31065741084382154</v>
      </c>
      <c r="H52" s="1029">
        <f t="shared" ref="H52:R52" si="30">H206/H203</f>
        <v>0.62070976827713398</v>
      </c>
      <c r="I52" s="1029">
        <f t="shared" si="30"/>
        <v>0.92155557268315524</v>
      </c>
      <c r="J52" s="1029">
        <f t="shared" si="30"/>
        <v>1.0233139940184661</v>
      </c>
      <c r="K52" s="1029">
        <f t="shared" si="30"/>
        <v>0.92285714285714282</v>
      </c>
      <c r="L52" s="1029">
        <f t="shared" si="30"/>
        <v>1.0000000000000002</v>
      </c>
      <c r="M52" s="1029">
        <f t="shared" si="30"/>
        <v>1.0810810810810809</v>
      </c>
      <c r="N52" s="1029">
        <f t="shared" si="30"/>
        <v>1.1081081081081081</v>
      </c>
      <c r="O52" s="1029">
        <f t="shared" si="30"/>
        <v>1.1351351351351351</v>
      </c>
      <c r="P52" s="1029">
        <f t="shared" si="30"/>
        <v>1.2081081081081082</v>
      </c>
      <c r="Q52" s="1029">
        <f t="shared" si="30"/>
        <v>1.2081081081081082</v>
      </c>
      <c r="R52" s="1029">
        <f t="shared" si="30"/>
        <v>1.2081081081081082</v>
      </c>
    </row>
    <row r="53" spans="1:21" s="1040" customFormat="1">
      <c r="A53" s="9"/>
      <c r="G53" s="376"/>
    </row>
    <row r="54" spans="1:21" s="1042" customFormat="1">
      <c r="A54" s="141"/>
      <c r="B54" s="1041" t="s">
        <v>644</v>
      </c>
      <c r="J54" s="1043"/>
      <c r="T54" s="1044"/>
      <c r="U54" s="1044"/>
    </row>
    <row r="55" spans="1:21">
      <c r="B55" s="1045"/>
      <c r="T55" s="1046"/>
      <c r="U55" s="1046"/>
    </row>
    <row r="56" spans="1:21">
      <c r="B56" s="1045"/>
      <c r="T56" s="1046"/>
      <c r="U56" s="1046"/>
    </row>
    <row r="57" spans="1:21" s="1037" customFormat="1">
      <c r="A57" s="13"/>
      <c r="B57" s="13" t="s">
        <v>435</v>
      </c>
      <c r="C57" s="1047">
        <f>Model!C$162</f>
        <v>2335</v>
      </c>
      <c r="D57" s="1047">
        <f>Model!D$162</f>
        <v>5952</v>
      </c>
      <c r="E57" s="1047">
        <f>Model!E$162</f>
        <v>13422</v>
      </c>
      <c r="F57" s="1047">
        <f>Model!F$162</f>
        <v>26970</v>
      </c>
      <c r="G57" s="1048">
        <f>Model!G$162</f>
        <v>42832</v>
      </c>
      <c r="H57" s="247">
        <f>Model!H$162</f>
        <v>59732</v>
      </c>
      <c r="I57" s="1049">
        <f>Model!I$162</f>
        <v>80033</v>
      </c>
      <c r="J57" s="1049">
        <f>Model!J$162</f>
        <v>114109</v>
      </c>
      <c r="K57" s="1049">
        <f>Model!K$162</f>
        <v>176623.82850419998</v>
      </c>
      <c r="L57" s="1049">
        <f>Model!L$162</f>
        <v>239264.44580454568</v>
      </c>
      <c r="M57" s="1049">
        <f>Model!M$162</f>
        <v>313272.01746376767</v>
      </c>
      <c r="N57" s="1049">
        <f>Model!N$162</f>
        <v>378176.16971030022</v>
      </c>
      <c r="O57" s="1049">
        <f>Model!O$162</f>
        <v>450384.86743450252</v>
      </c>
      <c r="P57" s="1049">
        <f>Model!P$162</f>
        <v>548091.24666170287</v>
      </c>
      <c r="Q57" s="1049">
        <f>Model!Q$162</f>
        <v>621473.91583684599</v>
      </c>
      <c r="R57" s="1049">
        <f>Model!R$162</f>
        <v>696144.81702423049</v>
      </c>
      <c r="T57" s="1050"/>
      <c r="U57" s="1050"/>
    </row>
    <row r="58" spans="1:21">
      <c r="B58" s="448" t="s">
        <v>80</v>
      </c>
      <c r="C58" s="1029"/>
      <c r="D58" s="1029">
        <f t="shared" ref="D58:O58" si="31">D57/C57-1</f>
        <v>1.5490364025695933</v>
      </c>
      <c r="E58" s="1029">
        <f t="shared" si="31"/>
        <v>1.255040322580645</v>
      </c>
      <c r="F58" s="1029">
        <f t="shared" si="31"/>
        <v>1.009387572641931</v>
      </c>
      <c r="G58" s="1029">
        <f t="shared" si="31"/>
        <v>0.58813496477567662</v>
      </c>
      <c r="H58" s="382">
        <f t="shared" si="31"/>
        <v>0.39456481135599542</v>
      </c>
      <c r="I58" s="382">
        <f t="shared" si="31"/>
        <v>0.33986807741244229</v>
      </c>
      <c r="J58" s="382">
        <f t="shared" si="31"/>
        <v>0.42577436807316982</v>
      </c>
      <c r="K58" s="382">
        <f t="shared" si="31"/>
        <v>0.54785186535856045</v>
      </c>
      <c r="L58" s="382">
        <f t="shared" si="31"/>
        <v>0.35465552881986229</v>
      </c>
      <c r="M58" s="382">
        <f t="shared" si="31"/>
        <v>0.30931286681715564</v>
      </c>
      <c r="N58" s="382">
        <f t="shared" si="31"/>
        <v>0.20718145454545489</v>
      </c>
      <c r="O58" s="382">
        <f t="shared" si="31"/>
        <v>0.19093931217167226</v>
      </c>
      <c r="P58" s="382">
        <f>P57/O57-1</f>
        <v>0.21693974707400532</v>
      </c>
      <c r="Q58" s="382">
        <f>Q57/P57-1</f>
        <v>0.13388768680780805</v>
      </c>
      <c r="R58" s="382">
        <f>R57/Q57-1</f>
        <v>0.12015130367432447</v>
      </c>
      <c r="T58" s="1046"/>
      <c r="U58" s="1046"/>
    </row>
    <row r="59" spans="1:21" s="1037" customFormat="1">
      <c r="A59" s="13"/>
      <c r="F59" s="1048">
        <f>F60/6.5</f>
        <v>165.71830769230772</v>
      </c>
      <c r="G59" s="1048">
        <f t="shared" ref="G59:R59" si="32">G60/6.5</f>
        <v>258.15384615384613</v>
      </c>
      <c r="H59" s="1048">
        <f t="shared" si="32"/>
        <v>376</v>
      </c>
      <c r="I59" s="1048">
        <f t="shared" si="32"/>
        <v>475.69230769230768</v>
      </c>
      <c r="J59" s="1048">
        <f t="shared" si="32"/>
        <v>579.53846153846155</v>
      </c>
      <c r="K59" s="1048">
        <f t="shared" si="32"/>
        <v>742.9972846153845</v>
      </c>
      <c r="L59" s="1048">
        <f t="shared" si="32"/>
        <v>923.24842586307682</v>
      </c>
      <c r="M59" s="1048">
        <f t="shared" si="32"/>
        <v>1106.4209135543115</v>
      </c>
      <c r="N59" s="1048">
        <f t="shared" si="32"/>
        <v>1305.9696787025823</v>
      </c>
      <c r="O59" s="1048">
        <f t="shared" si="32"/>
        <v>1520.183843907593</v>
      </c>
      <c r="P59" s="1048">
        <f t="shared" si="32"/>
        <v>1747.0575003759784</v>
      </c>
      <c r="Q59" s="1048">
        <f t="shared" si="32"/>
        <v>1980.9669878215495</v>
      </c>
      <c r="R59" s="1048">
        <f t="shared" si="32"/>
        <v>2218.982753944108</v>
      </c>
      <c r="T59" s="1046"/>
      <c r="U59" s="1046"/>
    </row>
    <row r="60" spans="1:21" s="1037" customFormat="1">
      <c r="A60" s="13"/>
      <c r="B60" s="1037" t="s">
        <v>432</v>
      </c>
      <c r="C60" s="1049">
        <f>Model!C114</f>
        <v>259.44444444444446</v>
      </c>
      <c r="D60" s="1049">
        <f>Model!D114</f>
        <v>496</v>
      </c>
      <c r="E60" s="1049">
        <f>Model!E114</f>
        <v>663</v>
      </c>
      <c r="F60" s="1049">
        <f>Model!F114</f>
        <v>1077.1690000000001</v>
      </c>
      <c r="G60" s="1049">
        <f>Model!G114</f>
        <v>1678</v>
      </c>
      <c r="H60" s="1049">
        <f>Model!H114</f>
        <v>2444</v>
      </c>
      <c r="I60" s="1049">
        <f>Model!I114</f>
        <v>3092</v>
      </c>
      <c r="J60" s="1049">
        <f>Model!J114</f>
        <v>3767</v>
      </c>
      <c r="K60" s="1049">
        <f>Model!K114</f>
        <v>4829.4823499999993</v>
      </c>
      <c r="L60" s="1049">
        <f>Model!L114</f>
        <v>6001.1147681099992</v>
      </c>
      <c r="M60" s="1049">
        <f>Model!M114</f>
        <v>7191.7359381030246</v>
      </c>
      <c r="N60" s="1049">
        <f>Model!N114</f>
        <v>8488.802911566785</v>
      </c>
      <c r="O60" s="1049">
        <f>Model!O114</f>
        <v>9881.1949853993538</v>
      </c>
      <c r="P60" s="1049">
        <f>Model!P114</f>
        <v>11355.87375244386</v>
      </c>
      <c r="Q60" s="1049">
        <f>Model!Q114</f>
        <v>12876.285420840071</v>
      </c>
      <c r="R60" s="1049">
        <f>Model!R114</f>
        <v>14423.387900636702</v>
      </c>
      <c r="T60" s="1050"/>
      <c r="U60" s="1050"/>
    </row>
    <row r="61" spans="1:21">
      <c r="B61" s="448" t="s">
        <v>80</v>
      </c>
      <c r="C61" s="1051"/>
      <c r="D61" s="1051">
        <f t="shared" ref="D61:O61" si="33">D60/C60-1</f>
        <v>0.91177730192719486</v>
      </c>
      <c r="E61" s="1051">
        <f t="shared" si="33"/>
        <v>0.33669354838709675</v>
      </c>
      <c r="F61" s="1051">
        <f t="shared" si="33"/>
        <v>0.62468929110105598</v>
      </c>
      <c r="G61" s="1051">
        <f t="shared" si="33"/>
        <v>0.55778712532573804</v>
      </c>
      <c r="H61" s="424">
        <f t="shared" si="33"/>
        <v>0.45649582836710367</v>
      </c>
      <c r="I61" s="424">
        <f t="shared" si="33"/>
        <v>0.26513911620294595</v>
      </c>
      <c r="J61" s="424">
        <f t="shared" si="33"/>
        <v>0.21830530401034931</v>
      </c>
      <c r="K61" s="424">
        <f t="shared" si="33"/>
        <v>0.28204999999999991</v>
      </c>
      <c r="L61" s="424">
        <f t="shared" si="33"/>
        <v>0.24259999999999993</v>
      </c>
      <c r="M61" s="424">
        <f t="shared" si="33"/>
        <v>0.19840000000000035</v>
      </c>
      <c r="N61" s="424">
        <f t="shared" si="33"/>
        <v>0.18035520000000016</v>
      </c>
      <c r="O61" s="424">
        <f t="shared" si="33"/>
        <v>0.16402690559999988</v>
      </c>
      <c r="P61" s="424">
        <f>P60/O60-1</f>
        <v>0.14924093383680015</v>
      </c>
      <c r="Q61" s="424">
        <f>Q60/P60-1</f>
        <v>0.13388768680780805</v>
      </c>
      <c r="R61" s="424">
        <f>R60/Q60-1</f>
        <v>0.12015130367432447</v>
      </c>
      <c r="T61" s="1046"/>
      <c r="U61" s="1046"/>
    </row>
    <row r="62" spans="1:21">
      <c r="G62" s="1024"/>
      <c r="H62" s="241"/>
      <c r="I62" s="241"/>
      <c r="J62" s="1024"/>
      <c r="K62" s="1024"/>
      <c r="L62" s="1024"/>
      <c r="M62" s="1024"/>
      <c r="N62" s="1024"/>
      <c r="O62" s="1024"/>
      <c r="P62" s="1024"/>
      <c r="Q62" s="1024"/>
      <c r="R62" s="1024"/>
      <c r="T62" s="1046"/>
      <c r="U62" s="1046"/>
    </row>
    <row r="63" spans="1:21">
      <c r="B63" s="1045" t="s">
        <v>732</v>
      </c>
      <c r="F63" s="1052">
        <f>Model!F$106</f>
        <v>172</v>
      </c>
      <c r="G63" s="1052">
        <f>Model!G$106</f>
        <v>255</v>
      </c>
      <c r="H63" s="1053">
        <f>Model!H$106</f>
        <v>350</v>
      </c>
      <c r="I63" s="1053">
        <f>Model!I$106</f>
        <v>423</v>
      </c>
      <c r="J63" s="1053">
        <f>Model!J$106</f>
        <v>454</v>
      </c>
      <c r="K63" s="1052">
        <f t="shared" ref="K63:R63" si="34">J63*(1+K64)</f>
        <v>503.94000000000005</v>
      </c>
      <c r="L63" s="1052">
        <f t="shared" si="34"/>
        <v>549.29460000000006</v>
      </c>
      <c r="M63" s="1052">
        <f t="shared" si="34"/>
        <v>587.74522200000013</v>
      </c>
      <c r="N63" s="1052">
        <f t="shared" si="34"/>
        <v>624.77317098600008</v>
      </c>
      <c r="O63" s="1052">
        <f t="shared" si="34"/>
        <v>660.19780978090625</v>
      </c>
      <c r="P63" s="1052">
        <f t="shared" si="34"/>
        <v>693.88770401402587</v>
      </c>
      <c r="Q63" s="1052">
        <f t="shared" si="34"/>
        <v>725.75588459627807</v>
      </c>
      <c r="R63" s="1052">
        <f t="shared" si="34"/>
        <v>755.75449605694598</v>
      </c>
      <c r="T63" s="1050"/>
      <c r="U63" s="1050"/>
    </row>
    <row r="64" spans="1:21">
      <c r="B64" s="418" t="s">
        <v>80</v>
      </c>
      <c r="F64" s="1051"/>
      <c r="G64" s="1051">
        <f>G63/F63-1</f>
        <v>0.48255813953488369</v>
      </c>
      <c r="H64" s="424">
        <f>H63/G63-1</f>
        <v>0.37254901960784315</v>
      </c>
      <c r="I64" s="424">
        <f>I63/H63-1</f>
        <v>0.20857142857142863</v>
      </c>
      <c r="J64" s="424">
        <f>J63/I63-1</f>
        <v>7.328605200945626E-2</v>
      </c>
      <c r="K64" s="1054">
        <f t="shared" ref="K64:R64" si="35">CHOOSE($B$4,K99,K140,K184,K229)</f>
        <v>0.11</v>
      </c>
      <c r="L64" s="1054">
        <f t="shared" si="35"/>
        <v>0.09</v>
      </c>
      <c r="M64" s="1054">
        <f t="shared" si="35"/>
        <v>7.0000000000000007E-2</v>
      </c>
      <c r="N64" s="1054">
        <f t="shared" si="35"/>
        <v>6.3000000000000014E-2</v>
      </c>
      <c r="O64" s="1054">
        <f t="shared" si="35"/>
        <v>5.6700000000000014E-2</v>
      </c>
      <c r="P64" s="1054">
        <f t="shared" si="35"/>
        <v>5.1030000000000013E-2</v>
      </c>
      <c r="Q64" s="1054">
        <f t="shared" si="35"/>
        <v>4.5927000000000009E-2</v>
      </c>
      <c r="R64" s="1054">
        <f t="shared" si="35"/>
        <v>4.1334300000000011E-2</v>
      </c>
      <c r="T64" s="1046"/>
      <c r="U64" s="1046"/>
    </row>
    <row r="65" spans="1:21">
      <c r="B65" s="1045"/>
      <c r="H65" s="5"/>
      <c r="I65" s="5"/>
      <c r="T65" s="1055"/>
      <c r="U65" s="1055"/>
    </row>
    <row r="66" spans="1:21">
      <c r="B66" s="1045" t="s">
        <v>733</v>
      </c>
      <c r="F66" s="1052">
        <f>Model!F$110</f>
        <v>6262.6104651162796</v>
      </c>
      <c r="G66" s="1052">
        <f>Model!G$110</f>
        <v>6580.3921568627447</v>
      </c>
      <c r="H66" s="1053">
        <f>Model!H$110</f>
        <v>6982.8571428571431</v>
      </c>
      <c r="I66" s="1053">
        <f>Model!I$110</f>
        <v>7309.6926713947996</v>
      </c>
      <c r="J66" s="1053">
        <f>Model!J$110</f>
        <v>8297.3568281938315</v>
      </c>
      <c r="K66" s="1052">
        <f t="shared" ref="K66:R66" si="36">J66*(1+K67)</f>
        <v>9583.4471365638747</v>
      </c>
      <c r="L66" s="1052">
        <f t="shared" si="36"/>
        <v>10925.129735682818</v>
      </c>
      <c r="M66" s="1052">
        <f t="shared" si="36"/>
        <v>12236.145303964757</v>
      </c>
      <c r="N66" s="1052">
        <f t="shared" si="36"/>
        <v>13587.015745522467</v>
      </c>
      <c r="O66" s="1052">
        <f t="shared" si="36"/>
        <v>14967.021760763695</v>
      </c>
      <c r="P66" s="1052">
        <f t="shared" si="36"/>
        <v>16365.578589665161</v>
      </c>
      <c r="Q66" s="1052">
        <f t="shared" si="36"/>
        <v>17741.895993034716</v>
      </c>
      <c r="R66" s="1052">
        <f t="shared" si="36"/>
        <v>19084.75301951747</v>
      </c>
      <c r="T66" s="1050"/>
      <c r="U66" s="1050"/>
    </row>
    <row r="67" spans="1:21">
      <c r="B67" s="418" t="s">
        <v>80</v>
      </c>
      <c r="G67" s="1051">
        <f>G66/F66-1</f>
        <v>5.0742688455007512E-2</v>
      </c>
      <c r="H67" s="424">
        <f>H66/G66-1</f>
        <v>6.1161246381747025E-2</v>
      </c>
      <c r="I67" s="424">
        <f>I66/H66-1</f>
        <v>4.6805415297945796E-2</v>
      </c>
      <c r="J67" s="424">
        <f>J66/I66-1</f>
        <v>0.13511705637968641</v>
      </c>
      <c r="K67" s="1054">
        <f t="shared" ref="K67:R67" si="37">CHOOSE($B$4,K103,K144,K188,K233)</f>
        <v>0.155</v>
      </c>
      <c r="L67" s="1054">
        <f t="shared" si="37"/>
        <v>0.14000000000000001</v>
      </c>
      <c r="M67" s="1054">
        <f t="shared" si="37"/>
        <v>0.12</v>
      </c>
      <c r="N67" s="1054">
        <f t="shared" si="37"/>
        <v>0.1104</v>
      </c>
      <c r="O67" s="1054">
        <f t="shared" si="37"/>
        <v>0.10156800000000001</v>
      </c>
      <c r="P67" s="1054">
        <f t="shared" si="37"/>
        <v>9.3442560000000008E-2</v>
      </c>
      <c r="Q67" s="1054">
        <f t="shared" si="37"/>
        <v>8.4098304000000013E-2</v>
      </c>
      <c r="R67" s="1054">
        <f t="shared" si="37"/>
        <v>7.5688473600000014E-2</v>
      </c>
      <c r="T67" s="1055"/>
      <c r="U67" s="1055"/>
    </row>
    <row r="68" spans="1:21">
      <c r="H68" s="5"/>
      <c r="I68" s="5"/>
      <c r="T68" s="1055"/>
      <c r="U68" s="1055"/>
    </row>
    <row r="69" spans="1:21">
      <c r="B69" s="495" t="s">
        <v>422</v>
      </c>
      <c r="G69" s="1052"/>
      <c r="H69" s="1053"/>
      <c r="I69" s="5"/>
      <c r="T69" s="1055"/>
      <c r="U69" s="1055"/>
    </row>
    <row r="70" spans="1:21">
      <c r="B70" s="418" t="s">
        <v>423</v>
      </c>
      <c r="F70" s="1051">
        <f>Model!F141</f>
        <v>0.92623704729712786</v>
      </c>
      <c r="G70" s="1051">
        <f>Model!G141</f>
        <v>0.81003819070321803</v>
      </c>
      <c r="H70" s="424">
        <f>Model!H141</f>
        <v>0.59313788870703765</v>
      </c>
      <c r="I70" s="424">
        <f>Model!I141</f>
        <v>0.35219146183699879</v>
      </c>
      <c r="J70" s="424">
        <f>Model!J141</f>
        <v>0.20865410140695517</v>
      </c>
      <c r="K70" s="1056">
        <f t="shared" ref="K70:R70" si="38">1-K71</f>
        <v>0.16000000000000003</v>
      </c>
      <c r="L70" s="1056">
        <f t="shared" si="38"/>
        <v>0.13</v>
      </c>
      <c r="M70" s="1056">
        <f t="shared" si="38"/>
        <v>0.10999999999999999</v>
      </c>
      <c r="N70" s="1056">
        <f t="shared" si="38"/>
        <v>8.9999999999999969E-2</v>
      </c>
      <c r="O70" s="1056">
        <f t="shared" si="38"/>
        <v>6.9999999999999951E-2</v>
      </c>
      <c r="P70" s="1056">
        <f t="shared" si="38"/>
        <v>4.9999999999999933E-2</v>
      </c>
      <c r="Q70" s="1056">
        <f t="shared" si="38"/>
        <v>4.9999999999999933E-2</v>
      </c>
      <c r="R70" s="1056">
        <f t="shared" si="38"/>
        <v>4.9999999999999933E-2</v>
      </c>
      <c r="T70" s="1055"/>
      <c r="U70" s="1055"/>
    </row>
    <row r="71" spans="1:21">
      <c r="B71" s="418" t="s">
        <v>90</v>
      </c>
      <c r="F71" s="1051">
        <f>1-F70</f>
        <v>7.3762952702872142E-2</v>
      </c>
      <c r="G71" s="1051">
        <f>1-G70</f>
        <v>0.18996180929678197</v>
      </c>
      <c r="H71" s="424">
        <f>1-H70</f>
        <v>0.40686211129296235</v>
      </c>
      <c r="I71" s="424">
        <f>1-I70</f>
        <v>0.64780853816300121</v>
      </c>
      <c r="J71" s="424">
        <f>1-J70</f>
        <v>0.79134589859304483</v>
      </c>
      <c r="K71" s="1054">
        <f t="shared" ref="K71:R71" si="39">CHOOSE($B$4,K107,K149,K193,K238)</f>
        <v>0.84</v>
      </c>
      <c r="L71" s="1054">
        <f t="shared" si="39"/>
        <v>0.87</v>
      </c>
      <c r="M71" s="1054">
        <f t="shared" si="39"/>
        <v>0.89</v>
      </c>
      <c r="N71" s="1054">
        <f>CHOOSE($B$4,N107,N149,N193,N238)</f>
        <v>0.91</v>
      </c>
      <c r="O71" s="1054">
        <f t="shared" si="39"/>
        <v>0.93</v>
      </c>
      <c r="P71" s="1054">
        <f t="shared" si="39"/>
        <v>0.95000000000000007</v>
      </c>
      <c r="Q71" s="1054">
        <f t="shared" si="39"/>
        <v>0.95000000000000007</v>
      </c>
      <c r="R71" s="1054">
        <f t="shared" si="39"/>
        <v>0.95000000000000007</v>
      </c>
      <c r="T71" s="1055"/>
      <c r="U71" s="1055"/>
    </row>
    <row r="72" spans="1:21">
      <c r="G72" s="1057"/>
      <c r="H72" s="789"/>
      <c r="I72" s="1058"/>
      <c r="J72" s="1059"/>
      <c r="T72" s="1055"/>
      <c r="U72" s="1055"/>
    </row>
    <row r="73" spans="1:21">
      <c r="B73" s="1037" t="s">
        <v>436</v>
      </c>
      <c r="C73" s="1060">
        <f t="shared" ref="C73:O73" si="40">C57/C60/1000</f>
        <v>8.9999999999999993E-3</v>
      </c>
      <c r="D73" s="1060">
        <f t="shared" si="40"/>
        <v>1.2E-2</v>
      </c>
      <c r="E73" s="1060">
        <f t="shared" si="40"/>
        <v>2.0244343891402714E-2</v>
      </c>
      <c r="F73" s="1060">
        <f t="shared" si="40"/>
        <v>2.503785385580164E-2</v>
      </c>
      <c r="G73" s="1061">
        <f t="shared" si="40"/>
        <v>2.5525625744934444E-2</v>
      </c>
      <c r="H73" s="1062">
        <f>H57/H60/1000</f>
        <v>2.4440261865793778E-2</v>
      </c>
      <c r="I73" s="1063">
        <f>I57/I60/1000</f>
        <v>2.5883893919793014E-2</v>
      </c>
      <c r="J73" s="1060">
        <f t="shared" si="40"/>
        <v>3.0291744093443058E-2</v>
      </c>
      <c r="K73" s="1060">
        <f t="shared" si="40"/>
        <v>3.6572E-2</v>
      </c>
      <c r="L73" s="1060">
        <f t="shared" si="40"/>
        <v>3.9870000000000003E-2</v>
      </c>
      <c r="M73" s="1060">
        <f t="shared" si="40"/>
        <v>4.3559999999999988E-2</v>
      </c>
      <c r="N73" s="1060">
        <f t="shared" si="40"/>
        <v>4.4549999999999999E-2</v>
      </c>
      <c r="O73" s="1060">
        <f t="shared" si="40"/>
        <v>4.5579999999999996E-2</v>
      </c>
      <c r="P73" s="1060">
        <f>P57/P60/1000</f>
        <v>4.8264999999999995E-2</v>
      </c>
      <c r="Q73" s="1060">
        <f>Q57/Q60/1000</f>
        <v>4.8264999999999995E-2</v>
      </c>
      <c r="R73" s="1060">
        <f>R57/R60/1000</f>
        <v>4.8265000000000002E-2</v>
      </c>
      <c r="T73" s="1055"/>
      <c r="U73" s="1055"/>
    </row>
    <row r="74" spans="1:21">
      <c r="B74" s="1036" t="s">
        <v>434</v>
      </c>
      <c r="F74" s="1064">
        <f>Model!F$205</f>
        <v>2.6641907823842001E-2</v>
      </c>
      <c r="G74" s="1064">
        <f>Model!G$205</f>
        <v>2.93744151399963E-2</v>
      </c>
      <c r="H74" s="1065">
        <f>Model!H$205</f>
        <v>2.8903991444440606E-2</v>
      </c>
      <c r="I74" s="1065">
        <f>Model!I$205</f>
        <v>2.7269655162280887E-2</v>
      </c>
      <c r="J74" s="1065">
        <f>Model!J$205</f>
        <v>2.974300254452926E-2</v>
      </c>
      <c r="K74" s="1066">
        <f t="shared" ref="K74:R74" si="41">CHOOSE($B$4,K116,K159,K203,K248)</f>
        <v>3.7999999999999999E-2</v>
      </c>
      <c r="L74" s="1066">
        <f t="shared" si="41"/>
        <v>3.9E-2</v>
      </c>
      <c r="M74" s="1066">
        <f t="shared" si="41"/>
        <v>0.04</v>
      </c>
      <c r="N74" s="1066">
        <f t="shared" si="41"/>
        <v>0.04</v>
      </c>
      <c r="O74" s="1066">
        <f t="shared" si="41"/>
        <v>0.04</v>
      </c>
      <c r="P74" s="1066">
        <f t="shared" si="41"/>
        <v>0.04</v>
      </c>
      <c r="Q74" s="1066">
        <f t="shared" si="41"/>
        <v>0.04</v>
      </c>
      <c r="R74" s="1066">
        <f t="shared" si="41"/>
        <v>0.04</v>
      </c>
      <c r="T74" s="1055"/>
      <c r="U74" s="1055"/>
    </row>
    <row r="75" spans="1:21">
      <c r="B75" s="1036" t="s">
        <v>370</v>
      </c>
      <c r="F75" s="1064">
        <f>Model!F$206</f>
        <v>4.8958427699968554E-3</v>
      </c>
      <c r="G75" s="1064">
        <f>Model!G$206</f>
        <v>9.1253797524428019E-3</v>
      </c>
      <c r="H75" s="1065">
        <f>Model!H$206</f>
        <v>1.7940989831762993E-2</v>
      </c>
      <c r="I75" s="1065">
        <f>Model!I$206</f>
        <v>2.5130502679947923E-2</v>
      </c>
      <c r="J75" s="1065">
        <f>Model!J$206</f>
        <v>3.043643072794364E-2</v>
      </c>
      <c r="K75" s="1066">
        <f t="shared" ref="K75:R75" si="42">CHOOSE($B$4,K117,K162,K206,K251)</f>
        <v>3.6299999999999999E-2</v>
      </c>
      <c r="L75" s="1066">
        <f t="shared" si="42"/>
        <v>0.04</v>
      </c>
      <c r="M75" s="1066">
        <f t="shared" si="42"/>
        <v>4.3999999999999997E-2</v>
      </c>
      <c r="N75" s="1066">
        <f t="shared" si="42"/>
        <v>4.4999999999999998E-2</v>
      </c>
      <c r="O75" s="1066">
        <f t="shared" si="42"/>
        <v>4.5999999999999999E-2</v>
      </c>
      <c r="P75" s="1066">
        <f t="shared" si="42"/>
        <v>4.87E-2</v>
      </c>
      <c r="Q75" s="1066">
        <f t="shared" si="42"/>
        <v>4.87E-2</v>
      </c>
      <c r="R75" s="1066">
        <f t="shared" si="42"/>
        <v>4.87E-2</v>
      </c>
      <c r="T75" s="1055"/>
      <c r="U75" s="1055"/>
    </row>
    <row r="76" spans="1:21">
      <c r="B76" s="1067" t="s">
        <v>25</v>
      </c>
      <c r="C76" s="1010"/>
      <c r="D76" s="1010"/>
      <c r="E76" s="1010"/>
      <c r="F76" s="1068"/>
      <c r="G76" s="1010"/>
      <c r="H76" s="1010"/>
      <c r="I76" s="1069">
        <f t="shared" ref="I76:R76" si="43">I75/I74</f>
        <v>0.92155557268315524</v>
      </c>
      <c r="J76" s="1069">
        <f t="shared" si="43"/>
        <v>1.0233139940184661</v>
      </c>
      <c r="K76" s="1069">
        <f t="shared" si="43"/>
        <v>0.95526315789473681</v>
      </c>
      <c r="L76" s="1069">
        <f t="shared" si="43"/>
        <v>1.0256410256410258</v>
      </c>
      <c r="M76" s="1069">
        <f t="shared" si="43"/>
        <v>1.0999999999999999</v>
      </c>
      <c r="N76" s="1069">
        <f t="shared" si="43"/>
        <v>1.125</v>
      </c>
      <c r="O76" s="1069">
        <f t="shared" si="43"/>
        <v>1.1499999999999999</v>
      </c>
      <c r="P76" s="1069">
        <f t="shared" si="43"/>
        <v>1.2175</v>
      </c>
      <c r="Q76" s="1069">
        <f t="shared" si="43"/>
        <v>1.2175</v>
      </c>
      <c r="R76" s="1069">
        <f t="shared" si="43"/>
        <v>1.2175</v>
      </c>
      <c r="T76" s="1055"/>
      <c r="U76" s="1055"/>
    </row>
    <row r="77" spans="1:21">
      <c r="B77" s="1036"/>
      <c r="T77" s="1055"/>
      <c r="U77" s="1055"/>
    </row>
    <row r="78" spans="1:21">
      <c r="B78" s="1036"/>
      <c r="T78" s="1055"/>
      <c r="U78" s="1055"/>
    </row>
    <row r="79" spans="1:21" s="1042" customFormat="1">
      <c r="A79" s="141"/>
      <c r="B79" s="1041" t="s">
        <v>433</v>
      </c>
      <c r="H79" s="1043"/>
      <c r="I79" s="1043"/>
      <c r="J79" s="1043"/>
      <c r="T79" s="1070"/>
      <c r="U79" s="1070"/>
    </row>
    <row r="80" spans="1:21">
      <c r="G80" s="1057"/>
      <c r="H80" s="1071"/>
      <c r="I80" s="1071"/>
      <c r="J80" s="1071"/>
      <c r="T80" s="1055"/>
      <c r="U80" s="1055"/>
    </row>
    <row r="81" spans="1:34" s="1037" customFormat="1">
      <c r="A81" s="13"/>
      <c r="B81" s="13" t="s">
        <v>435</v>
      </c>
      <c r="C81" s="1047">
        <f t="shared" ref="C81:I81" si="44">C$57</f>
        <v>2335</v>
      </c>
      <c r="D81" s="1047">
        <f t="shared" si="44"/>
        <v>5952</v>
      </c>
      <c r="E81" s="1047">
        <f t="shared" si="44"/>
        <v>13422</v>
      </c>
      <c r="F81" s="1048">
        <f t="shared" si="44"/>
        <v>26970</v>
      </c>
      <c r="G81" s="1024">
        <f t="shared" si="44"/>
        <v>42832</v>
      </c>
      <c r="H81" s="241">
        <f t="shared" si="44"/>
        <v>59732</v>
      </c>
      <c r="I81" s="241">
        <f t="shared" si="44"/>
        <v>80033</v>
      </c>
      <c r="J81" s="1047">
        <f>J84+J88</f>
        <v>114108.99999999999</v>
      </c>
      <c r="K81" s="1047">
        <f>K84+K88+K92</f>
        <v>183130.82850419998</v>
      </c>
      <c r="L81" s="1047">
        <f t="shared" ref="L81:R81" si="45">L84+L88+L92</f>
        <v>253864.44580454568</v>
      </c>
      <c r="M81" s="1047">
        <f t="shared" si="45"/>
        <v>330792.01746376767</v>
      </c>
      <c r="N81" s="1047">
        <f t="shared" si="45"/>
        <v>398674.56971030025</v>
      </c>
      <c r="O81" s="1047">
        <f t="shared" si="45"/>
        <v>473845.28623450251</v>
      </c>
      <c r="P81" s="1047">
        <f t="shared" si="45"/>
        <v>574433.19140081282</v>
      </c>
      <c r="Q81" s="1047">
        <f t="shared" si="45"/>
        <v>650565.99253415002</v>
      </c>
      <c r="R81" s="1047">
        <f t="shared" si="45"/>
        <v>727818.55551798479</v>
      </c>
      <c r="T81" s="1072"/>
      <c r="V81" s="1072"/>
    </row>
    <row r="82" spans="1:34">
      <c r="B82" s="448" t="s">
        <v>80</v>
      </c>
      <c r="D82" s="1073">
        <f t="shared" ref="D82:O82" si="46">D81/C81-1</f>
        <v>1.5490364025695933</v>
      </c>
      <c r="E82" s="1073">
        <f t="shared" si="46"/>
        <v>1.255040322580645</v>
      </c>
      <c r="F82" s="1073">
        <f t="shared" si="46"/>
        <v>1.009387572641931</v>
      </c>
      <c r="G82" s="1073">
        <f t="shared" si="46"/>
        <v>0.58813496477567662</v>
      </c>
      <c r="H82" s="525">
        <f t="shared" si="46"/>
        <v>0.39456481135599542</v>
      </c>
      <c r="I82" s="525">
        <f t="shared" si="46"/>
        <v>0.33986807741244229</v>
      </c>
      <c r="J82" s="1073">
        <f t="shared" si="46"/>
        <v>0.4257743680731696</v>
      </c>
      <c r="K82" s="1073">
        <f t="shared" si="46"/>
        <v>0.6048762893741948</v>
      </c>
      <c r="L82" s="1073">
        <f t="shared" si="46"/>
        <v>0.38624636757280584</v>
      </c>
      <c r="M82" s="1073">
        <f t="shared" si="46"/>
        <v>0.30302617373387442</v>
      </c>
      <c r="N82" s="1073">
        <f t="shared" si="46"/>
        <v>0.20521218367661453</v>
      </c>
      <c r="O82" s="1073">
        <f t="shared" si="46"/>
        <v>0.18855157121966815</v>
      </c>
      <c r="P82" s="1073">
        <f>P81/O81-1</f>
        <v>0.21228005867833</v>
      </c>
      <c r="Q82" s="1073">
        <f>Q81/P81-1</f>
        <v>0.13253551896553839</v>
      </c>
      <c r="R82" s="1073">
        <f>R81/Q81-1</f>
        <v>0.1187466972918656</v>
      </c>
      <c r="T82" s="1074"/>
      <c r="V82" s="1074"/>
    </row>
    <row r="83" spans="1:34">
      <c r="H83" s="5"/>
      <c r="I83" s="5"/>
      <c r="T83" s="1074"/>
      <c r="V83" s="1074"/>
    </row>
    <row r="84" spans="1:34">
      <c r="B84" s="1036" t="s">
        <v>377</v>
      </c>
      <c r="F84" s="1024">
        <f>Model!F$200</f>
        <v>26581</v>
      </c>
      <c r="G84" s="1024">
        <f>Model!G$200</f>
        <v>39927</v>
      </c>
      <c r="H84" s="241">
        <f>Model!H$200</f>
        <v>41892</v>
      </c>
      <c r="I84" s="241">
        <f>Model!I$200</f>
        <v>29696</v>
      </c>
      <c r="J84" s="1052">
        <f t="shared" ref="J84:R84" si="47">J109*J116*1000</f>
        <v>23377.999999999996</v>
      </c>
      <c r="K84" s="1052">
        <f t="shared" si="47"/>
        <v>29363.252688</v>
      </c>
      <c r="L84" s="1052">
        <f t="shared" si="47"/>
        <v>30425.651874317697</v>
      </c>
      <c r="M84" s="1052">
        <f t="shared" si="47"/>
        <v>31643.638127653303</v>
      </c>
      <c r="N84" s="1052">
        <f t="shared" si="47"/>
        <v>30559.690481640417</v>
      </c>
      <c r="O84" s="1052">
        <f t="shared" si="47"/>
        <v>27667.345959118167</v>
      </c>
      <c r="P84" s="1052">
        <f t="shared" si="47"/>
        <v>22711.747504887691</v>
      </c>
      <c r="Q84" s="1052">
        <f t="shared" si="47"/>
        <v>25752.570841680106</v>
      </c>
      <c r="R84" s="1052">
        <f t="shared" si="47"/>
        <v>28846.775801273368</v>
      </c>
      <c r="T84" s="1072"/>
      <c r="V84" s="1072"/>
    </row>
    <row r="85" spans="1:34">
      <c r="B85" s="399" t="s">
        <v>80</v>
      </c>
      <c r="G85" s="1073">
        <f t="shared" ref="G85:O85" si="48">G84/F84-1</f>
        <v>0.50208795756367319</v>
      </c>
      <c r="H85" s="525">
        <f t="shared" si="48"/>
        <v>4.9214817041099979E-2</v>
      </c>
      <c r="I85" s="525">
        <f t="shared" si="48"/>
        <v>-0.29112957127852568</v>
      </c>
      <c r="J85" s="1073">
        <f t="shared" si="48"/>
        <v>-0.21275592672413801</v>
      </c>
      <c r="K85" s="1073">
        <f t="shared" si="48"/>
        <v>0.25602073265463288</v>
      </c>
      <c r="L85" s="1073">
        <f t="shared" si="48"/>
        <v>3.6181249999999832E-2</v>
      </c>
      <c r="M85" s="1051">
        <f t="shared" si="48"/>
        <v>4.003155818540427E-2</v>
      </c>
      <c r="N85" s="1051">
        <f t="shared" si="48"/>
        <v>-3.4254836363636243E-2</v>
      </c>
      <c r="O85" s="1073">
        <f t="shared" si="48"/>
        <v>-9.4645740088889485E-2</v>
      </c>
      <c r="P85" s="1073">
        <f>P84/O84-1</f>
        <v>-0.17911361868800024</v>
      </c>
      <c r="Q85" s="1073">
        <f>Q84/P84-1</f>
        <v>0.13388768680780783</v>
      </c>
      <c r="R85" s="1073">
        <f>R84/Q84-1</f>
        <v>0.12015130367432447</v>
      </c>
      <c r="T85" s="1074"/>
      <c r="V85" s="1074"/>
    </row>
    <row r="86" spans="1:34">
      <c r="B86" s="1045" t="s">
        <v>344</v>
      </c>
      <c r="F86" s="1073">
        <f>F84/F81</f>
        <v>0.98557656655543191</v>
      </c>
      <c r="G86" s="1073">
        <f>G84/G81</f>
        <v>0.93217687710123276</v>
      </c>
      <c r="H86" s="525">
        <f>H84/H81</f>
        <v>0.70133261903167476</v>
      </c>
      <c r="I86" s="525">
        <f t="shared" ref="I86:O86" si="49">I84/I81</f>
        <v>0.37104694313595643</v>
      </c>
      <c r="J86" s="1073">
        <f t="shared" si="49"/>
        <v>0.20487428686606665</v>
      </c>
      <c r="K86" s="1073">
        <f t="shared" si="49"/>
        <v>0.16034030385728623</v>
      </c>
      <c r="L86" s="1073">
        <f t="shared" si="49"/>
        <v>0.1198499922976331</v>
      </c>
      <c r="M86" s="1073">
        <f t="shared" si="49"/>
        <v>9.5660222910667114E-2</v>
      </c>
      <c r="N86" s="1073">
        <f t="shared" si="49"/>
        <v>7.6653222461234072E-2</v>
      </c>
      <c r="O86" s="1073">
        <f t="shared" si="49"/>
        <v>5.8388986369331111E-2</v>
      </c>
      <c r="P86" s="1073">
        <f>P84/P81</f>
        <v>3.953766572837273E-2</v>
      </c>
      <c r="Q86" s="1073">
        <f>Q84/Q81</f>
        <v>3.9584870923495559E-2</v>
      </c>
      <c r="R86" s="1073">
        <f>R84/R81</f>
        <v>3.963457043320813E-2</v>
      </c>
      <c r="T86" s="1074"/>
      <c r="V86" s="1074"/>
    </row>
    <row r="87" spans="1:34">
      <c r="B87" s="1036"/>
      <c r="H87" s="5"/>
      <c r="I87" s="5"/>
      <c r="T87" s="1072"/>
      <c r="V87" s="1072"/>
    </row>
    <row r="88" spans="1:34">
      <c r="B88" s="1036" t="s">
        <v>378</v>
      </c>
      <c r="F88" s="1052">
        <f>Model!F$201</f>
        <v>389</v>
      </c>
      <c r="G88" s="1052">
        <f>Model!G$201</f>
        <v>2905</v>
      </c>
      <c r="H88" s="1053">
        <f>Model!H$201</f>
        <v>17840</v>
      </c>
      <c r="I88" s="1053">
        <f>Model!I$201</f>
        <v>50337</v>
      </c>
      <c r="J88" s="1052">
        <f t="shared" ref="J88:R88" si="50">J112*J117*1000</f>
        <v>90730.999999999985</v>
      </c>
      <c r="K88" s="1052">
        <f t="shared" si="50"/>
        <v>147260.57581619997</v>
      </c>
      <c r="L88" s="1052">
        <f t="shared" si="50"/>
        <v>208838.79393022798</v>
      </c>
      <c r="M88" s="1052">
        <f t="shared" si="50"/>
        <v>281628.37933611439</v>
      </c>
      <c r="N88" s="1052">
        <f t="shared" si="50"/>
        <v>347616.47922865982</v>
      </c>
      <c r="O88" s="1052">
        <f t="shared" si="50"/>
        <v>422717.52147538436</v>
      </c>
      <c r="P88" s="1052">
        <f t="shared" si="50"/>
        <v>525379.49915681523</v>
      </c>
      <c r="Q88" s="1052">
        <f t="shared" si="50"/>
        <v>595721.34499516594</v>
      </c>
      <c r="R88" s="1052">
        <f t="shared" si="50"/>
        <v>667298.04122295708</v>
      </c>
      <c r="T88" s="1072"/>
      <c r="V88" s="1072"/>
    </row>
    <row r="89" spans="1:34">
      <c r="B89" s="399" t="s">
        <v>80</v>
      </c>
      <c r="G89" s="1073">
        <f t="shared" ref="G89:O89" si="51">G88/F88-1</f>
        <v>6.4678663239074554</v>
      </c>
      <c r="H89" s="525">
        <f t="shared" si="51"/>
        <v>5.1411359724612735</v>
      </c>
      <c r="I89" s="525">
        <f t="shared" si="51"/>
        <v>1.8215807174887892</v>
      </c>
      <c r="J89" s="1073">
        <f t="shared" si="51"/>
        <v>0.80247134314718771</v>
      </c>
      <c r="K89" s="1073">
        <f t="shared" si="51"/>
        <v>0.62304588085880241</v>
      </c>
      <c r="L89" s="1073">
        <f t="shared" si="51"/>
        <v>0.41815820543093296</v>
      </c>
      <c r="M89" s="1051">
        <f t="shared" si="51"/>
        <v>0.34854436781609199</v>
      </c>
      <c r="N89" s="1051">
        <f t="shared" si="51"/>
        <v>0.23430912768130785</v>
      </c>
      <c r="O89" s="1073">
        <f t="shared" si="51"/>
        <v>0.21604569039238086</v>
      </c>
      <c r="P89" s="1073">
        <f>P88/O88-1</f>
        <v>0.24286189350069098</v>
      </c>
      <c r="Q89" s="1073">
        <f>Q88/P88-1</f>
        <v>0.13388768680780805</v>
      </c>
      <c r="R89" s="1073">
        <f>R88/Q88-1</f>
        <v>0.12015130367432447</v>
      </c>
      <c r="T89" s="1074"/>
      <c r="V89" s="1074"/>
    </row>
    <row r="90" spans="1:34">
      <c r="B90" s="1045" t="s">
        <v>344</v>
      </c>
      <c r="F90" s="1073">
        <f>F88/F81</f>
        <v>1.4423433444568038E-2</v>
      </c>
      <c r="G90" s="1073">
        <f>G88/G81</f>
        <v>6.7823122898767282E-2</v>
      </c>
      <c r="H90" s="525">
        <f>H88/H81</f>
        <v>0.29866738096832518</v>
      </c>
      <c r="I90" s="525">
        <f t="shared" ref="I90:O90" si="52">I88/I81</f>
        <v>0.62895305686404357</v>
      </c>
      <c r="J90" s="1073">
        <f t="shared" si="52"/>
        <v>0.79512571313393332</v>
      </c>
      <c r="K90" s="1073">
        <f t="shared" si="52"/>
        <v>0.80412772125269261</v>
      </c>
      <c r="L90" s="1073">
        <f t="shared" si="52"/>
        <v>0.8226390003861207</v>
      </c>
      <c r="M90" s="1073">
        <f t="shared" si="52"/>
        <v>0.85137598390493729</v>
      </c>
      <c r="N90" s="1073">
        <f t="shared" si="52"/>
        <v>0.87193040549653777</v>
      </c>
      <c r="O90" s="1073">
        <f t="shared" si="52"/>
        <v>0.89210029888570974</v>
      </c>
      <c r="P90" s="1073">
        <f>P88/P81</f>
        <v>0.91460505246158352</v>
      </c>
      <c r="Q90" s="1073">
        <f>Q88/Q81</f>
        <v>0.91569702663776242</v>
      </c>
      <c r="R90" s="1073">
        <f>R88/R81</f>
        <v>0.91684670054618822</v>
      </c>
      <c r="T90" s="1072"/>
      <c r="V90" s="1072"/>
    </row>
    <row r="91" spans="1:34">
      <c r="B91" s="1036"/>
      <c r="G91" s="1057"/>
      <c r="H91" s="789"/>
      <c r="I91" s="1075"/>
      <c r="J91" s="1076"/>
      <c r="T91" s="1074"/>
      <c r="V91" s="1074"/>
    </row>
    <row r="92" spans="1:34">
      <c r="B92" s="1036" t="s">
        <v>802</v>
      </c>
      <c r="G92" s="1057"/>
      <c r="H92" s="789"/>
      <c r="I92" s="1075"/>
      <c r="J92" s="1034">
        <f>Model!J279</f>
        <v>0</v>
      </c>
      <c r="K92" s="1034">
        <f>Model!K279</f>
        <v>6507</v>
      </c>
      <c r="L92" s="1034">
        <f>Model!L279</f>
        <v>14600</v>
      </c>
      <c r="M92" s="1034">
        <f>Model!M279</f>
        <v>17520</v>
      </c>
      <c r="N92" s="1034">
        <f>Model!N279</f>
        <v>20498.399999999998</v>
      </c>
      <c r="O92" s="1034">
        <f>Model!O279</f>
        <v>23460.418799999999</v>
      </c>
      <c r="P92" s="1034">
        <f>Model!P279</f>
        <v>26341.94473911</v>
      </c>
      <c r="Q92" s="1034">
        <f>Model!Q279</f>
        <v>29092.076697304008</v>
      </c>
      <c r="R92" s="1034">
        <f>Model!R279</f>
        <v>31673.738493754256</v>
      </c>
      <c r="T92" s="1074"/>
      <c r="V92" s="1074"/>
    </row>
    <row r="93" spans="1:34">
      <c r="G93" s="1057"/>
      <c r="H93" s="789"/>
      <c r="I93" s="1077"/>
      <c r="J93" s="1034"/>
      <c r="K93" s="1024"/>
      <c r="L93" s="1024"/>
      <c r="M93" s="1024"/>
      <c r="N93" s="1024"/>
      <c r="O93" s="1024"/>
      <c r="P93" s="1024"/>
      <c r="Q93" s="1024"/>
      <c r="R93" s="1024"/>
      <c r="T93" s="1074"/>
      <c r="V93" s="1074"/>
    </row>
    <row r="94" spans="1:34">
      <c r="B94" s="1078" t="s">
        <v>432</v>
      </c>
      <c r="C94" s="1052">
        <f t="shared" ref="C94:I94" si="53">C$60</f>
        <v>259.44444444444446</v>
      </c>
      <c r="D94" s="1052">
        <f t="shared" si="53"/>
        <v>496</v>
      </c>
      <c r="E94" s="1052">
        <f t="shared" si="53"/>
        <v>663</v>
      </c>
      <c r="F94" s="1052">
        <f t="shared" si="53"/>
        <v>1077.1690000000001</v>
      </c>
      <c r="G94" s="1024">
        <f t="shared" si="53"/>
        <v>1678</v>
      </c>
      <c r="H94" s="241">
        <f t="shared" si="53"/>
        <v>2444</v>
      </c>
      <c r="I94" s="241">
        <f t="shared" si="53"/>
        <v>3092</v>
      </c>
      <c r="J94" s="1052">
        <f t="shared" ref="J94:R94" si="54">J98*J102/1000</f>
        <v>3766.9999999999995</v>
      </c>
      <c r="K94" s="1052">
        <f t="shared" si="54"/>
        <v>4829.4823499999993</v>
      </c>
      <c r="L94" s="1052">
        <f t="shared" si="54"/>
        <v>6001.1147681099992</v>
      </c>
      <c r="M94" s="1052">
        <f t="shared" si="54"/>
        <v>7191.7359381030246</v>
      </c>
      <c r="N94" s="1052">
        <f t="shared" si="54"/>
        <v>8488.802911566785</v>
      </c>
      <c r="O94" s="1052">
        <f t="shared" si="54"/>
        <v>9881.1949853993538</v>
      </c>
      <c r="P94" s="1052">
        <f t="shared" si="54"/>
        <v>11355.87375244386</v>
      </c>
      <c r="Q94" s="1052">
        <f t="shared" si="54"/>
        <v>12876.285420840071</v>
      </c>
      <c r="R94" s="1052">
        <f t="shared" si="54"/>
        <v>14423.387900636702</v>
      </c>
      <c r="T94" s="1072"/>
      <c r="U94" s="376"/>
      <c r="V94" s="1072"/>
      <c r="X94" s="1024"/>
      <c r="Y94" s="1024"/>
      <c r="Z94" s="1024"/>
      <c r="AA94" s="1024"/>
      <c r="AB94" s="1024"/>
      <c r="AC94" s="1024"/>
      <c r="AD94" s="1024"/>
      <c r="AE94" s="1024"/>
      <c r="AF94" s="1024"/>
      <c r="AG94" s="1024"/>
      <c r="AH94" s="1024"/>
    </row>
    <row r="95" spans="1:34">
      <c r="B95" s="399" t="s">
        <v>80</v>
      </c>
      <c r="D95" s="1073">
        <f t="shared" ref="D95:O95" si="55">D94/C94-1</f>
        <v>0.91177730192719486</v>
      </c>
      <c r="E95" s="1073">
        <f t="shared" si="55"/>
        <v>0.33669354838709675</v>
      </c>
      <c r="F95" s="1073">
        <f t="shared" si="55"/>
        <v>0.62468929110105598</v>
      </c>
      <c r="G95" s="1073">
        <f t="shared" si="55"/>
        <v>0.55778712532573804</v>
      </c>
      <c r="H95" s="525">
        <f t="shared" si="55"/>
        <v>0.45649582836710367</v>
      </c>
      <c r="I95" s="525">
        <f t="shared" si="55"/>
        <v>0.26513911620294595</v>
      </c>
      <c r="J95" s="1073">
        <f t="shared" si="55"/>
        <v>0.21830530401034909</v>
      </c>
      <c r="K95" s="1073">
        <f t="shared" si="55"/>
        <v>0.28204999999999991</v>
      </c>
      <c r="L95" s="1073">
        <f t="shared" si="55"/>
        <v>0.24259999999999993</v>
      </c>
      <c r="M95" s="1064">
        <f t="shared" si="55"/>
        <v>0.19840000000000035</v>
      </c>
      <c r="N95" s="1064">
        <f t="shared" si="55"/>
        <v>0.18035520000000016</v>
      </c>
      <c r="O95" s="1064">
        <f t="shared" si="55"/>
        <v>0.16402690559999988</v>
      </c>
      <c r="P95" s="1064">
        <f>P94/O94-1</f>
        <v>0.14924093383680015</v>
      </c>
      <c r="Q95" s="1073">
        <f>Q94/P94-1</f>
        <v>0.13388768680780805</v>
      </c>
      <c r="R95" s="1073">
        <f>R94/Q94-1</f>
        <v>0.12015130367432447</v>
      </c>
      <c r="S95" s="1079"/>
      <c r="T95" s="1074"/>
      <c r="V95" s="1074"/>
      <c r="X95" s="1029"/>
      <c r="Y95" s="1029"/>
      <c r="Z95" s="1029"/>
      <c r="AA95" s="1029"/>
      <c r="AB95" s="1029"/>
      <c r="AC95" s="1029"/>
      <c r="AD95" s="1029"/>
      <c r="AE95" s="1029"/>
      <c r="AF95" s="1029"/>
      <c r="AG95" s="1029"/>
      <c r="AH95" s="1029"/>
    </row>
    <row r="96" spans="1:34">
      <c r="B96" s="1036"/>
      <c r="G96" s="376" t="s">
        <v>245</v>
      </c>
      <c r="H96" s="1080">
        <f>H94-G94</f>
        <v>766</v>
      </c>
      <c r="I96" s="1080">
        <f>I94-H94</f>
        <v>648</v>
      </c>
      <c r="J96" s="1081">
        <f>J94-I94</f>
        <v>674.99999999999955</v>
      </c>
      <c r="K96" s="1081">
        <f t="shared" ref="K96:R96" si="56">K94-J94</f>
        <v>1062.4823499999998</v>
      </c>
      <c r="L96" s="1081">
        <f t="shared" si="56"/>
        <v>1171.6324181099999</v>
      </c>
      <c r="M96" s="1081">
        <f t="shared" si="56"/>
        <v>1190.6211699930254</v>
      </c>
      <c r="N96" s="1081">
        <f t="shared" si="56"/>
        <v>1297.0669734637604</v>
      </c>
      <c r="O96" s="1081">
        <f t="shared" si="56"/>
        <v>1392.3920738325687</v>
      </c>
      <c r="P96" s="1081">
        <f t="shared" si="56"/>
        <v>1474.6787670445065</v>
      </c>
      <c r="Q96" s="1081">
        <f t="shared" si="56"/>
        <v>1520.4116683962111</v>
      </c>
      <c r="R96" s="1081">
        <f t="shared" si="56"/>
        <v>1547.1024797966311</v>
      </c>
      <c r="T96" s="1074"/>
      <c r="V96" s="1074"/>
    </row>
    <row r="97" spans="2:34">
      <c r="B97" s="1036"/>
      <c r="H97" s="1082"/>
      <c r="I97" s="1082"/>
      <c r="J97" s="1083"/>
      <c r="K97" s="1084"/>
      <c r="L97" s="1083"/>
      <c r="M97" s="1083"/>
      <c r="N97" s="1083"/>
      <c r="O97" s="1083"/>
      <c r="P97" s="1083"/>
      <c r="Q97" s="1083"/>
      <c r="R97" s="1083"/>
      <c r="T97" s="1074"/>
      <c r="V97" s="1074"/>
    </row>
    <row r="98" spans="2:34">
      <c r="B98" s="1045" t="s">
        <v>732</v>
      </c>
      <c r="F98" s="1052">
        <f>Model!F$106</f>
        <v>172</v>
      </c>
      <c r="G98" s="1052">
        <f>Model!G$106</f>
        <v>255</v>
      </c>
      <c r="H98" s="1053">
        <f>Model!H$106</f>
        <v>350</v>
      </c>
      <c r="I98" s="1053">
        <f>Model!I$106</f>
        <v>423</v>
      </c>
      <c r="J98" s="1053">
        <f>Model!J$106</f>
        <v>454</v>
      </c>
      <c r="K98" s="1052">
        <f t="shared" ref="K98:R98" si="57">J98*(1+K99)</f>
        <v>503.94000000000005</v>
      </c>
      <c r="L98" s="1052">
        <f t="shared" si="57"/>
        <v>549.29460000000006</v>
      </c>
      <c r="M98" s="1052">
        <f t="shared" si="57"/>
        <v>587.74522200000013</v>
      </c>
      <c r="N98" s="1052">
        <f t="shared" si="57"/>
        <v>624.77317098600008</v>
      </c>
      <c r="O98" s="1052">
        <f t="shared" si="57"/>
        <v>660.19780978090625</v>
      </c>
      <c r="P98" s="1052">
        <f t="shared" si="57"/>
        <v>693.88770401402587</v>
      </c>
      <c r="Q98" s="1052">
        <f t="shared" si="57"/>
        <v>725.75588459627807</v>
      </c>
      <c r="R98" s="1052">
        <f t="shared" si="57"/>
        <v>755.75449605694598</v>
      </c>
      <c r="T98" s="1072"/>
      <c r="U98" s="1072"/>
      <c r="V98" s="1072"/>
      <c r="X98" s="1024"/>
      <c r="Y98" s="1024"/>
      <c r="Z98" s="1024"/>
      <c r="AA98" s="1024"/>
      <c r="AB98" s="1024"/>
      <c r="AC98" s="1024"/>
      <c r="AD98" s="1024"/>
      <c r="AE98" s="1024"/>
      <c r="AF98" s="1024"/>
      <c r="AG98" s="1024"/>
      <c r="AH98" s="1024"/>
    </row>
    <row r="99" spans="2:34">
      <c r="B99" s="418" t="s">
        <v>80</v>
      </c>
      <c r="G99" s="1051">
        <f>G98/F98-1</f>
        <v>0.48255813953488369</v>
      </c>
      <c r="H99" s="424">
        <f>H98/G98-1</f>
        <v>0.37254901960784315</v>
      </c>
      <c r="I99" s="424">
        <f>I98/H98-1</f>
        <v>0.20857142857142863</v>
      </c>
      <c r="J99" s="424">
        <f>J98/I98-1</f>
        <v>7.328605200945626E-2</v>
      </c>
      <c r="K99" s="1085">
        <v>0.11</v>
      </c>
      <c r="L99" s="1085">
        <v>0.09</v>
      </c>
      <c r="M99" s="1085">
        <v>7.0000000000000007E-2</v>
      </c>
      <c r="N99" s="1085">
        <f>M99*0.9</f>
        <v>6.3000000000000014E-2</v>
      </c>
      <c r="O99" s="1085">
        <f>N99*0.9</f>
        <v>5.6700000000000014E-2</v>
      </c>
      <c r="P99" s="1085">
        <f>O99*0.9</f>
        <v>5.1030000000000013E-2</v>
      </c>
      <c r="Q99" s="1085">
        <f>P99*0.9</f>
        <v>4.5927000000000009E-2</v>
      </c>
      <c r="R99" s="1085">
        <f>Q99*0.9</f>
        <v>4.1334300000000011E-2</v>
      </c>
      <c r="T99" s="1074"/>
      <c r="V99" s="1074"/>
      <c r="W99" s="1020"/>
      <c r="X99" s="1029"/>
      <c r="Y99" s="1029"/>
      <c r="Z99" s="1029"/>
      <c r="AA99" s="1029"/>
      <c r="AB99" s="1029"/>
      <c r="AC99" s="1029"/>
      <c r="AD99" s="1029"/>
      <c r="AE99" s="1029"/>
      <c r="AF99" s="1029"/>
      <c r="AG99" s="1029"/>
      <c r="AH99" s="1029"/>
    </row>
    <row r="100" spans="2:34">
      <c r="B100" s="418" t="s">
        <v>242</v>
      </c>
      <c r="G100" s="1052">
        <f>G98-F98</f>
        <v>83</v>
      </c>
      <c r="H100" s="1053">
        <f>H98-G98</f>
        <v>95</v>
      </c>
      <c r="I100" s="1053">
        <f>I98-H98</f>
        <v>73</v>
      </c>
      <c r="J100" s="1052">
        <f t="shared" ref="J100:O100" si="58">J98-I98</f>
        <v>31</v>
      </c>
      <c r="K100" s="1052">
        <f t="shared" si="58"/>
        <v>49.940000000000055</v>
      </c>
      <c r="L100" s="1052">
        <f t="shared" si="58"/>
        <v>45.354600000000005</v>
      </c>
      <c r="M100" s="1052">
        <f t="shared" si="58"/>
        <v>38.450622000000067</v>
      </c>
      <c r="N100" s="1052">
        <f t="shared" si="58"/>
        <v>37.027948985999956</v>
      </c>
      <c r="O100" s="1052">
        <f t="shared" si="58"/>
        <v>35.424638794906173</v>
      </c>
      <c r="P100" s="1052">
        <f>P98-O98</f>
        <v>33.689894233119617</v>
      </c>
      <c r="Q100" s="1052">
        <f>Q98-P98</f>
        <v>31.868180582252194</v>
      </c>
      <c r="R100" s="1052">
        <f>R98-Q98</f>
        <v>29.998611460667917</v>
      </c>
      <c r="T100" s="1074"/>
      <c r="V100" s="1074"/>
      <c r="W100" s="1020"/>
    </row>
    <row r="101" spans="2:34">
      <c r="B101" s="1086" t="s">
        <v>331</v>
      </c>
      <c r="F101" s="1027">
        <f t="shared" ref="F101:R101" si="59">F98/F28</f>
        <v>0.71068506734980574</v>
      </c>
      <c r="G101" s="1027">
        <f t="shared" si="59"/>
        <v>0.84467852529066878</v>
      </c>
      <c r="H101" s="6">
        <f t="shared" si="59"/>
        <v>0.92749014541720509</v>
      </c>
      <c r="I101" s="6">
        <f t="shared" si="59"/>
        <v>0.94923527228993232</v>
      </c>
      <c r="J101" s="1027">
        <f t="shared" si="59"/>
        <v>0.91617099418319725</v>
      </c>
      <c r="K101" s="1027">
        <f t="shared" si="59"/>
        <v>0.94231738511370433</v>
      </c>
      <c r="L101" s="1027">
        <f t="shared" si="59"/>
        <v>0.96443751152482426</v>
      </c>
      <c r="M101" s="1027">
        <f t="shared" si="59"/>
        <v>0.98598332280595058</v>
      </c>
      <c r="N101" s="1027">
        <f t="shared" si="59"/>
        <v>1.0086969194656989</v>
      </c>
      <c r="O101" s="1027">
        <f t="shared" si="59"/>
        <v>1.0341727290989182</v>
      </c>
      <c r="P101" s="1027">
        <f t="shared" si="59"/>
        <v>1.0618450344271058</v>
      </c>
      <c r="Q101" s="1027">
        <f t="shared" si="59"/>
        <v>1.0860082651948175</v>
      </c>
      <c r="R101" s="1027">
        <f t="shared" si="59"/>
        <v>1.1179969495451616</v>
      </c>
      <c r="T101" s="1074"/>
      <c r="V101" s="1074"/>
      <c r="W101" s="1020"/>
    </row>
    <row r="102" spans="2:34">
      <c r="B102" s="1045" t="s">
        <v>733</v>
      </c>
      <c r="F102" s="1052">
        <f>Model!F$110</f>
        <v>6262.6104651162796</v>
      </c>
      <c r="G102" s="1052">
        <f>Model!G$110</f>
        <v>6580.3921568627447</v>
      </c>
      <c r="H102" s="1053">
        <f>Model!H$110</f>
        <v>6982.8571428571431</v>
      </c>
      <c r="I102" s="1053">
        <f>Model!I$110</f>
        <v>7309.6926713947996</v>
      </c>
      <c r="J102" s="1053">
        <f>Model!J$110</f>
        <v>8297.3568281938315</v>
      </c>
      <c r="K102" s="1052">
        <f t="shared" ref="K102:R102" si="60">J102*(1+K103)</f>
        <v>9583.4471365638747</v>
      </c>
      <c r="L102" s="1052">
        <f t="shared" si="60"/>
        <v>10925.129735682818</v>
      </c>
      <c r="M102" s="1052">
        <f t="shared" si="60"/>
        <v>12236.145303964757</v>
      </c>
      <c r="N102" s="1052">
        <f t="shared" si="60"/>
        <v>13587.015745522467</v>
      </c>
      <c r="O102" s="1052">
        <f t="shared" si="60"/>
        <v>14967.021760763695</v>
      </c>
      <c r="P102" s="1052">
        <f t="shared" si="60"/>
        <v>16365.578589665161</v>
      </c>
      <c r="Q102" s="1052">
        <f t="shared" si="60"/>
        <v>17741.895993034716</v>
      </c>
      <c r="R102" s="1052">
        <f t="shared" si="60"/>
        <v>19084.75301951747</v>
      </c>
      <c r="T102" s="1087"/>
      <c r="U102" s="1072"/>
      <c r="V102" s="1072"/>
      <c r="W102" s="1020"/>
      <c r="X102" s="1024"/>
      <c r="Y102" s="1024"/>
      <c r="Z102" s="1024"/>
      <c r="AA102" s="1024"/>
      <c r="AB102" s="1024"/>
      <c r="AC102" s="1024"/>
      <c r="AD102" s="1024"/>
      <c r="AE102" s="1024"/>
      <c r="AF102" s="1024"/>
      <c r="AG102" s="1024"/>
      <c r="AH102" s="1024"/>
    </row>
    <row r="103" spans="2:34">
      <c r="B103" s="418" t="s">
        <v>80</v>
      </c>
      <c r="G103" s="1051">
        <f>G102/F102-1</f>
        <v>5.0742688455007512E-2</v>
      </c>
      <c r="H103" s="424">
        <f>H102/G102-1</f>
        <v>6.1161246381747025E-2</v>
      </c>
      <c r="I103" s="424">
        <f>I102/H102-1</f>
        <v>4.6805415297945796E-2</v>
      </c>
      <c r="J103" s="424">
        <f>J102/I102-1</f>
        <v>0.13511705637968641</v>
      </c>
      <c r="K103" s="1085">
        <v>0.155</v>
      </c>
      <c r="L103" s="1085">
        <v>0.14000000000000001</v>
      </c>
      <c r="M103" s="1085">
        <v>0.12</v>
      </c>
      <c r="N103" s="1085">
        <f>M103*0.92</f>
        <v>0.1104</v>
      </c>
      <c r="O103" s="1085">
        <f>N103*0.92</f>
        <v>0.10156800000000001</v>
      </c>
      <c r="P103" s="1085">
        <f>O103*0.92</f>
        <v>9.3442560000000008E-2</v>
      </c>
      <c r="Q103" s="1085">
        <f>P103*0.9</f>
        <v>8.4098304000000013E-2</v>
      </c>
      <c r="R103" s="1085">
        <f>Q103*0.9</f>
        <v>7.5688473600000014E-2</v>
      </c>
      <c r="T103" s="1055"/>
      <c r="V103" s="1055"/>
      <c r="X103" s="1029"/>
      <c r="Y103" s="1029"/>
      <c r="Z103" s="1029"/>
      <c r="AA103" s="1029"/>
      <c r="AB103" s="1029"/>
      <c r="AC103" s="1029"/>
      <c r="AD103" s="1029"/>
      <c r="AE103" s="1029"/>
      <c r="AF103" s="1029"/>
      <c r="AG103" s="1029"/>
      <c r="AH103" s="1029"/>
    </row>
    <row r="104" spans="2:34">
      <c r="B104" s="1036"/>
      <c r="G104" s="1073"/>
      <c r="H104" s="525"/>
      <c r="I104" s="241"/>
      <c r="J104" s="1024"/>
      <c r="K104" s="1024"/>
      <c r="L104" s="1024"/>
      <c r="M104" s="1024"/>
      <c r="N104" s="1024"/>
      <c r="O104" s="1024"/>
      <c r="P104" s="1024"/>
      <c r="Q104" s="1073"/>
      <c r="R104" s="1073"/>
      <c r="T104" s="1055"/>
      <c r="U104" s="1055"/>
    </row>
    <row r="105" spans="2:34">
      <c r="B105" s="495" t="s">
        <v>422</v>
      </c>
      <c r="H105" s="5"/>
      <c r="I105" s="5"/>
      <c r="T105" s="1055"/>
      <c r="U105" s="1055"/>
    </row>
    <row r="106" spans="2:34">
      <c r="B106" s="418" t="s">
        <v>423</v>
      </c>
      <c r="F106" s="1073">
        <f>Model!F$141</f>
        <v>0.92623704729712786</v>
      </c>
      <c r="G106" s="1073">
        <f>Model!G$141</f>
        <v>0.81003819070321803</v>
      </c>
      <c r="H106" s="525">
        <f>Model!H$141</f>
        <v>0.59313788870703765</v>
      </c>
      <c r="I106" s="525">
        <f>Model!I$141</f>
        <v>0.35219146183699879</v>
      </c>
      <c r="J106" s="525">
        <f>Model!J$141</f>
        <v>0.20865410140695517</v>
      </c>
      <c r="K106" s="382">
        <f t="shared" ref="K106:R106" si="61">1-K107</f>
        <v>0.16000000000000003</v>
      </c>
      <c r="L106" s="382">
        <f t="shared" si="61"/>
        <v>0.13</v>
      </c>
      <c r="M106" s="382">
        <f t="shared" si="61"/>
        <v>0.10999999999999999</v>
      </c>
      <c r="N106" s="382">
        <f t="shared" si="61"/>
        <v>8.9999999999999969E-2</v>
      </c>
      <c r="O106" s="382">
        <f t="shared" si="61"/>
        <v>6.9999999999999951E-2</v>
      </c>
      <c r="P106" s="382">
        <f t="shared" si="61"/>
        <v>4.9999999999999933E-2</v>
      </c>
      <c r="Q106" s="382">
        <f t="shared" si="61"/>
        <v>4.9999999999999933E-2</v>
      </c>
      <c r="R106" s="382">
        <f t="shared" si="61"/>
        <v>4.9999999999999933E-2</v>
      </c>
      <c r="T106" s="1055"/>
      <c r="U106" s="1055"/>
    </row>
    <row r="107" spans="2:34">
      <c r="B107" s="418" t="s">
        <v>90</v>
      </c>
      <c r="F107" s="1073">
        <f>1-F106</f>
        <v>7.3762952702872142E-2</v>
      </c>
      <c r="G107" s="1073">
        <f>1-G106</f>
        <v>0.18996180929678197</v>
      </c>
      <c r="H107" s="525">
        <f>1-H106</f>
        <v>0.40686211129296235</v>
      </c>
      <c r="I107" s="525">
        <f>1-I106</f>
        <v>0.64780853816300121</v>
      </c>
      <c r="J107" s="525">
        <f>1-J106</f>
        <v>0.79134589859304483</v>
      </c>
      <c r="K107" s="1085">
        <v>0.84</v>
      </c>
      <c r="L107" s="1085">
        <v>0.87</v>
      </c>
      <c r="M107" s="1085">
        <v>0.89</v>
      </c>
      <c r="N107" s="1085">
        <f>M107+2%</f>
        <v>0.91</v>
      </c>
      <c r="O107" s="1085">
        <f>N107+2%</f>
        <v>0.93</v>
      </c>
      <c r="P107" s="1085">
        <f>O107+2%</f>
        <v>0.95000000000000007</v>
      </c>
      <c r="Q107" s="1085">
        <f>P107</f>
        <v>0.95000000000000007</v>
      </c>
      <c r="R107" s="1085">
        <f>Q107</f>
        <v>0.95000000000000007</v>
      </c>
      <c r="T107" s="1055"/>
      <c r="U107" s="1055"/>
    </row>
    <row r="108" spans="2:34">
      <c r="B108" s="1088"/>
      <c r="G108" s="1076"/>
      <c r="H108" s="1076"/>
      <c r="I108" s="1076"/>
      <c r="J108" s="1076"/>
      <c r="K108" s="1076"/>
      <c r="L108" s="1076"/>
      <c r="M108" s="1076"/>
      <c r="N108" s="1076"/>
      <c r="T108" s="1055"/>
      <c r="U108" s="1055"/>
    </row>
    <row r="109" spans="2:34">
      <c r="B109" s="399" t="s">
        <v>376</v>
      </c>
      <c r="F109" s="1052">
        <f t="shared" ref="F109:R109" si="62">F106*F94</f>
        <v>997.71383400000002</v>
      </c>
      <c r="G109" s="1052">
        <f t="shared" si="62"/>
        <v>1359.2440839999999</v>
      </c>
      <c r="H109" s="1052">
        <f>H106*H94</f>
        <v>1449.6290000000001</v>
      </c>
      <c r="I109" s="1052">
        <f t="shared" si="62"/>
        <v>1088.9760000000003</v>
      </c>
      <c r="J109" s="1052">
        <f t="shared" si="62"/>
        <v>786</v>
      </c>
      <c r="K109" s="1052">
        <f t="shared" si="62"/>
        <v>772.71717599999999</v>
      </c>
      <c r="L109" s="1052">
        <f t="shared" si="62"/>
        <v>780.14491985429993</v>
      </c>
      <c r="M109" s="1052">
        <f t="shared" si="62"/>
        <v>791.09095319133257</v>
      </c>
      <c r="N109" s="1052">
        <f t="shared" si="62"/>
        <v>763.99226204101035</v>
      </c>
      <c r="O109" s="1052">
        <f t="shared" si="62"/>
        <v>691.68364897795425</v>
      </c>
      <c r="P109" s="1052">
        <f t="shared" si="62"/>
        <v>567.79368762219224</v>
      </c>
      <c r="Q109" s="1052">
        <f t="shared" si="62"/>
        <v>643.8142710420027</v>
      </c>
      <c r="R109" s="1052">
        <f t="shared" si="62"/>
        <v>721.16939503183414</v>
      </c>
      <c r="T109" s="1055"/>
      <c r="U109" s="1055"/>
    </row>
    <row r="110" spans="2:34">
      <c r="B110" s="418" t="s">
        <v>80</v>
      </c>
      <c r="G110" s="1073">
        <f>G109/F109-1</f>
        <v>0.36235866205299083</v>
      </c>
      <c r="H110" s="1073">
        <f>H109/G109-1</f>
        <v>6.6496457158757183E-2</v>
      </c>
      <c r="I110" s="1073">
        <f t="shared" ref="I110:O110" si="63">I109/H109-1</f>
        <v>-0.24878986278558157</v>
      </c>
      <c r="J110" s="1073">
        <f t="shared" si="63"/>
        <v>-0.27822100762551261</v>
      </c>
      <c r="K110" s="1073">
        <f t="shared" si="63"/>
        <v>-1.6899267175572552E-2</v>
      </c>
      <c r="L110" s="1073">
        <f t="shared" si="63"/>
        <v>9.6125000000000238E-3</v>
      </c>
      <c r="M110" s="1073">
        <f t="shared" si="63"/>
        <v>1.4030769230769291E-2</v>
      </c>
      <c r="N110" s="1073">
        <f t="shared" si="63"/>
        <v>-3.4254836363636354E-2</v>
      </c>
      <c r="O110" s="1073">
        <f t="shared" si="63"/>
        <v>-9.4645740088889374E-2</v>
      </c>
      <c r="P110" s="1073">
        <f>P109/O109-1</f>
        <v>-0.17911361868800035</v>
      </c>
      <c r="Q110" s="1073">
        <f>Q109/P109-1</f>
        <v>0.13388768680780805</v>
      </c>
      <c r="R110" s="1073">
        <f>R109/Q109-1</f>
        <v>0.12015130367432447</v>
      </c>
      <c r="T110" s="1055"/>
      <c r="U110" s="1055"/>
    </row>
    <row r="111" spans="2:34">
      <c r="B111" s="418"/>
      <c r="T111" s="1055"/>
      <c r="U111" s="1055"/>
    </row>
    <row r="112" spans="2:34">
      <c r="B112" s="399" t="s">
        <v>366</v>
      </c>
      <c r="F112" s="1052">
        <f t="shared" ref="F112:R112" si="64">F107*F94</f>
        <v>79.455166000000091</v>
      </c>
      <c r="G112" s="1052">
        <f t="shared" si="64"/>
        <v>318.75591600000013</v>
      </c>
      <c r="H112" s="1052">
        <f>H107*H94</f>
        <v>994.37099999999998</v>
      </c>
      <c r="I112" s="1052">
        <f t="shared" si="64"/>
        <v>2003.0239999999997</v>
      </c>
      <c r="J112" s="1052">
        <f t="shared" si="64"/>
        <v>2980.9999999999995</v>
      </c>
      <c r="K112" s="1052">
        <f t="shared" si="64"/>
        <v>4056.7651739999992</v>
      </c>
      <c r="L112" s="1052">
        <f t="shared" si="64"/>
        <v>5220.9698482556996</v>
      </c>
      <c r="M112" s="1052">
        <f t="shared" si="64"/>
        <v>6400.6449849116916</v>
      </c>
      <c r="N112" s="1052">
        <f t="shared" si="64"/>
        <v>7724.8106495257744</v>
      </c>
      <c r="O112" s="1052">
        <f t="shared" si="64"/>
        <v>9189.5113364213994</v>
      </c>
      <c r="P112" s="1052">
        <f t="shared" si="64"/>
        <v>10788.080064821668</v>
      </c>
      <c r="Q112" s="1052">
        <f t="shared" si="64"/>
        <v>12232.471149798068</v>
      </c>
      <c r="R112" s="1052">
        <f t="shared" si="64"/>
        <v>13702.218505604867</v>
      </c>
      <c r="T112" s="1055"/>
      <c r="U112" s="1055"/>
    </row>
    <row r="113" spans="1:22">
      <c r="B113" s="418" t="s">
        <v>80</v>
      </c>
      <c r="G113" s="1073">
        <f t="shared" ref="G113:O113" si="65">G112/F112-1</f>
        <v>3.0117708142476189</v>
      </c>
      <c r="H113" s="1073">
        <f t="shared" si="65"/>
        <v>2.1195373955035852</v>
      </c>
      <c r="I113" s="1073">
        <f t="shared" si="65"/>
        <v>1.0143628484740601</v>
      </c>
      <c r="J113" s="1073">
        <f t="shared" si="65"/>
        <v>0.48824976635327388</v>
      </c>
      <c r="K113" s="1073">
        <f t="shared" si="65"/>
        <v>0.36087392619926195</v>
      </c>
      <c r="L113" s="1073">
        <f t="shared" si="65"/>
        <v>0.28697857142857153</v>
      </c>
      <c r="M113" s="1073">
        <f t="shared" si="65"/>
        <v>0.2259494252873564</v>
      </c>
      <c r="N113" s="1073">
        <f t="shared" si="65"/>
        <v>0.20688003595505644</v>
      </c>
      <c r="O113" s="1073">
        <f t="shared" si="65"/>
        <v>0.18960991451428555</v>
      </c>
      <c r="P113" s="1073">
        <f>P112/O112-1</f>
        <v>0.17395579262898941</v>
      </c>
      <c r="Q113" s="1073">
        <f>Q112/P112-1</f>
        <v>0.13388768680780783</v>
      </c>
      <c r="R113" s="1073">
        <f>R112/Q112-1</f>
        <v>0.12015130367432447</v>
      </c>
      <c r="T113" s="1055"/>
      <c r="U113" s="1055"/>
    </row>
    <row r="114" spans="1:22">
      <c r="B114" s="1036"/>
      <c r="G114" s="1057"/>
      <c r="H114" s="1057"/>
      <c r="I114" s="1089"/>
      <c r="J114" s="1090"/>
      <c r="T114" s="1055"/>
      <c r="U114" s="1055"/>
    </row>
    <row r="115" spans="1:22" s="1037" customFormat="1">
      <c r="A115" s="13"/>
      <c r="B115" s="544" t="s">
        <v>421</v>
      </c>
      <c r="E115" s="1060">
        <f>E$73</f>
        <v>2.0244343891402714E-2</v>
      </c>
      <c r="F115" s="1060">
        <f>F$73</f>
        <v>2.503785385580164E-2</v>
      </c>
      <c r="G115" s="1060">
        <f>G$73</f>
        <v>2.5525625744934444E-2</v>
      </c>
      <c r="H115" s="1060">
        <f>H$73</f>
        <v>2.4440261865793778E-2</v>
      </c>
      <c r="I115" s="1060">
        <f>I$73</f>
        <v>2.5883893919793014E-2</v>
      </c>
      <c r="J115" s="1060">
        <f t="shared" ref="J115:R115" si="66">J81/J94/1000</f>
        <v>3.0291744093443058E-2</v>
      </c>
      <c r="K115" s="1060">
        <f t="shared" si="66"/>
        <v>3.7919349369648282E-2</v>
      </c>
      <c r="L115" s="1060">
        <f t="shared" si="66"/>
        <v>4.2302881316915418E-2</v>
      </c>
      <c r="M115" s="1091">
        <f>M81/M94/1000</f>
        <v>4.599612948956816E-2</v>
      </c>
      <c r="N115" s="1060">
        <f t="shared" si="66"/>
        <v>4.6964757441484359E-2</v>
      </c>
      <c r="O115" s="1063">
        <f t="shared" si="66"/>
        <v>4.7954249150499062E-2</v>
      </c>
      <c r="P115" s="1060">
        <f t="shared" si="66"/>
        <v>5.0584675730230885E-2</v>
      </c>
      <c r="Q115" s="1060">
        <f t="shared" si="66"/>
        <v>5.0524353202144691E-2</v>
      </c>
      <c r="R115" s="1060">
        <f t="shared" si="66"/>
        <v>5.046099852073286E-2</v>
      </c>
      <c r="T115" s="1040"/>
      <c r="U115" s="1040"/>
    </row>
    <row r="116" spans="1:22">
      <c r="B116" s="1045" t="s">
        <v>434</v>
      </c>
      <c r="F116" s="1064">
        <f>Model!F$205</f>
        <v>2.6641907823842001E-2</v>
      </c>
      <c r="G116" s="1064">
        <f>Model!G$205</f>
        <v>2.93744151399963E-2</v>
      </c>
      <c r="H116" s="1064">
        <f>Model!H$205</f>
        <v>2.8903991444440606E-2</v>
      </c>
      <c r="I116" s="1064">
        <f>Model!I$205</f>
        <v>2.7269655162280887E-2</v>
      </c>
      <c r="J116" s="1064">
        <f>Model!J$205</f>
        <v>2.974300254452926E-2</v>
      </c>
      <c r="K116" s="1092">
        <v>3.7999999999999999E-2</v>
      </c>
      <c r="L116" s="1092">
        <v>3.9E-2</v>
      </c>
      <c r="M116" s="1092">
        <v>0.04</v>
      </c>
      <c r="N116" s="1092">
        <f>M116</f>
        <v>0.04</v>
      </c>
      <c r="O116" s="1092">
        <f>N116</f>
        <v>0.04</v>
      </c>
      <c r="P116" s="1092">
        <f>O116</f>
        <v>0.04</v>
      </c>
      <c r="Q116" s="1092">
        <f>P116</f>
        <v>0.04</v>
      </c>
      <c r="R116" s="1092">
        <f>Q116</f>
        <v>0.04</v>
      </c>
      <c r="T116" s="1055"/>
      <c r="U116" s="1055"/>
    </row>
    <row r="117" spans="1:22">
      <c r="B117" s="1045" t="s">
        <v>370</v>
      </c>
      <c r="F117" s="1064">
        <f>Model!F$206</f>
        <v>4.8958427699968554E-3</v>
      </c>
      <c r="G117" s="1064">
        <f>Model!G$206</f>
        <v>9.1253797524428019E-3</v>
      </c>
      <c r="H117" s="1064">
        <f>Model!H$206</f>
        <v>1.7940989831762993E-2</v>
      </c>
      <c r="I117" s="1064">
        <f>Model!I$206</f>
        <v>2.5130502679947923E-2</v>
      </c>
      <c r="J117" s="1064">
        <f>Model!J$206</f>
        <v>3.043643072794364E-2</v>
      </c>
      <c r="K117" s="1092">
        <v>3.6299999999999999E-2</v>
      </c>
      <c r="L117" s="1092">
        <v>0.04</v>
      </c>
      <c r="M117" s="1092">
        <v>4.3999999999999997E-2</v>
      </c>
      <c r="N117" s="1092">
        <f>M117+0.1%</f>
        <v>4.4999999999999998E-2</v>
      </c>
      <c r="O117" s="1092">
        <f>N117+0.1%</f>
        <v>4.5999999999999999E-2</v>
      </c>
      <c r="P117" s="1092">
        <v>4.87E-2</v>
      </c>
      <c r="Q117" s="1092">
        <f>P117</f>
        <v>4.87E-2</v>
      </c>
      <c r="R117" s="1092">
        <f>Q117</f>
        <v>4.87E-2</v>
      </c>
      <c r="T117" s="1055"/>
      <c r="U117" s="1055"/>
    </row>
    <row r="118" spans="1:22">
      <c r="B118" s="1086" t="s">
        <v>244</v>
      </c>
      <c r="F118" s="1064">
        <f t="shared" ref="F118:R118" si="67">F117/F116</f>
        <v>0.18376472144444314</v>
      </c>
      <c r="G118" s="1064">
        <f t="shared" si="67"/>
        <v>0.31065741084382154</v>
      </c>
      <c r="H118" s="1064">
        <f t="shared" si="67"/>
        <v>0.62070976827713398</v>
      </c>
      <c r="I118" s="1064">
        <f>I117/I116</f>
        <v>0.92155557268315524</v>
      </c>
      <c r="J118" s="1073">
        <f t="shared" si="67"/>
        <v>1.0233139940184661</v>
      </c>
      <c r="K118" s="1073">
        <f t="shared" si="67"/>
        <v>0.95526315789473681</v>
      </c>
      <c r="L118" s="1073">
        <f t="shared" si="67"/>
        <v>1.0256410256410258</v>
      </c>
      <c r="M118" s="1073">
        <f t="shared" si="67"/>
        <v>1.0999999999999999</v>
      </c>
      <c r="N118" s="1073">
        <f t="shared" si="67"/>
        <v>1.125</v>
      </c>
      <c r="O118" s="1073">
        <f t="shared" si="67"/>
        <v>1.1499999999999999</v>
      </c>
      <c r="P118" s="1073">
        <f t="shared" si="67"/>
        <v>1.2175</v>
      </c>
      <c r="Q118" s="1073">
        <f t="shared" si="67"/>
        <v>1.2175</v>
      </c>
      <c r="R118" s="1073">
        <f t="shared" si="67"/>
        <v>1.2175</v>
      </c>
      <c r="T118" s="1055"/>
      <c r="U118" s="1055"/>
    </row>
    <row r="119" spans="1:22">
      <c r="G119" s="1057"/>
      <c r="H119" s="1057"/>
      <c r="I119" s="1064">
        <f t="shared" ref="I119:O119" si="68">I117-H117</f>
        <v>7.1895128481849306E-3</v>
      </c>
      <c r="J119" s="1064">
        <f t="shared" si="68"/>
        <v>5.3059280479957165E-3</v>
      </c>
      <c r="K119" s="1064">
        <f>K117-J117</f>
        <v>5.8635692720563591E-3</v>
      </c>
      <c r="L119" s="1064">
        <f t="shared" si="68"/>
        <v>3.7000000000000019E-3</v>
      </c>
      <c r="M119" s="1064">
        <f t="shared" si="68"/>
        <v>3.9999999999999966E-3</v>
      </c>
      <c r="N119" s="1064">
        <f t="shared" si="68"/>
        <v>1.0000000000000009E-3</v>
      </c>
      <c r="O119" s="1064">
        <f t="shared" si="68"/>
        <v>1.0000000000000009E-3</v>
      </c>
      <c r="T119" s="1055"/>
      <c r="U119" s="1055"/>
    </row>
    <row r="120" spans="1:22">
      <c r="G120" s="1057"/>
      <c r="H120" s="1057"/>
      <c r="I120" s="1076"/>
      <c r="J120" s="1076"/>
      <c r="T120" s="1055"/>
      <c r="U120" s="1055"/>
    </row>
    <row r="121" spans="1:22" s="1094" customFormat="1">
      <c r="A121" s="141"/>
      <c r="B121" s="1093" t="s">
        <v>437</v>
      </c>
      <c r="T121" s="1095"/>
      <c r="U121" s="1095"/>
    </row>
    <row r="122" spans="1:22">
      <c r="T122" s="1055"/>
      <c r="U122" s="1055"/>
    </row>
    <row r="123" spans="1:22" s="1037" customFormat="1">
      <c r="A123" s="13"/>
      <c r="B123" s="1037" t="s">
        <v>435</v>
      </c>
      <c r="C123" s="1047">
        <f t="shared" ref="C123:J123" si="69">C$57</f>
        <v>2335</v>
      </c>
      <c r="D123" s="1047">
        <f t="shared" si="69"/>
        <v>5952</v>
      </c>
      <c r="E123" s="1047">
        <f t="shared" si="69"/>
        <v>13422</v>
      </c>
      <c r="F123" s="1047">
        <f t="shared" si="69"/>
        <v>26970</v>
      </c>
      <c r="G123" s="1048">
        <f t="shared" si="69"/>
        <v>42832</v>
      </c>
      <c r="H123" s="389">
        <f t="shared" si="69"/>
        <v>59732</v>
      </c>
      <c r="I123" s="389">
        <f t="shared" si="69"/>
        <v>80033</v>
      </c>
      <c r="J123" s="389">
        <f t="shared" si="69"/>
        <v>114109</v>
      </c>
      <c r="K123" s="1047">
        <f>K126+K130+K134</f>
        <v>190983.53177219993</v>
      </c>
      <c r="L123" s="1047">
        <f t="shared" ref="L123:R123" si="70">L126+L130+L134</f>
        <v>271219.30478406197</v>
      </c>
      <c r="M123" s="1047">
        <f t="shared" si="70"/>
        <v>376816.68563313805</v>
      </c>
      <c r="N123" s="1047">
        <f t="shared" si="70"/>
        <v>466196.37606929796</v>
      </c>
      <c r="O123" s="1047">
        <f t="shared" si="70"/>
        <v>567708.75584599923</v>
      </c>
      <c r="P123" s="1047">
        <f t="shared" si="70"/>
        <v>703043.72739086614</v>
      </c>
      <c r="Q123" s="1047">
        <f t="shared" si="70"/>
        <v>814287.23544819374</v>
      </c>
      <c r="R123" s="1047">
        <f t="shared" si="70"/>
        <v>921431.75234484719</v>
      </c>
      <c r="T123" s="1072"/>
      <c r="U123" s="1072"/>
      <c r="V123" s="1072"/>
    </row>
    <row r="124" spans="1:22">
      <c r="B124" s="448" t="s">
        <v>80</v>
      </c>
      <c r="D124" s="1073">
        <f t="shared" ref="D124:O124" si="71">D123/C123-1</f>
        <v>1.5490364025695933</v>
      </c>
      <c r="E124" s="1073">
        <f t="shared" si="71"/>
        <v>1.255040322580645</v>
      </c>
      <c r="F124" s="1073">
        <f t="shared" si="71"/>
        <v>1.009387572641931</v>
      </c>
      <c r="G124" s="1073">
        <f t="shared" si="71"/>
        <v>0.58813496477567662</v>
      </c>
      <c r="H124" s="411">
        <f t="shared" si="71"/>
        <v>0.39456481135599542</v>
      </c>
      <c r="I124" s="411">
        <f t="shared" si="71"/>
        <v>0.33986807741244229</v>
      </c>
      <c r="J124" s="411">
        <f t="shared" si="71"/>
        <v>0.42577436807316982</v>
      </c>
      <c r="K124" s="1073">
        <f t="shared" si="71"/>
        <v>0.67369385212559862</v>
      </c>
      <c r="L124" s="1073">
        <f t="shared" si="71"/>
        <v>0.42011880431431714</v>
      </c>
      <c r="M124" s="1073">
        <f t="shared" si="71"/>
        <v>0.38934315878860493</v>
      </c>
      <c r="N124" s="1073">
        <f t="shared" si="71"/>
        <v>0.23719674272380376</v>
      </c>
      <c r="O124" s="1073">
        <f t="shared" si="71"/>
        <v>0.2177459649785265</v>
      </c>
      <c r="P124" s="1073">
        <f>P123/O123-1</f>
        <v>0.23838802933942915</v>
      </c>
      <c r="Q124" s="1073">
        <f>Q123/P123-1</f>
        <v>0.15823127882837973</v>
      </c>
      <c r="R124" s="1073">
        <f>R123/Q123-1</f>
        <v>0.13158073985733032</v>
      </c>
      <c r="T124" s="1074"/>
      <c r="V124" s="1074"/>
    </row>
    <row r="125" spans="1:22">
      <c r="H125" s="141"/>
      <c r="I125" s="141"/>
      <c r="J125" s="141"/>
      <c r="T125" s="1074"/>
      <c r="V125" s="1074"/>
    </row>
    <row r="126" spans="1:22">
      <c r="B126" s="1036" t="s">
        <v>377</v>
      </c>
      <c r="F126" s="1052">
        <f>Model!F$200</f>
        <v>26581</v>
      </c>
      <c r="G126" s="1052">
        <f>Model!G$200</f>
        <v>39927</v>
      </c>
      <c r="H126" s="350">
        <f>Model!H$200</f>
        <v>41892</v>
      </c>
      <c r="I126" s="350">
        <f>Model!I$200</f>
        <v>29696</v>
      </c>
      <c r="J126" s="350">
        <f>Model!J$200</f>
        <v>23378</v>
      </c>
      <c r="K126" s="1052">
        <f t="shared" ref="K126:R126" si="72">K151*K159*1000</f>
        <v>30668.744207999996</v>
      </c>
      <c r="L126" s="1052">
        <f t="shared" si="72"/>
        <v>32632.552677581996</v>
      </c>
      <c r="M126" s="1052">
        <f t="shared" si="72"/>
        <v>34867.785989982513</v>
      </c>
      <c r="N126" s="1052">
        <f t="shared" si="72"/>
        <v>34602.387618060646</v>
      </c>
      <c r="O126" s="1052">
        <f t="shared" si="72"/>
        <v>32122.583130876825</v>
      </c>
      <c r="P126" s="1052">
        <f t="shared" si="72"/>
        <v>26979.040472510922</v>
      </c>
      <c r="Q126" s="1052">
        <f t="shared" si="72"/>
        <v>31304.501495101715</v>
      </c>
      <c r="R126" s="1052">
        <f t="shared" si="72"/>
        <v>35473.258800003649</v>
      </c>
      <c r="T126" s="1072"/>
      <c r="V126" s="1072"/>
    </row>
    <row r="127" spans="1:22">
      <c r="B127" s="399" t="s">
        <v>80</v>
      </c>
      <c r="G127" s="1073">
        <f t="shared" ref="G127:O127" si="73">G126/F126-1</f>
        <v>0.50208795756367319</v>
      </c>
      <c r="H127" s="411">
        <f t="shared" si="73"/>
        <v>4.9214817041099979E-2</v>
      </c>
      <c r="I127" s="411">
        <f t="shared" si="73"/>
        <v>-0.29112957127852568</v>
      </c>
      <c r="J127" s="411">
        <f t="shared" si="73"/>
        <v>-0.2127559267241379</v>
      </c>
      <c r="K127" s="1073">
        <f t="shared" si="73"/>
        <v>0.3118634702711951</v>
      </c>
      <c r="L127" s="1073">
        <f t="shared" si="73"/>
        <v>6.4032894736842039E-2</v>
      </c>
      <c r="M127" s="1073">
        <f t="shared" si="73"/>
        <v>6.8497041420118032E-2</v>
      </c>
      <c r="N127" s="1073">
        <f t="shared" si="73"/>
        <v>-7.6115636363638384E-3</v>
      </c>
      <c r="O127" s="1073">
        <f t="shared" si="73"/>
        <v>-7.1665704533333763E-2</v>
      </c>
      <c r="P127" s="1073">
        <f>P126/O126-1</f>
        <v>-0.16012232383085756</v>
      </c>
      <c r="Q127" s="1073">
        <f>Q126/P126-1</f>
        <v>0.16032671832780809</v>
      </c>
      <c r="R127" s="1073">
        <f>R126/Q126-1</f>
        <v>0.13316798242432415</v>
      </c>
      <c r="T127" s="1074"/>
      <c r="V127" s="1074"/>
    </row>
    <row r="128" spans="1:22">
      <c r="B128" s="1045" t="s">
        <v>344</v>
      </c>
      <c r="F128" s="1073">
        <f>F126/F123</f>
        <v>0.98557656655543191</v>
      </c>
      <c r="G128" s="1073">
        <f>G126/G123</f>
        <v>0.93217687710123276</v>
      </c>
      <c r="H128" s="411">
        <f>H126/H123</f>
        <v>0.70133261903167476</v>
      </c>
      <c r="I128" s="411">
        <f t="shared" ref="I128:O128" si="74">I126/I123</f>
        <v>0.37104694313595643</v>
      </c>
      <c r="J128" s="411">
        <f>J126/J123</f>
        <v>0.20487428686606665</v>
      </c>
      <c r="K128" s="1073">
        <f t="shared" si="74"/>
        <v>0.16058318706023753</v>
      </c>
      <c r="L128" s="1073">
        <f t="shared" si="74"/>
        <v>0.12031795709956272</v>
      </c>
      <c r="M128" s="1073">
        <f t="shared" si="74"/>
        <v>9.2532489455440833E-2</v>
      </c>
      <c r="N128" s="1073">
        <f t="shared" si="74"/>
        <v>7.4222772621718447E-2</v>
      </c>
      <c r="O128" s="1073">
        <f t="shared" si="74"/>
        <v>5.6582856614581838E-2</v>
      </c>
      <c r="P128" s="1073">
        <f>P126/P123</f>
        <v>3.837462652946988E-2</v>
      </c>
      <c r="Q128" s="1073">
        <f>Q126/Q123</f>
        <v>3.8444052825992454E-2</v>
      </c>
      <c r="R128" s="1073">
        <f>R126/R123</f>
        <v>3.849797742451546E-2</v>
      </c>
      <c r="T128" s="1074"/>
      <c r="V128" s="1074"/>
    </row>
    <row r="129" spans="1:22">
      <c r="B129" s="1036"/>
      <c r="H129" s="141"/>
      <c r="I129" s="141"/>
      <c r="J129" s="141"/>
      <c r="T129" s="1074"/>
      <c r="V129" s="1074"/>
    </row>
    <row r="130" spans="1:22">
      <c r="B130" s="1036" t="s">
        <v>378</v>
      </c>
      <c r="F130" s="1052">
        <f>Model!F$201</f>
        <v>389</v>
      </c>
      <c r="G130" s="1052">
        <f>Model!G$201</f>
        <v>2905</v>
      </c>
      <c r="H130" s="350">
        <f>Model!H$201</f>
        <v>17840</v>
      </c>
      <c r="I130" s="350">
        <f>Model!I$201</f>
        <v>50337</v>
      </c>
      <c r="J130" s="350">
        <f>Model!J$201</f>
        <v>90731</v>
      </c>
      <c r="K130" s="1052">
        <f t="shared" ref="K130:R130" si="75">K154*K162*1000</f>
        <v>153807.78756419994</v>
      </c>
      <c r="L130" s="1052">
        <f t="shared" si="75"/>
        <v>223986.75210647995</v>
      </c>
      <c r="M130" s="1052">
        <f t="shared" si="75"/>
        <v>324428.89964315557</v>
      </c>
      <c r="N130" s="1052">
        <f t="shared" si="75"/>
        <v>411095.5884512373</v>
      </c>
      <c r="O130" s="1052">
        <f t="shared" si="75"/>
        <v>512125.75391512236</v>
      </c>
      <c r="P130" s="1052">
        <f t="shared" si="75"/>
        <v>649722.74217924522</v>
      </c>
      <c r="Q130" s="1052">
        <f t="shared" si="75"/>
        <v>753890.65725578798</v>
      </c>
      <c r="R130" s="1052">
        <f t="shared" si="75"/>
        <v>854284.75505108922</v>
      </c>
      <c r="T130" s="1072"/>
      <c r="V130" s="1072"/>
    </row>
    <row r="131" spans="1:22">
      <c r="B131" s="399" t="s">
        <v>80</v>
      </c>
      <c r="G131" s="1073">
        <f t="shared" ref="G131:O131" si="76">G130/F130-1</f>
        <v>6.4678663239074554</v>
      </c>
      <c r="H131" s="411">
        <f t="shared" si="76"/>
        <v>5.1411359724612735</v>
      </c>
      <c r="I131" s="411">
        <f t="shared" si="76"/>
        <v>1.8215807174887892</v>
      </c>
      <c r="J131" s="411">
        <f t="shared" si="76"/>
        <v>0.80247134314718793</v>
      </c>
      <c r="K131" s="1073">
        <f t="shared" si="76"/>
        <v>0.69520657288247611</v>
      </c>
      <c r="L131" s="1073">
        <f t="shared" si="76"/>
        <v>0.45627705627705661</v>
      </c>
      <c r="M131" s="1073">
        <f t="shared" si="76"/>
        <v>0.44842896551724154</v>
      </c>
      <c r="N131" s="1073">
        <f t="shared" si="76"/>
        <v>0.26713615495847565</v>
      </c>
      <c r="O131" s="1073">
        <f t="shared" si="76"/>
        <v>0.24575833042749595</v>
      </c>
      <c r="P131" s="1073">
        <f>P130/O130-1</f>
        <v>0.26867812683157433</v>
      </c>
      <c r="Q131" s="1073">
        <f>Q130/P130-1</f>
        <v>0.16032671832780787</v>
      </c>
      <c r="R131" s="1073">
        <f>R130/Q130-1</f>
        <v>0.13316798242432459</v>
      </c>
      <c r="T131" s="1074"/>
      <c r="V131" s="1074"/>
    </row>
    <row r="132" spans="1:22">
      <c r="B132" s="1045" t="s">
        <v>344</v>
      </c>
      <c r="F132" s="1073">
        <f>F130/F123</f>
        <v>1.4423433444568038E-2</v>
      </c>
      <c r="G132" s="1073">
        <f>G130/G123</f>
        <v>6.7823122898767282E-2</v>
      </c>
      <c r="H132" s="411">
        <f>H130/H123</f>
        <v>0.29866738096832518</v>
      </c>
      <c r="I132" s="411">
        <f t="shared" ref="I132:O132" si="77">I130/I123</f>
        <v>0.62895305686404357</v>
      </c>
      <c r="J132" s="411">
        <f>J130/J123</f>
        <v>0.79512571313393332</v>
      </c>
      <c r="K132" s="1073">
        <f t="shared" si="77"/>
        <v>0.80534581247380943</v>
      </c>
      <c r="L132" s="1073">
        <f t="shared" si="77"/>
        <v>0.82585106648220563</v>
      </c>
      <c r="M132" s="1073">
        <f t="shared" si="77"/>
        <v>0.86097275416039754</v>
      </c>
      <c r="N132" s="1073">
        <f t="shared" si="77"/>
        <v>0.8818077736196942</v>
      </c>
      <c r="O132" s="1073">
        <f t="shared" si="77"/>
        <v>0.90209239974104838</v>
      </c>
      <c r="P132" s="1073">
        <f>P130/P123</f>
        <v>0.92415694339595977</v>
      </c>
      <c r="Q132" s="1073">
        <f>Q130/Q123</f>
        <v>0.92582890218196445</v>
      </c>
      <c r="R132" s="1073">
        <f>R130/R123</f>
        <v>0.92712754132589503</v>
      </c>
      <c r="T132" s="1074"/>
      <c r="V132" s="1074"/>
    </row>
    <row r="133" spans="1:22">
      <c r="B133" s="1045"/>
      <c r="F133" s="1073"/>
      <c r="G133" s="1073"/>
      <c r="H133" s="411"/>
      <c r="I133" s="411"/>
      <c r="J133" s="411"/>
      <c r="K133" s="1073"/>
      <c r="L133" s="1073"/>
      <c r="M133" s="1073"/>
      <c r="N133" s="1073"/>
      <c r="O133" s="1073"/>
      <c r="P133" s="1073"/>
      <c r="Q133" s="1073"/>
      <c r="R133" s="1073"/>
      <c r="T133" s="1074"/>
      <c r="V133" s="1074"/>
    </row>
    <row r="134" spans="1:22">
      <c r="B134" s="1036" t="s">
        <v>802</v>
      </c>
      <c r="G134" s="1057"/>
      <c r="H134" s="789"/>
      <c r="I134" s="1075"/>
      <c r="J134" s="1034">
        <f>Model!J279</f>
        <v>0</v>
      </c>
      <c r="K134" s="1034">
        <f>Model!K279</f>
        <v>6507</v>
      </c>
      <c r="L134" s="1034">
        <f>Model!L279</f>
        <v>14600</v>
      </c>
      <c r="M134" s="1034">
        <f>Model!M279</f>
        <v>17520</v>
      </c>
      <c r="N134" s="1034">
        <f>Model!N279</f>
        <v>20498.399999999998</v>
      </c>
      <c r="O134" s="1034">
        <f>Model!O279</f>
        <v>23460.418799999999</v>
      </c>
      <c r="P134" s="1034">
        <f>Model!P279</f>
        <v>26341.94473911</v>
      </c>
      <c r="Q134" s="1034">
        <f>Model!Q279</f>
        <v>29092.076697304008</v>
      </c>
      <c r="R134" s="1034">
        <f>Model!R279</f>
        <v>31673.738493754256</v>
      </c>
      <c r="T134" s="1074"/>
      <c r="V134" s="1074"/>
    </row>
    <row r="135" spans="1:22">
      <c r="B135" s="1036"/>
      <c r="H135" s="141"/>
      <c r="I135" s="141"/>
      <c r="J135" s="141"/>
      <c r="T135" s="1074"/>
      <c r="V135" s="1074"/>
    </row>
    <row r="136" spans="1:22" s="1037" customFormat="1">
      <c r="A136" s="13"/>
      <c r="B136" s="544" t="s">
        <v>432</v>
      </c>
      <c r="C136" s="1047">
        <f t="shared" ref="C136:J136" si="78">C$60</f>
        <v>259.44444444444446</v>
      </c>
      <c r="D136" s="1047">
        <f t="shared" si="78"/>
        <v>496</v>
      </c>
      <c r="E136" s="1047">
        <f t="shared" si="78"/>
        <v>663</v>
      </c>
      <c r="F136" s="1047">
        <f t="shared" si="78"/>
        <v>1077.1690000000001</v>
      </c>
      <c r="G136" s="1048">
        <f t="shared" si="78"/>
        <v>1678</v>
      </c>
      <c r="H136" s="389">
        <f t="shared" si="78"/>
        <v>2444</v>
      </c>
      <c r="I136" s="389">
        <f t="shared" si="78"/>
        <v>3092</v>
      </c>
      <c r="J136" s="389">
        <f t="shared" si="78"/>
        <v>3767</v>
      </c>
      <c r="K136" s="1047">
        <f t="shared" ref="K136:R136" si="79">K139*K143/1000</f>
        <v>5044.2013499999985</v>
      </c>
      <c r="L136" s="1047">
        <f t="shared" si="79"/>
        <v>6436.4009225999989</v>
      </c>
      <c r="M136" s="1047">
        <f t="shared" si="79"/>
        <v>7924.4968159051177</v>
      </c>
      <c r="N136" s="1047">
        <f t="shared" si="79"/>
        <v>9611.774338350182</v>
      </c>
      <c r="O136" s="1047">
        <f t="shared" si="79"/>
        <v>11472.351118170303</v>
      </c>
      <c r="P136" s="1047">
        <f t="shared" si="79"/>
        <v>13489.520236255477</v>
      </c>
      <c r="Q136" s="1047">
        <f t="shared" si="79"/>
        <v>15652.250747550877</v>
      </c>
      <c r="R136" s="1047">
        <f t="shared" si="79"/>
        <v>17736.62940000185</v>
      </c>
      <c r="T136" s="1072"/>
      <c r="U136" s="1072"/>
      <c r="V136" s="1072"/>
    </row>
    <row r="137" spans="1:22">
      <c r="B137" s="399" t="s">
        <v>80</v>
      </c>
      <c r="D137" s="1073">
        <f t="shared" ref="D137:O137" si="80">D136/C136-1</f>
        <v>0.91177730192719486</v>
      </c>
      <c r="E137" s="1073">
        <f t="shared" si="80"/>
        <v>0.33669354838709675</v>
      </c>
      <c r="F137" s="1073">
        <f t="shared" si="80"/>
        <v>0.62468929110105598</v>
      </c>
      <c r="G137" s="1073">
        <f t="shared" si="80"/>
        <v>0.55778712532573804</v>
      </c>
      <c r="H137" s="411">
        <f t="shared" si="80"/>
        <v>0.45649582836710367</v>
      </c>
      <c r="I137" s="411">
        <f t="shared" si="80"/>
        <v>0.26513911620294595</v>
      </c>
      <c r="J137" s="411">
        <f t="shared" si="80"/>
        <v>0.21830530401034931</v>
      </c>
      <c r="K137" s="1073">
        <f t="shared" si="80"/>
        <v>0.33904999999999963</v>
      </c>
      <c r="L137" s="1073">
        <f t="shared" si="80"/>
        <v>0.27600000000000025</v>
      </c>
      <c r="M137" s="1073">
        <f t="shared" si="80"/>
        <v>0.23119999999999985</v>
      </c>
      <c r="N137" s="1073">
        <f t="shared" si="80"/>
        <v>0.21291919999999998</v>
      </c>
      <c r="O137" s="1073">
        <f t="shared" si="80"/>
        <v>0.19357266560000008</v>
      </c>
      <c r="P137" s="1073">
        <f>P136/O136-1</f>
        <v>0.17582874663679982</v>
      </c>
      <c r="Q137" s="1073">
        <f>Q136/P136-1</f>
        <v>0.16032671832780809</v>
      </c>
      <c r="R137" s="1073">
        <f>R136/Q136-1</f>
        <v>0.13316798242432437</v>
      </c>
      <c r="T137" s="1074"/>
      <c r="V137" s="1074"/>
    </row>
    <row r="138" spans="1:22">
      <c r="B138" s="1086" t="s">
        <v>438</v>
      </c>
      <c r="H138" s="141"/>
      <c r="I138" s="15">
        <f t="shared" ref="I138:R138" si="81">I136/I94-1</f>
        <v>0</v>
      </c>
      <c r="J138" s="15">
        <f>J136/J94-1</f>
        <v>0</v>
      </c>
      <c r="K138" s="1027">
        <f t="shared" si="81"/>
        <v>4.4460044460044257E-2</v>
      </c>
      <c r="L138" s="1027">
        <f t="shared" si="81"/>
        <v>7.2534215943196978E-2</v>
      </c>
      <c r="M138" s="1027">
        <f t="shared" si="81"/>
        <v>0.10188929127942581</v>
      </c>
      <c r="N138" s="1027">
        <f t="shared" si="81"/>
        <v>0.13228854980874205</v>
      </c>
      <c r="O138" s="1027">
        <f t="shared" si="81"/>
        <v>0.16102871516269768</v>
      </c>
      <c r="P138" s="1027">
        <f t="shared" si="81"/>
        <v>0.18788923955344616</v>
      </c>
      <c r="Q138" s="1027">
        <f t="shared" si="81"/>
        <v>0.21558743348589871</v>
      </c>
      <c r="R138" s="1027">
        <f t="shared" si="81"/>
        <v>0.22971312441918634</v>
      </c>
      <c r="T138" s="1074"/>
      <c r="V138" s="1074"/>
    </row>
    <row r="139" spans="1:22">
      <c r="B139" s="1045" t="s">
        <v>732</v>
      </c>
      <c r="F139" s="1052">
        <f>Model!F$106</f>
        <v>172</v>
      </c>
      <c r="G139" s="1052">
        <f>Model!G$106</f>
        <v>255</v>
      </c>
      <c r="H139" s="350">
        <f>Model!H$106</f>
        <v>350</v>
      </c>
      <c r="I139" s="350">
        <f>Model!I$106</f>
        <v>423</v>
      </c>
      <c r="J139" s="350">
        <f>Model!J$106</f>
        <v>454</v>
      </c>
      <c r="K139" s="1052">
        <f t="shared" ref="K139:R139" si="82">J139*(1+K140)</f>
        <v>513.02</v>
      </c>
      <c r="L139" s="1052">
        <f t="shared" si="82"/>
        <v>564.322</v>
      </c>
      <c r="M139" s="1052">
        <f t="shared" si="82"/>
        <v>609.46776</v>
      </c>
      <c r="N139" s="1052">
        <f t="shared" si="82"/>
        <v>653.95890648</v>
      </c>
      <c r="O139" s="1052">
        <f t="shared" si="82"/>
        <v>695.94306827601599</v>
      </c>
      <c r="P139" s="1052">
        <f t="shared" si="82"/>
        <v>734.93675839152115</v>
      </c>
      <c r="Q139" s="1052">
        <f t="shared" si="82"/>
        <v>772.36488268612607</v>
      </c>
      <c r="R139" s="1052">
        <f t="shared" si="82"/>
        <v>804.29004445653914</v>
      </c>
      <c r="T139" s="1072"/>
      <c r="U139" s="1072"/>
      <c r="V139" s="1072"/>
    </row>
    <row r="140" spans="1:22">
      <c r="B140" s="418" t="s">
        <v>80</v>
      </c>
      <c r="G140" s="1073">
        <f>G139/F139-1</f>
        <v>0.48255813953488369</v>
      </c>
      <c r="H140" s="411">
        <f>H139/G139-1</f>
        <v>0.37254901960784315</v>
      </c>
      <c r="I140" s="411">
        <f>I139/H139-1</f>
        <v>0.20857142857142863</v>
      </c>
      <c r="J140" s="411">
        <f>J139/I139-1</f>
        <v>7.328605200945626E-2</v>
      </c>
      <c r="K140" s="1030">
        <f t="shared" ref="K140:R140" si="83">K$99+K141</f>
        <v>0.13</v>
      </c>
      <c r="L140" s="1030">
        <f t="shared" si="83"/>
        <v>9.9999999999999992E-2</v>
      </c>
      <c r="M140" s="1030">
        <f t="shared" si="83"/>
        <v>0.08</v>
      </c>
      <c r="N140" s="1030">
        <f t="shared" si="83"/>
        <v>7.3000000000000009E-2</v>
      </c>
      <c r="O140" s="1030">
        <f t="shared" si="83"/>
        <v>6.4200000000000007E-2</v>
      </c>
      <c r="P140" s="1030">
        <f t="shared" si="83"/>
        <v>5.603000000000001E-2</v>
      </c>
      <c r="Q140" s="1030">
        <f t="shared" si="83"/>
        <v>5.0927000000000007E-2</v>
      </c>
      <c r="R140" s="1030">
        <f t="shared" si="83"/>
        <v>4.1334300000000011E-2</v>
      </c>
      <c r="T140" s="1074"/>
      <c r="V140" s="1074"/>
    </row>
    <row r="141" spans="1:22">
      <c r="B141" s="1086" t="s">
        <v>438</v>
      </c>
      <c r="H141" s="141"/>
      <c r="I141" s="375"/>
      <c r="J141" s="375"/>
      <c r="K141" s="1096">
        <v>0.02</v>
      </c>
      <c r="L141" s="1096">
        <v>0.01</v>
      </c>
      <c r="M141" s="1096">
        <v>0.01</v>
      </c>
      <c r="N141" s="1096">
        <v>0.01</v>
      </c>
      <c r="O141" s="1096">
        <v>7.4999999999999997E-3</v>
      </c>
      <c r="P141" s="1096">
        <v>5.0000000000000001E-3</v>
      </c>
      <c r="Q141" s="1096">
        <v>5.0000000000000001E-3</v>
      </c>
      <c r="R141" s="1096">
        <v>0</v>
      </c>
      <c r="T141" s="1072"/>
      <c r="U141" s="376"/>
      <c r="V141" s="1072"/>
    </row>
    <row r="142" spans="1:22" s="5" customFormat="1">
      <c r="A142" s="141"/>
      <c r="B142" s="1097"/>
      <c r="G142" s="376"/>
      <c r="H142" s="141"/>
      <c r="I142" s="375"/>
      <c r="J142" s="375"/>
      <c r="K142" s="1030"/>
      <c r="L142" s="1030">
        <v>0.09</v>
      </c>
      <c r="M142" s="1030"/>
      <c r="N142" s="1030"/>
      <c r="O142" s="1030"/>
      <c r="P142" s="1030"/>
      <c r="Q142" s="1030"/>
      <c r="R142" s="1030">
        <f>R143/R102</f>
        <v>1.1555050681598409</v>
      </c>
      <c r="T142" s="1072"/>
      <c r="V142" s="1072"/>
    </row>
    <row r="143" spans="1:22">
      <c r="B143" s="1045" t="s">
        <v>733</v>
      </c>
      <c r="F143" s="1052">
        <f>Model!F$110</f>
        <v>6262.6104651162796</v>
      </c>
      <c r="G143" s="1052">
        <f>Model!G$110</f>
        <v>6580.3921568627447</v>
      </c>
      <c r="H143" s="350">
        <f>Model!H$110</f>
        <v>6982.8571428571431</v>
      </c>
      <c r="I143" s="350">
        <f>Model!I$110</f>
        <v>7309.6926713947996</v>
      </c>
      <c r="J143" s="350">
        <f>Model!J$110</f>
        <v>8297.3568281938315</v>
      </c>
      <c r="K143" s="1052">
        <f t="shared" ref="K143:R143" si="84">J143*(1+K144)</f>
        <v>9832.3678414096903</v>
      </c>
      <c r="L143" s="1052">
        <f t="shared" si="84"/>
        <v>11405.546696035241</v>
      </c>
      <c r="M143" s="1052">
        <f t="shared" si="84"/>
        <v>13002.323233480172</v>
      </c>
      <c r="N143" s="1052">
        <f t="shared" si="84"/>
        <v>14697.826183125988</v>
      </c>
      <c r="O143" s="1052">
        <f t="shared" si="84"/>
        <v>16484.611516556248</v>
      </c>
      <c r="P143" s="1052">
        <f t="shared" si="84"/>
        <v>18354.668047599869</v>
      </c>
      <c r="Q143" s="1052">
        <f t="shared" si="84"/>
        <v>20265.357861838009</v>
      </c>
      <c r="R143" s="1052">
        <f t="shared" si="84"/>
        <v>22052.528838631264</v>
      </c>
      <c r="T143" s="1072"/>
      <c r="U143" s="1072"/>
      <c r="V143" s="1072"/>
    </row>
    <row r="144" spans="1:22">
      <c r="B144" s="418" t="s">
        <v>80</v>
      </c>
      <c r="G144" s="1073">
        <f>G143/F143-1</f>
        <v>5.0742688455007512E-2</v>
      </c>
      <c r="H144" s="413">
        <f>H143/G143-1</f>
        <v>6.1161246381747025E-2</v>
      </c>
      <c r="I144" s="413">
        <f>I143/H143-1</f>
        <v>4.6805415297945796E-2</v>
      </c>
      <c r="J144" s="413">
        <f>J143/I143-1</f>
        <v>0.13511705637968641</v>
      </c>
      <c r="K144" s="1030">
        <f t="shared" ref="K144:R144" si="85">K$103+K145</f>
        <v>0.185</v>
      </c>
      <c r="L144" s="1030">
        <f t="shared" si="85"/>
        <v>0.16</v>
      </c>
      <c r="M144" s="1030">
        <f t="shared" si="85"/>
        <v>0.13999999999999999</v>
      </c>
      <c r="N144" s="1030">
        <f t="shared" si="85"/>
        <v>0.13039999999999999</v>
      </c>
      <c r="O144" s="1030">
        <f t="shared" si="85"/>
        <v>0.12156800000000001</v>
      </c>
      <c r="P144" s="1030">
        <f t="shared" si="85"/>
        <v>0.11344256000000001</v>
      </c>
      <c r="Q144" s="1030">
        <f t="shared" si="85"/>
        <v>0.10409830400000002</v>
      </c>
      <c r="R144" s="1030">
        <f t="shared" si="85"/>
        <v>8.8188473600000011E-2</v>
      </c>
      <c r="T144" s="1074"/>
      <c r="V144" s="1074"/>
    </row>
    <row r="145" spans="1:22">
      <c r="B145" s="1086" t="s">
        <v>438</v>
      </c>
      <c r="H145" s="141"/>
      <c r="I145" s="375"/>
      <c r="J145" s="375"/>
      <c r="K145" s="1096">
        <v>0.03</v>
      </c>
      <c r="L145" s="1096">
        <v>0.02</v>
      </c>
      <c r="M145" s="1096">
        <f>L145</f>
        <v>0.02</v>
      </c>
      <c r="N145" s="1096">
        <f>M145</f>
        <v>0.02</v>
      </c>
      <c r="O145" s="1096">
        <f>N145</f>
        <v>0.02</v>
      </c>
      <c r="P145" s="1096">
        <f>O145</f>
        <v>0.02</v>
      </c>
      <c r="Q145" s="1096">
        <f>P145</f>
        <v>0.02</v>
      </c>
      <c r="R145" s="1096">
        <v>1.2500000000000001E-2</v>
      </c>
      <c r="T145" s="1074"/>
      <c r="V145" s="1074"/>
    </row>
    <row r="146" spans="1:22">
      <c r="B146" s="1036"/>
      <c r="H146" s="141"/>
      <c r="I146" s="141"/>
      <c r="J146" s="141"/>
      <c r="R146" s="1024"/>
      <c r="T146" s="1055"/>
      <c r="U146" s="1055"/>
    </row>
    <row r="147" spans="1:22">
      <c r="B147" s="495" t="s">
        <v>422</v>
      </c>
      <c r="H147" s="141"/>
      <c r="I147" s="141"/>
      <c r="J147" s="141"/>
      <c r="T147" s="1055"/>
      <c r="U147" s="1055"/>
    </row>
    <row r="148" spans="1:22">
      <c r="B148" s="418" t="s">
        <v>423</v>
      </c>
      <c r="F148" s="1073">
        <f>Model!F$141</f>
        <v>0.92623704729712786</v>
      </c>
      <c r="G148" s="1073">
        <f>Model!G$141</f>
        <v>0.81003819070321803</v>
      </c>
      <c r="H148" s="411">
        <f>Model!H$141</f>
        <v>0.59313788870703765</v>
      </c>
      <c r="I148" s="411">
        <f>Model!I$141</f>
        <v>0.35219146183699879</v>
      </c>
      <c r="J148" s="411">
        <f>Model!J$141</f>
        <v>0.20865410140695517</v>
      </c>
      <c r="K148" s="1065">
        <f t="shared" ref="K148:R148" si="86">1-K149</f>
        <v>0.16000000000000003</v>
      </c>
      <c r="L148" s="1065">
        <f t="shared" si="86"/>
        <v>0.13</v>
      </c>
      <c r="M148" s="1065">
        <f t="shared" si="86"/>
        <v>0.10999999999999999</v>
      </c>
      <c r="N148" s="1065">
        <f t="shared" si="86"/>
        <v>8.9999999999999969E-2</v>
      </c>
      <c r="O148" s="1065">
        <f t="shared" si="86"/>
        <v>6.9999999999999951E-2</v>
      </c>
      <c r="P148" s="1065">
        <f t="shared" si="86"/>
        <v>4.9999999999999933E-2</v>
      </c>
      <c r="Q148" s="1065">
        <f t="shared" si="86"/>
        <v>4.9999999999999933E-2</v>
      </c>
      <c r="R148" s="1065">
        <f t="shared" si="86"/>
        <v>4.9999999999999933E-2</v>
      </c>
      <c r="T148" s="1055"/>
      <c r="U148" s="1055"/>
    </row>
    <row r="149" spans="1:22">
      <c r="B149" s="418" t="s">
        <v>90</v>
      </c>
      <c r="F149" s="1073">
        <f>1-F148</f>
        <v>7.3762952702872142E-2</v>
      </c>
      <c r="G149" s="1073">
        <f>1-G148</f>
        <v>0.18996180929678197</v>
      </c>
      <c r="H149" s="411">
        <f>1-H148</f>
        <v>0.40686211129296235</v>
      </c>
      <c r="I149" s="411">
        <f>1-I148</f>
        <v>0.64780853816300121</v>
      </c>
      <c r="J149" s="411">
        <f>1-J148</f>
        <v>0.79134589859304483</v>
      </c>
      <c r="K149" s="411">
        <f>K107</f>
        <v>0.84</v>
      </c>
      <c r="L149" s="411">
        <f t="shared" ref="L149:R149" si="87">L107</f>
        <v>0.87</v>
      </c>
      <c r="M149" s="411">
        <f t="shared" si="87"/>
        <v>0.89</v>
      </c>
      <c r="N149" s="411">
        <f t="shared" si="87"/>
        <v>0.91</v>
      </c>
      <c r="O149" s="411">
        <f t="shared" si="87"/>
        <v>0.93</v>
      </c>
      <c r="P149" s="411">
        <f t="shared" si="87"/>
        <v>0.95000000000000007</v>
      </c>
      <c r="Q149" s="411">
        <f t="shared" si="87"/>
        <v>0.95000000000000007</v>
      </c>
      <c r="R149" s="411">
        <f t="shared" si="87"/>
        <v>0.95000000000000007</v>
      </c>
      <c r="T149" s="1055"/>
      <c r="U149" s="1055"/>
    </row>
    <row r="150" spans="1:22">
      <c r="B150" s="1088"/>
      <c r="H150" s="141"/>
      <c r="I150" s="141"/>
      <c r="J150" s="141"/>
      <c r="T150" s="1055"/>
      <c r="U150" s="1055"/>
    </row>
    <row r="151" spans="1:22">
      <c r="B151" s="399" t="s">
        <v>376</v>
      </c>
      <c r="F151" s="1052">
        <f t="shared" ref="F151:R151" si="88">F148*F136</f>
        <v>997.71383400000002</v>
      </c>
      <c r="G151" s="1052">
        <f t="shared" si="88"/>
        <v>1359.2440839999999</v>
      </c>
      <c r="H151" s="350">
        <f>H148*H136</f>
        <v>1449.6290000000001</v>
      </c>
      <c r="I151" s="350">
        <f t="shared" si="88"/>
        <v>1088.9760000000003</v>
      </c>
      <c r="J151" s="350">
        <f>J148*J136</f>
        <v>786.00000000000011</v>
      </c>
      <c r="K151" s="1052">
        <f t="shared" si="88"/>
        <v>807.07221599999991</v>
      </c>
      <c r="L151" s="1052">
        <f t="shared" si="88"/>
        <v>836.73211993799987</v>
      </c>
      <c r="M151" s="1052">
        <f t="shared" si="88"/>
        <v>871.69464974956281</v>
      </c>
      <c r="N151" s="1052">
        <f t="shared" si="88"/>
        <v>865.05969045151608</v>
      </c>
      <c r="O151" s="1052">
        <f t="shared" si="88"/>
        <v>803.06457827192071</v>
      </c>
      <c r="P151" s="1052">
        <f t="shared" si="88"/>
        <v>674.47601181277298</v>
      </c>
      <c r="Q151" s="1052">
        <f t="shared" si="88"/>
        <v>782.61253737754282</v>
      </c>
      <c r="R151" s="1052">
        <f t="shared" si="88"/>
        <v>886.83147000009126</v>
      </c>
      <c r="T151" s="1055"/>
      <c r="U151" s="1055"/>
    </row>
    <row r="152" spans="1:22">
      <c r="B152" s="418" t="s">
        <v>80</v>
      </c>
      <c r="G152" s="1073">
        <f t="shared" ref="G152:O152" si="89">G151/F151-1</f>
        <v>0.36235866205299083</v>
      </c>
      <c r="H152" s="411">
        <f t="shared" si="89"/>
        <v>6.6496457158757183E-2</v>
      </c>
      <c r="I152" s="411">
        <f t="shared" si="89"/>
        <v>-0.24878986278558157</v>
      </c>
      <c r="J152" s="411">
        <f t="shared" si="89"/>
        <v>-0.2782210076255125</v>
      </c>
      <c r="K152" s="1073">
        <f t="shared" si="89"/>
        <v>2.6809435114503621E-2</v>
      </c>
      <c r="L152" s="1073">
        <f t="shared" si="89"/>
        <v>3.675000000000006E-2</v>
      </c>
      <c r="M152" s="1073">
        <f t="shared" si="89"/>
        <v>4.1784615384615087E-2</v>
      </c>
      <c r="N152" s="1073">
        <f t="shared" si="89"/>
        <v>-7.6115636363639494E-3</v>
      </c>
      <c r="O152" s="1073">
        <f t="shared" si="89"/>
        <v>-7.1665704533333541E-2</v>
      </c>
      <c r="P152" s="1073">
        <f>P151/O151-1</f>
        <v>-0.16012232383085778</v>
      </c>
      <c r="Q152" s="1073">
        <f>Q151/P151-1</f>
        <v>0.16032671832780809</v>
      </c>
      <c r="R152" s="1073">
        <f>R151/Q151-1</f>
        <v>0.13316798242432437</v>
      </c>
      <c r="T152" s="1055"/>
      <c r="U152" s="1055"/>
    </row>
    <row r="153" spans="1:22">
      <c r="B153" s="418"/>
      <c r="H153" s="141"/>
      <c r="I153" s="141"/>
      <c r="J153" s="141"/>
      <c r="T153" s="1055"/>
      <c r="U153" s="1055"/>
    </row>
    <row r="154" spans="1:22">
      <c r="B154" s="399" t="s">
        <v>366</v>
      </c>
      <c r="F154" s="1052">
        <f t="shared" ref="F154:R154" si="90">F149*F136</f>
        <v>79.455166000000091</v>
      </c>
      <c r="G154" s="1052">
        <f t="shared" si="90"/>
        <v>318.75591600000013</v>
      </c>
      <c r="H154" s="350">
        <f>H149*H136</f>
        <v>994.37099999999998</v>
      </c>
      <c r="I154" s="350">
        <f t="shared" si="90"/>
        <v>2003.0239999999997</v>
      </c>
      <c r="J154" s="350">
        <f>J149*J136</f>
        <v>2981</v>
      </c>
      <c r="K154" s="1052">
        <f t="shared" si="90"/>
        <v>4237.1291339999989</v>
      </c>
      <c r="L154" s="1052">
        <f t="shared" si="90"/>
        <v>5599.6688026619986</v>
      </c>
      <c r="M154" s="1052">
        <f t="shared" si="90"/>
        <v>7052.8021661555549</v>
      </c>
      <c r="N154" s="1052">
        <f t="shared" si="90"/>
        <v>8746.7146478986651</v>
      </c>
      <c r="O154" s="1052">
        <f t="shared" si="90"/>
        <v>10669.286539898383</v>
      </c>
      <c r="P154" s="1052">
        <f t="shared" si="90"/>
        <v>12815.044224442705</v>
      </c>
      <c r="Q154" s="1052">
        <f t="shared" si="90"/>
        <v>14869.638210173334</v>
      </c>
      <c r="R154" s="1052">
        <f t="shared" si="90"/>
        <v>16849.797930001758</v>
      </c>
      <c r="T154" s="1055"/>
      <c r="U154" s="1055"/>
    </row>
    <row r="155" spans="1:22">
      <c r="B155" s="418" t="s">
        <v>80</v>
      </c>
      <c r="G155" s="1073">
        <f t="shared" ref="G155:O155" si="91">G154/F154-1</f>
        <v>3.0117708142476189</v>
      </c>
      <c r="H155" s="411">
        <f t="shared" si="91"/>
        <v>2.1195373955035852</v>
      </c>
      <c r="I155" s="411">
        <f t="shared" si="91"/>
        <v>1.0143628484740601</v>
      </c>
      <c r="J155" s="411">
        <f t="shared" si="91"/>
        <v>0.48824976635327411</v>
      </c>
      <c r="K155" s="1073">
        <f t="shared" si="91"/>
        <v>0.42137844146259607</v>
      </c>
      <c r="L155" s="1073">
        <f t="shared" si="91"/>
        <v>0.32157142857142862</v>
      </c>
      <c r="M155" s="1073">
        <f t="shared" si="91"/>
        <v>0.25950344827586203</v>
      </c>
      <c r="N155" s="1073">
        <f t="shared" si="91"/>
        <v>0.24017581123595488</v>
      </c>
      <c r="O155" s="1073">
        <f t="shared" si="91"/>
        <v>0.21980503187692335</v>
      </c>
      <c r="P155" s="1073">
        <f>P154/O154-1</f>
        <v>0.20111538634941928</v>
      </c>
      <c r="Q155" s="1073">
        <f>Q154/P154-1</f>
        <v>0.16032671832780809</v>
      </c>
      <c r="R155" s="1073">
        <f>R154/Q154-1</f>
        <v>0.13316798242432437</v>
      </c>
      <c r="T155" s="1055"/>
      <c r="U155" s="1055"/>
    </row>
    <row r="156" spans="1:22">
      <c r="B156" s="1036"/>
      <c r="H156" s="141"/>
      <c r="I156" s="141"/>
      <c r="J156" s="141"/>
      <c r="T156" s="1055"/>
      <c r="U156" s="1055"/>
    </row>
    <row r="157" spans="1:22" s="1037" customFormat="1">
      <c r="A157" s="13"/>
      <c r="B157" s="544" t="s">
        <v>421</v>
      </c>
      <c r="E157" s="1060">
        <f t="shared" ref="E157:J157" si="92">E$73</f>
        <v>2.0244343891402714E-2</v>
      </c>
      <c r="F157" s="1060">
        <f t="shared" si="92"/>
        <v>2.503785385580164E-2</v>
      </c>
      <c r="G157" s="1061">
        <f t="shared" si="92"/>
        <v>2.5525625744934444E-2</v>
      </c>
      <c r="H157" s="506">
        <f t="shared" si="92"/>
        <v>2.4440261865793778E-2</v>
      </c>
      <c r="I157" s="506">
        <f t="shared" si="92"/>
        <v>2.5883893919793014E-2</v>
      </c>
      <c r="J157" s="506">
        <f t="shared" si="92"/>
        <v>3.0291744093443058E-2</v>
      </c>
      <c r="K157" s="1060">
        <f t="shared" ref="K157:R157" si="93">K123/K136/1000</f>
        <v>3.7861996086298179E-2</v>
      </c>
      <c r="L157" s="1060">
        <f t="shared" si="93"/>
        <v>4.2138348441243818E-2</v>
      </c>
      <c r="M157" s="1060">
        <f t="shared" si="93"/>
        <v>4.7550865927138232E-2</v>
      </c>
      <c r="N157" s="1060">
        <f t="shared" si="93"/>
        <v>4.8502634337680303E-2</v>
      </c>
      <c r="O157" s="1060">
        <f t="shared" si="93"/>
        <v>4.948495299684845E-2</v>
      </c>
      <c r="P157" s="1060">
        <f t="shared" si="93"/>
        <v>5.21177710606276E-2</v>
      </c>
      <c r="Q157" s="1060">
        <f t="shared" si="93"/>
        <v>5.2023651331780899E-2</v>
      </c>
      <c r="R157" s="1060">
        <f t="shared" si="93"/>
        <v>5.19507811526327E-2</v>
      </c>
      <c r="T157" s="1040"/>
      <c r="U157" s="1040"/>
    </row>
    <row r="158" spans="1:22" s="1037" customFormat="1">
      <c r="A158" s="13"/>
      <c r="B158" s="544"/>
      <c r="E158" s="1060"/>
      <c r="F158" s="1060"/>
      <c r="G158" s="376"/>
      <c r="H158" s="141"/>
      <c r="I158" s="1091"/>
      <c r="J158" s="1091"/>
      <c r="K158" s="1060"/>
      <c r="L158" s="1060"/>
      <c r="M158" s="1060"/>
      <c r="N158" s="1060"/>
      <c r="O158" s="1060"/>
      <c r="P158" s="1060"/>
      <c r="Q158" s="1060"/>
      <c r="R158" s="1060"/>
      <c r="T158" s="1040"/>
      <c r="U158" s="1040"/>
    </row>
    <row r="159" spans="1:22">
      <c r="B159" s="1045" t="s">
        <v>434</v>
      </c>
      <c r="F159" s="1064">
        <f>Model!F$205</f>
        <v>2.6641907823842001E-2</v>
      </c>
      <c r="G159" s="1064">
        <f>Model!G$205</f>
        <v>2.93744151399963E-2</v>
      </c>
      <c r="H159" s="499">
        <f>Model!H$205</f>
        <v>2.8903991444440606E-2</v>
      </c>
      <c r="I159" s="499">
        <f>Model!I$205</f>
        <v>2.7269655162280887E-2</v>
      </c>
      <c r="J159" s="499">
        <f>Model!J$205</f>
        <v>2.974300254452926E-2</v>
      </c>
      <c r="K159" s="473">
        <f t="shared" ref="K159:R159" si="94">K$116+K160</f>
        <v>3.7999999999999999E-2</v>
      </c>
      <c r="L159" s="475">
        <f t="shared" si="94"/>
        <v>3.9E-2</v>
      </c>
      <c r="M159" s="475">
        <f t="shared" si="94"/>
        <v>0.04</v>
      </c>
      <c r="N159" s="475">
        <f t="shared" si="94"/>
        <v>0.04</v>
      </c>
      <c r="O159" s="475">
        <f t="shared" si="94"/>
        <v>0.04</v>
      </c>
      <c r="P159" s="475">
        <f t="shared" si="94"/>
        <v>0.04</v>
      </c>
      <c r="Q159" s="475">
        <f t="shared" si="94"/>
        <v>0.04</v>
      </c>
      <c r="R159" s="475">
        <f t="shared" si="94"/>
        <v>0.04</v>
      </c>
      <c r="T159" s="1055"/>
      <c r="U159" s="1055"/>
    </row>
    <row r="160" spans="1:22" s="5" customFormat="1">
      <c r="A160" s="141"/>
      <c r="B160" s="1097" t="s">
        <v>438</v>
      </c>
      <c r="F160" s="1065"/>
      <c r="G160" s="376"/>
      <c r="H160" s="141"/>
      <c r="I160" s="473"/>
      <c r="J160" s="473"/>
      <c r="K160" s="1092">
        <v>0</v>
      </c>
      <c r="L160" s="1092">
        <f t="shared" ref="L160:R160" si="95">K160</f>
        <v>0</v>
      </c>
      <c r="M160" s="1092">
        <f t="shared" si="95"/>
        <v>0</v>
      </c>
      <c r="N160" s="1092">
        <f t="shared" si="95"/>
        <v>0</v>
      </c>
      <c r="O160" s="1092">
        <f t="shared" si="95"/>
        <v>0</v>
      </c>
      <c r="P160" s="1092">
        <f t="shared" si="95"/>
        <v>0</v>
      </c>
      <c r="Q160" s="1092">
        <f t="shared" si="95"/>
        <v>0</v>
      </c>
      <c r="R160" s="1092">
        <f t="shared" si="95"/>
        <v>0</v>
      </c>
      <c r="T160" s="1040"/>
      <c r="U160" s="1040"/>
    </row>
    <row r="161" spans="1:22" s="5" customFormat="1">
      <c r="A161" s="141"/>
      <c r="B161" s="1088"/>
      <c r="F161" s="1065"/>
      <c r="G161" s="376"/>
      <c r="H161" s="141"/>
      <c r="I161" s="473"/>
      <c r="J161" s="473"/>
      <c r="K161" s="475"/>
      <c r="L161" s="475"/>
      <c r="M161" s="475"/>
      <c r="N161" s="475"/>
      <c r="O161" s="475"/>
      <c r="P161" s="475"/>
      <c r="Q161" s="475"/>
      <c r="R161" s="475"/>
      <c r="T161" s="1040"/>
      <c r="U161" s="1040"/>
    </row>
    <row r="162" spans="1:22">
      <c r="B162" s="1045" t="s">
        <v>370</v>
      </c>
      <c r="F162" s="1064">
        <f>Model!F$206</f>
        <v>4.8958427699968554E-3</v>
      </c>
      <c r="G162" s="1064">
        <f>Model!G$206</f>
        <v>9.1253797524428019E-3</v>
      </c>
      <c r="H162" s="499">
        <f>Model!H$206</f>
        <v>1.7940989831762993E-2</v>
      </c>
      <c r="I162" s="499">
        <f>Model!I$206</f>
        <v>2.5130502679947923E-2</v>
      </c>
      <c r="J162" s="499">
        <f>Model!J$206</f>
        <v>3.043643072794364E-2</v>
      </c>
      <c r="K162" s="473">
        <f t="shared" ref="K162:R162" si="96">K$117+K163</f>
        <v>3.6299999999999999E-2</v>
      </c>
      <c r="L162" s="475">
        <f t="shared" si="96"/>
        <v>0.04</v>
      </c>
      <c r="M162" s="475">
        <f t="shared" si="96"/>
        <v>4.5999999999999999E-2</v>
      </c>
      <c r="N162" s="475">
        <f t="shared" si="96"/>
        <v>4.7E-2</v>
      </c>
      <c r="O162" s="475">
        <f t="shared" si="96"/>
        <v>4.8000000000000001E-2</v>
      </c>
      <c r="P162" s="475">
        <f t="shared" si="96"/>
        <v>5.0700000000000002E-2</v>
      </c>
      <c r="Q162" s="475">
        <f t="shared" si="96"/>
        <v>5.0700000000000002E-2</v>
      </c>
      <c r="R162" s="475">
        <f t="shared" si="96"/>
        <v>5.0700000000000002E-2</v>
      </c>
      <c r="T162" s="1055"/>
      <c r="U162" s="1055"/>
    </row>
    <row r="163" spans="1:22">
      <c r="B163" s="1097" t="s">
        <v>438</v>
      </c>
      <c r="H163" s="141"/>
      <c r="I163" s="473"/>
      <c r="J163" s="473"/>
      <c r="K163" s="1092">
        <v>0</v>
      </c>
      <c r="L163" s="1092">
        <f t="shared" ref="L163:R163" si="97">K163</f>
        <v>0</v>
      </c>
      <c r="M163" s="1092">
        <v>2E-3</v>
      </c>
      <c r="N163" s="1092">
        <f t="shared" si="97"/>
        <v>2E-3</v>
      </c>
      <c r="O163" s="1092">
        <f t="shared" si="97"/>
        <v>2E-3</v>
      </c>
      <c r="P163" s="1092">
        <f t="shared" si="97"/>
        <v>2E-3</v>
      </c>
      <c r="Q163" s="1092">
        <f t="shared" si="97"/>
        <v>2E-3</v>
      </c>
      <c r="R163" s="1092">
        <f t="shared" si="97"/>
        <v>2E-3</v>
      </c>
      <c r="T163" s="1055"/>
      <c r="U163" s="1055"/>
    </row>
    <row r="164" spans="1:22">
      <c r="H164" s="141"/>
      <c r="I164" s="141"/>
      <c r="J164" s="141"/>
      <c r="T164" s="1055"/>
      <c r="U164" s="1055"/>
    </row>
    <row r="165" spans="1:22" s="1099" customFormat="1">
      <c r="A165" s="141"/>
      <c r="B165" s="1098" t="s">
        <v>439</v>
      </c>
      <c r="T165" s="1100"/>
      <c r="U165" s="1100"/>
    </row>
    <row r="166" spans="1:22">
      <c r="T166" s="1055"/>
      <c r="U166" s="1055"/>
    </row>
    <row r="167" spans="1:22" s="1037" customFormat="1">
      <c r="A167" s="13"/>
      <c r="B167" s="1037" t="s">
        <v>435</v>
      </c>
      <c r="C167" s="1047">
        <f t="shared" ref="C167:J167" si="98">C$57</f>
        <v>2335</v>
      </c>
      <c r="D167" s="1047">
        <f t="shared" si="98"/>
        <v>5952</v>
      </c>
      <c r="E167" s="1047">
        <f t="shared" si="98"/>
        <v>13422</v>
      </c>
      <c r="F167" s="1047">
        <f t="shared" si="98"/>
        <v>26970</v>
      </c>
      <c r="G167" s="1048">
        <f t="shared" si="98"/>
        <v>42832</v>
      </c>
      <c r="H167" s="389">
        <f t="shared" si="98"/>
        <v>59732</v>
      </c>
      <c r="I167" s="389">
        <f t="shared" si="98"/>
        <v>80033</v>
      </c>
      <c r="J167" s="389">
        <f t="shared" si="98"/>
        <v>114109</v>
      </c>
      <c r="K167" s="1047">
        <f>K170+K174+K178</f>
        <v>153611.78776419995</v>
      </c>
      <c r="L167" s="1047">
        <f t="shared" ref="L167:R167" si="99">L170+L174+L178</f>
        <v>203249.35143560002</v>
      </c>
      <c r="M167" s="1047">
        <f t="shared" si="99"/>
        <v>251012.05686924787</v>
      </c>
      <c r="N167" s="1047">
        <f t="shared" si="99"/>
        <v>287549.28319146921</v>
      </c>
      <c r="O167" s="1047">
        <f t="shared" si="99"/>
        <v>324661.30287132569</v>
      </c>
      <c r="P167" s="1047">
        <f t="shared" si="99"/>
        <v>374418.00330611254</v>
      </c>
      <c r="Q167" s="1047">
        <f t="shared" si="99"/>
        <v>401940.23522241315</v>
      </c>
      <c r="R167" s="1047">
        <f t="shared" si="99"/>
        <v>426066.61548791622</v>
      </c>
      <c r="T167" s="1072"/>
      <c r="U167" s="1072"/>
      <c r="V167" s="1072"/>
    </row>
    <row r="168" spans="1:22">
      <c r="B168" s="448" t="s">
        <v>80</v>
      </c>
      <c r="D168" s="1073">
        <f t="shared" ref="D168:O168" si="100">D167/C167-1</f>
        <v>1.5490364025695933</v>
      </c>
      <c r="E168" s="1073">
        <f t="shared" si="100"/>
        <v>1.255040322580645</v>
      </c>
      <c r="F168" s="1073">
        <f t="shared" si="100"/>
        <v>1.009387572641931</v>
      </c>
      <c r="G168" s="1073">
        <f t="shared" si="100"/>
        <v>0.58813496477567662</v>
      </c>
      <c r="H168" s="411">
        <f t="shared" si="100"/>
        <v>0.39456481135599542</v>
      </c>
      <c r="I168" s="411">
        <f t="shared" si="100"/>
        <v>0.33986807741244229</v>
      </c>
      <c r="J168" s="411">
        <f t="shared" si="100"/>
        <v>0.42577436807316982</v>
      </c>
      <c r="K168" s="1073">
        <f t="shared" si="100"/>
        <v>0.34618468099974553</v>
      </c>
      <c r="L168" s="1073">
        <f t="shared" si="100"/>
        <v>0.32313642327759151</v>
      </c>
      <c r="M168" s="1073">
        <f t="shared" si="100"/>
        <v>0.23499561054580576</v>
      </c>
      <c r="N168" s="1073">
        <f t="shared" si="100"/>
        <v>0.14555964672746202</v>
      </c>
      <c r="O168" s="1073">
        <f t="shared" si="100"/>
        <v>0.12906316186204814</v>
      </c>
      <c r="P168" s="1073">
        <f>P167/O167-1</f>
        <v>0.1532572560842187</v>
      </c>
      <c r="Q168" s="1073">
        <f>Q167/P167-1</f>
        <v>7.3506700194112318E-2</v>
      </c>
      <c r="R168" s="1073">
        <f>R167/Q167-1</f>
        <v>6.0024795109533624E-2</v>
      </c>
      <c r="T168" s="1074"/>
      <c r="V168" s="1074"/>
    </row>
    <row r="169" spans="1:22">
      <c r="H169" s="141"/>
      <c r="I169" s="141"/>
      <c r="J169" s="141"/>
      <c r="T169" s="1074"/>
      <c r="V169" s="1074"/>
    </row>
    <row r="170" spans="1:22">
      <c r="B170" s="1036" t="s">
        <v>377</v>
      </c>
      <c r="F170" s="1052">
        <f>Model!F$200</f>
        <v>26581</v>
      </c>
      <c r="G170" s="1052">
        <f>Model!G$200</f>
        <v>39927</v>
      </c>
      <c r="H170" s="350">
        <f>Model!H$200</f>
        <v>41892</v>
      </c>
      <c r="I170" s="350">
        <f>Model!I$200</f>
        <v>29696</v>
      </c>
      <c r="J170" s="350">
        <f>Model!J$200</f>
        <v>23378</v>
      </c>
      <c r="K170" s="1052">
        <f t="shared" ref="K170:R170" si="101">K195*K203*1000</f>
        <v>25167.628359999999</v>
      </c>
      <c r="L170" s="1052">
        <f t="shared" si="101"/>
        <v>24524.415686627999</v>
      </c>
      <c r="M170" s="1052">
        <f t="shared" si="101"/>
        <v>23955.449242698229</v>
      </c>
      <c r="N170" s="1052">
        <f t="shared" si="101"/>
        <v>21881.876009537205</v>
      </c>
      <c r="O170" s="1052">
        <f t="shared" si="101"/>
        <v>18730.139009477389</v>
      </c>
      <c r="P170" s="1052">
        <f t="shared" si="101"/>
        <v>14530.98743876687</v>
      </c>
      <c r="Q170" s="1052">
        <f t="shared" si="101"/>
        <v>15565.138063216762</v>
      </c>
      <c r="R170" s="1052">
        <f t="shared" si="101"/>
        <v>16464.556525763252</v>
      </c>
      <c r="T170" s="1072"/>
      <c r="U170" s="1072"/>
      <c r="V170" s="1072"/>
    </row>
    <row r="171" spans="1:22">
      <c r="B171" s="399" t="s">
        <v>80</v>
      </c>
      <c r="G171" s="1073">
        <f t="shared" ref="G171:O171" si="102">G170/F170-1</f>
        <v>0.50208795756367319</v>
      </c>
      <c r="H171" s="411">
        <f t="shared" si="102"/>
        <v>4.9214817041099979E-2</v>
      </c>
      <c r="I171" s="411">
        <f t="shared" si="102"/>
        <v>-0.29112957127852568</v>
      </c>
      <c r="J171" s="411">
        <f t="shared" si="102"/>
        <v>-0.2127559267241379</v>
      </c>
      <c r="K171" s="1073">
        <f t="shared" si="102"/>
        <v>7.655181623748808E-2</v>
      </c>
      <c r="L171" s="1073">
        <f t="shared" si="102"/>
        <v>-2.5557142857142834E-2</v>
      </c>
      <c r="M171" s="1073">
        <f t="shared" si="102"/>
        <v>-2.3199999999999998E-2</v>
      </c>
      <c r="N171" s="1073">
        <f t="shared" si="102"/>
        <v>-8.6559563636363968E-2</v>
      </c>
      <c r="O171" s="1073">
        <f t="shared" si="102"/>
        <v>-0.14403413120000008</v>
      </c>
      <c r="P171" s="1073">
        <f>P170/O170-1</f>
        <v>-0.22419222668800065</v>
      </c>
      <c r="Q171" s="1073">
        <f>Q170/P170-1</f>
        <v>7.1168640727808041E-2</v>
      </c>
      <c r="R171" s="1073">
        <f>R170/Q170-1</f>
        <v>5.7784162202324296E-2</v>
      </c>
      <c r="T171" s="1074"/>
      <c r="V171" s="1074"/>
    </row>
    <row r="172" spans="1:22">
      <c r="B172" s="1045" t="s">
        <v>344</v>
      </c>
      <c r="F172" s="1073">
        <f>F170/F167</f>
        <v>0.98557656655543191</v>
      </c>
      <c r="G172" s="1073">
        <f>G170/G167</f>
        <v>0.93217687710123276</v>
      </c>
      <c r="H172" s="411">
        <f>H170/H167</f>
        <v>0.70133261903167476</v>
      </c>
      <c r="I172" s="411">
        <f t="shared" ref="I172:O172" si="103">I170/I167</f>
        <v>0.37104694313595643</v>
      </c>
      <c r="J172" s="411">
        <f>J170/J167</f>
        <v>0.20487428686606665</v>
      </c>
      <c r="K172" s="1073">
        <f t="shared" si="103"/>
        <v>0.16383917358369193</v>
      </c>
      <c r="L172" s="1073">
        <f t="shared" si="103"/>
        <v>0.12066171681929627</v>
      </c>
      <c r="M172" s="1073">
        <f t="shared" si="103"/>
        <v>9.5435452549502905E-2</v>
      </c>
      <c r="N172" s="1073">
        <f t="shared" si="103"/>
        <v>7.6097828402398815E-2</v>
      </c>
      <c r="O172" s="1073">
        <f t="shared" si="103"/>
        <v>5.7691319673231212E-2</v>
      </c>
      <c r="P172" s="1073">
        <f>P170/P167</f>
        <v>3.8809531888045416E-2</v>
      </c>
      <c r="Q172" s="1073">
        <f>Q170/Q167</f>
        <v>3.8725006105954564E-2</v>
      </c>
      <c r="R172" s="1073">
        <f>R170/R167</f>
        <v>3.8643150923497328E-2</v>
      </c>
      <c r="T172" s="1074"/>
      <c r="V172" s="1074"/>
    </row>
    <row r="173" spans="1:22">
      <c r="B173" s="1036"/>
      <c r="H173" s="141"/>
      <c r="I173" s="141"/>
      <c r="J173" s="141"/>
      <c r="T173" s="1074"/>
      <c r="V173" s="1074"/>
    </row>
    <row r="174" spans="1:22">
      <c r="B174" s="1036" t="s">
        <v>378</v>
      </c>
      <c r="F174" s="1052">
        <f>Model!F$201</f>
        <v>389</v>
      </c>
      <c r="G174" s="1052">
        <f>Model!G$201</f>
        <v>2905</v>
      </c>
      <c r="H174" s="350">
        <f>Model!H$201</f>
        <v>17840</v>
      </c>
      <c r="I174" s="350">
        <f>Model!I$201</f>
        <v>50337</v>
      </c>
      <c r="J174" s="350">
        <f>Model!J$201</f>
        <v>90731</v>
      </c>
      <c r="K174" s="1052">
        <f t="shared" ref="K174:R174" si="104">K198*K206*1000</f>
        <v>121937.15940419996</v>
      </c>
      <c r="L174" s="1052">
        <f t="shared" si="104"/>
        <v>164124.93574897203</v>
      </c>
      <c r="M174" s="1052">
        <f t="shared" si="104"/>
        <v>209536.60762654964</v>
      </c>
      <c r="N174" s="1052">
        <f t="shared" si="104"/>
        <v>245169.00718193196</v>
      </c>
      <c r="O174" s="1052">
        <f t="shared" si="104"/>
        <v>282470.74506184831</v>
      </c>
      <c r="P174" s="1052">
        <f t="shared" si="104"/>
        <v>333545.07112823566</v>
      </c>
      <c r="Q174" s="1052">
        <f t="shared" si="104"/>
        <v>357283.02046189236</v>
      </c>
      <c r="R174" s="1052">
        <f t="shared" si="104"/>
        <v>377928.32046839874</v>
      </c>
      <c r="T174" s="1072"/>
      <c r="V174" s="1072"/>
    </row>
    <row r="175" spans="1:22">
      <c r="B175" s="399" t="s">
        <v>80</v>
      </c>
      <c r="G175" s="1073">
        <f t="shared" ref="G175:O175" si="105">G174/F174-1</f>
        <v>6.4678663239074554</v>
      </c>
      <c r="H175" s="411">
        <f t="shared" si="105"/>
        <v>5.1411359724612735</v>
      </c>
      <c r="I175" s="411">
        <f t="shared" si="105"/>
        <v>1.8215807174887892</v>
      </c>
      <c r="J175" s="411">
        <f t="shared" si="105"/>
        <v>0.80247134314718793</v>
      </c>
      <c r="K175" s="1073">
        <f t="shared" si="105"/>
        <v>0.34394153491309432</v>
      </c>
      <c r="L175" s="1073">
        <f t="shared" si="105"/>
        <v>0.34597965501990324</v>
      </c>
      <c r="M175" s="1073">
        <f t="shared" si="105"/>
        <v>0.27668965517241362</v>
      </c>
      <c r="N175" s="1073">
        <f t="shared" si="105"/>
        <v>0.17005333797752797</v>
      </c>
      <c r="O175" s="1073">
        <f t="shared" si="105"/>
        <v>0.15214703648180117</v>
      </c>
      <c r="P175" s="1073">
        <f>P174/O174-1</f>
        <v>0.18081279905713554</v>
      </c>
      <c r="Q175" s="1073">
        <f>Q174/P174-1</f>
        <v>7.1168640727808485E-2</v>
      </c>
      <c r="R175" s="1073">
        <f>R174/Q174-1</f>
        <v>5.7784162202324518E-2</v>
      </c>
      <c r="T175" s="1074"/>
      <c r="V175" s="1074"/>
    </row>
    <row r="176" spans="1:22">
      <c r="B176" s="1045" t="s">
        <v>344</v>
      </c>
      <c r="F176" s="1073">
        <f>F174/F167</f>
        <v>1.4423433444568038E-2</v>
      </c>
      <c r="G176" s="1073">
        <f>G174/G167</f>
        <v>6.7823122898767282E-2</v>
      </c>
      <c r="H176" s="411">
        <f>H174/H167</f>
        <v>0.29866738096832518</v>
      </c>
      <c r="I176" s="411">
        <f t="shared" ref="I176:O176" si="106">I174/I167</f>
        <v>0.62895305686404357</v>
      </c>
      <c r="J176" s="411">
        <f>J174/J167</f>
        <v>0.79512571313393332</v>
      </c>
      <c r="K176" s="1073">
        <f t="shared" si="106"/>
        <v>0.79380079601298714</v>
      </c>
      <c r="L176" s="1073">
        <f t="shared" si="106"/>
        <v>0.80750533563682914</v>
      </c>
      <c r="M176" s="1073">
        <f t="shared" si="106"/>
        <v>0.83476710338140137</v>
      </c>
      <c r="N176" s="1073">
        <f t="shared" si="106"/>
        <v>0.85261560891696719</v>
      </c>
      <c r="O176" s="1073">
        <f t="shared" si="106"/>
        <v>0.87004746966656843</v>
      </c>
      <c r="P176" s="1073">
        <f>P174/P167</f>
        <v>0.89083609277073028</v>
      </c>
      <c r="Q176" s="1073">
        <f>Q174/Q167</f>
        <v>0.88889588339965575</v>
      </c>
      <c r="R176" s="1073">
        <f>R174/R167</f>
        <v>0.88701697511692812</v>
      </c>
      <c r="T176" s="1074"/>
      <c r="V176" s="1074"/>
    </row>
    <row r="177" spans="1:22">
      <c r="B177" s="1036"/>
      <c r="H177" s="141"/>
      <c r="I177" s="141"/>
      <c r="J177" s="141"/>
      <c r="T177" s="1074"/>
      <c r="V177" s="1074"/>
    </row>
    <row r="178" spans="1:22">
      <c r="B178" s="1036" t="s">
        <v>802</v>
      </c>
      <c r="G178" s="1057"/>
      <c r="H178" s="789"/>
      <c r="I178" s="1075"/>
      <c r="J178" s="1034">
        <f>Model!J279</f>
        <v>0</v>
      </c>
      <c r="K178" s="1034">
        <f>Model!K279</f>
        <v>6507</v>
      </c>
      <c r="L178" s="1034">
        <f>Model!L279</f>
        <v>14600</v>
      </c>
      <c r="M178" s="1034">
        <f>Model!M279</f>
        <v>17520</v>
      </c>
      <c r="N178" s="1034">
        <f>Model!N279</f>
        <v>20498.399999999998</v>
      </c>
      <c r="O178" s="1034">
        <f>Model!O279</f>
        <v>23460.418799999999</v>
      </c>
      <c r="P178" s="1034">
        <f>Model!P279</f>
        <v>26341.94473911</v>
      </c>
      <c r="Q178" s="1034">
        <f>Model!Q279</f>
        <v>29092.076697304008</v>
      </c>
      <c r="R178" s="1034">
        <f>Model!R279</f>
        <v>31673.738493754256</v>
      </c>
      <c r="T178" s="1074"/>
      <c r="V178" s="1074"/>
    </row>
    <row r="179" spans="1:22">
      <c r="H179" s="141"/>
      <c r="I179" s="141"/>
      <c r="J179" s="141"/>
      <c r="T179" s="1074"/>
      <c r="V179" s="1074"/>
    </row>
    <row r="180" spans="1:22" s="1037" customFormat="1">
      <c r="A180" s="13"/>
      <c r="B180" s="544" t="s">
        <v>432</v>
      </c>
      <c r="C180" s="1047">
        <f t="shared" ref="C180:J180" si="107">C$60</f>
        <v>259.44444444444446</v>
      </c>
      <c r="D180" s="1047">
        <f t="shared" si="107"/>
        <v>496</v>
      </c>
      <c r="E180" s="1047">
        <f t="shared" si="107"/>
        <v>663</v>
      </c>
      <c r="F180" s="1047">
        <f t="shared" si="107"/>
        <v>1077.1690000000001</v>
      </c>
      <c r="G180" s="1048">
        <f t="shared" si="107"/>
        <v>1678</v>
      </c>
      <c r="H180" s="389">
        <f t="shared" si="107"/>
        <v>2444</v>
      </c>
      <c r="I180" s="389">
        <f t="shared" si="107"/>
        <v>3092</v>
      </c>
      <c r="J180" s="389">
        <f t="shared" si="107"/>
        <v>3767</v>
      </c>
      <c r="K180" s="1047">
        <f t="shared" ref="K180:R180" si="108">K183*K187/1000</f>
        <v>4494.2193499999994</v>
      </c>
      <c r="L180" s="1047">
        <f t="shared" si="108"/>
        <v>5240.2597621000004</v>
      </c>
      <c r="M180" s="1047">
        <f t="shared" si="108"/>
        <v>5885.8597647907209</v>
      </c>
      <c r="N180" s="1047">
        <f t="shared" si="108"/>
        <v>6571.1339367979626</v>
      </c>
      <c r="O180" s="1047">
        <f t="shared" si="108"/>
        <v>7231.7139032731275</v>
      </c>
      <c r="P180" s="1047">
        <f t="shared" si="108"/>
        <v>7854.5878047388587</v>
      </c>
      <c r="Q180" s="1047">
        <f t="shared" si="108"/>
        <v>8413.5881422793427</v>
      </c>
      <c r="R180" s="1047">
        <f t="shared" si="108"/>
        <v>8899.7602841963653</v>
      </c>
      <c r="T180" s="1072"/>
      <c r="U180" s="1072"/>
      <c r="V180" s="1072"/>
    </row>
    <row r="181" spans="1:22">
      <c r="B181" s="399" t="s">
        <v>80</v>
      </c>
      <c r="D181" s="1073">
        <f t="shared" ref="D181:O181" si="109">D180/C180-1</f>
        <v>0.91177730192719486</v>
      </c>
      <c r="E181" s="1073">
        <f t="shared" si="109"/>
        <v>0.33669354838709675</v>
      </c>
      <c r="F181" s="1073">
        <f t="shared" si="109"/>
        <v>0.62468929110105598</v>
      </c>
      <c r="G181" s="1073">
        <f t="shared" si="109"/>
        <v>0.55778712532573804</v>
      </c>
      <c r="H181" s="411">
        <f t="shared" si="109"/>
        <v>0.45649582836710367</v>
      </c>
      <c r="I181" s="411">
        <f t="shared" si="109"/>
        <v>0.26513911620294595</v>
      </c>
      <c r="J181" s="411">
        <f t="shared" si="109"/>
        <v>0.21830530401034931</v>
      </c>
      <c r="K181" s="1073">
        <f t="shared" si="109"/>
        <v>0.19304999999999994</v>
      </c>
      <c r="L181" s="1073">
        <f t="shared" si="109"/>
        <v>0.16600000000000015</v>
      </c>
      <c r="M181" s="1073">
        <f t="shared" si="109"/>
        <v>0.12319999999999998</v>
      </c>
      <c r="N181" s="1073">
        <f t="shared" si="109"/>
        <v>0.11642719999999995</v>
      </c>
      <c r="O181" s="1073">
        <f t="shared" si="109"/>
        <v>0.1005275456000001</v>
      </c>
      <c r="P181" s="1073">
        <f>P180/O180-1</f>
        <v>8.613088263679991E-2</v>
      </c>
      <c r="Q181" s="1073">
        <f>Q180/P180-1</f>
        <v>7.1168640727808263E-2</v>
      </c>
      <c r="R181" s="1073">
        <f>R180/Q180-1</f>
        <v>5.7784162202324296E-2</v>
      </c>
      <c r="T181" s="1074"/>
      <c r="V181" s="1074"/>
    </row>
    <row r="182" spans="1:22">
      <c r="B182" s="1036"/>
      <c r="H182" s="141"/>
      <c r="I182" s="141"/>
      <c r="J182" s="141"/>
      <c r="T182" s="1074"/>
      <c r="V182" s="1074"/>
    </row>
    <row r="183" spans="1:22">
      <c r="B183" s="1045" t="s">
        <v>732</v>
      </c>
      <c r="F183" s="1052">
        <f>Model!F$106</f>
        <v>172</v>
      </c>
      <c r="G183" s="1052">
        <f>Model!G$106</f>
        <v>255</v>
      </c>
      <c r="H183" s="350">
        <f>Model!H$106</f>
        <v>350</v>
      </c>
      <c r="I183" s="350">
        <f>Model!I$106</f>
        <v>423</v>
      </c>
      <c r="J183" s="350">
        <f>Model!J$106</f>
        <v>454</v>
      </c>
      <c r="K183" s="1052">
        <f t="shared" ref="K183:R183" si="110">J183*(1+K184)</f>
        <v>485.78000000000003</v>
      </c>
      <c r="L183" s="1052">
        <f t="shared" si="110"/>
        <v>514.92680000000007</v>
      </c>
      <c r="M183" s="1052">
        <f t="shared" si="110"/>
        <v>535.5238720000001</v>
      </c>
      <c r="N183" s="1052">
        <f t="shared" si="110"/>
        <v>558.55139849600005</v>
      </c>
      <c r="O183" s="1052">
        <f t="shared" si="110"/>
        <v>579.05023482080321</v>
      </c>
      <c r="P183" s="1052">
        <f t="shared" si="110"/>
        <v>597.01816360729276</v>
      </c>
      <c r="Q183" s="1052">
        <f t="shared" si="110"/>
        <v>612.49705353513912</v>
      </c>
      <c r="R183" s="1052">
        <f t="shared" si="110"/>
        <v>625.56424942437377</v>
      </c>
      <c r="T183" s="1072"/>
      <c r="U183" s="1072"/>
      <c r="V183" s="1072"/>
    </row>
    <row r="184" spans="1:22">
      <c r="B184" s="418" t="s">
        <v>80</v>
      </c>
      <c r="G184" s="1073">
        <f>G183/F183-1</f>
        <v>0.48255813953488369</v>
      </c>
      <c r="H184" s="411">
        <f>H183/G183-1</f>
        <v>0.37254901960784315</v>
      </c>
      <c r="I184" s="411">
        <f>I183/H183-1</f>
        <v>0.20857142857142863</v>
      </c>
      <c r="J184" s="411">
        <f>J183/I183-1</f>
        <v>7.328605200945626E-2</v>
      </c>
      <c r="K184" s="1030">
        <f t="shared" ref="K184:R184" si="111">K$99+K185</f>
        <v>7.0000000000000007E-2</v>
      </c>
      <c r="L184" s="1030">
        <f t="shared" si="111"/>
        <v>0.06</v>
      </c>
      <c r="M184" s="1030">
        <f t="shared" si="111"/>
        <v>4.0000000000000008E-2</v>
      </c>
      <c r="N184" s="1030">
        <f t="shared" si="111"/>
        <v>4.300000000000001E-2</v>
      </c>
      <c r="O184" s="1030">
        <f t="shared" si="111"/>
        <v>3.670000000000001E-2</v>
      </c>
      <c r="P184" s="1030">
        <f t="shared" si="111"/>
        <v>3.1030000000000012E-2</v>
      </c>
      <c r="Q184" s="1030">
        <f t="shared" si="111"/>
        <v>2.5927000000000009E-2</v>
      </c>
      <c r="R184" s="1030">
        <f t="shared" si="111"/>
        <v>2.1334300000000011E-2</v>
      </c>
      <c r="T184" s="1074"/>
      <c r="V184" s="1074"/>
    </row>
    <row r="185" spans="1:22">
      <c r="B185" s="1086" t="s">
        <v>438</v>
      </c>
      <c r="H185" s="141"/>
      <c r="I185" s="375"/>
      <c r="J185" s="375"/>
      <c r="K185" s="1096">
        <v>-0.04</v>
      </c>
      <c r="L185" s="1096">
        <v>-0.03</v>
      </c>
      <c r="M185" s="1096">
        <f>L185</f>
        <v>-0.03</v>
      </c>
      <c r="N185" s="1096">
        <v>-0.02</v>
      </c>
      <c r="O185" s="1096">
        <f>N185</f>
        <v>-0.02</v>
      </c>
      <c r="P185" s="1096">
        <f>O185</f>
        <v>-0.02</v>
      </c>
      <c r="Q185" s="1096">
        <f>P185</f>
        <v>-0.02</v>
      </c>
      <c r="R185" s="1096">
        <f>Q185</f>
        <v>-0.02</v>
      </c>
      <c r="T185" s="1074"/>
      <c r="V185" s="1074"/>
    </row>
    <row r="186" spans="1:22">
      <c r="B186" s="1045"/>
      <c r="H186" s="141"/>
      <c r="I186" s="141"/>
      <c r="J186" s="141"/>
      <c r="T186" s="1074"/>
      <c r="V186" s="1074"/>
    </row>
    <row r="187" spans="1:22">
      <c r="B187" s="1045" t="s">
        <v>733</v>
      </c>
      <c r="F187" s="1052">
        <f>Model!F$110</f>
        <v>6262.6104651162796</v>
      </c>
      <c r="G187" s="1052">
        <f>Model!G$110</f>
        <v>6580.3921568627447</v>
      </c>
      <c r="H187" s="350">
        <f>Model!H$110</f>
        <v>6982.8571428571431</v>
      </c>
      <c r="I187" s="350">
        <f>Model!I$110</f>
        <v>7309.6926713947996</v>
      </c>
      <c r="J187" s="350">
        <f>Model!J$110</f>
        <v>8297.3568281938315</v>
      </c>
      <c r="K187" s="1052">
        <f t="shared" ref="K187:R187" si="112">J187*(1+K188)</f>
        <v>9251.5528634361217</v>
      </c>
      <c r="L187" s="1052">
        <f t="shared" si="112"/>
        <v>10176.708149779735</v>
      </c>
      <c r="M187" s="1052">
        <f t="shared" si="112"/>
        <v>10990.844801762114</v>
      </c>
      <c r="N187" s="1052">
        <f t="shared" si="112"/>
        <v>11764.600275806168</v>
      </c>
      <c r="O187" s="1052">
        <f t="shared" si="112"/>
        <v>12488.923185587002</v>
      </c>
      <c r="P187" s="1052">
        <f t="shared" si="112"/>
        <v>13156.363212268125</v>
      </c>
      <c r="Q187" s="1052">
        <f t="shared" si="112"/>
        <v>13736.536516737142</v>
      </c>
      <c r="R187" s="1052">
        <f t="shared" si="112"/>
        <v>14226.772537570152</v>
      </c>
      <c r="T187" s="1072"/>
      <c r="U187" s="1072"/>
      <c r="V187" s="1072"/>
    </row>
    <row r="188" spans="1:22">
      <c r="B188" s="418" t="s">
        <v>80</v>
      </c>
      <c r="G188" s="1051">
        <f>G187/F187-1</f>
        <v>5.0742688455007512E-2</v>
      </c>
      <c r="H188" s="413">
        <f>H187/G187-1</f>
        <v>6.1161246381747025E-2</v>
      </c>
      <c r="I188" s="413">
        <f>I187/H187-1</f>
        <v>4.6805415297945796E-2</v>
      </c>
      <c r="J188" s="413">
        <f>J187/I187-1</f>
        <v>0.13511705637968641</v>
      </c>
      <c r="K188" s="1030">
        <f t="shared" ref="K188:R188" si="113">K$103+K189</f>
        <v>0.11499999999999999</v>
      </c>
      <c r="L188" s="1030">
        <f t="shared" si="113"/>
        <v>0.1</v>
      </c>
      <c r="M188" s="1030">
        <f t="shared" si="113"/>
        <v>7.9999999999999988E-2</v>
      </c>
      <c r="N188" s="1030">
        <f t="shared" si="113"/>
        <v>7.039999999999999E-2</v>
      </c>
      <c r="O188" s="1030">
        <f t="shared" si="113"/>
        <v>6.1568000000000005E-2</v>
      </c>
      <c r="P188" s="1030">
        <f t="shared" si="113"/>
        <v>5.3442560000000007E-2</v>
      </c>
      <c r="Q188" s="1030">
        <f t="shared" si="113"/>
        <v>4.4098304000000012E-2</v>
      </c>
      <c r="R188" s="1030">
        <f t="shared" si="113"/>
        <v>3.5688473600000013E-2</v>
      </c>
      <c r="T188" s="1074"/>
      <c r="U188" s="1074"/>
    </row>
    <row r="189" spans="1:22">
      <c r="B189" s="1086" t="s">
        <v>438</v>
      </c>
      <c r="H189" s="141"/>
      <c r="I189" s="375"/>
      <c r="J189" s="375"/>
      <c r="K189" s="1096">
        <v>-0.04</v>
      </c>
      <c r="L189" s="1096">
        <f>K189</f>
        <v>-0.04</v>
      </c>
      <c r="M189" s="1096">
        <f t="shared" ref="M189:R189" si="114">L189</f>
        <v>-0.04</v>
      </c>
      <c r="N189" s="1096">
        <f t="shared" si="114"/>
        <v>-0.04</v>
      </c>
      <c r="O189" s="1096">
        <f t="shared" si="114"/>
        <v>-0.04</v>
      </c>
      <c r="P189" s="1096">
        <f t="shared" si="114"/>
        <v>-0.04</v>
      </c>
      <c r="Q189" s="1096">
        <f t="shared" si="114"/>
        <v>-0.04</v>
      </c>
      <c r="R189" s="1096">
        <f t="shared" si="114"/>
        <v>-0.04</v>
      </c>
      <c r="T189" s="1074"/>
      <c r="U189" s="1074"/>
    </row>
    <row r="190" spans="1:22">
      <c r="B190" s="1036"/>
      <c r="H190" s="141"/>
      <c r="I190" s="141"/>
      <c r="J190" s="141"/>
      <c r="T190" s="1074"/>
      <c r="U190" s="1074"/>
    </row>
    <row r="191" spans="1:22">
      <c r="B191" s="495" t="s">
        <v>422</v>
      </c>
      <c r="H191" s="141"/>
      <c r="I191" s="141"/>
      <c r="J191" s="141"/>
      <c r="T191" s="1074"/>
      <c r="U191" s="1074"/>
    </row>
    <row r="192" spans="1:22">
      <c r="B192" s="418" t="s">
        <v>423</v>
      </c>
      <c r="F192" s="1073">
        <f>Model!F$141</f>
        <v>0.92623704729712786</v>
      </c>
      <c r="G192" s="1073">
        <f>Model!G$141</f>
        <v>0.81003819070321803</v>
      </c>
      <c r="H192" s="411">
        <f>Model!H$141</f>
        <v>0.59313788870703765</v>
      </c>
      <c r="I192" s="411">
        <f>Model!I$141</f>
        <v>0.35219146183699879</v>
      </c>
      <c r="J192" s="411">
        <f>Model!J$141</f>
        <v>0.20865410140695517</v>
      </c>
      <c r="K192" s="525">
        <f t="shared" ref="K192:R192" si="115">1-K193</f>
        <v>0.16000000000000003</v>
      </c>
      <c r="L192" s="525">
        <f t="shared" si="115"/>
        <v>0.13</v>
      </c>
      <c r="M192" s="525">
        <f t="shared" si="115"/>
        <v>0.10999999999999999</v>
      </c>
      <c r="N192" s="525">
        <f t="shared" si="115"/>
        <v>8.9999999999999969E-2</v>
      </c>
      <c r="O192" s="525">
        <f t="shared" si="115"/>
        <v>6.9999999999999951E-2</v>
      </c>
      <c r="P192" s="525">
        <f t="shared" si="115"/>
        <v>4.9999999999999933E-2</v>
      </c>
      <c r="Q192" s="525">
        <f t="shared" si="115"/>
        <v>4.9999999999999933E-2</v>
      </c>
      <c r="R192" s="525">
        <f t="shared" si="115"/>
        <v>4.9999999999999933E-2</v>
      </c>
      <c r="T192" s="1074"/>
      <c r="U192" s="1074"/>
    </row>
    <row r="193" spans="1:21">
      <c r="B193" s="418" t="s">
        <v>90</v>
      </c>
      <c r="F193" s="1073">
        <f>1-F192</f>
        <v>7.3762952702872142E-2</v>
      </c>
      <c r="G193" s="1073">
        <f>1-G192</f>
        <v>0.18996180929678197</v>
      </c>
      <c r="H193" s="411">
        <f>1-H192</f>
        <v>0.40686211129296235</v>
      </c>
      <c r="I193" s="411">
        <f>1-I192</f>
        <v>0.64780853816300121</v>
      </c>
      <c r="J193" s="411">
        <f>1-J192</f>
        <v>0.79134589859304483</v>
      </c>
      <c r="K193" s="411">
        <f>K107</f>
        <v>0.84</v>
      </c>
      <c r="L193" s="411">
        <f t="shared" ref="L193:R193" si="116">L107</f>
        <v>0.87</v>
      </c>
      <c r="M193" s="411">
        <f t="shared" si="116"/>
        <v>0.89</v>
      </c>
      <c r="N193" s="411">
        <f t="shared" si="116"/>
        <v>0.91</v>
      </c>
      <c r="O193" s="411">
        <f t="shared" si="116"/>
        <v>0.93</v>
      </c>
      <c r="P193" s="411">
        <f t="shared" si="116"/>
        <v>0.95000000000000007</v>
      </c>
      <c r="Q193" s="411">
        <f t="shared" si="116"/>
        <v>0.95000000000000007</v>
      </c>
      <c r="R193" s="411">
        <f t="shared" si="116"/>
        <v>0.95000000000000007</v>
      </c>
      <c r="T193" s="1074"/>
      <c r="U193" s="1074"/>
    </row>
    <row r="194" spans="1:21">
      <c r="B194" s="1088"/>
      <c r="H194" s="141"/>
      <c r="I194" s="141"/>
      <c r="J194" s="141"/>
      <c r="T194" s="1074"/>
      <c r="U194" s="1074"/>
    </row>
    <row r="195" spans="1:21">
      <c r="B195" s="399" t="s">
        <v>376</v>
      </c>
      <c r="F195" s="1052">
        <f t="shared" ref="F195:R195" si="117">F192*F180</f>
        <v>997.71383400000002</v>
      </c>
      <c r="G195" s="1052">
        <f t="shared" si="117"/>
        <v>1359.2440839999999</v>
      </c>
      <c r="H195" s="350">
        <f>H192*H180</f>
        <v>1449.6290000000001</v>
      </c>
      <c r="I195" s="350">
        <f>I192*I180</f>
        <v>1088.9760000000003</v>
      </c>
      <c r="J195" s="350">
        <f>J192*J180</f>
        <v>786.00000000000011</v>
      </c>
      <c r="K195" s="1052">
        <f t="shared" si="117"/>
        <v>719.07509600000003</v>
      </c>
      <c r="L195" s="1052">
        <f t="shared" si="117"/>
        <v>681.23376907300008</v>
      </c>
      <c r="M195" s="1052">
        <f t="shared" si="117"/>
        <v>647.44457412697921</v>
      </c>
      <c r="N195" s="1052">
        <f t="shared" si="117"/>
        <v>591.40205431181641</v>
      </c>
      <c r="O195" s="1052">
        <f t="shared" si="117"/>
        <v>506.21997322911858</v>
      </c>
      <c r="P195" s="1052">
        <f t="shared" si="117"/>
        <v>392.72939023694244</v>
      </c>
      <c r="Q195" s="1052">
        <f t="shared" si="117"/>
        <v>420.67940711396659</v>
      </c>
      <c r="R195" s="1052">
        <f t="shared" si="117"/>
        <v>444.98801420981766</v>
      </c>
      <c r="T195" s="1055"/>
      <c r="U195" s="1055"/>
    </row>
    <row r="196" spans="1:21">
      <c r="B196" s="418" t="s">
        <v>80</v>
      </c>
      <c r="G196" s="1073">
        <f t="shared" ref="G196:O196" si="118">G195/F195-1</f>
        <v>0.36235866205299083</v>
      </c>
      <c r="H196" s="411">
        <f t="shared" si="118"/>
        <v>6.6496457158757183E-2</v>
      </c>
      <c r="I196" s="411">
        <f t="shared" si="118"/>
        <v>-0.24878986278558157</v>
      </c>
      <c r="J196" s="411">
        <f t="shared" si="118"/>
        <v>-0.2782210076255125</v>
      </c>
      <c r="K196" s="1073">
        <f t="shared" si="118"/>
        <v>-8.5146188295165515E-2</v>
      </c>
      <c r="L196" s="1073">
        <f t="shared" si="118"/>
        <v>-5.2624999999999922E-2</v>
      </c>
      <c r="M196" s="1073">
        <f t="shared" si="118"/>
        <v>-4.9600000000000088E-2</v>
      </c>
      <c r="N196" s="1073">
        <f t="shared" si="118"/>
        <v>-8.6559563636363968E-2</v>
      </c>
      <c r="O196" s="1073">
        <f t="shared" si="118"/>
        <v>-0.14403413120000019</v>
      </c>
      <c r="P196" s="1073">
        <f>P195/O195-1</f>
        <v>-0.22419222668800054</v>
      </c>
      <c r="Q196" s="1073">
        <f>Q195/P195-1</f>
        <v>7.1168640727808263E-2</v>
      </c>
      <c r="R196" s="1073">
        <f>R195/Q195-1</f>
        <v>5.7784162202324296E-2</v>
      </c>
      <c r="T196" s="1055"/>
      <c r="U196" s="1055"/>
    </row>
    <row r="197" spans="1:21">
      <c r="B197" s="418"/>
      <c r="H197" s="141"/>
      <c r="I197" s="141"/>
      <c r="J197" s="141"/>
      <c r="T197" s="1055"/>
      <c r="U197" s="1055"/>
    </row>
    <row r="198" spans="1:21">
      <c r="B198" s="399" t="s">
        <v>366</v>
      </c>
      <c r="F198" s="1052">
        <f t="shared" ref="F198:R198" si="119">F193*F180</f>
        <v>79.455166000000091</v>
      </c>
      <c r="G198" s="1052">
        <f t="shared" si="119"/>
        <v>318.75591600000013</v>
      </c>
      <c r="H198" s="350">
        <f>H193*H180</f>
        <v>994.37099999999998</v>
      </c>
      <c r="I198" s="350">
        <f t="shared" si="119"/>
        <v>2003.0239999999997</v>
      </c>
      <c r="J198" s="350">
        <f>J193*J180</f>
        <v>2981</v>
      </c>
      <c r="K198" s="1052">
        <f t="shared" si="119"/>
        <v>3775.1442539999994</v>
      </c>
      <c r="L198" s="1052">
        <f t="shared" si="119"/>
        <v>4559.0259930270004</v>
      </c>
      <c r="M198" s="1052">
        <f t="shared" si="119"/>
        <v>5238.4151906637417</v>
      </c>
      <c r="N198" s="1052">
        <f t="shared" si="119"/>
        <v>5979.7318824861459</v>
      </c>
      <c r="O198" s="1052">
        <f t="shared" si="119"/>
        <v>6725.4939300440092</v>
      </c>
      <c r="P198" s="1052">
        <f t="shared" si="119"/>
        <v>7461.8584145019167</v>
      </c>
      <c r="Q198" s="1052">
        <f t="shared" si="119"/>
        <v>7992.9087351653761</v>
      </c>
      <c r="R198" s="1052">
        <f t="shared" si="119"/>
        <v>8454.7722699865481</v>
      </c>
      <c r="T198" s="1055"/>
      <c r="U198" s="1055"/>
    </row>
    <row r="199" spans="1:21">
      <c r="B199" s="418" t="s">
        <v>80</v>
      </c>
      <c r="G199" s="1073">
        <f t="shared" ref="G199:O199" si="120">G198/F198-1</f>
        <v>3.0117708142476189</v>
      </c>
      <c r="H199" s="411">
        <f t="shared" si="120"/>
        <v>2.1195373955035852</v>
      </c>
      <c r="I199" s="411">
        <f t="shared" si="120"/>
        <v>1.0143628484740601</v>
      </c>
      <c r="J199" s="411">
        <f t="shared" si="120"/>
        <v>0.48824976635327411</v>
      </c>
      <c r="K199" s="1073">
        <f t="shared" si="120"/>
        <v>0.26640196377054659</v>
      </c>
      <c r="L199" s="1073">
        <f t="shared" si="120"/>
        <v>0.20764285714285746</v>
      </c>
      <c r="M199" s="1073">
        <f t="shared" si="120"/>
        <v>0.14902068965517246</v>
      </c>
      <c r="N199" s="1073">
        <f t="shared" si="120"/>
        <v>0.14151545168539315</v>
      </c>
      <c r="O199" s="1073">
        <f t="shared" si="120"/>
        <v>0.12471496418461547</v>
      </c>
      <c r="P199" s="1073">
        <f>P198/O198-1</f>
        <v>0.1094885360268385</v>
      </c>
      <c r="Q199" s="1073">
        <f>Q198/P198-1</f>
        <v>7.1168640727808263E-2</v>
      </c>
      <c r="R199" s="1073">
        <f>R198/Q198-1</f>
        <v>5.7784162202324518E-2</v>
      </c>
      <c r="T199" s="1055"/>
      <c r="U199" s="1055"/>
    </row>
    <row r="200" spans="1:21">
      <c r="B200" s="1036"/>
      <c r="H200" s="141"/>
      <c r="I200" s="141"/>
      <c r="J200" s="141"/>
      <c r="T200" s="1055"/>
      <c r="U200" s="1055"/>
    </row>
    <row r="201" spans="1:21" s="1037" customFormat="1">
      <c r="A201" s="13"/>
      <c r="B201" s="544" t="s">
        <v>421</v>
      </c>
      <c r="E201" s="1060">
        <f t="shared" ref="E201:J201" si="121">E$73</f>
        <v>2.0244343891402714E-2</v>
      </c>
      <c r="F201" s="1060">
        <f t="shared" si="121"/>
        <v>2.503785385580164E-2</v>
      </c>
      <c r="G201" s="1061">
        <f t="shared" si="121"/>
        <v>2.5525625744934444E-2</v>
      </c>
      <c r="H201" s="506">
        <f t="shared" si="121"/>
        <v>2.4440261865793778E-2</v>
      </c>
      <c r="I201" s="506">
        <f t="shared" si="121"/>
        <v>2.5883893919793014E-2</v>
      </c>
      <c r="J201" s="506">
        <f t="shared" si="121"/>
        <v>3.0291744093443058E-2</v>
      </c>
      <c r="K201" s="1060">
        <f t="shared" ref="K201:R201" si="122">K167/K180/1000</f>
        <v>3.4179859904746299E-2</v>
      </c>
      <c r="L201" s="1060">
        <f t="shared" si="122"/>
        <v>3.8786121425810609E-2</v>
      </c>
      <c r="M201" s="1060">
        <f t="shared" si="122"/>
        <v>4.2646625454925854E-2</v>
      </c>
      <c r="N201" s="1060">
        <f t="shared" si="122"/>
        <v>4.3759461602389527E-2</v>
      </c>
      <c r="O201" s="1060">
        <f t="shared" si="122"/>
        <v>4.4894102174642382E-2</v>
      </c>
      <c r="P201" s="1060">
        <f t="shared" si="122"/>
        <v>4.7668701733809292E-2</v>
      </c>
      <c r="Q201" s="1060">
        <f t="shared" si="122"/>
        <v>4.7772749084616192E-2</v>
      </c>
      <c r="R201" s="1060">
        <f t="shared" si="122"/>
        <v>4.7873942879618742E-2</v>
      </c>
      <c r="T201" s="1040"/>
      <c r="U201" s="1040"/>
    </row>
    <row r="202" spans="1:21" s="1037" customFormat="1">
      <c r="A202" s="13"/>
      <c r="B202" s="544"/>
      <c r="E202" s="1060"/>
      <c r="F202" s="1060"/>
      <c r="G202" s="376"/>
      <c r="H202" s="141"/>
      <c r="I202" s="1091"/>
      <c r="J202" s="1091"/>
      <c r="K202" s="1060"/>
      <c r="L202" s="1060"/>
      <c r="M202" s="1060"/>
      <c r="N202" s="1060"/>
      <c r="O202" s="1060"/>
      <c r="P202" s="1060"/>
      <c r="Q202" s="1060"/>
      <c r="R202" s="1060"/>
      <c r="T202" s="1040"/>
      <c r="U202" s="1040"/>
    </row>
    <row r="203" spans="1:21">
      <c r="B203" s="1045" t="s">
        <v>434</v>
      </c>
      <c r="F203" s="1064">
        <f>Model!F$205</f>
        <v>2.6641907823842001E-2</v>
      </c>
      <c r="G203" s="1064">
        <f>Model!G$205</f>
        <v>2.93744151399963E-2</v>
      </c>
      <c r="H203" s="499">
        <f>Model!H$205</f>
        <v>2.8903991444440606E-2</v>
      </c>
      <c r="I203" s="499">
        <f>Model!I$205</f>
        <v>2.7269655162280887E-2</v>
      </c>
      <c r="J203" s="499">
        <f>Model!J$205</f>
        <v>2.974300254452926E-2</v>
      </c>
      <c r="K203" s="475">
        <f t="shared" ref="K203:R203" si="123">K$116+K204</f>
        <v>3.4999999999999996E-2</v>
      </c>
      <c r="L203" s="475">
        <f t="shared" si="123"/>
        <v>3.5999999999999997E-2</v>
      </c>
      <c r="M203" s="475">
        <f t="shared" si="123"/>
        <v>3.6999999999999998E-2</v>
      </c>
      <c r="N203" s="475">
        <f t="shared" si="123"/>
        <v>3.6999999999999998E-2</v>
      </c>
      <c r="O203" s="475">
        <f t="shared" si="123"/>
        <v>3.6999999999999998E-2</v>
      </c>
      <c r="P203" s="475">
        <f t="shared" si="123"/>
        <v>3.6999999999999998E-2</v>
      </c>
      <c r="Q203" s="475">
        <f t="shared" si="123"/>
        <v>3.6999999999999998E-2</v>
      </c>
      <c r="R203" s="473">
        <f t="shared" si="123"/>
        <v>3.6999999999999998E-2</v>
      </c>
      <c r="T203" s="1055"/>
      <c r="U203" s="1055"/>
    </row>
    <row r="204" spans="1:21">
      <c r="B204" s="1045"/>
      <c r="F204" s="1064"/>
      <c r="H204" s="141"/>
      <c r="I204" s="473"/>
      <c r="J204" s="473"/>
      <c r="K204" s="1092">
        <v>-3.0000000000000001E-3</v>
      </c>
      <c r="L204" s="1092">
        <f>K204</f>
        <v>-3.0000000000000001E-3</v>
      </c>
      <c r="M204" s="1092">
        <f t="shared" ref="M204:R204" si="124">L204</f>
        <v>-3.0000000000000001E-3</v>
      </c>
      <c r="N204" s="1092">
        <f t="shared" si="124"/>
        <v>-3.0000000000000001E-3</v>
      </c>
      <c r="O204" s="1092">
        <f t="shared" si="124"/>
        <v>-3.0000000000000001E-3</v>
      </c>
      <c r="P204" s="1092">
        <f t="shared" si="124"/>
        <v>-3.0000000000000001E-3</v>
      </c>
      <c r="Q204" s="1092">
        <f t="shared" si="124"/>
        <v>-3.0000000000000001E-3</v>
      </c>
      <c r="R204" s="1092">
        <f t="shared" si="124"/>
        <v>-3.0000000000000001E-3</v>
      </c>
      <c r="T204" s="1055"/>
      <c r="U204" s="1055"/>
    </row>
    <row r="205" spans="1:21">
      <c r="B205" s="1045"/>
      <c r="F205" s="1064"/>
      <c r="H205" s="141"/>
      <c r="I205" s="473"/>
      <c r="J205" s="473"/>
      <c r="K205" s="475"/>
      <c r="L205" s="475"/>
      <c r="M205" s="475"/>
      <c r="N205" s="475"/>
      <c r="O205" s="475"/>
      <c r="P205" s="475"/>
      <c r="Q205" s="475"/>
      <c r="R205" s="475"/>
      <c r="T205" s="1055"/>
      <c r="U205" s="1055"/>
    </row>
    <row r="206" spans="1:21">
      <c r="B206" s="1045" t="s">
        <v>370</v>
      </c>
      <c r="F206" s="1064">
        <f>Model!F$206</f>
        <v>4.8958427699968554E-3</v>
      </c>
      <c r="G206" s="1064">
        <f>Model!G$206</f>
        <v>9.1253797524428019E-3</v>
      </c>
      <c r="H206" s="499">
        <f>Model!H$206</f>
        <v>1.7940989831762993E-2</v>
      </c>
      <c r="I206" s="499">
        <f>Model!I$206</f>
        <v>2.5130502679947923E-2</v>
      </c>
      <c r="J206" s="499">
        <f>Model!J$206</f>
        <v>3.043643072794364E-2</v>
      </c>
      <c r="K206" s="475">
        <f t="shared" ref="K206:R206" si="125">K$117+K207</f>
        <v>3.2299999999999995E-2</v>
      </c>
      <c r="L206" s="475">
        <f t="shared" si="125"/>
        <v>3.6000000000000004E-2</v>
      </c>
      <c r="M206" s="475">
        <f t="shared" si="125"/>
        <v>3.9999999999999994E-2</v>
      </c>
      <c r="N206" s="475">
        <f t="shared" si="125"/>
        <v>4.0999999999999995E-2</v>
      </c>
      <c r="O206" s="475">
        <f t="shared" si="125"/>
        <v>4.1999999999999996E-2</v>
      </c>
      <c r="P206" s="475">
        <f t="shared" si="125"/>
        <v>4.4700000000000004E-2</v>
      </c>
      <c r="Q206" s="475">
        <f t="shared" si="125"/>
        <v>4.4700000000000004E-2</v>
      </c>
      <c r="R206" s="473">
        <f t="shared" si="125"/>
        <v>4.4700000000000004E-2</v>
      </c>
      <c r="T206" s="1055"/>
      <c r="U206" s="1055"/>
    </row>
    <row r="207" spans="1:21">
      <c r="H207" s="141"/>
      <c r="I207" s="473"/>
      <c r="J207" s="473"/>
      <c r="K207" s="1092">
        <v>-4.0000000000000001E-3</v>
      </c>
      <c r="L207" s="1092">
        <f>K207</f>
        <v>-4.0000000000000001E-3</v>
      </c>
      <c r="M207" s="1092">
        <f t="shared" ref="M207:R207" si="126">L207</f>
        <v>-4.0000000000000001E-3</v>
      </c>
      <c r="N207" s="1092">
        <f t="shared" si="126"/>
        <v>-4.0000000000000001E-3</v>
      </c>
      <c r="O207" s="1092">
        <f t="shared" si="126"/>
        <v>-4.0000000000000001E-3</v>
      </c>
      <c r="P207" s="1092">
        <f t="shared" si="126"/>
        <v>-4.0000000000000001E-3</v>
      </c>
      <c r="Q207" s="1092">
        <f t="shared" si="126"/>
        <v>-4.0000000000000001E-3</v>
      </c>
      <c r="R207" s="1092">
        <f t="shared" si="126"/>
        <v>-4.0000000000000001E-3</v>
      </c>
      <c r="T207" s="1055"/>
      <c r="U207" s="1055"/>
    </row>
    <row r="208" spans="1:21">
      <c r="H208" s="141"/>
      <c r="I208" s="141"/>
      <c r="J208" s="141"/>
      <c r="K208" s="141"/>
      <c r="L208" s="141"/>
      <c r="M208" s="141"/>
      <c r="N208" s="141"/>
      <c r="O208" s="141"/>
      <c r="P208" s="141"/>
      <c r="Q208" s="141"/>
      <c r="R208" s="141"/>
      <c r="T208" s="1055"/>
      <c r="U208" s="1055"/>
    </row>
    <row r="209" spans="1:22">
      <c r="B209" s="1037"/>
      <c r="H209" s="141"/>
      <c r="I209" s="450"/>
      <c r="J209" s="658"/>
      <c r="K209" s="658"/>
      <c r="L209" s="450"/>
      <c r="M209" s="450"/>
      <c r="N209" s="450"/>
      <c r="O209" s="450"/>
      <c r="P209" s="450"/>
      <c r="Q209" s="450"/>
      <c r="R209" s="450"/>
      <c r="T209" s="1055"/>
      <c r="U209" s="1055"/>
    </row>
    <row r="210" spans="1:22">
      <c r="S210" s="5"/>
      <c r="T210" s="1040"/>
      <c r="U210" s="1040"/>
      <c r="V210" s="5"/>
    </row>
    <row r="211" spans="1:22" s="1102" customFormat="1">
      <c r="A211" s="141"/>
      <c r="B211" s="1101" t="s">
        <v>100</v>
      </c>
      <c r="T211" s="1103"/>
      <c r="U211" s="1103"/>
    </row>
    <row r="212" spans="1:22">
      <c r="T212" s="1055"/>
      <c r="U212" s="1055"/>
    </row>
    <row r="213" spans="1:22" s="1037" customFormat="1">
      <c r="A213" s="13"/>
      <c r="B213" s="1037" t="s">
        <v>435</v>
      </c>
      <c r="C213" s="1047">
        <f t="shared" ref="C213:H213" si="127">C$57</f>
        <v>2335</v>
      </c>
      <c r="D213" s="1047">
        <f t="shared" si="127"/>
        <v>5952</v>
      </c>
      <c r="E213" s="1047">
        <f t="shared" si="127"/>
        <v>13422</v>
      </c>
      <c r="F213" s="1047">
        <f t="shared" si="127"/>
        <v>26970</v>
      </c>
      <c r="G213" s="1048">
        <f t="shared" si="127"/>
        <v>42832</v>
      </c>
      <c r="H213" s="1048">
        <f t="shared" si="127"/>
        <v>59732</v>
      </c>
      <c r="I213" s="1047">
        <f t="shared" ref="I213:O213" si="128">I216+I220</f>
        <v>80033</v>
      </c>
      <c r="J213" s="1047">
        <f>J216+J220</f>
        <v>114108.99999999994</v>
      </c>
      <c r="K213" s="1047">
        <f t="shared" si="128"/>
        <v>168185.61665919996</v>
      </c>
      <c r="L213" s="1047">
        <f t="shared" si="128"/>
        <v>227833.57547536318</v>
      </c>
      <c r="M213" s="1047">
        <f t="shared" si="128"/>
        <v>298305.43186285062</v>
      </c>
      <c r="N213" s="1047">
        <f t="shared" si="128"/>
        <v>360108.78513500601</v>
      </c>
      <c r="O213" s="1047">
        <f t="shared" si="128"/>
        <v>428867.70887566061</v>
      </c>
      <c r="P213" s="1047">
        <f>P216+P220</f>
        <v>521906.16116735438</v>
      </c>
      <c r="Q213" s="1047">
        <f>Q216+Q220</f>
        <v>591782.9698167945</v>
      </c>
      <c r="R213" s="1047">
        <f>R216+R220</f>
        <v>662886.4651325458</v>
      </c>
      <c r="T213" s="1040"/>
      <c r="U213" s="1040"/>
    </row>
    <row r="214" spans="1:22">
      <c r="B214" s="448" t="s">
        <v>80</v>
      </c>
      <c r="D214" s="1073">
        <f t="shared" ref="D214:R214" si="129">D213/C213-1</f>
        <v>1.5490364025695933</v>
      </c>
      <c r="E214" s="1073">
        <f t="shared" si="129"/>
        <v>1.255040322580645</v>
      </c>
      <c r="F214" s="1073">
        <f t="shared" si="129"/>
        <v>1.009387572641931</v>
      </c>
      <c r="G214" s="1073">
        <f t="shared" si="129"/>
        <v>0.58813496477567662</v>
      </c>
      <c r="H214" s="1073">
        <f t="shared" si="129"/>
        <v>0.39456481135599542</v>
      </c>
      <c r="I214" s="1073">
        <f t="shared" si="129"/>
        <v>0.33986807741244229</v>
      </c>
      <c r="J214" s="1073">
        <f t="shared" si="129"/>
        <v>0.42577436807316915</v>
      </c>
      <c r="K214" s="1073">
        <f t="shared" si="129"/>
        <v>0.47390316854235914</v>
      </c>
      <c r="L214" s="1073">
        <f t="shared" si="129"/>
        <v>0.35465552881986229</v>
      </c>
      <c r="M214" s="1073">
        <f t="shared" si="129"/>
        <v>0.30931286681715586</v>
      </c>
      <c r="N214" s="1073">
        <f t="shared" si="129"/>
        <v>0.20718145454545467</v>
      </c>
      <c r="O214" s="1073">
        <f t="shared" si="129"/>
        <v>0.19093931217167226</v>
      </c>
      <c r="P214" s="1073">
        <f t="shared" si="129"/>
        <v>0.21693974707400487</v>
      </c>
      <c r="Q214" s="1073">
        <f t="shared" si="129"/>
        <v>0.13388768680780805</v>
      </c>
      <c r="R214" s="1073">
        <f t="shared" si="129"/>
        <v>0.12015130367432447</v>
      </c>
      <c r="T214" s="1055"/>
      <c r="U214" s="1055"/>
    </row>
    <row r="215" spans="1:22">
      <c r="T215" s="1055"/>
      <c r="U215" s="1055"/>
    </row>
    <row r="216" spans="1:22">
      <c r="B216" s="1036" t="s">
        <v>377</v>
      </c>
      <c r="F216" s="1052">
        <f>Model!F$200</f>
        <v>26581</v>
      </c>
      <c r="G216" s="1052">
        <f>Model!G$200</f>
        <v>39927</v>
      </c>
      <c r="H216" s="1052">
        <f>Model!H$200</f>
        <v>41892</v>
      </c>
      <c r="I216" s="1052">
        <f t="shared" ref="I216:O216" si="130">I240*I248*1000</f>
        <v>29696</v>
      </c>
      <c r="J216" s="1052">
        <f>J240*J248*1000</f>
        <v>23377.999999999993</v>
      </c>
      <c r="K216" s="1052">
        <f t="shared" si="130"/>
        <v>27960.421888000001</v>
      </c>
      <c r="L216" s="1052">
        <f t="shared" si="130"/>
        <v>28972.064902435199</v>
      </c>
      <c r="M216" s="1052">
        <f t="shared" si="130"/>
        <v>30131.861804328346</v>
      </c>
      <c r="N216" s="1052">
        <f t="shared" si="130"/>
        <v>29099.699808889371</v>
      </c>
      <c r="O216" s="1052">
        <f t="shared" si="130"/>
        <v>26345.537184112523</v>
      </c>
      <c r="P216" s="1052">
        <f>P240*P248*1000</f>
        <v>21626.692682786852</v>
      </c>
      <c r="Q216" s="1052">
        <f>Q240*Q248*1000</f>
        <v>24522.240539388531</v>
      </c>
      <c r="R216" s="1052">
        <f>R240*R248*1000</f>
        <v>27468.619709211434</v>
      </c>
      <c r="T216" s="1055"/>
      <c r="U216" s="1055"/>
    </row>
    <row r="217" spans="1:22">
      <c r="B217" s="399" t="s">
        <v>80</v>
      </c>
      <c r="G217" s="1073">
        <f t="shared" ref="G217:R217" si="131">G216/F216-1</f>
        <v>0.50208795756367319</v>
      </c>
      <c r="H217" s="1073">
        <f t="shared" si="131"/>
        <v>4.9214817041099979E-2</v>
      </c>
      <c r="I217" s="1073">
        <f t="shared" si="131"/>
        <v>-0.29112957127852568</v>
      </c>
      <c r="J217" s="1073">
        <f t="shared" si="131"/>
        <v>-0.21275592672413812</v>
      </c>
      <c r="K217" s="1073">
        <f t="shared" si="131"/>
        <v>0.19601428214560745</v>
      </c>
      <c r="L217" s="1073">
        <f t="shared" si="131"/>
        <v>3.6181249999999832E-2</v>
      </c>
      <c r="M217" s="1073">
        <f t="shared" si="131"/>
        <v>4.0031558185404492E-2</v>
      </c>
      <c r="N217" s="1073">
        <f t="shared" si="131"/>
        <v>-3.4254836363636465E-2</v>
      </c>
      <c r="O217" s="1073">
        <f t="shared" si="131"/>
        <v>-9.4645740088889374E-2</v>
      </c>
      <c r="P217" s="1073">
        <f t="shared" si="131"/>
        <v>-0.17911361868800058</v>
      </c>
      <c r="Q217" s="1073">
        <f t="shared" si="131"/>
        <v>0.13388768680780805</v>
      </c>
      <c r="R217" s="1073">
        <f t="shared" si="131"/>
        <v>0.12015130367432447</v>
      </c>
      <c r="T217" s="1055"/>
      <c r="U217" s="1055"/>
    </row>
    <row r="218" spans="1:22">
      <c r="B218" s="1045" t="s">
        <v>344</v>
      </c>
      <c r="F218" s="1073">
        <f>F216/F213</f>
        <v>0.98557656655543191</v>
      </c>
      <c r="G218" s="1073">
        <f>G216/G213</f>
        <v>0.93217687710123276</v>
      </c>
      <c r="H218" s="1073">
        <f>H216/H213</f>
        <v>0.70133261903167476</v>
      </c>
      <c r="I218" s="1073">
        <f t="shared" ref="I218:O218" si="132">I216/I213</f>
        <v>0.37104694313595643</v>
      </c>
      <c r="J218" s="1073">
        <f>J216/J213</f>
        <v>0.20487428686606671</v>
      </c>
      <c r="K218" s="1073">
        <f t="shared" si="132"/>
        <v>0.16624740238433777</v>
      </c>
      <c r="L218" s="1073">
        <f t="shared" si="132"/>
        <v>0.12716328066215199</v>
      </c>
      <c r="M218" s="1073">
        <f t="shared" si="132"/>
        <v>0.10101010101010101</v>
      </c>
      <c r="N218" s="1073">
        <f t="shared" si="132"/>
        <v>8.0808080808080801E-2</v>
      </c>
      <c r="O218" s="1073">
        <f t="shared" si="132"/>
        <v>6.1430451952610751E-2</v>
      </c>
      <c r="P218" s="1073">
        <f>P216/P213</f>
        <v>4.1437894954936237E-2</v>
      </c>
      <c r="Q218" s="1073">
        <f>Q216/Q213</f>
        <v>4.1437894954936237E-2</v>
      </c>
      <c r="R218" s="1073">
        <f>R216/R213</f>
        <v>4.1437894954936237E-2</v>
      </c>
      <c r="T218" s="1055"/>
      <c r="U218" s="1055"/>
    </row>
    <row r="219" spans="1:22">
      <c r="B219" s="1036"/>
      <c r="T219" s="1055"/>
      <c r="U219" s="1055"/>
    </row>
    <row r="220" spans="1:22">
      <c r="B220" s="1036" t="s">
        <v>378</v>
      </c>
      <c r="F220" s="1052">
        <f>Model!F$201</f>
        <v>389</v>
      </c>
      <c r="G220" s="1052">
        <f>Model!G$201</f>
        <v>2905</v>
      </c>
      <c r="H220" s="1052">
        <f>Model!H$201</f>
        <v>17840</v>
      </c>
      <c r="I220" s="1052">
        <f t="shared" ref="I220:O220" si="133">I243*I251*1000</f>
        <v>50337</v>
      </c>
      <c r="J220" s="1052">
        <f>J243*J251*1000</f>
        <v>90730.999999999956</v>
      </c>
      <c r="K220" s="1052">
        <f t="shared" si="133"/>
        <v>140225.19477119995</v>
      </c>
      <c r="L220" s="1052">
        <f t="shared" si="133"/>
        <v>198861.51057292797</v>
      </c>
      <c r="M220" s="1052">
        <f t="shared" si="133"/>
        <v>268173.57005852228</v>
      </c>
      <c r="N220" s="1052">
        <f t="shared" si="133"/>
        <v>331009.08532611665</v>
      </c>
      <c r="O220" s="1052">
        <f t="shared" si="133"/>
        <v>402522.17169154808</v>
      </c>
      <c r="P220" s="1052">
        <f>P243*P251*1000</f>
        <v>500279.46848456754</v>
      </c>
      <c r="Q220" s="1052">
        <f>Q243*Q251*1000</f>
        <v>567260.729277406</v>
      </c>
      <c r="R220" s="1052">
        <f>R243*R251*1000</f>
        <v>635417.84542333439</v>
      </c>
      <c r="T220" s="1055"/>
      <c r="U220" s="1055"/>
    </row>
    <row r="221" spans="1:22">
      <c r="B221" s="399" t="s">
        <v>80</v>
      </c>
      <c r="G221" s="1073">
        <f t="shared" ref="G221:R221" si="134">G220/F220-1</f>
        <v>6.4678663239074554</v>
      </c>
      <c r="H221" s="1073">
        <f t="shared" si="134"/>
        <v>5.1411359724612735</v>
      </c>
      <c r="I221" s="1073">
        <f t="shared" si="134"/>
        <v>1.8215807174887892</v>
      </c>
      <c r="J221" s="1073">
        <f t="shared" si="134"/>
        <v>0.80247134314718704</v>
      </c>
      <c r="K221" s="1073">
        <f t="shared" si="134"/>
        <v>0.54550478635967892</v>
      </c>
      <c r="L221" s="1073">
        <f t="shared" si="134"/>
        <v>0.41815820543093296</v>
      </c>
      <c r="M221" s="1073">
        <f t="shared" si="134"/>
        <v>0.34854436781609222</v>
      </c>
      <c r="N221" s="1073">
        <f t="shared" si="134"/>
        <v>0.23430912768130763</v>
      </c>
      <c r="O221" s="1073">
        <f t="shared" si="134"/>
        <v>0.21604569039238108</v>
      </c>
      <c r="P221" s="1073">
        <f t="shared" si="134"/>
        <v>0.24286189350069054</v>
      </c>
      <c r="Q221" s="1073">
        <f t="shared" si="134"/>
        <v>0.13388768680780805</v>
      </c>
      <c r="R221" s="1073">
        <f t="shared" si="134"/>
        <v>0.12015130367432447</v>
      </c>
      <c r="T221" s="1055"/>
      <c r="U221" s="1055"/>
    </row>
    <row r="222" spans="1:22">
      <c r="B222" s="1045" t="s">
        <v>344</v>
      </c>
      <c r="F222" s="1073">
        <f>F220/F213</f>
        <v>1.4423433444568038E-2</v>
      </c>
      <c r="G222" s="1073">
        <f>G220/G213</f>
        <v>6.7823122898767282E-2</v>
      </c>
      <c r="H222" s="1073">
        <f>H220/H213</f>
        <v>0.29866738096832518</v>
      </c>
      <c r="I222" s="1073">
        <f t="shared" ref="I222:O222" si="135">I220/I213</f>
        <v>0.62895305686404357</v>
      </c>
      <c r="J222" s="1073">
        <f>J220/J213</f>
        <v>0.79512571313393332</v>
      </c>
      <c r="K222" s="1073">
        <f t="shared" si="135"/>
        <v>0.83375259761566212</v>
      </c>
      <c r="L222" s="1073">
        <f t="shared" si="135"/>
        <v>0.87283671933784801</v>
      </c>
      <c r="M222" s="1073">
        <f t="shared" si="135"/>
        <v>0.89898989898989901</v>
      </c>
      <c r="N222" s="1073">
        <f t="shared" si="135"/>
        <v>0.91919191919191923</v>
      </c>
      <c r="O222" s="1073">
        <f t="shared" si="135"/>
        <v>0.93856954804738923</v>
      </c>
      <c r="P222" s="1073">
        <f>P220/P213</f>
        <v>0.95856210504506378</v>
      </c>
      <c r="Q222" s="1073">
        <f>Q220/Q213</f>
        <v>0.95856210504506378</v>
      </c>
      <c r="R222" s="1073">
        <f>R220/R213</f>
        <v>0.95856210504506378</v>
      </c>
      <c r="T222" s="1055"/>
      <c r="U222" s="1055"/>
    </row>
    <row r="223" spans="1:22">
      <c r="B223" s="1036"/>
      <c r="T223" s="1055"/>
      <c r="U223" s="1055"/>
    </row>
    <row r="224" spans="1:22">
      <c r="K224" s="1027">
        <f>K225/K94-1</f>
        <v>-4.7775047775047819E-2</v>
      </c>
      <c r="L224" s="1027">
        <f t="shared" ref="L224:M224" si="136">L225/L94-1</f>
        <v>-4.7775047775047708E-2</v>
      </c>
      <c r="M224" s="1027">
        <f t="shared" si="136"/>
        <v>-4.7775047775047708E-2</v>
      </c>
      <c r="T224" s="1055"/>
      <c r="U224" s="1055"/>
    </row>
    <row r="225" spans="1:21" s="1037" customFormat="1">
      <c r="A225" s="13"/>
      <c r="B225" s="544" t="s">
        <v>432</v>
      </c>
      <c r="C225" s="1047">
        <f t="shared" ref="C225:H225" si="137">C$60</f>
        <v>259.44444444444446</v>
      </c>
      <c r="D225" s="1047">
        <f t="shared" si="137"/>
        <v>496</v>
      </c>
      <c r="E225" s="1047">
        <f t="shared" si="137"/>
        <v>663</v>
      </c>
      <c r="F225" s="1047">
        <f t="shared" si="137"/>
        <v>1077.1690000000001</v>
      </c>
      <c r="G225" s="1048">
        <f t="shared" si="137"/>
        <v>1678</v>
      </c>
      <c r="H225" s="1048">
        <f t="shared" si="137"/>
        <v>2444</v>
      </c>
      <c r="I225" s="1047">
        <f t="shared" ref="I225:O225" si="138">I228*I232/1000</f>
        <v>3092</v>
      </c>
      <c r="J225" s="1047">
        <f>J228*J232/1000</f>
        <v>3766.9999999999986</v>
      </c>
      <c r="K225" s="1047">
        <f t="shared" si="138"/>
        <v>4598.7535999999991</v>
      </c>
      <c r="L225" s="1047">
        <f t="shared" si="138"/>
        <v>5714.4112233599999</v>
      </c>
      <c r="M225" s="1047">
        <f t="shared" si="138"/>
        <v>6848.1504100746251</v>
      </c>
      <c r="N225" s="1047">
        <f t="shared" si="138"/>
        <v>8083.2499469137156</v>
      </c>
      <c r="O225" s="1047">
        <f t="shared" si="138"/>
        <v>9409.1204228973365</v>
      </c>
      <c r="P225" s="1047">
        <f>P228*P232/1000</f>
        <v>10813.346341393441</v>
      </c>
      <c r="Q225" s="1047">
        <f>Q228*Q232/1000</f>
        <v>12261.120269694282</v>
      </c>
      <c r="R225" s="1047">
        <f>R228*R232/1000</f>
        <v>13734.309854605735</v>
      </c>
      <c r="T225" s="1040"/>
      <c r="U225" s="1040"/>
    </row>
    <row r="226" spans="1:21">
      <c r="B226" s="399" t="s">
        <v>80</v>
      </c>
      <c r="D226" s="1073">
        <f t="shared" ref="D226:R226" si="139">D225/C225-1</f>
        <v>0.91177730192719486</v>
      </c>
      <c r="E226" s="1073">
        <f t="shared" si="139"/>
        <v>0.33669354838709675</v>
      </c>
      <c r="F226" s="1073">
        <f t="shared" si="139"/>
        <v>0.62468929110105598</v>
      </c>
      <c r="G226" s="1073">
        <f t="shared" si="139"/>
        <v>0.55778712532573804</v>
      </c>
      <c r="H226" s="1073">
        <f t="shared" si="139"/>
        <v>0.45649582836710367</v>
      </c>
      <c r="I226" s="1073">
        <f t="shared" si="139"/>
        <v>0.26513911620294595</v>
      </c>
      <c r="J226" s="1073">
        <f t="shared" si="139"/>
        <v>0.21830530401034887</v>
      </c>
      <c r="K226" s="1073">
        <f t="shared" si="139"/>
        <v>0.22080000000000011</v>
      </c>
      <c r="L226" s="1073">
        <f t="shared" si="139"/>
        <v>0.24260000000000015</v>
      </c>
      <c r="M226" s="1073">
        <f t="shared" si="139"/>
        <v>0.19840000000000013</v>
      </c>
      <c r="N226" s="1073">
        <f t="shared" si="139"/>
        <v>0.18035519999999994</v>
      </c>
      <c r="O226" s="1073">
        <f t="shared" si="139"/>
        <v>0.16402690559999988</v>
      </c>
      <c r="P226" s="1073">
        <f t="shared" si="139"/>
        <v>0.14924093383679993</v>
      </c>
      <c r="Q226" s="1073">
        <f t="shared" si="139"/>
        <v>0.13388768680780805</v>
      </c>
      <c r="R226" s="1073">
        <f t="shared" si="139"/>
        <v>0.12015130367432447</v>
      </c>
      <c r="T226" s="1055"/>
      <c r="U226" s="1055"/>
    </row>
    <row r="227" spans="1:21">
      <c r="B227" s="1036"/>
      <c r="I227" s="141"/>
      <c r="J227" s="141"/>
      <c r="T227" s="1055"/>
      <c r="U227" s="1055"/>
    </row>
    <row r="228" spans="1:21">
      <c r="B228" s="1045" t="s">
        <v>732</v>
      </c>
      <c r="F228" s="1052">
        <f>Model!F$106</f>
        <v>172</v>
      </c>
      <c r="G228" s="1052">
        <f>Model!G$106</f>
        <v>255</v>
      </c>
      <c r="H228" s="1052">
        <f>Model!H$106</f>
        <v>350</v>
      </c>
      <c r="I228" s="350">
        <f t="shared" ref="I228:O228" si="140">H228*(1+I229)</f>
        <v>423</v>
      </c>
      <c r="J228" s="350">
        <f t="shared" si="140"/>
        <v>454</v>
      </c>
      <c r="K228" s="1052">
        <f t="shared" si="140"/>
        <v>494.86</v>
      </c>
      <c r="L228" s="1052">
        <f t="shared" si="140"/>
        <v>539.39740000000006</v>
      </c>
      <c r="M228" s="1052">
        <f t="shared" si="140"/>
        <v>577.1552180000001</v>
      </c>
      <c r="N228" s="1052">
        <f t="shared" si="140"/>
        <v>613.51599673400005</v>
      </c>
      <c r="O228" s="1052">
        <f t="shared" si="140"/>
        <v>648.30235374881784</v>
      </c>
      <c r="P228" s="1052">
        <f>O228*(1+P229)</f>
        <v>681.38522286061993</v>
      </c>
      <c r="Q228" s="1052">
        <f>P228*(1+Q229)</f>
        <v>712.67920199093965</v>
      </c>
      <c r="R228" s="1052">
        <f>Q228*(1+R229)</f>
        <v>742.1372979297937</v>
      </c>
      <c r="T228" s="1055"/>
      <c r="U228" s="1055"/>
    </row>
    <row r="229" spans="1:21">
      <c r="B229" s="418" t="s">
        <v>80</v>
      </c>
      <c r="G229" s="1073">
        <f>G228/F228-1</f>
        <v>0.48255813953488369</v>
      </c>
      <c r="H229" s="1073">
        <f>H228/G228-1</f>
        <v>0.37254901960784315</v>
      </c>
      <c r="I229" s="375">
        <f t="shared" ref="I229:R229" si="141">I$99+I230</f>
        <v>0.20857142857142863</v>
      </c>
      <c r="J229" s="375">
        <f t="shared" si="141"/>
        <v>7.328605200945626E-2</v>
      </c>
      <c r="K229" s="1030">
        <f t="shared" si="141"/>
        <v>0.09</v>
      </c>
      <c r="L229" s="1030">
        <f t="shared" si="141"/>
        <v>0.09</v>
      </c>
      <c r="M229" s="1030">
        <f t="shared" si="141"/>
        <v>7.0000000000000007E-2</v>
      </c>
      <c r="N229" s="1030">
        <f t="shared" si="141"/>
        <v>6.3000000000000014E-2</v>
      </c>
      <c r="O229" s="1030">
        <f t="shared" si="141"/>
        <v>5.6700000000000014E-2</v>
      </c>
      <c r="P229" s="1030">
        <f t="shared" si="141"/>
        <v>5.1030000000000013E-2</v>
      </c>
      <c r="Q229" s="1030">
        <f t="shared" si="141"/>
        <v>4.5927000000000009E-2</v>
      </c>
      <c r="R229" s="1030">
        <f t="shared" si="141"/>
        <v>4.1334300000000011E-2</v>
      </c>
      <c r="T229" s="1055"/>
      <c r="U229" s="1055"/>
    </row>
    <row r="230" spans="1:21">
      <c r="B230" s="1086" t="s">
        <v>438</v>
      </c>
      <c r="I230" s="375"/>
      <c r="J230" s="375"/>
      <c r="K230" s="1096">
        <v>-0.02</v>
      </c>
      <c r="L230" s="1096">
        <v>0</v>
      </c>
      <c r="M230" s="1096">
        <f t="shared" ref="M230:R230" si="142">L230</f>
        <v>0</v>
      </c>
      <c r="N230" s="1096">
        <f t="shared" si="142"/>
        <v>0</v>
      </c>
      <c r="O230" s="1096">
        <f t="shared" si="142"/>
        <v>0</v>
      </c>
      <c r="P230" s="1096">
        <f t="shared" si="142"/>
        <v>0</v>
      </c>
      <c r="Q230" s="1096">
        <f t="shared" si="142"/>
        <v>0</v>
      </c>
      <c r="R230" s="1096">
        <f t="shared" si="142"/>
        <v>0</v>
      </c>
      <c r="T230" s="1055"/>
      <c r="U230" s="1055"/>
    </row>
    <row r="231" spans="1:21">
      <c r="B231" s="1045"/>
      <c r="I231" s="141"/>
      <c r="J231" s="141"/>
      <c r="T231" s="1055"/>
      <c r="U231" s="1055"/>
    </row>
    <row r="232" spans="1:21">
      <c r="B232" s="1045" t="s">
        <v>733</v>
      </c>
      <c r="F232" s="1052">
        <f>Model!F$110</f>
        <v>6262.6104651162796</v>
      </c>
      <c r="G232" s="1052">
        <f>Model!G$110</f>
        <v>6580.3921568627447</v>
      </c>
      <c r="H232" s="1052">
        <f>Model!H$110</f>
        <v>6982.8571428571431</v>
      </c>
      <c r="I232" s="350">
        <f t="shared" ref="I232:O232" si="143">H232*(1+I233)</f>
        <v>7309.6926713947987</v>
      </c>
      <c r="J232" s="350">
        <f t="shared" si="143"/>
        <v>8297.3568281938296</v>
      </c>
      <c r="K232" s="1052">
        <f t="shared" si="143"/>
        <v>9293.0396475770904</v>
      </c>
      <c r="L232" s="1052">
        <f t="shared" si="143"/>
        <v>10594.065198237884</v>
      </c>
      <c r="M232" s="1052">
        <f t="shared" si="143"/>
        <v>11865.353022026431</v>
      </c>
      <c r="N232" s="1052">
        <f t="shared" si="143"/>
        <v>13175.287995658149</v>
      </c>
      <c r="O232" s="1052">
        <f t="shared" si="143"/>
        <v>14513.475646801158</v>
      </c>
      <c r="P232" s="1052">
        <f>O232*(1+P233)</f>
        <v>15869.651965735913</v>
      </c>
      <c r="Q232" s="1052">
        <f>P232*(1+Q233)</f>
        <v>17204.262781124569</v>
      </c>
      <c r="R232" s="1052">
        <f>Q232*(1+R233)</f>
        <v>18506.42717044118</v>
      </c>
      <c r="T232" s="1055"/>
      <c r="U232" s="1055"/>
    </row>
    <row r="233" spans="1:21">
      <c r="B233" s="418" t="s">
        <v>80</v>
      </c>
      <c r="G233" s="1073">
        <f>G232/F232-1</f>
        <v>5.0742688455007512E-2</v>
      </c>
      <c r="H233" s="1073">
        <f>H232/G232-1</f>
        <v>6.1161246381747025E-2</v>
      </c>
      <c r="I233" s="375">
        <f t="shared" ref="I233:R233" si="144">I$103+I234</f>
        <v>4.6805415297945796E-2</v>
      </c>
      <c r="J233" s="375">
        <f t="shared" si="144"/>
        <v>0.13511705637968641</v>
      </c>
      <c r="K233" s="1030">
        <f t="shared" si="144"/>
        <v>0.12</v>
      </c>
      <c r="L233" s="1030">
        <f t="shared" si="144"/>
        <v>0.14000000000000001</v>
      </c>
      <c r="M233" s="1030">
        <f t="shared" si="144"/>
        <v>0.12</v>
      </c>
      <c r="N233" s="1030">
        <f t="shared" si="144"/>
        <v>0.1104</v>
      </c>
      <c r="O233" s="1030">
        <f t="shared" si="144"/>
        <v>0.10156800000000001</v>
      </c>
      <c r="P233" s="1030">
        <f t="shared" si="144"/>
        <v>9.3442560000000008E-2</v>
      </c>
      <c r="Q233" s="1030">
        <f t="shared" si="144"/>
        <v>8.4098304000000013E-2</v>
      </c>
      <c r="R233" s="1030">
        <f t="shared" si="144"/>
        <v>7.5688473600000014E-2</v>
      </c>
      <c r="T233" s="1055"/>
      <c r="U233" s="1055"/>
    </row>
    <row r="234" spans="1:21">
      <c r="B234" s="1086" t="s">
        <v>438</v>
      </c>
      <c r="I234" s="375"/>
      <c r="J234" s="375"/>
      <c r="K234" s="1096">
        <v>-3.5000000000000003E-2</v>
      </c>
      <c r="L234" s="1096">
        <v>0</v>
      </c>
      <c r="M234" s="1096">
        <f t="shared" ref="M234:R234" si="145">L234</f>
        <v>0</v>
      </c>
      <c r="N234" s="1096">
        <f t="shared" si="145"/>
        <v>0</v>
      </c>
      <c r="O234" s="1096">
        <f t="shared" si="145"/>
        <v>0</v>
      </c>
      <c r="P234" s="1096">
        <f t="shared" si="145"/>
        <v>0</v>
      </c>
      <c r="Q234" s="1096">
        <f t="shared" si="145"/>
        <v>0</v>
      </c>
      <c r="R234" s="1096">
        <f t="shared" si="145"/>
        <v>0</v>
      </c>
      <c r="T234" s="1055"/>
      <c r="U234" s="1055"/>
    </row>
    <row r="235" spans="1:21">
      <c r="B235" s="1036"/>
      <c r="I235" s="141"/>
      <c r="J235" s="141"/>
      <c r="T235" s="1055"/>
      <c r="U235" s="1055"/>
    </row>
    <row r="236" spans="1:21">
      <c r="B236" s="495" t="s">
        <v>422</v>
      </c>
      <c r="I236" s="141"/>
      <c r="J236" s="141"/>
      <c r="T236" s="1055"/>
      <c r="U236" s="1055"/>
    </row>
    <row r="237" spans="1:21">
      <c r="B237" s="418" t="s">
        <v>423</v>
      </c>
      <c r="F237" s="1073">
        <f>Model!F$141</f>
        <v>0.92623704729712786</v>
      </c>
      <c r="G237" s="1073">
        <f>Model!G$141</f>
        <v>0.81003819070321803</v>
      </c>
      <c r="H237" s="1073">
        <f>Model!H$141</f>
        <v>0.59313788870703765</v>
      </c>
      <c r="I237" s="411">
        <f t="shared" ref="I237:R237" si="146">I106</f>
        <v>0.35219146183699879</v>
      </c>
      <c r="J237" s="411">
        <f>J106</f>
        <v>0.20865410140695517</v>
      </c>
      <c r="K237" s="1104">
        <f t="shared" si="146"/>
        <v>0.16000000000000003</v>
      </c>
      <c r="L237" s="1104">
        <f t="shared" si="146"/>
        <v>0.13</v>
      </c>
      <c r="M237" s="1104">
        <f t="shared" si="146"/>
        <v>0.10999999999999999</v>
      </c>
      <c r="N237" s="1104">
        <f t="shared" si="146"/>
        <v>8.9999999999999969E-2</v>
      </c>
      <c r="O237" s="1104">
        <f t="shared" si="146"/>
        <v>6.9999999999999951E-2</v>
      </c>
      <c r="P237" s="1104">
        <f t="shared" si="146"/>
        <v>4.9999999999999933E-2</v>
      </c>
      <c r="Q237" s="1104">
        <f t="shared" si="146"/>
        <v>4.9999999999999933E-2</v>
      </c>
      <c r="R237" s="1104">
        <f t="shared" si="146"/>
        <v>4.9999999999999933E-2</v>
      </c>
      <c r="T237" s="1055"/>
      <c r="U237" s="1055"/>
    </row>
    <row r="238" spans="1:21">
      <c r="B238" s="418" t="s">
        <v>90</v>
      </c>
      <c r="F238" s="1073">
        <f t="shared" ref="F238:R238" si="147">1-F237</f>
        <v>7.3762952702872142E-2</v>
      </c>
      <c r="G238" s="1073">
        <f t="shared" si="147"/>
        <v>0.18996180929678197</v>
      </c>
      <c r="H238" s="1073">
        <f>1-H237</f>
        <v>0.40686211129296235</v>
      </c>
      <c r="I238" s="411">
        <f t="shared" si="147"/>
        <v>0.64780853816300121</v>
      </c>
      <c r="J238" s="411">
        <f>1-J237</f>
        <v>0.79134589859304483</v>
      </c>
      <c r="K238" s="1073">
        <f t="shared" si="147"/>
        <v>0.84</v>
      </c>
      <c r="L238" s="1073">
        <f t="shared" si="147"/>
        <v>0.87</v>
      </c>
      <c r="M238" s="1073">
        <f t="shared" si="147"/>
        <v>0.89</v>
      </c>
      <c r="N238" s="1073">
        <f t="shared" si="147"/>
        <v>0.91</v>
      </c>
      <c r="O238" s="1073">
        <f t="shared" si="147"/>
        <v>0.93</v>
      </c>
      <c r="P238" s="1073">
        <f t="shared" si="147"/>
        <v>0.95000000000000007</v>
      </c>
      <c r="Q238" s="1073">
        <f t="shared" si="147"/>
        <v>0.95000000000000007</v>
      </c>
      <c r="R238" s="1073">
        <f t="shared" si="147"/>
        <v>0.95000000000000007</v>
      </c>
      <c r="T238" s="1055"/>
      <c r="U238" s="1055"/>
    </row>
    <row r="239" spans="1:21">
      <c r="B239" s="1088"/>
      <c r="I239" s="141"/>
      <c r="J239" s="141"/>
      <c r="T239" s="1055"/>
      <c r="U239" s="1055"/>
    </row>
    <row r="240" spans="1:21">
      <c r="B240" s="399" t="s">
        <v>376</v>
      </c>
      <c r="F240" s="1052">
        <f>F237*F225</f>
        <v>997.71383400000002</v>
      </c>
      <c r="G240" s="1052">
        <f t="shared" ref="G240:O240" si="148">G237*G225</f>
        <v>1359.2440839999999</v>
      </c>
      <c r="H240" s="1052">
        <f>H237*H225</f>
        <v>1449.6290000000001</v>
      </c>
      <c r="I240" s="350">
        <f t="shared" si="148"/>
        <v>1088.9760000000003</v>
      </c>
      <c r="J240" s="350">
        <f>J237*J225</f>
        <v>785.99999999999989</v>
      </c>
      <c r="K240" s="1052">
        <f t="shared" si="148"/>
        <v>735.80057599999998</v>
      </c>
      <c r="L240" s="1052">
        <f t="shared" si="148"/>
        <v>742.8734590368</v>
      </c>
      <c r="M240" s="1052">
        <f t="shared" si="148"/>
        <v>753.29654510820865</v>
      </c>
      <c r="N240" s="1052">
        <f t="shared" si="148"/>
        <v>727.4924952222342</v>
      </c>
      <c r="O240" s="1052">
        <f t="shared" si="148"/>
        <v>658.63842960281306</v>
      </c>
      <c r="P240" s="1052">
        <f>P237*P225</f>
        <v>540.6673170696713</v>
      </c>
      <c r="Q240" s="1052">
        <f>Q237*Q225</f>
        <v>613.05601348471328</v>
      </c>
      <c r="R240" s="1052">
        <f>R237*R225</f>
        <v>686.71549273028586</v>
      </c>
      <c r="T240" s="1055"/>
      <c r="U240" s="1055"/>
    </row>
    <row r="241" spans="1:21">
      <c r="B241" s="418" t="s">
        <v>80</v>
      </c>
      <c r="G241" s="1073">
        <f t="shared" ref="G241:R241" si="149">G240/F240-1</f>
        <v>0.36235866205299083</v>
      </c>
      <c r="H241" s="1073">
        <f t="shared" si="149"/>
        <v>6.6496457158757183E-2</v>
      </c>
      <c r="I241" s="411">
        <f t="shared" si="149"/>
        <v>-0.24878986278558157</v>
      </c>
      <c r="J241" s="411">
        <f t="shared" si="149"/>
        <v>-0.27822100762551272</v>
      </c>
      <c r="K241" s="1073">
        <f t="shared" si="149"/>
        <v>-6.386695165394396E-2</v>
      </c>
      <c r="L241" s="1073">
        <f t="shared" si="149"/>
        <v>9.6125000000000238E-3</v>
      </c>
      <c r="M241" s="1073">
        <f t="shared" si="149"/>
        <v>1.4030769230769291E-2</v>
      </c>
      <c r="N241" s="1073">
        <f t="shared" si="149"/>
        <v>-3.4254836363636576E-2</v>
      </c>
      <c r="O241" s="1073">
        <f t="shared" si="149"/>
        <v>-9.4645740088889374E-2</v>
      </c>
      <c r="P241" s="1073">
        <f t="shared" si="149"/>
        <v>-0.17911361868800058</v>
      </c>
      <c r="Q241" s="1073">
        <f t="shared" si="149"/>
        <v>0.13388768680780805</v>
      </c>
      <c r="R241" s="1073">
        <f t="shared" si="149"/>
        <v>0.12015130367432447</v>
      </c>
      <c r="T241" s="1055"/>
      <c r="U241" s="1055"/>
    </row>
    <row r="242" spans="1:21">
      <c r="B242" s="418"/>
      <c r="I242" s="141"/>
      <c r="J242" s="141"/>
      <c r="T242" s="1055"/>
      <c r="U242" s="1055"/>
    </row>
    <row r="243" spans="1:21">
      <c r="B243" s="399" t="s">
        <v>366</v>
      </c>
      <c r="F243" s="1052">
        <f>F238*F225</f>
        <v>79.455166000000091</v>
      </c>
      <c r="G243" s="1052">
        <f t="shared" ref="G243:O243" si="150">G238*G225</f>
        <v>318.75591600000013</v>
      </c>
      <c r="H243" s="1052">
        <f>H238*H225</f>
        <v>994.37099999999998</v>
      </c>
      <c r="I243" s="350">
        <f t="shared" si="150"/>
        <v>2003.0239999999997</v>
      </c>
      <c r="J243" s="350">
        <f>J238*J225</f>
        <v>2980.9999999999986</v>
      </c>
      <c r="K243" s="1052">
        <f t="shared" si="150"/>
        <v>3862.953023999999</v>
      </c>
      <c r="L243" s="1052">
        <f t="shared" si="150"/>
        <v>4971.5377643231996</v>
      </c>
      <c r="M243" s="1052">
        <f t="shared" si="150"/>
        <v>6094.853864966416</v>
      </c>
      <c r="N243" s="1052">
        <f t="shared" si="150"/>
        <v>7355.757451691481</v>
      </c>
      <c r="O243" s="1052">
        <f t="shared" si="150"/>
        <v>8750.4819932945229</v>
      </c>
      <c r="P243" s="1052">
        <f>P238*P225</f>
        <v>10272.679024323768</v>
      </c>
      <c r="Q243" s="1052">
        <f>Q238*Q225</f>
        <v>11648.064256209569</v>
      </c>
      <c r="R243" s="1052">
        <f>R238*R225</f>
        <v>13047.59436187545</v>
      </c>
      <c r="T243" s="1055"/>
      <c r="U243" s="1055"/>
    </row>
    <row r="244" spans="1:21">
      <c r="B244" s="418" t="s">
        <v>80</v>
      </c>
      <c r="G244" s="1073">
        <f t="shared" ref="G244:R244" si="151">G243/F243-1</f>
        <v>3.0117708142476189</v>
      </c>
      <c r="H244" s="1073">
        <f t="shared" si="151"/>
        <v>2.1195373955035852</v>
      </c>
      <c r="I244" s="411">
        <f t="shared" si="151"/>
        <v>1.0143628484740601</v>
      </c>
      <c r="J244" s="411">
        <f t="shared" si="151"/>
        <v>0.48824976635327344</v>
      </c>
      <c r="K244" s="1073">
        <f t="shared" si="151"/>
        <v>0.29585810935927559</v>
      </c>
      <c r="L244" s="1073">
        <f t="shared" si="151"/>
        <v>0.28697857142857175</v>
      </c>
      <c r="M244" s="1073">
        <f t="shared" si="151"/>
        <v>0.22594942528735662</v>
      </c>
      <c r="N244" s="1073">
        <f t="shared" si="151"/>
        <v>0.20688003595505622</v>
      </c>
      <c r="O244" s="1073">
        <f t="shared" si="151"/>
        <v>0.18960991451428577</v>
      </c>
      <c r="P244" s="1073">
        <f t="shared" si="151"/>
        <v>0.17395579262898919</v>
      </c>
      <c r="Q244" s="1073">
        <f t="shared" si="151"/>
        <v>0.13388768680780805</v>
      </c>
      <c r="R244" s="1073">
        <f t="shared" si="151"/>
        <v>0.12015130367432447</v>
      </c>
      <c r="T244" s="1055"/>
      <c r="U244" s="1055"/>
    </row>
    <row r="245" spans="1:21">
      <c r="B245" s="1036"/>
      <c r="I245" s="141"/>
      <c r="J245" s="141"/>
      <c r="T245" s="1055"/>
      <c r="U245" s="1055"/>
    </row>
    <row r="246" spans="1:21" s="1037" customFormat="1">
      <c r="A246" s="13"/>
      <c r="B246" s="544" t="s">
        <v>421</v>
      </c>
      <c r="E246" s="1060">
        <f>E$73</f>
        <v>2.0244343891402714E-2</v>
      </c>
      <c r="F246" s="1060">
        <f>F$73</f>
        <v>2.503785385580164E-2</v>
      </c>
      <c r="G246" s="1061">
        <f>G$73</f>
        <v>2.5525625744934444E-2</v>
      </c>
      <c r="H246" s="1061">
        <f>H$73</f>
        <v>2.4440261865793778E-2</v>
      </c>
      <c r="I246" s="1091">
        <f t="shared" ref="I246:O246" si="152">I213/I225/1000</f>
        <v>2.5883893919793014E-2</v>
      </c>
      <c r="J246" s="1091">
        <f>J213/J225/1000</f>
        <v>3.0291744093443054E-2</v>
      </c>
      <c r="K246" s="1060">
        <f t="shared" si="152"/>
        <v>3.6572E-2</v>
      </c>
      <c r="L246" s="1060">
        <f t="shared" si="152"/>
        <v>3.9869999999999996E-2</v>
      </c>
      <c r="M246" s="1060">
        <f t="shared" si="152"/>
        <v>4.3559999999999995E-2</v>
      </c>
      <c r="N246" s="1060">
        <f t="shared" si="152"/>
        <v>4.4549999999999999E-2</v>
      </c>
      <c r="O246" s="1060">
        <f t="shared" si="152"/>
        <v>4.5579999999999996E-2</v>
      </c>
      <c r="P246" s="1060">
        <f>P213/P225/1000</f>
        <v>4.8265000000000002E-2</v>
      </c>
      <c r="Q246" s="1060">
        <f>Q213/Q225/1000</f>
        <v>4.8265000000000002E-2</v>
      </c>
      <c r="R246" s="1060">
        <f>R213/R225/1000</f>
        <v>4.8265000000000002E-2</v>
      </c>
      <c r="T246" s="1040"/>
      <c r="U246" s="1040"/>
    </row>
    <row r="247" spans="1:21" s="1037" customFormat="1">
      <c r="A247" s="13"/>
      <c r="B247" s="544"/>
      <c r="E247" s="1060"/>
      <c r="F247" s="1060"/>
      <c r="G247" s="376"/>
      <c r="H247" s="376"/>
      <c r="I247" s="1091"/>
      <c r="J247" s="1091"/>
      <c r="K247" s="1060"/>
      <c r="L247" s="1060"/>
      <c r="M247" s="1060"/>
      <c r="N247" s="1060"/>
      <c r="O247" s="1060"/>
      <c r="P247" s="1060"/>
      <c r="Q247" s="1060"/>
      <c r="R247" s="1060"/>
      <c r="T247" s="1040"/>
      <c r="U247" s="1040"/>
    </row>
    <row r="248" spans="1:21">
      <c r="B248" s="1045" t="s">
        <v>434</v>
      </c>
      <c r="F248" s="1064">
        <f>Model!F$205</f>
        <v>2.6641907823842001E-2</v>
      </c>
      <c r="G248" s="1064">
        <f>Model!G$205</f>
        <v>2.93744151399963E-2</v>
      </c>
      <c r="H248" s="1064">
        <f>Model!H$205</f>
        <v>2.8903991444440606E-2</v>
      </c>
      <c r="I248" s="473">
        <f t="shared" ref="I248:R248" si="153">I$116+I249</f>
        <v>2.7269655162280887E-2</v>
      </c>
      <c r="J248" s="473">
        <f t="shared" si="153"/>
        <v>2.974300254452926E-2</v>
      </c>
      <c r="K248" s="475">
        <f t="shared" si="153"/>
        <v>3.7999999999999999E-2</v>
      </c>
      <c r="L248" s="475">
        <f t="shared" si="153"/>
        <v>3.9E-2</v>
      </c>
      <c r="M248" s="475">
        <f t="shared" si="153"/>
        <v>0.04</v>
      </c>
      <c r="N248" s="475">
        <f t="shared" si="153"/>
        <v>0.04</v>
      </c>
      <c r="O248" s="475">
        <f t="shared" si="153"/>
        <v>0.04</v>
      </c>
      <c r="P248" s="475">
        <f t="shared" si="153"/>
        <v>0.04</v>
      </c>
      <c r="Q248" s="475">
        <f t="shared" si="153"/>
        <v>0.04</v>
      </c>
      <c r="R248" s="475">
        <f t="shared" si="153"/>
        <v>0.04</v>
      </c>
      <c r="T248" s="1055"/>
      <c r="U248" s="1055"/>
    </row>
    <row r="249" spans="1:21">
      <c r="B249" s="1045"/>
      <c r="F249" s="1064"/>
      <c r="I249" s="473"/>
      <c r="J249" s="473"/>
      <c r="K249" s="1092">
        <v>0</v>
      </c>
      <c r="L249" s="1092">
        <f t="shared" ref="L249:R249" si="154">K249</f>
        <v>0</v>
      </c>
      <c r="M249" s="1092">
        <f t="shared" si="154"/>
        <v>0</v>
      </c>
      <c r="N249" s="1092">
        <f t="shared" si="154"/>
        <v>0</v>
      </c>
      <c r="O249" s="1092">
        <f t="shared" si="154"/>
        <v>0</v>
      </c>
      <c r="P249" s="1092">
        <f t="shared" si="154"/>
        <v>0</v>
      </c>
      <c r="Q249" s="1092">
        <f t="shared" si="154"/>
        <v>0</v>
      </c>
      <c r="R249" s="1092">
        <f t="shared" si="154"/>
        <v>0</v>
      </c>
      <c r="T249" s="1055"/>
      <c r="U249" s="1055"/>
    </row>
    <row r="250" spans="1:21">
      <c r="B250" s="1045"/>
      <c r="F250" s="1064"/>
      <c r="I250" s="473"/>
      <c r="J250" s="473"/>
      <c r="K250" s="475"/>
      <c r="L250" s="475"/>
      <c r="M250" s="475"/>
      <c r="N250" s="475"/>
      <c r="O250" s="475"/>
      <c r="P250" s="475"/>
      <c r="Q250" s="475"/>
      <c r="R250" s="475"/>
      <c r="T250" s="1055"/>
      <c r="U250" s="1055"/>
    </row>
    <row r="251" spans="1:21">
      <c r="B251" s="1045" t="s">
        <v>370</v>
      </c>
      <c r="F251" s="1064">
        <f>Model!F$206</f>
        <v>4.8958427699968554E-3</v>
      </c>
      <c r="G251" s="1064">
        <f>Model!G$206</f>
        <v>9.1253797524428019E-3</v>
      </c>
      <c r="H251" s="1064">
        <f>Model!H$206</f>
        <v>1.7940989831762993E-2</v>
      </c>
      <c r="I251" s="473">
        <f t="shared" ref="I251:R251" si="155">I$117+I252</f>
        <v>2.5130502679947923E-2</v>
      </c>
      <c r="J251" s="473">
        <f t="shared" si="155"/>
        <v>3.043643072794364E-2</v>
      </c>
      <c r="K251" s="475">
        <f t="shared" si="155"/>
        <v>3.6299999999999999E-2</v>
      </c>
      <c r="L251" s="475">
        <f t="shared" si="155"/>
        <v>0.04</v>
      </c>
      <c r="M251" s="475">
        <f t="shared" si="155"/>
        <v>4.3999999999999997E-2</v>
      </c>
      <c r="N251" s="475">
        <f t="shared" si="155"/>
        <v>4.4999999999999998E-2</v>
      </c>
      <c r="O251" s="475">
        <f t="shared" si="155"/>
        <v>4.5999999999999999E-2</v>
      </c>
      <c r="P251" s="475">
        <f t="shared" si="155"/>
        <v>4.87E-2</v>
      </c>
      <c r="Q251" s="475">
        <f t="shared" si="155"/>
        <v>4.87E-2</v>
      </c>
      <c r="R251" s="475">
        <f t="shared" si="155"/>
        <v>4.87E-2</v>
      </c>
      <c r="T251" s="1055"/>
      <c r="U251" s="1055"/>
    </row>
    <row r="252" spans="1:21">
      <c r="I252" s="473"/>
      <c r="J252" s="473"/>
      <c r="K252" s="1092">
        <v>0</v>
      </c>
      <c r="L252" s="1092">
        <f t="shared" ref="L252:R252" si="156">K252</f>
        <v>0</v>
      </c>
      <c r="M252" s="1092">
        <f t="shared" si="156"/>
        <v>0</v>
      </c>
      <c r="N252" s="1092">
        <f t="shared" si="156"/>
        <v>0</v>
      </c>
      <c r="O252" s="1092">
        <f t="shared" si="156"/>
        <v>0</v>
      </c>
      <c r="P252" s="1092">
        <f t="shared" si="156"/>
        <v>0</v>
      </c>
      <c r="Q252" s="1092">
        <f t="shared" si="156"/>
        <v>0</v>
      </c>
      <c r="R252" s="1092">
        <f t="shared" si="156"/>
        <v>0</v>
      </c>
      <c r="T252" s="1055"/>
      <c r="U252" s="1055"/>
    </row>
    <row r="253" spans="1:21">
      <c r="I253" s="141"/>
      <c r="J253" s="141"/>
      <c r="K253" s="141"/>
      <c r="L253" s="141"/>
      <c r="M253" s="141"/>
      <c r="N253" s="141"/>
      <c r="O253" s="141"/>
      <c r="P253" s="141"/>
      <c r="Q253" s="141"/>
      <c r="R253" s="141"/>
      <c r="T253" s="1055"/>
      <c r="U253" s="1055"/>
    </row>
    <row r="254" spans="1:21">
      <c r="I254" s="141"/>
      <c r="J254" s="141"/>
      <c r="K254" s="141"/>
      <c r="L254" s="141"/>
      <c r="M254" s="141"/>
      <c r="N254" s="141"/>
      <c r="O254" s="141"/>
      <c r="P254" s="141"/>
      <c r="Q254" s="141"/>
      <c r="R254" s="141"/>
      <c r="T254" s="1055"/>
      <c r="U254" s="1055"/>
    </row>
    <row r="255" spans="1:21">
      <c r="B255" s="1037"/>
      <c r="I255" s="375"/>
      <c r="J255" s="375"/>
      <c r="K255" s="375"/>
      <c r="L255" s="375"/>
      <c r="M255" s="375"/>
      <c r="N255" s="375"/>
      <c r="O255" s="375"/>
      <c r="P255" s="375"/>
      <c r="Q255" s="375"/>
      <c r="R255" s="375"/>
      <c r="T255" s="1055"/>
      <c r="U255" s="1055"/>
    </row>
    <row r="256" spans="1:21">
      <c r="K256" s="141"/>
      <c r="L256" s="141"/>
      <c r="M256" s="141"/>
      <c r="N256" s="141"/>
      <c r="O256" s="141"/>
      <c r="P256" s="141"/>
      <c r="Q256" s="141"/>
      <c r="R256" s="141"/>
      <c r="T256" s="1055"/>
      <c r="U256" s="1055"/>
    </row>
    <row r="257" spans="2:22">
      <c r="B257" s="4"/>
      <c r="E257" s="5"/>
      <c r="T257" s="1055"/>
      <c r="U257" s="1055"/>
    </row>
    <row r="258" spans="2:22">
      <c r="B258" s="1078"/>
      <c r="N258" s="141"/>
      <c r="O258" s="141"/>
      <c r="P258" s="141"/>
      <c r="Q258" s="141"/>
      <c r="R258" s="141"/>
      <c r="T258" s="1055"/>
      <c r="U258" s="1055"/>
    </row>
    <row r="259" spans="2:22">
      <c r="B259" s="1078"/>
      <c r="G259" s="1105"/>
      <c r="N259" s="141"/>
      <c r="O259" s="141"/>
      <c r="P259" s="141"/>
      <c r="Q259" s="141"/>
      <c r="R259" s="141"/>
      <c r="T259" s="1055"/>
      <c r="U259" s="1055"/>
    </row>
    <row r="260" spans="2:22">
      <c r="B260" s="5"/>
      <c r="E260" s="1106"/>
      <c r="F260" s="1106"/>
      <c r="G260" s="1106"/>
      <c r="H260" s="1106"/>
      <c r="I260" s="1106"/>
      <c r="J260" s="1106"/>
      <c r="N260" s="1"/>
      <c r="O260" s="1"/>
      <c r="P260" s="1"/>
      <c r="Q260" s="1"/>
      <c r="R260" s="1"/>
      <c r="T260" s="1055"/>
      <c r="U260" s="1055"/>
    </row>
    <row r="261" spans="2:22">
      <c r="B261" s="4"/>
      <c r="F261" s="1052"/>
      <c r="G261" s="1079"/>
      <c r="J261" s="547"/>
      <c r="N261" s="13"/>
      <c r="O261" s="1107"/>
      <c r="P261" s="814"/>
      <c r="Q261" s="1108"/>
      <c r="R261" s="814"/>
      <c r="T261" s="1055"/>
      <c r="U261" s="1055"/>
    </row>
    <row r="262" spans="2:22">
      <c r="B262" s="1078"/>
      <c r="F262" s="1109"/>
      <c r="G262" s="1110"/>
      <c r="H262" s="1038"/>
      <c r="I262" s="1111"/>
      <c r="J262" s="1112"/>
      <c r="K262" s="1113"/>
      <c r="N262" s="13"/>
      <c r="O262" s="1114"/>
      <c r="P262" s="1115"/>
      <c r="Q262" s="1115"/>
      <c r="R262" s="1115"/>
      <c r="T262" s="1055"/>
      <c r="U262" s="1055"/>
    </row>
    <row r="263" spans="2:22">
      <c r="B263" s="1036"/>
      <c r="F263" s="1109"/>
      <c r="G263" s="1110"/>
      <c r="H263" s="1038"/>
      <c r="I263" s="1116"/>
      <c r="J263" s="1112"/>
      <c r="K263" s="1113"/>
      <c r="N263" s="13"/>
      <c r="O263" s="1114"/>
      <c r="P263" s="1115"/>
      <c r="Q263" s="1115"/>
      <c r="R263" s="1115"/>
      <c r="T263" s="1055"/>
      <c r="U263" s="1055"/>
    </row>
    <row r="264" spans="2:22">
      <c r="B264" s="399"/>
      <c r="F264" s="1109"/>
      <c r="G264" s="1110"/>
      <c r="H264" s="1038"/>
      <c r="I264" s="1111"/>
      <c r="J264" s="1112"/>
      <c r="K264" s="1113"/>
      <c r="N264" s="1117"/>
      <c r="O264" s="1118"/>
      <c r="P264" s="1118"/>
      <c r="Q264" s="1118"/>
      <c r="R264" s="1118"/>
      <c r="T264" s="1055"/>
      <c r="U264" s="1055"/>
    </row>
    <row r="265" spans="2:22">
      <c r="B265" s="418"/>
      <c r="N265" s="1117"/>
      <c r="O265" s="1118"/>
      <c r="P265" s="1118"/>
      <c r="Q265" s="1118"/>
      <c r="R265" s="1118"/>
      <c r="T265" s="1055"/>
      <c r="U265" s="1055"/>
    </row>
    <row r="266" spans="2:22">
      <c r="B266" s="1086"/>
      <c r="I266" s="1119"/>
      <c r="J266" s="1119"/>
      <c r="K266" s="1119"/>
      <c r="N266" s="13"/>
      <c r="O266" s="1114"/>
      <c r="P266" s="1115"/>
      <c r="Q266" s="1115"/>
      <c r="R266" s="1115"/>
      <c r="T266" s="1055"/>
      <c r="U266" s="1055"/>
    </row>
    <row r="267" spans="2:22">
      <c r="B267" s="1036"/>
      <c r="F267" s="1106"/>
      <c r="G267" s="1106"/>
      <c r="H267" s="1106"/>
      <c r="I267" s="1106"/>
      <c r="J267" s="1106"/>
      <c r="K267" s="1106"/>
      <c r="N267" s="13"/>
      <c r="O267" s="1114"/>
      <c r="P267" s="1114"/>
      <c r="Q267" s="1114"/>
      <c r="R267" s="1114"/>
      <c r="T267" s="1055"/>
      <c r="U267" s="1055"/>
    </row>
    <row r="268" spans="2:22">
      <c r="B268" s="399"/>
      <c r="E268" s="1037"/>
      <c r="F268" s="1047"/>
      <c r="G268" s="1047"/>
      <c r="H268" s="1106"/>
      <c r="I268" s="1106"/>
      <c r="J268" s="1106"/>
      <c r="K268" s="1106"/>
      <c r="N268" s="141"/>
      <c r="O268" s="411"/>
      <c r="P268" s="375"/>
      <c r="Q268" s="375"/>
      <c r="R268" s="375"/>
      <c r="S268" s="5"/>
      <c r="T268" s="1040"/>
      <c r="U268" s="1040"/>
      <c r="V268" s="5"/>
    </row>
    <row r="269" spans="2:22">
      <c r="B269" s="418"/>
      <c r="F269" s="1052"/>
      <c r="G269" s="1052"/>
      <c r="H269" s="1079"/>
      <c r="I269" s="1079"/>
      <c r="J269" s="1120"/>
      <c r="K269" s="1120"/>
      <c r="N269" s="141"/>
      <c r="O269" s="411"/>
      <c r="P269" s="375"/>
      <c r="Q269" s="375"/>
      <c r="R269" s="375"/>
      <c r="S269" s="5"/>
      <c r="T269" s="1040"/>
      <c r="U269" s="1040"/>
      <c r="V269" s="5"/>
    </row>
    <row r="270" spans="2:22">
      <c r="B270" s="1086"/>
      <c r="F270" s="1024"/>
      <c r="G270" s="1024"/>
      <c r="H270" s="1079"/>
      <c r="I270" s="1079"/>
      <c r="J270" s="1120"/>
      <c r="K270" s="1120"/>
      <c r="N270" s="141"/>
      <c r="O270" s="499"/>
      <c r="P270" s="473"/>
      <c r="Q270" s="473"/>
      <c r="R270" s="473"/>
      <c r="S270" s="6"/>
      <c r="T270" s="1040"/>
      <c r="U270" s="1040"/>
      <c r="V270" s="6"/>
    </row>
    <row r="271" spans="2:22">
      <c r="F271" s="1052"/>
      <c r="G271" s="1052"/>
      <c r="H271" s="1079"/>
      <c r="I271" s="1079"/>
      <c r="J271" s="1120"/>
      <c r="K271" s="1120"/>
      <c r="N271" s="141"/>
      <c r="O271" s="499"/>
      <c r="P271" s="473"/>
      <c r="Q271" s="473"/>
      <c r="R271" s="473"/>
      <c r="S271" s="5"/>
      <c r="T271" s="1040"/>
      <c r="U271" s="1040"/>
      <c r="V271" s="5"/>
    </row>
    <row r="272" spans="2:22">
      <c r="G272" s="1037"/>
      <c r="H272" s="1024"/>
      <c r="I272" s="1024"/>
      <c r="J272" s="1079"/>
      <c r="K272" s="1079"/>
      <c r="M272" s="1020"/>
      <c r="N272" s="10"/>
      <c r="O272" s="450"/>
      <c r="P272" s="450"/>
      <c r="Q272" s="450"/>
      <c r="R272" s="450"/>
      <c r="T272" s="1055"/>
      <c r="U272" s="1055"/>
    </row>
    <row r="273" spans="2:21">
      <c r="K273" s="1119"/>
      <c r="L273" s="1119"/>
      <c r="M273" s="1119"/>
      <c r="N273" s="10"/>
      <c r="O273" s="450"/>
      <c r="P273" s="450"/>
      <c r="Q273" s="450"/>
      <c r="R273" s="450"/>
      <c r="T273" s="1055"/>
      <c r="U273" s="1055"/>
    </row>
    <row r="274" spans="2:21">
      <c r="F274" s="1029"/>
      <c r="G274" s="1029"/>
      <c r="K274" s="1119"/>
      <c r="L274" s="1119"/>
      <c r="M274" s="1119"/>
      <c r="N274" s="402"/>
      <c r="O274" s="141"/>
      <c r="P274" s="141"/>
      <c r="Q274" s="141"/>
      <c r="R274" s="141"/>
      <c r="T274" s="1055"/>
      <c r="U274" s="1055"/>
    </row>
    <row r="275" spans="2:21">
      <c r="F275" s="1029"/>
      <c r="G275" s="1029"/>
      <c r="J275" s="1119"/>
      <c r="K275" s="1119"/>
      <c r="L275" s="1119"/>
      <c r="M275" s="1119"/>
      <c r="N275" s="1119"/>
      <c r="T275" s="1055"/>
      <c r="U275" s="1055"/>
    </row>
    <row r="276" spans="2:21">
      <c r="M276" s="1119"/>
      <c r="O276" s="1029"/>
      <c r="T276" s="1055"/>
      <c r="U276" s="1055"/>
    </row>
    <row r="277" spans="2:21">
      <c r="T277" s="1055"/>
      <c r="U277" s="1055"/>
    </row>
    <row r="278" spans="2:21">
      <c r="T278" s="1055"/>
      <c r="U278" s="1055"/>
    </row>
    <row r="279" spans="2:21">
      <c r="T279" s="1055"/>
      <c r="U279" s="1055"/>
    </row>
    <row r="280" spans="2:21">
      <c r="T280" s="1055"/>
      <c r="U280" s="1055"/>
    </row>
    <row r="281" spans="2:21">
      <c r="T281" s="1055"/>
      <c r="U281" s="1055"/>
    </row>
    <row r="282" spans="2:21">
      <c r="B282" s="1121" t="s">
        <v>433</v>
      </c>
      <c r="T282" s="1055"/>
      <c r="U282" s="1055"/>
    </row>
    <row r="283" spans="2:21">
      <c r="B283" s="1121" t="s">
        <v>437</v>
      </c>
      <c r="T283" s="1055"/>
      <c r="U283" s="1055"/>
    </row>
    <row r="284" spans="2:21">
      <c r="B284" s="1121" t="s">
        <v>439</v>
      </c>
    </row>
    <row r="285" spans="2:21">
      <c r="B285" s="1121" t="s">
        <v>100</v>
      </c>
    </row>
  </sheetData>
  <mergeCells count="1">
    <mergeCell ref="N260:R260"/>
  </mergeCells>
  <phoneticPr fontId="8" type="noConversion"/>
  <printOptions heading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80" r:id="rId4" name="Drop Down 24">
              <controlPr defaultSize="0" autoLine="0" autoPict="0">
                <anchor moveWithCells="1" sizeWithCells="1">
                  <from>
                    <xdr:col>1</xdr:col>
                    <xdr:colOff>1276350</xdr:colOff>
                    <xdr:row>1</xdr:row>
                    <xdr:rowOff>66675</xdr:rowOff>
                  </from>
                  <to>
                    <xdr:col>1</xdr:col>
                    <xdr:colOff>1276350</xdr:colOff>
                    <xdr:row>1</xdr:row>
                    <xdr:rowOff>133350</xdr:rowOff>
                  </to>
                </anchor>
              </controlPr>
            </control>
          </mc:Choice>
        </mc:AlternateContent>
        <mc:AlternateContent xmlns:mc="http://schemas.openxmlformats.org/markup-compatibility/2006">
          <mc:Choice Requires="x14">
            <control shapeId="19481" r:id="rId5" name="Drop Down 25">
              <controlPr defaultSize="0" autoLine="0" autoPict="0">
                <anchor moveWithCells="1" sizeWithCells="1">
                  <from>
                    <xdr:col>1</xdr:col>
                    <xdr:colOff>1276350</xdr:colOff>
                    <xdr:row>1</xdr:row>
                    <xdr:rowOff>133350</xdr:rowOff>
                  </from>
                  <to>
                    <xdr:col>1</xdr:col>
                    <xdr:colOff>1276350</xdr:colOff>
                    <xdr:row>2</xdr:row>
                    <xdr:rowOff>57150</xdr:rowOff>
                  </to>
                </anchor>
              </controlPr>
            </control>
          </mc:Choice>
        </mc:AlternateContent>
        <mc:AlternateContent xmlns:mc="http://schemas.openxmlformats.org/markup-compatibility/2006">
          <mc:Choice Requires="x14">
            <control shapeId="19488" r:id="rId6" name="Drop Down 32">
              <controlPr defaultSize="0" print="0" autoLine="0" autoPict="0">
                <anchor moveWithCells="1">
                  <from>
                    <xdr:col>1</xdr:col>
                    <xdr:colOff>76200</xdr:colOff>
                    <xdr:row>2</xdr:row>
                    <xdr:rowOff>104775</xdr:rowOff>
                  </from>
                  <to>
                    <xdr:col>1</xdr:col>
                    <xdr:colOff>809625</xdr:colOff>
                    <xdr:row>3</xdr:row>
                    <xdr:rowOff>114300</xdr:rowOff>
                  </to>
                </anchor>
              </controlPr>
            </control>
          </mc:Choice>
        </mc:AlternateContent>
        <mc:AlternateContent xmlns:mc="http://schemas.openxmlformats.org/markup-compatibility/2006">
          <mc:Choice Requires="x14">
            <control shapeId="19566" r:id="rId7" name="Drop Down 110">
              <controlPr defaultSize="0" print="0" autoLine="0" autoPict="0">
                <anchor moveWithCells="1">
                  <from>
                    <xdr:col>1</xdr:col>
                    <xdr:colOff>1533525</xdr:colOff>
                    <xdr:row>53</xdr:row>
                    <xdr:rowOff>0</xdr:rowOff>
                  </from>
                  <to>
                    <xdr:col>1</xdr:col>
                    <xdr:colOff>2266950</xdr:colOff>
                    <xdr:row>54</xdr:row>
                    <xdr:rowOff>9525</xdr:rowOff>
                  </to>
                </anchor>
              </controlPr>
            </control>
          </mc:Choice>
        </mc:AlternateContent>
        <mc:AlternateContent xmlns:mc="http://schemas.openxmlformats.org/markup-compatibility/2006">
          <mc:Choice Requires="x14">
            <control shapeId="19567" r:id="rId8" name="Drop Down 111">
              <controlPr defaultSize="0" print="0" autoLine="0" autoPict="0">
                <anchor moveWithCells="1">
                  <from>
                    <xdr:col>1</xdr:col>
                    <xdr:colOff>1457325</xdr:colOff>
                    <xdr:row>77</xdr:row>
                    <xdr:rowOff>133350</xdr:rowOff>
                  </from>
                  <to>
                    <xdr:col>1</xdr:col>
                    <xdr:colOff>2190750</xdr:colOff>
                    <xdr:row>78</xdr:row>
                    <xdr:rowOff>142875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sheetPr>
  <dimension ref="A1:XFD1027"/>
  <sheetViews>
    <sheetView zoomScaleNormal="100" workbookViewId="0">
      <pane xSplit="2" ySplit="6" topLeftCell="C7" activePane="bottomRight" state="frozen"/>
      <selection pane="topRight" activeCell="B1" sqref="B1"/>
      <selection pane="bottomLeft" activeCell="A5" sqref="A5"/>
      <selection pane="bottomRight"/>
    </sheetView>
  </sheetViews>
  <sheetFormatPr defaultColWidth="9.140625" defaultRowHeight="12.75" outlineLevelRow="2" outlineLevelCol="2"/>
  <cols>
    <col min="1" max="1" width="4.42578125" style="1348" customWidth="1"/>
    <col min="2" max="2" width="41.28515625" style="141" customWidth="1"/>
    <col min="3" max="4" width="13" style="141" hidden="1" customWidth="1" outlineLevel="1"/>
    <col min="5" max="5" width="13" style="141" hidden="1" customWidth="1" outlineLevel="1" collapsed="1"/>
    <col min="6" max="8" width="13" style="141" hidden="1" customWidth="1" outlineLevel="1"/>
    <col min="9" max="9" width="12" style="141" customWidth="1" collapsed="1"/>
    <col min="10" max="10" width="12" style="398" customWidth="1"/>
    <col min="11" max="13" width="12" style="141" customWidth="1"/>
    <col min="14" max="16" width="12" style="141" hidden="1" customWidth="1" outlineLevel="1"/>
    <col min="17" max="17" width="12" style="141" hidden="1" customWidth="1" outlineLevel="1" collapsed="1"/>
    <col min="18" max="18" width="12" style="141" hidden="1" customWidth="1" outlineLevel="1"/>
    <col min="19" max="19" width="6.5703125" style="141" customWidth="1" collapsed="1"/>
    <col min="20" max="20" width="11" style="141" bestFit="1" customWidth="1"/>
    <col min="21" max="21" width="2.42578125" style="141" hidden="1" customWidth="1" outlineLevel="1"/>
    <col min="22" max="24" width="9.140625" style="11" hidden="1" customWidth="1" outlineLevel="2"/>
    <col min="25" max="25" width="9.140625" style="217" hidden="1" customWidth="1" outlineLevel="2"/>
    <col min="26" max="28" width="9.140625" style="11" hidden="1" customWidth="1" outlineLevel="2"/>
    <col min="29" max="29" width="8.7109375" style="217" hidden="1" customWidth="1" outlineLevel="2"/>
    <col min="30" max="30" width="9.140625" style="11" hidden="1" customWidth="1" outlineLevel="2" collapsed="1"/>
    <col min="31" max="32" width="9.140625" style="11" hidden="1" customWidth="1" outlineLevel="2"/>
    <col min="33" max="33" width="9.140625" style="217" hidden="1" customWidth="1" outlineLevel="2"/>
    <col min="34" max="34" width="9" style="11" hidden="1" customWidth="1" outlineLevel="2"/>
    <col min="35" max="36" width="9.85546875" style="11" hidden="1" customWidth="1" outlineLevel="2"/>
    <col min="37" max="37" width="9.85546875" style="217" hidden="1" customWidth="1" outlineLevel="2"/>
    <col min="38" max="38" width="11.28515625" style="11" hidden="1" customWidth="1" outlineLevel="2"/>
    <col min="39" max="39" width="9.85546875" style="11" hidden="1" customWidth="1" outlineLevel="2"/>
    <col min="40" max="40" width="11.140625" style="11" hidden="1" customWidth="1" outlineLevel="2"/>
    <col min="41" max="41" width="9.5703125" style="217" hidden="1" customWidth="1" outlineLevel="2"/>
    <col min="42" max="42" width="10.28515625" style="11" hidden="1" customWidth="1" outlineLevel="1" collapsed="1"/>
    <col min="43" max="44" width="10.28515625" style="11" hidden="1" customWidth="1" outlineLevel="1"/>
    <col min="45" max="45" width="10.28515625" style="217" hidden="1" customWidth="1" outlineLevel="1"/>
    <col min="46" max="48" width="10.28515625" style="11" hidden="1" customWidth="1" outlineLevel="1"/>
    <col min="49" max="49" width="10.28515625" style="217" hidden="1" customWidth="1" outlineLevel="1"/>
    <col min="50" max="50" width="10.28515625" style="218" customWidth="1" collapsed="1"/>
    <col min="51" max="52" width="10.28515625" style="218" customWidth="1"/>
    <col min="53" max="53" width="10.28515625" style="277" customWidth="1"/>
    <col min="54" max="57" width="10.28515625" style="218" customWidth="1"/>
    <col min="58" max="58" width="9.140625" style="11" customWidth="1"/>
    <col min="59" max="59" width="9.7109375" style="141" customWidth="1"/>
    <col min="60" max="60" width="9.140625" style="141"/>
    <col min="61" max="61" width="10.140625" style="141" hidden="1" customWidth="1" outlineLevel="1"/>
    <col min="62" max="62" width="9.85546875" style="141" hidden="1" customWidth="1" outlineLevel="1"/>
    <col min="63" max="64" width="10.140625" style="141" hidden="1" customWidth="1" outlineLevel="1"/>
    <col min="65" max="65" width="9.85546875" style="141" hidden="1" customWidth="1" outlineLevel="1"/>
    <col min="66" max="66" width="9.85546875" style="141" bestFit="1" customWidth="1" collapsed="1"/>
    <col min="67" max="67" width="10.28515625" style="141" bestFit="1" customWidth="1"/>
    <col min="68" max="68" width="10.140625" style="141" bestFit="1" customWidth="1"/>
    <col min="69" max="73" width="9.42578125" style="141" bestFit="1" customWidth="1"/>
    <col min="74" max="74" width="10.42578125" style="141" customWidth="1"/>
    <col min="75" max="76" width="9.42578125" style="141" bestFit="1" customWidth="1"/>
    <col min="77" max="84" width="9.140625" style="141"/>
    <col min="91" max="16384" width="9.140625" style="141"/>
  </cols>
  <sheetData>
    <row r="1" spans="1:90">
      <c r="AV1" s="222"/>
      <c r="AW1" s="363"/>
      <c r="AX1" s="286"/>
    </row>
    <row r="2" spans="1:90" ht="15.75">
      <c r="B2" s="1011" t="s">
        <v>641</v>
      </c>
      <c r="AU2" s="360"/>
      <c r="AV2" s="360"/>
      <c r="AW2" s="223"/>
    </row>
    <row r="3" spans="1:90">
      <c r="C3" s="9"/>
      <c r="D3" s="9"/>
      <c r="E3" s="9"/>
      <c r="F3" s="9"/>
      <c r="G3" s="9"/>
      <c r="H3" s="9"/>
      <c r="I3" s="219" t="s">
        <v>780</v>
      </c>
      <c r="J3" s="1387"/>
      <c r="K3" s="9"/>
      <c r="L3" s="9"/>
      <c r="M3" s="9"/>
      <c r="N3" s="220"/>
      <c r="O3" s="220"/>
      <c r="P3" s="220"/>
      <c r="Q3" s="220"/>
      <c r="R3" s="220"/>
      <c r="T3" s="17"/>
      <c r="V3" s="221"/>
      <c r="W3" s="222"/>
      <c r="X3" s="222"/>
      <c r="Y3" s="223"/>
      <c r="Z3" s="222"/>
      <c r="AA3" s="222"/>
      <c r="AB3" s="222"/>
      <c r="AC3" s="223"/>
      <c r="AD3" s="222"/>
      <c r="AE3" s="222"/>
      <c r="AF3" s="222"/>
      <c r="AG3" s="223"/>
      <c r="AH3" s="222"/>
      <c r="AI3" s="222"/>
      <c r="AJ3" s="222"/>
      <c r="AK3" s="223"/>
      <c r="AL3" s="224"/>
      <c r="AM3" s="224"/>
      <c r="AN3" s="222"/>
      <c r="AO3" s="223"/>
      <c r="AV3" s="222"/>
      <c r="AW3" s="223"/>
      <c r="AX3" s="270"/>
      <c r="AY3" s="270"/>
      <c r="AZ3" s="558"/>
      <c r="BL3" s="225"/>
      <c r="BM3" s="225"/>
      <c r="BN3" s="225" t="s">
        <v>803</v>
      </c>
      <c r="BO3" s="225"/>
      <c r="BP3" s="225"/>
      <c r="BQ3" s="225"/>
      <c r="BR3" s="225"/>
      <c r="BS3" s="225"/>
      <c r="BT3" s="225"/>
      <c r="BU3" s="225"/>
      <c r="BV3" s="225"/>
      <c r="BW3" s="225"/>
      <c r="BX3" s="225"/>
    </row>
    <row r="4" spans="1:90" s="226" customFormat="1">
      <c r="A4" s="1349"/>
      <c r="B4" s="227" t="s">
        <v>133</v>
      </c>
      <c r="C4" s="228">
        <v>40238</v>
      </c>
      <c r="D4" s="228">
        <v>40603</v>
      </c>
      <c r="E4" s="228">
        <v>40969</v>
      </c>
      <c r="F4" s="228">
        <v>41334</v>
      </c>
      <c r="G4" s="228">
        <v>41699</v>
      </c>
      <c r="H4" s="228">
        <v>42064</v>
      </c>
      <c r="I4" s="228">
        <v>42430</v>
      </c>
      <c r="J4" s="1388">
        <v>42795</v>
      </c>
      <c r="K4" s="228">
        <v>43160</v>
      </c>
      <c r="L4" s="228">
        <v>43525</v>
      </c>
      <c r="M4" s="228">
        <v>43891</v>
      </c>
      <c r="N4" s="228">
        <v>44256</v>
      </c>
      <c r="O4" s="228">
        <v>44621</v>
      </c>
      <c r="P4" s="228">
        <v>44986</v>
      </c>
      <c r="Q4" s="228">
        <v>45352</v>
      </c>
      <c r="R4" s="228">
        <v>45717</v>
      </c>
      <c r="S4" s="229"/>
      <c r="T4" s="227" t="s">
        <v>720</v>
      </c>
      <c r="U4" s="17"/>
      <c r="V4" s="228">
        <v>40330</v>
      </c>
      <c r="W4" s="228">
        <v>40422</v>
      </c>
      <c r="X4" s="228">
        <v>40513</v>
      </c>
      <c r="Y4" s="228">
        <v>40603</v>
      </c>
      <c r="Z4" s="228">
        <v>40695</v>
      </c>
      <c r="AA4" s="228">
        <v>40787</v>
      </c>
      <c r="AB4" s="228">
        <v>40878</v>
      </c>
      <c r="AC4" s="228">
        <v>40969</v>
      </c>
      <c r="AD4" s="228">
        <v>41061</v>
      </c>
      <c r="AE4" s="228">
        <v>41153</v>
      </c>
      <c r="AF4" s="228">
        <v>41244</v>
      </c>
      <c r="AG4" s="1388">
        <v>41334</v>
      </c>
      <c r="AH4" s="228">
        <v>41426</v>
      </c>
      <c r="AI4" s="228">
        <v>41518</v>
      </c>
      <c r="AJ4" s="228">
        <v>41609</v>
      </c>
      <c r="AK4" s="231">
        <v>41699</v>
      </c>
      <c r="AL4" s="228">
        <v>41791</v>
      </c>
      <c r="AM4" s="228">
        <v>41883</v>
      </c>
      <c r="AN4" s="228">
        <v>41974</v>
      </c>
      <c r="AO4" s="231">
        <v>42064</v>
      </c>
      <c r="AP4" s="230">
        <v>42156</v>
      </c>
      <c r="AQ4" s="230">
        <v>42248</v>
      </c>
      <c r="AR4" s="230">
        <v>42339</v>
      </c>
      <c r="AS4" s="231">
        <v>42430</v>
      </c>
      <c r="AT4" s="230">
        <v>42522</v>
      </c>
      <c r="AU4" s="230">
        <v>42614</v>
      </c>
      <c r="AV4" s="230">
        <v>42705</v>
      </c>
      <c r="AW4" s="231">
        <v>42795</v>
      </c>
      <c r="AX4" s="230">
        <v>42887</v>
      </c>
      <c r="AY4" s="230">
        <v>42979</v>
      </c>
      <c r="AZ4" s="230">
        <v>43070</v>
      </c>
      <c r="BA4" s="231">
        <v>43160</v>
      </c>
      <c r="BB4" s="230">
        <v>43252</v>
      </c>
      <c r="BC4" s="230">
        <v>43344</v>
      </c>
      <c r="BD4" s="230">
        <v>43435</v>
      </c>
      <c r="BE4" s="230">
        <v>43525</v>
      </c>
      <c r="BF4" s="1276"/>
      <c r="BG4" s="814"/>
      <c r="BH4" s="229"/>
      <c r="BI4" s="1277" t="s">
        <v>3</v>
      </c>
      <c r="BJ4" s="226">
        <v>2012</v>
      </c>
      <c r="BK4" s="226">
        <v>2013</v>
      </c>
      <c r="BL4" s="1278" t="s">
        <v>353</v>
      </c>
      <c r="BM4" s="1278" t="s">
        <v>350</v>
      </c>
      <c r="BN4" s="1278" t="s">
        <v>351</v>
      </c>
      <c r="BO4" s="1278" t="s">
        <v>352</v>
      </c>
      <c r="BP4" s="1278" t="s">
        <v>354</v>
      </c>
      <c r="BQ4" s="1278" t="s">
        <v>355</v>
      </c>
      <c r="BR4" s="1278" t="s">
        <v>164</v>
      </c>
      <c r="BS4" s="1278" t="s">
        <v>165</v>
      </c>
      <c r="BT4" s="1278" t="s">
        <v>166</v>
      </c>
      <c r="BU4" s="1278" t="s">
        <v>56</v>
      </c>
      <c r="BV4" s="1278" t="s">
        <v>57</v>
      </c>
      <c r="BW4" s="1278" t="s">
        <v>477</v>
      </c>
      <c r="BX4" s="226" t="s">
        <v>167</v>
      </c>
      <c r="CG4"/>
      <c r="CH4"/>
      <c r="CI4"/>
      <c r="CJ4"/>
      <c r="CK4"/>
      <c r="CL4"/>
    </row>
    <row r="5" spans="1:90" s="226" customFormat="1">
      <c r="A5" s="1349"/>
      <c r="B5" s="227" t="s">
        <v>642</v>
      </c>
      <c r="C5" s="227">
        <v>2010</v>
      </c>
      <c r="D5" s="232">
        <v>2011</v>
      </c>
      <c r="E5" s="232">
        <v>2012</v>
      </c>
      <c r="F5" s="232">
        <v>2013</v>
      </c>
      <c r="G5" s="232">
        <v>2014</v>
      </c>
      <c r="H5" s="232">
        <v>2015</v>
      </c>
      <c r="I5" s="232">
        <v>2016</v>
      </c>
      <c r="J5" s="233">
        <v>2017</v>
      </c>
      <c r="K5" s="232" t="s">
        <v>58</v>
      </c>
      <c r="L5" s="232" t="s">
        <v>59</v>
      </c>
      <c r="M5" s="232" t="s">
        <v>60</v>
      </c>
      <c r="N5" s="232" t="s">
        <v>61</v>
      </c>
      <c r="O5" s="232" t="s">
        <v>62</v>
      </c>
      <c r="P5" s="232" t="s">
        <v>45</v>
      </c>
      <c r="Q5" s="232" t="s">
        <v>46</v>
      </c>
      <c r="R5" s="232" t="s">
        <v>44</v>
      </c>
      <c r="T5" s="227"/>
      <c r="U5" s="17"/>
      <c r="V5" s="232" t="s">
        <v>87</v>
      </c>
      <c r="W5" s="232" t="s">
        <v>88</v>
      </c>
      <c r="X5" s="232" t="s">
        <v>89</v>
      </c>
      <c r="Y5" s="232" t="s">
        <v>63</v>
      </c>
      <c r="Z5" s="232" t="s">
        <v>64</v>
      </c>
      <c r="AA5" s="232" t="s">
        <v>65</v>
      </c>
      <c r="AB5" s="232" t="s">
        <v>66</v>
      </c>
      <c r="AC5" s="232" t="s">
        <v>67</v>
      </c>
      <c r="AD5" s="232" t="s">
        <v>68</v>
      </c>
      <c r="AE5" s="232" t="s">
        <v>69</v>
      </c>
      <c r="AF5" s="232" t="s">
        <v>70</v>
      </c>
      <c r="AG5" s="233" t="s">
        <v>71</v>
      </c>
      <c r="AH5" s="232" t="s">
        <v>72</v>
      </c>
      <c r="AI5" s="232" t="s">
        <v>73</v>
      </c>
      <c r="AJ5" s="232" t="s">
        <v>74</v>
      </c>
      <c r="AK5" s="233" t="s">
        <v>75</v>
      </c>
      <c r="AL5" s="232" t="s">
        <v>76</v>
      </c>
      <c r="AM5" s="232" t="s">
        <v>77</v>
      </c>
      <c r="AN5" s="232" t="s">
        <v>78</v>
      </c>
      <c r="AO5" s="233" t="s">
        <v>79</v>
      </c>
      <c r="AP5" s="232" t="s">
        <v>135</v>
      </c>
      <c r="AQ5" s="232" t="s">
        <v>136</v>
      </c>
      <c r="AR5" s="232" t="s">
        <v>137</v>
      </c>
      <c r="AS5" s="233" t="s">
        <v>138</v>
      </c>
      <c r="AT5" s="232" t="s">
        <v>17</v>
      </c>
      <c r="AU5" s="232" t="s">
        <v>18</v>
      </c>
      <c r="AV5" s="232" t="s">
        <v>19</v>
      </c>
      <c r="AW5" s="233" t="s">
        <v>20</v>
      </c>
      <c r="AX5" s="232" t="s">
        <v>640</v>
      </c>
      <c r="AY5" s="232" t="s">
        <v>800</v>
      </c>
      <c r="AZ5" s="232" t="s">
        <v>801</v>
      </c>
      <c r="BA5" s="233" t="s">
        <v>636</v>
      </c>
      <c r="BB5" s="232" t="s">
        <v>776</v>
      </c>
      <c r="BC5" s="232" t="s">
        <v>777</v>
      </c>
      <c r="BD5" s="232" t="s">
        <v>778</v>
      </c>
      <c r="BE5" s="232" t="s">
        <v>779</v>
      </c>
      <c r="BF5" s="814"/>
      <c r="BG5" s="814"/>
      <c r="CG5"/>
      <c r="CH5"/>
      <c r="CI5"/>
      <c r="CJ5"/>
      <c r="CK5"/>
      <c r="CL5"/>
    </row>
    <row r="6" spans="1:90" s="235" customFormat="1">
      <c r="A6" s="1348"/>
      <c r="B6" s="1013" t="s">
        <v>669</v>
      </c>
      <c r="C6" s="1014">
        <f>Valuation!C4</f>
        <v>6.8310854724137897</v>
      </c>
      <c r="D6" s="1014">
        <f>Valuation!D4</f>
        <v>6.4645234154184879</v>
      </c>
      <c r="E6" s="1014">
        <f>Valuation!E4</f>
        <v>6.3964545004545466</v>
      </c>
      <c r="F6" s="1014">
        <f>Valuation!F4</f>
        <v>6.2878499814248245</v>
      </c>
      <c r="G6" s="1014">
        <f>Valuation!G4</f>
        <v>6.117855770250582</v>
      </c>
      <c r="H6" s="1014">
        <f>Valuation!H4</f>
        <v>6.1989999999999998</v>
      </c>
      <c r="I6" s="1014">
        <f>Valuation!I4</f>
        <v>6.4480000000000004</v>
      </c>
      <c r="J6" s="1015">
        <f>Valuation!J4</f>
        <v>6.8832000000000004</v>
      </c>
      <c r="K6" s="1014">
        <f>Valuation!K4</f>
        <v>6.9250000000000007</v>
      </c>
      <c r="L6" s="1014">
        <f>Valuation!L4</f>
        <v>6.9250000000000007</v>
      </c>
      <c r="M6" s="1014">
        <f>Valuation!M4</f>
        <v>6.9250000000000007</v>
      </c>
      <c r="N6" s="1014">
        <f>Valuation!N4</f>
        <v>6.9250000000000007</v>
      </c>
      <c r="O6" s="1014">
        <f>Valuation!O4</f>
        <v>6.9250000000000007</v>
      </c>
      <c r="P6" s="1014">
        <f>Valuation!P4</f>
        <v>6.9250000000000007</v>
      </c>
      <c r="Q6" s="1014">
        <f>Valuation!Q4</f>
        <v>6.9250000000000007</v>
      </c>
      <c r="R6" s="1014">
        <f>Valuation!R4</f>
        <v>6.9250000000000007</v>
      </c>
      <c r="S6" s="220"/>
      <c r="T6" s="1013"/>
      <c r="U6" s="9"/>
      <c r="V6" s="1014">
        <f>$D$6</f>
        <v>6.4645234154184879</v>
      </c>
      <c r="W6" s="1014">
        <f>$D$6</f>
        <v>6.4645234154184879</v>
      </c>
      <c r="X6" s="1014">
        <f>$D$6</f>
        <v>6.4645234154184879</v>
      </c>
      <c r="Y6" s="1014">
        <f>$D$6</f>
        <v>6.4645234154184879</v>
      </c>
      <c r="Z6" s="1014">
        <f>$E$6</f>
        <v>6.3964545004545466</v>
      </c>
      <c r="AA6" s="1014">
        <f>$E$6</f>
        <v>6.3964545004545466</v>
      </c>
      <c r="AB6" s="1014">
        <f>$E$6</f>
        <v>6.3964545004545466</v>
      </c>
      <c r="AC6" s="1014">
        <f>$E$6</f>
        <v>6.3964545004545466</v>
      </c>
      <c r="AD6" s="1014">
        <f>$F$6</f>
        <v>6.2878499814248245</v>
      </c>
      <c r="AE6" s="1014">
        <f>$F$6</f>
        <v>6.2878499814248245</v>
      </c>
      <c r="AF6" s="1014">
        <f>$F$6</f>
        <v>6.2878499814248245</v>
      </c>
      <c r="AG6" s="1015">
        <f>$F$6</f>
        <v>6.2878499814248245</v>
      </c>
      <c r="AH6" s="1014">
        <f>$G$6</f>
        <v>6.117855770250582</v>
      </c>
      <c r="AI6" s="1014">
        <f>$G$6</f>
        <v>6.117855770250582</v>
      </c>
      <c r="AJ6" s="1014">
        <f>$G$6</f>
        <v>6.117855770250582</v>
      </c>
      <c r="AK6" s="1015">
        <f>$G$6</f>
        <v>6.117855770250582</v>
      </c>
      <c r="AL6" s="1014">
        <f>$H$6</f>
        <v>6.1989999999999998</v>
      </c>
      <c r="AM6" s="1014">
        <f>$H$6</f>
        <v>6.1989999999999998</v>
      </c>
      <c r="AN6" s="1014">
        <f>$H$6</f>
        <v>6.1989999999999998</v>
      </c>
      <c r="AO6" s="1015">
        <f>$H$6</f>
        <v>6.1989999999999998</v>
      </c>
      <c r="AP6" s="1014">
        <f>$I$6</f>
        <v>6.4480000000000004</v>
      </c>
      <c r="AQ6" s="1014">
        <f>$I$6</f>
        <v>6.4480000000000004</v>
      </c>
      <c r="AR6" s="1014">
        <f>$I$6</f>
        <v>6.4480000000000004</v>
      </c>
      <c r="AS6" s="1015">
        <f>$I$6</f>
        <v>6.4480000000000004</v>
      </c>
      <c r="AT6" s="1014">
        <f>$J$6</f>
        <v>6.8832000000000004</v>
      </c>
      <c r="AU6" s="1014">
        <f>$J$6</f>
        <v>6.8832000000000004</v>
      </c>
      <c r="AV6" s="1014">
        <f>$J$6</f>
        <v>6.8832000000000004</v>
      </c>
      <c r="AW6" s="1015">
        <f>$J$6</f>
        <v>6.8832000000000004</v>
      </c>
      <c r="AX6" s="1014">
        <f>$K$6</f>
        <v>6.9250000000000007</v>
      </c>
      <c r="AY6" s="1014">
        <f>$K$6</f>
        <v>6.9250000000000007</v>
      </c>
      <c r="AZ6" s="1014">
        <f>$K$6</f>
        <v>6.9250000000000007</v>
      </c>
      <c r="BA6" s="1015">
        <f>$K$6</f>
        <v>6.9250000000000007</v>
      </c>
      <c r="BB6" s="1014">
        <f>$L$6</f>
        <v>6.9250000000000007</v>
      </c>
      <c r="BC6" s="1014">
        <f>$L$6</f>
        <v>6.9250000000000007</v>
      </c>
      <c r="BD6" s="1014">
        <f>$L$6</f>
        <v>6.9250000000000007</v>
      </c>
      <c r="BE6" s="1014">
        <f>$L$6</f>
        <v>6.9250000000000007</v>
      </c>
      <c r="BF6" s="220"/>
      <c r="BG6" s="220"/>
      <c r="BH6" s="220"/>
      <c r="BI6" s="220"/>
      <c r="BJ6" s="1279"/>
      <c r="BK6" s="220"/>
      <c r="BL6" s="220"/>
      <c r="BM6" s="220"/>
      <c r="BN6" s="220"/>
      <c r="BO6" s="220"/>
      <c r="BP6" s="220"/>
      <c r="BQ6" s="220"/>
      <c r="BR6" s="220"/>
      <c r="BS6" s="220"/>
      <c r="BT6" s="220"/>
      <c r="BU6" s="220"/>
      <c r="BV6" s="220"/>
      <c r="BW6" s="220"/>
      <c r="BX6" s="220"/>
      <c r="BY6" s="220"/>
      <c r="BZ6" s="220"/>
      <c r="CA6" s="220"/>
      <c r="CB6" s="220"/>
      <c r="CC6" s="220"/>
      <c r="CD6" s="234"/>
      <c r="CE6" s="234"/>
      <c r="CF6" s="234"/>
      <c r="CG6"/>
      <c r="CH6"/>
      <c r="CI6"/>
      <c r="CJ6"/>
      <c r="CK6"/>
      <c r="CL6"/>
    </row>
    <row r="7" spans="1:90">
      <c r="B7" s="236" t="s">
        <v>697</v>
      </c>
      <c r="C7" s="237"/>
      <c r="D7" s="237"/>
      <c r="E7" s="237"/>
      <c r="F7" s="237"/>
      <c r="G7" s="237"/>
      <c r="H7" s="237"/>
      <c r="I7" s="237"/>
      <c r="J7" s="1389"/>
      <c r="K7" s="1382"/>
      <c r="L7" s="237"/>
      <c r="M7" s="237"/>
      <c r="N7" s="237"/>
      <c r="O7" s="237"/>
      <c r="P7" s="237"/>
      <c r="Q7" s="237"/>
      <c r="R7" s="237"/>
      <c r="T7" s="237"/>
      <c r="V7" s="237"/>
      <c r="W7" s="237"/>
      <c r="X7" s="237"/>
      <c r="Y7" s="237"/>
      <c r="Z7" s="237"/>
      <c r="AA7" s="237"/>
      <c r="AB7" s="237"/>
      <c r="AC7" s="237"/>
      <c r="AD7" s="237"/>
      <c r="AE7" s="237"/>
      <c r="AF7" s="237"/>
      <c r="AG7" s="1395"/>
      <c r="AH7" s="237"/>
      <c r="AI7" s="237"/>
      <c r="AJ7" s="237"/>
      <c r="AK7" s="1395"/>
      <c r="AL7" s="237"/>
      <c r="AM7" s="237"/>
      <c r="AN7" s="237"/>
      <c r="AO7" s="239"/>
      <c r="AP7" s="238"/>
      <c r="AQ7" s="238"/>
      <c r="AR7" s="238"/>
      <c r="AS7" s="239"/>
      <c r="AT7" s="238"/>
      <c r="AU7" s="238"/>
      <c r="AV7" s="238"/>
      <c r="AW7" s="239"/>
      <c r="AX7" s="1259"/>
      <c r="AY7" s="240"/>
      <c r="AZ7" s="240"/>
      <c r="BA7" s="1518"/>
      <c r="BB7" s="240"/>
      <c r="BC7" s="240"/>
      <c r="BD7" s="240"/>
      <c r="BE7" s="240"/>
      <c r="BG7" s="15"/>
      <c r="BJ7" s="454"/>
      <c r="BK7" s="454"/>
      <c r="BL7" s="454"/>
      <c r="BM7" s="454"/>
      <c r="BN7" s="454"/>
      <c r="BO7" s="454"/>
      <c r="BP7" s="454"/>
      <c r="BQ7" s="454"/>
    </row>
    <row r="8" spans="1:90" outlineLevel="1">
      <c r="B8" s="13" t="s">
        <v>91</v>
      </c>
      <c r="AV8" s="222"/>
      <c r="AZ8" s="498"/>
    </row>
    <row r="9" spans="1:90" s="13" customFormat="1" outlineLevel="1">
      <c r="A9" s="1349"/>
      <c r="B9" s="144" t="s">
        <v>596</v>
      </c>
      <c r="C9" s="242">
        <f t="shared" ref="C9" si="0">C10+C11+C12+C13+C14+C15</f>
        <v>6336</v>
      </c>
      <c r="D9" s="242">
        <f t="shared" ref="D9" si="1">D10+D11+D12+D13+D14+D15</f>
        <v>11098</v>
      </c>
      <c r="E9" s="242">
        <f t="shared" ref="E9" si="2">E10+E11+E12+E13+E14+E15</f>
        <v>19402</v>
      </c>
      <c r="F9" s="242">
        <f t="shared" ref="F9" si="3">F10+F11+F12+F13+F14+F15</f>
        <v>33327</v>
      </c>
      <c r="G9" s="242">
        <f t="shared" ref="G9" si="4">G10+G11+G12+G13+G14+G15</f>
        <v>49983</v>
      </c>
      <c r="H9" s="242">
        <f t="shared" ref="H9" si="5">H10+H11+H12+H13+H14+H15</f>
        <v>69423</v>
      </c>
      <c r="I9" s="242">
        <f t="shared" ref="I9:L9" si="6">I10+I11+I12+I13+I14+I15</f>
        <v>92335</v>
      </c>
      <c r="J9" s="246">
        <f t="shared" si="6"/>
        <v>133880</v>
      </c>
      <c r="K9" s="242">
        <f t="shared" ref="K9" si="7">K10+K11+K12+K13+K14+K15</f>
        <v>212914.06960419999</v>
      </c>
      <c r="L9" s="242">
        <f t="shared" si="6"/>
        <v>289660.05537454574</v>
      </c>
      <c r="M9" s="242">
        <f t="shared" ref="M9" si="8">M10+M11+M12+M13+M14+M15</f>
        <v>372183.65418766765</v>
      </c>
      <c r="N9" s="242">
        <f t="shared" ref="N9" si="9">N10+N11+N12+N13+N14+N15</f>
        <v>445372.75233840587</v>
      </c>
      <c r="O9" s="242">
        <f t="shared" ref="O9" si="10">O10+O11+O12+O13+O14+O15</f>
        <v>525426.0396802139</v>
      </c>
      <c r="P9" s="242">
        <f t="shared" ref="P9" si="11">P10+P11+P12+P13+P14+P15</f>
        <v>630393.62520372367</v>
      </c>
      <c r="Q9" s="242">
        <f t="shared" ref="Q9" si="12">Q10+Q11+Q12+Q13+Q14+Q15</f>
        <v>710372.55093389924</v>
      </c>
      <c r="R9" s="242">
        <f t="shared" ref="R9" si="13">R10+R11+R12+R13+R14+R15</f>
        <v>790943.92518138268</v>
      </c>
      <c r="T9" s="14">
        <f>(M9/J9)^(1/3)-1</f>
        <v>0.40609241003900265</v>
      </c>
      <c r="V9" s="243"/>
      <c r="W9" s="243"/>
      <c r="X9" s="243"/>
      <c r="Y9" s="244"/>
      <c r="Z9" s="139"/>
      <c r="AA9" s="139"/>
      <c r="AB9" s="139"/>
      <c r="AC9" s="245"/>
      <c r="AD9" s="139"/>
      <c r="AE9" s="139"/>
      <c r="AF9" s="139"/>
      <c r="AG9" s="245"/>
      <c r="AH9" s="139"/>
      <c r="AI9" s="139"/>
      <c r="AJ9" s="139"/>
      <c r="AK9" s="245"/>
      <c r="AL9" s="139"/>
      <c r="AM9" s="139"/>
      <c r="AN9" s="139"/>
      <c r="AO9" s="245"/>
      <c r="AP9" s="242">
        <f t="shared" ref="AP9" si="14">AP10+AP11+AP12+AP13+AP14+AP15</f>
        <v>18538</v>
      </c>
      <c r="AQ9" s="242">
        <f t="shared" ref="AQ9" si="15">AQ10+AQ11+AQ12+AQ13+AQ14+AQ15</f>
        <v>20231</v>
      </c>
      <c r="AR9" s="242">
        <f t="shared" ref="AR9" si="16">AR10+AR11+AR12+AR13+AR14+AR15</f>
        <v>32111</v>
      </c>
      <c r="AS9" s="246">
        <f>AS10+AS11+AS12+AS13+AS14+AS15</f>
        <v>21455</v>
      </c>
      <c r="AT9" s="242">
        <f t="shared" ref="AT9" si="17">AT10+AT11+AT12+AT13+AT14+AT15</f>
        <v>27241</v>
      </c>
      <c r="AU9" s="242">
        <f t="shared" ref="AU9" si="18">AU10+AU11+AU12+AU13+AU14+AU15</f>
        <v>28493</v>
      </c>
      <c r="AV9" s="242">
        <f t="shared" ref="AV9" si="19">AV10+AV11+AV12+AV13+AV14+AV15</f>
        <v>46576</v>
      </c>
      <c r="AW9" s="246">
        <f>AW10+AW11+AW12+AW13+AW14+AW15</f>
        <v>31570</v>
      </c>
      <c r="AX9" s="242">
        <f t="shared" ref="AX9" si="20">AX10+AX11+AX12+AX13+AX14+AX15</f>
        <v>43027</v>
      </c>
      <c r="AY9" s="242">
        <f t="shared" ref="AY9" si="21">AY10+AY11+AY12+AY13+AY14+AY15</f>
        <v>46462</v>
      </c>
      <c r="AZ9" s="242">
        <f t="shared" ref="AZ9" si="22">AZ10+AZ11+AZ12+AZ13+AZ14+AZ15</f>
        <v>73244</v>
      </c>
      <c r="BA9" s="246">
        <f>BA10+BA11+BA12+BA13+BA14+BA15</f>
        <v>50181.069604199969</v>
      </c>
      <c r="BB9" s="242">
        <f t="shared" ref="BB9:BD9" si="23">BB10+BB11+BB12+BB13+BB14+BB15</f>
        <v>62894.05199800001</v>
      </c>
      <c r="BC9" s="242">
        <f t="shared" si="23"/>
        <v>65787.453734879993</v>
      </c>
      <c r="BD9" s="242">
        <f t="shared" si="23"/>
        <v>94904.607088799981</v>
      </c>
      <c r="BE9" s="242">
        <f>BE10+BE11+BE12+BE13+BE14+BE15</f>
        <v>66073.942552865716</v>
      </c>
      <c r="BF9" s="139"/>
      <c r="BG9" s="14"/>
      <c r="BI9" s="517"/>
      <c r="BJ9" s="313"/>
      <c r="BK9" s="313"/>
      <c r="BL9" s="313"/>
      <c r="BM9" s="313"/>
      <c r="BN9" s="313">
        <f>SUM(AS9:AV9)</f>
        <v>123765</v>
      </c>
      <c r="BO9" s="313">
        <f>SUM(AW9:AZ9)</f>
        <v>194303</v>
      </c>
      <c r="BP9" s="313">
        <f>SUM(BA9:BD9)</f>
        <v>273767.18242587993</v>
      </c>
      <c r="BQ9" s="389"/>
      <c r="CG9"/>
      <c r="CH9"/>
      <c r="CI9"/>
      <c r="CJ9"/>
      <c r="CK9"/>
      <c r="CL9"/>
    </row>
    <row r="10" spans="1:90" outlineLevel="1">
      <c r="B10" s="248" t="s">
        <v>16</v>
      </c>
      <c r="C10" s="249">
        <f t="shared" ref="C10:R10" si="24">C162</f>
        <v>2335</v>
      </c>
      <c r="D10" s="249">
        <f t="shared" si="24"/>
        <v>5952</v>
      </c>
      <c r="E10" s="249">
        <f t="shared" si="24"/>
        <v>13422</v>
      </c>
      <c r="F10" s="249">
        <f t="shared" si="24"/>
        <v>26970</v>
      </c>
      <c r="G10" s="249">
        <f t="shared" si="24"/>
        <v>42832</v>
      </c>
      <c r="H10" s="249">
        <f t="shared" si="24"/>
        <v>59732</v>
      </c>
      <c r="I10" s="249">
        <f t="shared" si="24"/>
        <v>80033</v>
      </c>
      <c r="J10" s="254">
        <f t="shared" si="24"/>
        <v>114109</v>
      </c>
      <c r="K10" s="249">
        <f t="shared" si="24"/>
        <v>176623.82850419998</v>
      </c>
      <c r="L10" s="249">
        <f t="shared" si="24"/>
        <v>239264.44580454568</v>
      </c>
      <c r="M10" s="249">
        <f t="shared" si="24"/>
        <v>313272.01746376767</v>
      </c>
      <c r="N10" s="249">
        <f t="shared" si="24"/>
        <v>378176.16971030022</v>
      </c>
      <c r="O10" s="249">
        <f t="shared" si="24"/>
        <v>450384.86743450252</v>
      </c>
      <c r="P10" s="249">
        <f t="shared" si="24"/>
        <v>548091.24666170287</v>
      </c>
      <c r="Q10" s="249">
        <f t="shared" si="24"/>
        <v>621473.91583684599</v>
      </c>
      <c r="R10" s="249">
        <f t="shared" si="24"/>
        <v>696144.81702423049</v>
      </c>
      <c r="T10" s="15">
        <f t="shared" ref="T10:T19" si="25">(M10/J10)^(1/3)-1</f>
        <v>0.40023383665429124</v>
      </c>
      <c r="V10" s="250"/>
      <c r="W10" s="250"/>
      <c r="X10" s="250"/>
      <c r="Y10" s="251"/>
      <c r="Z10" s="252"/>
      <c r="AA10" s="252"/>
      <c r="AB10" s="252"/>
      <c r="AC10" s="253"/>
      <c r="AD10" s="252"/>
      <c r="AE10" s="252"/>
      <c r="AF10" s="252"/>
      <c r="AG10" s="253"/>
      <c r="AH10" s="252"/>
      <c r="AI10" s="252"/>
      <c r="AJ10" s="252"/>
      <c r="AK10" s="253"/>
      <c r="AL10" s="252"/>
      <c r="AM10" s="252"/>
      <c r="AN10" s="252"/>
      <c r="AO10" s="253"/>
      <c r="AP10" s="249">
        <f t="shared" ref="AP10:AW10" si="26">AP162</f>
        <v>15712</v>
      </c>
      <c r="AQ10" s="249">
        <f t="shared" si="26"/>
        <v>17267</v>
      </c>
      <c r="AR10" s="249">
        <f t="shared" si="26"/>
        <v>28714</v>
      </c>
      <c r="AS10" s="254">
        <f t="shared" si="26"/>
        <v>18340</v>
      </c>
      <c r="AT10" s="249">
        <f t="shared" si="26"/>
        <v>23383</v>
      </c>
      <c r="AU10" s="249">
        <f t="shared" si="26"/>
        <v>24109</v>
      </c>
      <c r="AV10" s="249">
        <f t="shared" si="26"/>
        <v>40802</v>
      </c>
      <c r="AW10" s="254">
        <f t="shared" si="26"/>
        <v>25815</v>
      </c>
      <c r="AX10" s="249">
        <f t="shared" ref="AX10:BE10" si="27">AX162</f>
        <v>36712</v>
      </c>
      <c r="AY10" s="249">
        <f t="shared" si="27"/>
        <v>39557</v>
      </c>
      <c r="AZ10" s="249">
        <f t="shared" si="27"/>
        <v>60105</v>
      </c>
      <c r="BA10" s="254">
        <f t="shared" si="27"/>
        <v>40249.82850419997</v>
      </c>
      <c r="BB10" s="249">
        <f>BB162</f>
        <v>51719.991048000011</v>
      </c>
      <c r="BC10" s="249">
        <f t="shared" si="27"/>
        <v>54147.916394879998</v>
      </c>
      <c r="BD10" s="249">
        <f t="shared" si="27"/>
        <v>79889.829580799982</v>
      </c>
      <c r="BE10" s="249">
        <f t="shared" si="27"/>
        <v>53506.708780865716</v>
      </c>
      <c r="BF10" s="252"/>
      <c r="BG10" s="15"/>
      <c r="BI10" s="1294"/>
      <c r="BJ10" s="307"/>
      <c r="BK10" s="307"/>
      <c r="BL10" s="307"/>
      <c r="BM10" s="307"/>
      <c r="BN10" s="307"/>
      <c r="BO10" s="307"/>
      <c r="BP10" s="307"/>
      <c r="BQ10" s="454"/>
    </row>
    <row r="11" spans="1:90" outlineLevel="1">
      <c r="B11" s="248" t="s">
        <v>53</v>
      </c>
      <c r="C11" s="249">
        <f t="shared" ref="C11:R11" si="28">C224</f>
        <v>1381</v>
      </c>
      <c r="D11" s="249">
        <f t="shared" si="28"/>
        <v>1713</v>
      </c>
      <c r="E11" s="249">
        <f t="shared" si="28"/>
        <v>2215</v>
      </c>
      <c r="F11" s="249">
        <f t="shared" si="28"/>
        <v>2197</v>
      </c>
      <c r="G11" s="249">
        <f t="shared" si="28"/>
        <v>2300</v>
      </c>
      <c r="H11" s="249">
        <f t="shared" si="28"/>
        <v>3205</v>
      </c>
      <c r="I11" s="249">
        <f t="shared" si="28"/>
        <v>4288</v>
      </c>
      <c r="J11" s="254">
        <f t="shared" si="28"/>
        <v>5679</v>
      </c>
      <c r="K11" s="249">
        <f t="shared" si="28"/>
        <v>6985.17</v>
      </c>
      <c r="L11" s="249">
        <f t="shared" si="28"/>
        <v>8032.9454999999998</v>
      </c>
      <c r="M11" s="249">
        <f t="shared" si="28"/>
        <v>8916.5695050000013</v>
      </c>
      <c r="N11" s="249">
        <f t="shared" si="28"/>
        <v>9701.2276214400026</v>
      </c>
      <c r="O11" s="249">
        <f t="shared" si="28"/>
        <v>10384.194045989379</v>
      </c>
      <c r="P11" s="249">
        <f t="shared" si="28"/>
        <v>10969.031854659501</v>
      </c>
      <c r="Q11" s="249">
        <f t="shared" si="28"/>
        <v>11463.252553903039</v>
      </c>
      <c r="R11" s="249">
        <f t="shared" si="28"/>
        <v>11876.443199557963</v>
      </c>
      <c r="T11" s="15">
        <f t="shared" si="25"/>
        <v>0.16227432317089696</v>
      </c>
      <c r="V11" s="250"/>
      <c r="W11" s="250"/>
      <c r="X11" s="250"/>
      <c r="Y11" s="251"/>
      <c r="Z11" s="252"/>
      <c r="AA11" s="252"/>
      <c r="AB11" s="252"/>
      <c r="AC11" s="253"/>
      <c r="AD11" s="252"/>
      <c r="AE11" s="252"/>
      <c r="AF11" s="252"/>
      <c r="AG11" s="253"/>
      <c r="AH11" s="252"/>
      <c r="AI11" s="252"/>
      <c r="AJ11" s="252"/>
      <c r="AK11" s="253"/>
      <c r="AL11" s="252"/>
      <c r="AM11" s="252"/>
      <c r="AN11" s="252"/>
      <c r="AO11" s="253"/>
      <c r="AP11" s="249">
        <f t="shared" ref="AP11:AW11" si="29">AP224</f>
        <v>997</v>
      </c>
      <c r="AQ11" s="249">
        <f t="shared" si="29"/>
        <v>1046</v>
      </c>
      <c r="AR11" s="249">
        <f t="shared" si="29"/>
        <v>1162</v>
      </c>
      <c r="AS11" s="254">
        <f t="shared" si="29"/>
        <v>1083</v>
      </c>
      <c r="AT11" s="249">
        <f t="shared" si="29"/>
        <v>1261</v>
      </c>
      <c r="AU11" s="249">
        <f t="shared" si="29"/>
        <v>1435</v>
      </c>
      <c r="AV11" s="249">
        <f t="shared" si="29"/>
        <v>1514</v>
      </c>
      <c r="AW11" s="254">
        <f t="shared" si="29"/>
        <v>1469</v>
      </c>
      <c r="AX11" s="249">
        <f t="shared" ref="AX11:BE11" si="30">AX224</f>
        <v>1641</v>
      </c>
      <c r="AY11" s="249">
        <f t="shared" si="30"/>
        <v>1714</v>
      </c>
      <c r="AZ11" s="249">
        <f t="shared" si="30"/>
        <v>1926</v>
      </c>
      <c r="BA11" s="254">
        <f t="shared" si="30"/>
        <v>1704.17</v>
      </c>
      <c r="BB11" s="249">
        <f t="shared" si="30"/>
        <v>1887.1499999999999</v>
      </c>
      <c r="BC11" s="249">
        <f t="shared" si="30"/>
        <v>1971.1</v>
      </c>
      <c r="BD11" s="249">
        <f t="shared" si="30"/>
        <v>2253.42</v>
      </c>
      <c r="BE11" s="249">
        <f t="shared" si="30"/>
        <v>1921.2754999999997</v>
      </c>
      <c r="BF11" s="252"/>
      <c r="BG11" s="15"/>
      <c r="BI11" s="1294"/>
      <c r="BJ11" s="307"/>
      <c r="BK11" s="307"/>
      <c r="BL11" s="307"/>
      <c r="BM11" s="307"/>
      <c r="BN11" s="307"/>
      <c r="BO11" s="307"/>
      <c r="BP11" s="307"/>
      <c r="BQ11" s="454"/>
    </row>
    <row r="12" spans="1:90" outlineLevel="1">
      <c r="B12" s="248" t="s">
        <v>613</v>
      </c>
      <c r="C12" s="249">
        <f t="shared" ref="C12:R12" si="31">C232</f>
        <v>52.4</v>
      </c>
      <c r="D12" s="249">
        <f t="shared" si="31"/>
        <v>102.99</v>
      </c>
      <c r="E12" s="249">
        <f t="shared" si="31"/>
        <v>223</v>
      </c>
      <c r="F12" s="249">
        <f t="shared" si="31"/>
        <v>392</v>
      </c>
      <c r="G12" s="249">
        <f t="shared" si="31"/>
        <v>938</v>
      </c>
      <c r="H12" s="249">
        <f t="shared" si="31"/>
        <v>1768</v>
      </c>
      <c r="I12" s="249">
        <f t="shared" si="31"/>
        <v>2204</v>
      </c>
      <c r="J12" s="254">
        <f t="shared" si="31"/>
        <v>7336</v>
      </c>
      <c r="K12" s="249">
        <f t="shared" si="31"/>
        <v>13478.971099999999</v>
      </c>
      <c r="L12" s="249">
        <f t="shared" si="31"/>
        <v>16894.287069999998</v>
      </c>
      <c r="M12" s="249">
        <f t="shared" si="31"/>
        <v>20492.491368899999</v>
      </c>
      <c r="N12" s="249">
        <f t="shared" si="31"/>
        <v>23987.127322665598</v>
      </c>
      <c r="O12" s="249">
        <f t="shared" si="31"/>
        <v>27261.920743434042</v>
      </c>
      <c r="P12" s="249">
        <f t="shared" si="31"/>
        <v>30241.169313034989</v>
      </c>
      <c r="Q12" s="249">
        <f t="shared" si="31"/>
        <v>32886.304259372118</v>
      </c>
      <c r="R12" s="249">
        <f t="shared" si="31"/>
        <v>35188.408630990692</v>
      </c>
      <c r="T12" s="15">
        <f t="shared" si="25"/>
        <v>0.40835393880172721</v>
      </c>
      <c r="V12" s="250"/>
      <c r="W12" s="250"/>
      <c r="X12" s="250"/>
      <c r="Y12" s="251"/>
      <c r="Z12" s="252"/>
      <c r="AA12" s="252"/>
      <c r="AB12" s="252"/>
      <c r="AC12" s="253"/>
      <c r="AD12" s="252"/>
      <c r="AE12" s="252"/>
      <c r="AF12" s="252"/>
      <c r="AG12" s="253"/>
      <c r="AH12" s="252"/>
      <c r="AI12" s="252"/>
      <c r="AJ12" s="252"/>
      <c r="AK12" s="253"/>
      <c r="AL12" s="252"/>
      <c r="AM12" s="252"/>
      <c r="AN12" s="252"/>
      <c r="AO12" s="253"/>
      <c r="AP12" s="249">
        <f t="shared" ref="AP12:AW12" si="32">AP232</f>
        <v>501</v>
      </c>
      <c r="AQ12" s="249">
        <f t="shared" si="32"/>
        <v>481</v>
      </c>
      <c r="AR12" s="249">
        <f t="shared" si="32"/>
        <v>632</v>
      </c>
      <c r="AS12" s="254">
        <f t="shared" si="32"/>
        <v>590</v>
      </c>
      <c r="AT12" s="249">
        <f t="shared" si="32"/>
        <v>1117</v>
      </c>
      <c r="AU12" s="249">
        <f t="shared" si="32"/>
        <v>1338</v>
      </c>
      <c r="AV12" s="249">
        <f t="shared" si="32"/>
        <v>2452</v>
      </c>
      <c r="AW12" s="254">
        <f t="shared" si="32"/>
        <v>2429</v>
      </c>
      <c r="AX12" s="249">
        <f t="shared" ref="AX12:BE12" si="33">AX232</f>
        <v>2638</v>
      </c>
      <c r="AY12" s="249">
        <f t="shared" si="33"/>
        <v>2878</v>
      </c>
      <c r="AZ12" s="249">
        <f t="shared" si="33"/>
        <v>4733</v>
      </c>
      <c r="BA12" s="254">
        <f t="shared" si="33"/>
        <v>3229.9710999999998</v>
      </c>
      <c r="BB12" s="249">
        <f t="shared" si="33"/>
        <v>3286.16095</v>
      </c>
      <c r="BC12" s="249">
        <f t="shared" si="33"/>
        <v>3708.16734</v>
      </c>
      <c r="BD12" s="249">
        <f t="shared" si="33"/>
        <v>5519.0275080000001</v>
      </c>
      <c r="BE12" s="249">
        <f t="shared" si="33"/>
        <v>4380.9312719999998</v>
      </c>
      <c r="BF12" s="252"/>
      <c r="BG12" s="15"/>
      <c r="BI12" s="1294"/>
      <c r="BJ12" s="307"/>
      <c r="BK12" s="307"/>
      <c r="BL12" s="307"/>
      <c r="BM12" s="307"/>
      <c r="BN12" s="307"/>
      <c r="BO12" s="307"/>
      <c r="BP12" s="307"/>
      <c r="BQ12" s="454"/>
    </row>
    <row r="13" spans="1:90" outlineLevel="1">
      <c r="B13" s="248" t="s">
        <v>580</v>
      </c>
      <c r="C13" s="249">
        <f t="shared" ref="C13:R13" si="34">C254</f>
        <v>2567.6</v>
      </c>
      <c r="D13" s="249">
        <f t="shared" si="34"/>
        <v>3330.01</v>
      </c>
      <c r="E13" s="249">
        <f t="shared" si="34"/>
        <v>3542</v>
      </c>
      <c r="F13" s="249">
        <f t="shared" si="34"/>
        <v>3768</v>
      </c>
      <c r="G13" s="249">
        <f t="shared" si="34"/>
        <v>3913</v>
      </c>
      <c r="H13" s="249">
        <f t="shared" si="34"/>
        <v>4718</v>
      </c>
      <c r="I13" s="249">
        <f t="shared" si="34"/>
        <v>5425</v>
      </c>
      <c r="J13" s="254">
        <f t="shared" si="34"/>
        <v>6001</v>
      </c>
      <c r="K13" s="249">
        <f t="shared" si="34"/>
        <v>6601.1</v>
      </c>
      <c r="L13" s="249">
        <f t="shared" si="34"/>
        <v>7063.1770000000006</v>
      </c>
      <c r="M13" s="249">
        <f t="shared" si="34"/>
        <v>7416.3358500000013</v>
      </c>
      <c r="N13" s="249">
        <f t="shared" si="34"/>
        <v>7712.989284000002</v>
      </c>
      <c r="O13" s="249">
        <f t="shared" si="34"/>
        <v>7959.8049410880021</v>
      </c>
      <c r="P13" s="249">
        <f t="shared" si="34"/>
        <v>8163.5759475798559</v>
      </c>
      <c r="Q13" s="249">
        <f t="shared" si="34"/>
        <v>8330.7659829862914</v>
      </c>
      <c r="R13" s="249">
        <f t="shared" si="34"/>
        <v>8467.2572528515393</v>
      </c>
      <c r="T13" s="15">
        <f t="shared" si="25"/>
        <v>7.3137210242663953E-2</v>
      </c>
      <c r="V13" s="250"/>
      <c r="W13" s="250"/>
      <c r="X13" s="250"/>
      <c r="Y13" s="251"/>
      <c r="Z13" s="252"/>
      <c r="AA13" s="252"/>
      <c r="AB13" s="252"/>
      <c r="AC13" s="253"/>
      <c r="AD13" s="252"/>
      <c r="AE13" s="252"/>
      <c r="AF13" s="252"/>
      <c r="AG13" s="253"/>
      <c r="AH13" s="252"/>
      <c r="AI13" s="252"/>
      <c r="AJ13" s="252"/>
      <c r="AK13" s="253"/>
      <c r="AL13" s="252"/>
      <c r="AM13" s="252"/>
      <c r="AN13" s="252"/>
      <c r="AO13" s="253"/>
      <c r="AP13" s="249">
        <f t="shared" ref="AP13:AW13" si="35">AP254</f>
        <v>1245</v>
      </c>
      <c r="AQ13" s="249">
        <f t="shared" si="35"/>
        <v>1355</v>
      </c>
      <c r="AR13" s="249">
        <f t="shared" si="35"/>
        <v>1430</v>
      </c>
      <c r="AS13" s="254">
        <f t="shared" si="35"/>
        <v>1395</v>
      </c>
      <c r="AT13" s="249">
        <f t="shared" si="35"/>
        <v>1432</v>
      </c>
      <c r="AU13" s="249">
        <f t="shared" si="35"/>
        <v>1506</v>
      </c>
      <c r="AV13" s="249">
        <f t="shared" si="35"/>
        <v>1554</v>
      </c>
      <c r="AW13" s="254">
        <f t="shared" si="35"/>
        <v>1509</v>
      </c>
      <c r="AX13" s="249">
        <f t="shared" ref="AX13:BE13" si="36">AX254</f>
        <v>1609</v>
      </c>
      <c r="AY13" s="249">
        <f t="shared" si="36"/>
        <v>1651</v>
      </c>
      <c r="AZ13" s="249">
        <f t="shared" si="36"/>
        <v>1666</v>
      </c>
      <c r="BA13" s="254">
        <f t="shared" si="36"/>
        <v>1675.1000000000004</v>
      </c>
      <c r="BB13" s="249">
        <f t="shared" si="36"/>
        <v>1689.45</v>
      </c>
      <c r="BC13" s="249">
        <f t="shared" si="36"/>
        <v>1766.5700000000002</v>
      </c>
      <c r="BD13" s="249">
        <f t="shared" si="36"/>
        <v>1799.2800000000002</v>
      </c>
      <c r="BE13" s="249">
        <f t="shared" si="36"/>
        <v>1807.8769999999995</v>
      </c>
      <c r="BF13" s="252"/>
      <c r="BG13" s="15"/>
      <c r="BI13" s="1294"/>
      <c r="BJ13" s="307"/>
      <c r="BK13" s="307"/>
      <c r="BL13" s="307"/>
      <c r="BM13" s="307"/>
      <c r="BN13" s="307"/>
      <c r="BO13" s="307"/>
      <c r="BP13" s="307"/>
      <c r="BQ13" s="454"/>
    </row>
    <row r="14" spans="1:90" outlineLevel="1">
      <c r="B14" s="248" t="s">
        <v>884</v>
      </c>
      <c r="C14" s="249"/>
      <c r="D14" s="249"/>
      <c r="E14" s="249"/>
      <c r="F14" s="249"/>
      <c r="G14" s="249"/>
      <c r="H14" s="249"/>
      <c r="I14" s="249">
        <f t="shared" ref="I14:J14" si="37">I279</f>
        <v>0</v>
      </c>
      <c r="J14" s="254">
        <f t="shared" si="37"/>
        <v>0</v>
      </c>
      <c r="K14" s="249">
        <f>K279</f>
        <v>6507</v>
      </c>
      <c r="L14" s="249">
        <f t="shared" ref="L14:R14" si="38">L279</f>
        <v>14600</v>
      </c>
      <c r="M14" s="249">
        <f t="shared" si="38"/>
        <v>17520</v>
      </c>
      <c r="N14" s="249">
        <f t="shared" si="38"/>
        <v>20498.399999999998</v>
      </c>
      <c r="O14" s="249">
        <f t="shared" si="38"/>
        <v>23460.418799999999</v>
      </c>
      <c r="P14" s="249">
        <f t="shared" si="38"/>
        <v>26341.94473911</v>
      </c>
      <c r="Q14" s="249">
        <f t="shared" si="38"/>
        <v>29092.076697304008</v>
      </c>
      <c r="R14" s="249">
        <f t="shared" si="38"/>
        <v>31673.738493754256</v>
      </c>
      <c r="T14" s="15"/>
      <c r="V14" s="250"/>
      <c r="W14" s="250"/>
      <c r="X14" s="250"/>
      <c r="Y14" s="251"/>
      <c r="Z14" s="252"/>
      <c r="AA14" s="252"/>
      <c r="AB14" s="252"/>
      <c r="AC14" s="253"/>
      <c r="AD14" s="252"/>
      <c r="AE14" s="252"/>
      <c r="AF14" s="252"/>
      <c r="AG14" s="253"/>
      <c r="AH14" s="252"/>
      <c r="AI14" s="252"/>
      <c r="AJ14" s="252"/>
      <c r="AK14" s="253"/>
      <c r="AL14" s="252"/>
      <c r="AM14" s="252"/>
      <c r="AN14" s="252"/>
      <c r="AO14" s="253"/>
      <c r="AP14" s="249">
        <f t="shared" ref="AP14:BE14" si="39">AP279</f>
        <v>0</v>
      </c>
      <c r="AQ14" s="249">
        <f t="shared" si="39"/>
        <v>0</v>
      </c>
      <c r="AR14" s="249">
        <f t="shared" si="39"/>
        <v>0</v>
      </c>
      <c r="AS14" s="254">
        <f t="shared" si="39"/>
        <v>0</v>
      </c>
      <c r="AT14" s="249">
        <f t="shared" si="39"/>
        <v>0</v>
      </c>
      <c r="AU14" s="249">
        <f t="shared" si="39"/>
        <v>0</v>
      </c>
      <c r="AV14" s="249">
        <f t="shared" si="39"/>
        <v>0</v>
      </c>
      <c r="AW14" s="254">
        <f t="shared" si="39"/>
        <v>0</v>
      </c>
      <c r="AX14" s="249">
        <f t="shared" si="39"/>
        <v>0</v>
      </c>
      <c r="AY14" s="249">
        <f t="shared" si="39"/>
        <v>0</v>
      </c>
      <c r="AZ14" s="249">
        <f t="shared" si="39"/>
        <v>3907</v>
      </c>
      <c r="BA14" s="254">
        <f t="shared" si="39"/>
        <v>2600</v>
      </c>
      <c r="BB14" s="249">
        <f t="shared" si="39"/>
        <v>3500</v>
      </c>
      <c r="BC14" s="249">
        <f t="shared" si="39"/>
        <v>3300</v>
      </c>
      <c r="BD14" s="249">
        <f t="shared" si="39"/>
        <v>4400</v>
      </c>
      <c r="BE14" s="249">
        <f t="shared" si="39"/>
        <v>3400</v>
      </c>
      <c r="BF14" s="252"/>
      <c r="BG14" s="15"/>
      <c r="BI14" s="1294"/>
      <c r="BJ14" s="307"/>
      <c r="BK14" s="307"/>
      <c r="BL14" s="307"/>
      <c r="BM14" s="307"/>
      <c r="BN14" s="307"/>
      <c r="BO14" s="307"/>
      <c r="BP14" s="307"/>
      <c r="BQ14" s="454"/>
    </row>
    <row r="15" spans="1:90" outlineLevel="1">
      <c r="B15" s="248" t="s">
        <v>82</v>
      </c>
      <c r="C15" s="143"/>
      <c r="D15" s="143"/>
      <c r="E15" s="143"/>
      <c r="F15" s="249"/>
      <c r="G15" s="249"/>
      <c r="H15" s="249"/>
      <c r="I15" s="249">
        <f t="shared" ref="I15:R15" si="40">I284</f>
        <v>385</v>
      </c>
      <c r="J15" s="254">
        <f t="shared" si="40"/>
        <v>755</v>
      </c>
      <c r="K15" s="249">
        <f t="shared" si="40"/>
        <v>2718</v>
      </c>
      <c r="L15" s="249">
        <f t="shared" si="40"/>
        <v>3805.2</v>
      </c>
      <c r="M15" s="249">
        <f t="shared" si="40"/>
        <v>4566.24</v>
      </c>
      <c r="N15" s="249">
        <f t="shared" si="40"/>
        <v>5296.8384000000005</v>
      </c>
      <c r="O15" s="249">
        <f t="shared" si="40"/>
        <v>5974.8337152000013</v>
      </c>
      <c r="P15" s="249">
        <f t="shared" si="40"/>
        <v>6586.6566876364814</v>
      </c>
      <c r="Q15" s="249">
        <f t="shared" si="40"/>
        <v>7126.235603487662</v>
      </c>
      <c r="R15" s="249">
        <f t="shared" si="40"/>
        <v>7593.2605799978301</v>
      </c>
      <c r="T15" s="15">
        <f t="shared" si="25"/>
        <v>0.82195338312539756</v>
      </c>
      <c r="V15" s="250"/>
      <c r="W15" s="250"/>
      <c r="X15" s="250"/>
      <c r="Y15" s="251"/>
      <c r="Z15" s="252"/>
      <c r="AA15" s="252"/>
      <c r="AB15" s="252"/>
      <c r="AC15" s="253"/>
      <c r="AD15" s="252"/>
      <c r="AE15" s="252"/>
      <c r="AF15" s="252"/>
      <c r="AG15" s="253"/>
      <c r="AH15" s="252"/>
      <c r="AI15" s="252"/>
      <c r="AJ15" s="252"/>
      <c r="AK15" s="253"/>
      <c r="AL15" s="252"/>
      <c r="AM15" s="252"/>
      <c r="AN15" s="252"/>
      <c r="AO15" s="253"/>
      <c r="AP15" s="249">
        <f t="shared" ref="AP15:AW15" si="41">AP284</f>
        <v>83</v>
      </c>
      <c r="AQ15" s="249">
        <f t="shared" si="41"/>
        <v>82</v>
      </c>
      <c r="AR15" s="249">
        <f t="shared" si="41"/>
        <v>173</v>
      </c>
      <c r="AS15" s="254">
        <f t="shared" si="41"/>
        <v>47</v>
      </c>
      <c r="AT15" s="249">
        <f t="shared" si="41"/>
        <v>48</v>
      </c>
      <c r="AU15" s="249">
        <f t="shared" si="41"/>
        <v>105</v>
      </c>
      <c r="AV15" s="249">
        <f t="shared" si="41"/>
        <v>254</v>
      </c>
      <c r="AW15" s="254">
        <f t="shared" si="41"/>
        <v>348</v>
      </c>
      <c r="AX15" s="249">
        <f t="shared" ref="AX15:BE15" si="42">AX284</f>
        <v>427</v>
      </c>
      <c r="AY15" s="249">
        <f t="shared" si="42"/>
        <v>662</v>
      </c>
      <c r="AZ15" s="249">
        <f t="shared" si="42"/>
        <v>907</v>
      </c>
      <c r="BA15" s="254">
        <f t="shared" si="42"/>
        <v>722</v>
      </c>
      <c r="BB15" s="249">
        <f t="shared" si="42"/>
        <v>811.3</v>
      </c>
      <c r="BC15" s="249">
        <f t="shared" si="42"/>
        <v>893.7</v>
      </c>
      <c r="BD15" s="249">
        <f t="shared" si="42"/>
        <v>1043.05</v>
      </c>
      <c r="BE15" s="249">
        <f t="shared" si="42"/>
        <v>1057.1499999999996</v>
      </c>
      <c r="BF15" s="252"/>
      <c r="BG15" s="15"/>
      <c r="BI15" s="1294"/>
      <c r="BJ15" s="307"/>
      <c r="BK15" s="307"/>
      <c r="BL15" s="307"/>
      <c r="BM15" s="307"/>
      <c r="BN15" s="307"/>
      <c r="BO15" s="307"/>
      <c r="BP15" s="307"/>
      <c r="BQ15" s="454"/>
    </row>
    <row r="16" spans="1:90" s="13" customFormat="1" outlineLevel="1">
      <c r="A16" s="1348" t="s">
        <v>805</v>
      </c>
      <c r="B16" s="144" t="s">
        <v>429</v>
      </c>
      <c r="C16" s="242">
        <f t="shared" ref="C16:R16" si="43">C289</f>
        <v>144</v>
      </c>
      <c r="D16" s="242">
        <f t="shared" si="43"/>
        <v>425</v>
      </c>
      <c r="E16" s="242">
        <f t="shared" si="43"/>
        <v>515</v>
      </c>
      <c r="F16" s="242">
        <f t="shared" si="43"/>
        <v>650</v>
      </c>
      <c r="G16" s="242">
        <f t="shared" si="43"/>
        <v>773</v>
      </c>
      <c r="H16" s="242">
        <f t="shared" si="43"/>
        <v>1271</v>
      </c>
      <c r="I16" s="242">
        <f t="shared" si="43"/>
        <v>3019</v>
      </c>
      <c r="J16" s="246">
        <f t="shared" si="43"/>
        <v>6663</v>
      </c>
      <c r="K16" s="242">
        <f t="shared" si="43"/>
        <v>12792.96</v>
      </c>
      <c r="L16" s="242">
        <f t="shared" si="43"/>
        <v>21492.172799999997</v>
      </c>
      <c r="M16" s="242">
        <f t="shared" si="43"/>
        <v>34237.031270399995</v>
      </c>
      <c r="N16" s="242">
        <f t="shared" si="43"/>
        <v>51504.820361938931</v>
      </c>
      <c r="O16" s="242">
        <f t="shared" si="43"/>
        <v>73721.898469408625</v>
      </c>
      <c r="P16" s="242">
        <f t="shared" si="43"/>
        <v>101059.79374989326</v>
      </c>
      <c r="Q16" s="242">
        <f t="shared" si="43"/>
        <v>133428.59175835547</v>
      </c>
      <c r="R16" s="242">
        <f t="shared" si="43"/>
        <v>170500.90953974938</v>
      </c>
      <c r="T16" s="14">
        <f t="shared" si="25"/>
        <v>0.72560780094004929</v>
      </c>
      <c r="V16" s="243"/>
      <c r="W16" s="243"/>
      <c r="X16" s="243"/>
      <c r="Y16" s="244"/>
      <c r="Z16" s="139"/>
      <c r="AA16" s="139"/>
      <c r="AB16" s="139"/>
      <c r="AC16" s="245"/>
      <c r="AD16" s="139"/>
      <c r="AE16" s="139"/>
      <c r="AF16" s="139"/>
      <c r="AG16" s="245"/>
      <c r="AH16" s="139"/>
      <c r="AI16" s="139"/>
      <c r="AJ16" s="139"/>
      <c r="AK16" s="245"/>
      <c r="AL16" s="139"/>
      <c r="AM16" s="139"/>
      <c r="AN16" s="139"/>
      <c r="AO16" s="245"/>
      <c r="AP16" s="242">
        <f t="shared" ref="AP16:AW16" si="44">AP289</f>
        <v>485</v>
      </c>
      <c r="AQ16" s="242">
        <f t="shared" si="44"/>
        <v>649</v>
      </c>
      <c r="AR16" s="242">
        <f t="shared" si="44"/>
        <v>819</v>
      </c>
      <c r="AS16" s="246">
        <f t="shared" si="44"/>
        <v>1066</v>
      </c>
      <c r="AT16" s="242">
        <f t="shared" si="44"/>
        <v>1243</v>
      </c>
      <c r="AU16" s="242">
        <f t="shared" si="44"/>
        <v>1493</v>
      </c>
      <c r="AV16" s="242">
        <f t="shared" si="44"/>
        <v>1764</v>
      </c>
      <c r="AW16" s="246">
        <f t="shared" si="44"/>
        <v>2163</v>
      </c>
      <c r="AX16" s="242">
        <f t="shared" ref="AX16:BE16" si="45">AX289</f>
        <v>2431</v>
      </c>
      <c r="AY16" s="242">
        <f t="shared" si="45"/>
        <v>2975</v>
      </c>
      <c r="AZ16" s="242">
        <f>AZ289</f>
        <v>3599</v>
      </c>
      <c r="BA16" s="246">
        <f t="shared" si="45"/>
        <v>3787.9599999999991</v>
      </c>
      <c r="BB16" s="242">
        <f t="shared" si="45"/>
        <v>4424.4199999999992</v>
      </c>
      <c r="BC16" s="242">
        <f t="shared" si="45"/>
        <v>5236</v>
      </c>
      <c r="BD16" s="242">
        <f t="shared" si="45"/>
        <v>5758.4000000000005</v>
      </c>
      <c r="BE16" s="242">
        <f t="shared" si="45"/>
        <v>6073.3527999999969</v>
      </c>
      <c r="BF16" s="139"/>
      <c r="BG16" s="14"/>
      <c r="BI16" s="517"/>
      <c r="BJ16" s="313"/>
      <c r="BK16" s="313"/>
      <c r="BL16" s="313"/>
      <c r="BM16" s="313"/>
      <c r="BN16" s="313">
        <f>SUM(AS16:AV16)</f>
        <v>5566</v>
      </c>
      <c r="BO16" s="313">
        <f>SUM(AW16:AZ16)</f>
        <v>11168</v>
      </c>
      <c r="BP16" s="313">
        <f>SUM(BA16:BD16)</f>
        <v>19206.78</v>
      </c>
      <c r="BQ16" s="489">
        <f t="shared" ref="BQ16" si="46">L16*0.25+M16*0.75</f>
        <v>31050.816652799997</v>
      </c>
      <c r="BR16" s="489">
        <f t="shared" ref="BR16" si="47">M16*0.25+N16*0.75</f>
        <v>47187.873089054192</v>
      </c>
      <c r="BS16" s="489">
        <f t="shared" ref="BS16" si="48">N16*0.25+O16*0.75</f>
        <v>68167.628942541196</v>
      </c>
      <c r="BT16" s="489">
        <f t="shared" ref="BT16" si="49">O16*0.25+P16*0.75</f>
        <v>94225.3199297721</v>
      </c>
      <c r="BU16" s="489">
        <f t="shared" ref="BU16" si="50">P16*0.25+Q16*0.75</f>
        <v>125336.39225623991</v>
      </c>
      <c r="BV16" s="489">
        <f t="shared" ref="BV16" si="51">Q16*0.25+R16*0.75</f>
        <v>161232.83009440091</v>
      </c>
      <c r="CG16"/>
      <c r="CH16"/>
      <c r="CI16"/>
      <c r="CJ16"/>
      <c r="CK16"/>
      <c r="CL16"/>
    </row>
    <row r="17" spans="1:90" s="13" customFormat="1" outlineLevel="1">
      <c r="A17" s="1349"/>
      <c r="B17" s="144" t="s">
        <v>605</v>
      </c>
      <c r="C17" s="140"/>
      <c r="D17" s="140"/>
      <c r="E17" s="140"/>
      <c r="F17" s="140"/>
      <c r="G17" s="140"/>
      <c r="H17" s="140"/>
      <c r="I17" s="242">
        <f t="shared" ref="I17:R17" si="52">I310</f>
        <v>3972</v>
      </c>
      <c r="J17" s="246">
        <f t="shared" si="52"/>
        <v>14733</v>
      </c>
      <c r="K17" s="242">
        <f t="shared" si="52"/>
        <v>19490.849999999999</v>
      </c>
      <c r="L17" s="242">
        <f t="shared" si="52"/>
        <v>23288.305499999999</v>
      </c>
      <c r="M17" s="242">
        <f t="shared" si="52"/>
        <v>29195.348534999997</v>
      </c>
      <c r="N17" s="242">
        <f t="shared" si="52"/>
        <v>35566.033734359997</v>
      </c>
      <c r="O17" s="242">
        <f t="shared" si="52"/>
        <v>42115.949648219001</v>
      </c>
      <c r="P17" s="242">
        <f t="shared" si="52"/>
        <v>48578.507364194069</v>
      </c>
      <c r="Q17" s="242">
        <f t="shared" si="52"/>
        <v>54737.381338797975</v>
      </c>
      <c r="R17" s="242">
        <f t="shared" si="52"/>
        <v>60440.491481715333</v>
      </c>
      <c r="T17" s="14">
        <f t="shared" si="25"/>
        <v>0.2560516310241947</v>
      </c>
      <c r="V17" s="243"/>
      <c r="W17" s="243"/>
      <c r="X17" s="243"/>
      <c r="Y17" s="244"/>
      <c r="Z17" s="139"/>
      <c r="AA17" s="139"/>
      <c r="AB17" s="139"/>
      <c r="AC17" s="245"/>
      <c r="AD17" s="139"/>
      <c r="AE17" s="139"/>
      <c r="AF17" s="139"/>
      <c r="AG17" s="245"/>
      <c r="AH17" s="139"/>
      <c r="AI17" s="139"/>
      <c r="AJ17" s="139"/>
      <c r="AK17" s="245"/>
      <c r="AL17" s="139"/>
      <c r="AM17" s="139"/>
      <c r="AN17" s="139"/>
      <c r="AO17" s="245"/>
      <c r="AP17" s="242">
        <f t="shared" ref="AP17:AW17" si="53">AP310</f>
        <v>812</v>
      </c>
      <c r="AQ17" s="242">
        <f t="shared" si="53"/>
        <v>898</v>
      </c>
      <c r="AR17" s="242">
        <f t="shared" si="53"/>
        <v>1088</v>
      </c>
      <c r="AS17" s="246">
        <f t="shared" si="53"/>
        <v>1174</v>
      </c>
      <c r="AT17" s="242">
        <f t="shared" si="53"/>
        <v>3135</v>
      </c>
      <c r="AU17" s="242">
        <f t="shared" si="53"/>
        <v>3608</v>
      </c>
      <c r="AV17" s="242">
        <f t="shared" si="53"/>
        <v>4063</v>
      </c>
      <c r="AW17" s="246">
        <f t="shared" si="53"/>
        <v>3927</v>
      </c>
      <c r="AX17" s="242">
        <f t="shared" ref="AX17:BE17" si="54">AX310</f>
        <v>4081</v>
      </c>
      <c r="AY17" s="242">
        <f t="shared" si="54"/>
        <v>4798</v>
      </c>
      <c r="AZ17" s="242">
        <f t="shared" si="54"/>
        <v>5413</v>
      </c>
      <c r="BA17" s="246">
        <f t="shared" si="54"/>
        <v>5198.8499999999985</v>
      </c>
      <c r="BB17" s="242">
        <f t="shared" si="54"/>
        <v>5101.25</v>
      </c>
      <c r="BC17" s="242">
        <f t="shared" si="54"/>
        <v>5757.5999999999995</v>
      </c>
      <c r="BD17" s="242">
        <f t="shared" si="54"/>
        <v>6224.95</v>
      </c>
      <c r="BE17" s="242">
        <f t="shared" si="54"/>
        <v>6204.5054999999993</v>
      </c>
      <c r="BF17" s="139"/>
      <c r="BG17" s="14"/>
      <c r="BI17" s="517"/>
      <c r="BJ17" s="313"/>
      <c r="BK17" s="313"/>
      <c r="BL17" s="313"/>
      <c r="BM17" s="313"/>
      <c r="BN17" s="313">
        <f>SUM(AS17:AV17)</f>
        <v>11980</v>
      </c>
      <c r="BO17" s="313">
        <f>SUM(AW17:AZ17)</f>
        <v>18219</v>
      </c>
      <c r="BP17" s="313">
        <f>SUM(BA17:BD17)</f>
        <v>22282.649999999998</v>
      </c>
      <c r="BQ17" s="389"/>
      <c r="CG17"/>
      <c r="CH17"/>
      <c r="CI17"/>
      <c r="CJ17"/>
      <c r="CK17"/>
      <c r="CL17"/>
    </row>
    <row r="18" spans="1:90" s="13" customFormat="1" outlineLevel="1">
      <c r="A18" s="1349"/>
      <c r="B18" s="144" t="s">
        <v>606</v>
      </c>
      <c r="C18" s="255">
        <f t="shared" ref="C18:H18" si="55">C566</f>
        <v>190</v>
      </c>
      <c r="D18" s="255">
        <f t="shared" si="55"/>
        <v>380</v>
      </c>
      <c r="E18" s="255">
        <f t="shared" si="55"/>
        <v>108</v>
      </c>
      <c r="F18" s="255">
        <f t="shared" si="55"/>
        <v>540</v>
      </c>
      <c r="G18" s="255">
        <f t="shared" si="55"/>
        <v>1748</v>
      </c>
      <c r="H18" s="255">
        <f t="shared" si="55"/>
        <v>5510</v>
      </c>
      <c r="I18" s="256">
        <f t="shared" ref="I18:R18" si="56">I321</f>
        <v>1817</v>
      </c>
      <c r="J18" s="257">
        <f t="shared" si="56"/>
        <v>2997</v>
      </c>
      <c r="K18" s="256">
        <f t="shared" si="56"/>
        <v>3146.85</v>
      </c>
      <c r="L18" s="256">
        <f t="shared" si="56"/>
        <v>3776.22</v>
      </c>
      <c r="M18" s="256">
        <f t="shared" si="56"/>
        <v>4342.6529999999993</v>
      </c>
      <c r="N18" s="256">
        <f t="shared" si="56"/>
        <v>4928.9111549999989</v>
      </c>
      <c r="O18" s="256">
        <f t="shared" si="56"/>
        <v>5527.7738603324988</v>
      </c>
      <c r="P18" s="256">
        <f t="shared" si="56"/>
        <v>6132.2359319598581</v>
      </c>
      <c r="Q18" s="256">
        <f t="shared" si="56"/>
        <v>6735.7399312036869</v>
      </c>
      <c r="R18" s="256">
        <f t="shared" si="56"/>
        <v>7332.3479920001573</v>
      </c>
      <c r="T18" s="14">
        <f t="shared" si="25"/>
        <v>0.13159094044769137</v>
      </c>
      <c r="V18" s="243"/>
      <c r="W18" s="243"/>
      <c r="X18" s="243"/>
      <c r="Y18" s="244"/>
      <c r="Z18" s="139"/>
      <c r="AA18" s="139"/>
      <c r="AB18" s="139"/>
      <c r="AC18" s="245"/>
      <c r="AD18" s="139"/>
      <c r="AE18" s="139"/>
      <c r="AF18" s="139"/>
      <c r="AG18" s="245"/>
      <c r="AH18" s="139"/>
      <c r="AI18" s="139"/>
      <c r="AJ18" s="139"/>
      <c r="AK18" s="245"/>
      <c r="AL18" s="139"/>
      <c r="AM18" s="139"/>
      <c r="AN18" s="139"/>
      <c r="AO18" s="245"/>
      <c r="AP18" s="256">
        <f t="shared" ref="AP18:AW18" si="57">AP321</f>
        <v>410</v>
      </c>
      <c r="AQ18" s="256">
        <f t="shared" si="57"/>
        <v>393</v>
      </c>
      <c r="AR18" s="256">
        <f t="shared" si="57"/>
        <v>525</v>
      </c>
      <c r="AS18" s="257">
        <f t="shared" si="57"/>
        <v>489</v>
      </c>
      <c r="AT18" s="256">
        <f t="shared" si="57"/>
        <v>535</v>
      </c>
      <c r="AU18" s="256">
        <f t="shared" si="57"/>
        <v>698</v>
      </c>
      <c r="AV18" s="256">
        <f t="shared" si="57"/>
        <v>845</v>
      </c>
      <c r="AW18" s="257">
        <f t="shared" si="57"/>
        <v>919</v>
      </c>
      <c r="AX18" s="256">
        <f t="shared" ref="AX18:BE18" si="58">AX321</f>
        <v>645</v>
      </c>
      <c r="AY18" s="256">
        <f t="shared" si="58"/>
        <v>887</v>
      </c>
      <c r="AZ18" s="256">
        <f t="shared" si="58"/>
        <v>772</v>
      </c>
      <c r="BA18" s="257">
        <f t="shared" si="58"/>
        <v>842.84999999999991</v>
      </c>
      <c r="BB18" s="256">
        <f t="shared" si="58"/>
        <v>774</v>
      </c>
      <c r="BC18" s="256">
        <f t="shared" si="58"/>
        <v>1020.05</v>
      </c>
      <c r="BD18" s="256">
        <f t="shared" si="58"/>
        <v>1003.6</v>
      </c>
      <c r="BE18" s="256">
        <f t="shared" si="58"/>
        <v>978.56999999999971</v>
      </c>
      <c r="BF18" s="139"/>
      <c r="BG18" s="14"/>
      <c r="BI18" s="517"/>
      <c r="BJ18" s="313"/>
      <c r="BK18" s="313"/>
      <c r="BL18" s="313"/>
      <c r="BM18" s="313"/>
      <c r="BN18" s="313">
        <f>SUM(AS18:AV18)</f>
        <v>2567</v>
      </c>
      <c r="BO18" s="313">
        <f>SUM(AW18:AZ18)</f>
        <v>3223</v>
      </c>
      <c r="BP18" s="313">
        <f>SUM(BA18:BD18)</f>
        <v>3640.4999999999995</v>
      </c>
      <c r="BQ18" s="389"/>
      <c r="CG18"/>
      <c r="CH18"/>
      <c r="CI18"/>
      <c r="CJ18"/>
      <c r="CK18"/>
      <c r="CL18"/>
    </row>
    <row r="19" spans="1:90" s="13" customFormat="1" outlineLevel="1">
      <c r="A19" s="1349"/>
      <c r="B19" s="13" t="s">
        <v>42</v>
      </c>
      <c r="C19" s="258">
        <f t="shared" ref="C19:R19" si="59">C9+C16+C17+C18</f>
        <v>6670</v>
      </c>
      <c r="D19" s="258">
        <f t="shared" si="59"/>
        <v>11903</v>
      </c>
      <c r="E19" s="258">
        <f t="shared" si="59"/>
        <v>20025</v>
      </c>
      <c r="F19" s="258">
        <f t="shared" si="59"/>
        <v>34517</v>
      </c>
      <c r="G19" s="258">
        <f t="shared" si="59"/>
        <v>52504</v>
      </c>
      <c r="H19" s="258">
        <f t="shared" si="59"/>
        <v>76204</v>
      </c>
      <c r="I19" s="258">
        <f t="shared" si="59"/>
        <v>101143</v>
      </c>
      <c r="J19" s="263">
        <f t="shared" si="59"/>
        <v>158273</v>
      </c>
      <c r="K19" s="258">
        <f t="shared" si="59"/>
        <v>248344.72960419999</v>
      </c>
      <c r="L19" s="258">
        <f t="shared" si="59"/>
        <v>338216.75367454573</v>
      </c>
      <c r="M19" s="258">
        <f t="shared" si="59"/>
        <v>439958.68699306762</v>
      </c>
      <c r="N19" s="258">
        <f t="shared" si="59"/>
        <v>537372.51758970472</v>
      </c>
      <c r="O19" s="258">
        <f t="shared" si="59"/>
        <v>646791.66165817413</v>
      </c>
      <c r="P19" s="258">
        <f t="shared" si="59"/>
        <v>786164.16224977071</v>
      </c>
      <c r="Q19" s="258">
        <f t="shared" si="59"/>
        <v>905274.26396225637</v>
      </c>
      <c r="R19" s="258">
        <f t="shared" si="59"/>
        <v>1029217.6741948476</v>
      </c>
      <c r="T19" s="14">
        <f t="shared" si="25"/>
        <v>0.40605298799489575</v>
      </c>
      <c r="V19" s="259"/>
      <c r="W19" s="259"/>
      <c r="X19" s="259"/>
      <c r="Y19" s="260"/>
      <c r="Z19" s="261">
        <v>4103</v>
      </c>
      <c r="AA19" s="261">
        <v>4352</v>
      </c>
      <c r="AB19" s="261">
        <v>6485</v>
      </c>
      <c r="AC19" s="262">
        <v>5085</v>
      </c>
      <c r="AD19" s="261">
        <v>6793</v>
      </c>
      <c r="AE19" s="261">
        <v>7457</v>
      </c>
      <c r="AF19" s="261">
        <v>11593</v>
      </c>
      <c r="AG19" s="262">
        <v>8674</v>
      </c>
      <c r="AH19" s="261">
        <v>10778</v>
      </c>
      <c r="AI19" s="261">
        <v>10950</v>
      </c>
      <c r="AJ19" s="261">
        <v>18745</v>
      </c>
      <c r="AK19" s="262">
        <v>12031</v>
      </c>
      <c r="AL19" s="261">
        <v>15771</v>
      </c>
      <c r="AM19" s="261">
        <v>16829</v>
      </c>
      <c r="AN19" s="261">
        <v>26179</v>
      </c>
      <c r="AO19" s="262">
        <v>17425</v>
      </c>
      <c r="AP19" s="258">
        <f t="shared" ref="AP19:AW19" si="60">AP9+AP16+AP17+AP18</f>
        <v>20245</v>
      </c>
      <c r="AQ19" s="258">
        <f t="shared" si="60"/>
        <v>22171</v>
      </c>
      <c r="AR19" s="258">
        <f t="shared" si="60"/>
        <v>34543</v>
      </c>
      <c r="AS19" s="263">
        <f t="shared" si="60"/>
        <v>24184</v>
      </c>
      <c r="AT19" s="258">
        <f t="shared" si="60"/>
        <v>32154</v>
      </c>
      <c r="AU19" s="258">
        <f t="shared" si="60"/>
        <v>34292</v>
      </c>
      <c r="AV19" s="258">
        <f t="shared" si="60"/>
        <v>53248</v>
      </c>
      <c r="AW19" s="263">
        <f t="shared" si="60"/>
        <v>38579</v>
      </c>
      <c r="AX19" s="258">
        <f t="shared" ref="AX19:BE19" si="61">AX9+AX16+AX17+AX18</f>
        <v>50184</v>
      </c>
      <c r="AY19" s="258">
        <f t="shared" si="61"/>
        <v>55122</v>
      </c>
      <c r="AZ19" s="258">
        <f t="shared" si="61"/>
        <v>83028</v>
      </c>
      <c r="BA19" s="263">
        <f t="shared" si="61"/>
        <v>60010.729604199965</v>
      </c>
      <c r="BB19" s="258">
        <f t="shared" si="61"/>
        <v>73193.721998000008</v>
      </c>
      <c r="BC19" s="258">
        <f t="shared" si="61"/>
        <v>77801.103734880002</v>
      </c>
      <c r="BD19" s="258">
        <f t="shared" si="61"/>
        <v>107891.55708879998</v>
      </c>
      <c r="BE19" s="258">
        <f t="shared" si="61"/>
        <v>79330.370852865715</v>
      </c>
      <c r="BF19" s="139"/>
      <c r="BG19" s="14"/>
      <c r="BI19" s="313">
        <f>SUM(Y19:AB19)</f>
        <v>14940</v>
      </c>
      <c r="BJ19" s="313">
        <f>SUM(AC19:AF19)</f>
        <v>30928</v>
      </c>
      <c r="BK19" s="313">
        <f>SUM(AG19:AJ19)</f>
        <v>49147</v>
      </c>
      <c r="BL19" s="313">
        <f>SUM(AK19:AN19)</f>
        <v>70810</v>
      </c>
      <c r="BM19" s="313">
        <f>SUM(AO19:AR19)</f>
        <v>94384</v>
      </c>
      <c r="BN19" s="313">
        <f>SUM(AS19:AV19)</f>
        <v>143878</v>
      </c>
      <c r="BO19" s="313">
        <f>SUM(AW19:AZ19)</f>
        <v>226913</v>
      </c>
      <c r="BP19" s="313">
        <f>SUM(BA19:BD19)</f>
        <v>318897.11242587992</v>
      </c>
      <c r="BQ19" s="489">
        <f t="shared" ref="BQ19" si="62">L19*0.25+M19*0.75</f>
        <v>414523.20366343716</v>
      </c>
      <c r="BR19" s="489">
        <f t="shared" ref="BR19" si="63">M19*0.25+N19*0.75</f>
        <v>513019.05994054547</v>
      </c>
      <c r="BS19" s="489">
        <f t="shared" ref="BS19" si="64">N19*0.25+O19*0.75</f>
        <v>619436.8756410568</v>
      </c>
      <c r="BT19" s="489">
        <f t="shared" ref="BT19" si="65">O19*0.25+P19*0.75</f>
        <v>751321.03710187157</v>
      </c>
      <c r="BU19" s="489">
        <f t="shared" ref="BU19" si="66">P19*0.25+Q19*0.75</f>
        <v>875496.73853413505</v>
      </c>
      <c r="BV19" s="489">
        <f t="shared" ref="BV19" si="67">Q19*0.25+R19*0.75</f>
        <v>998231.82163669972</v>
      </c>
      <c r="CG19"/>
      <c r="CH19"/>
      <c r="CI19"/>
      <c r="CJ19"/>
      <c r="CK19"/>
      <c r="CL19"/>
    </row>
    <row r="20" spans="1:90" s="225" customFormat="1" outlineLevel="1">
      <c r="A20" s="1348"/>
      <c r="B20" s="264" t="s">
        <v>664</v>
      </c>
      <c r="C20" s="265"/>
      <c r="D20" s="265"/>
      <c r="E20" s="265"/>
      <c r="F20" s="265"/>
      <c r="G20" s="265"/>
      <c r="H20" s="265"/>
      <c r="I20" s="265">
        <f>SUM(AP19:AS19)-I19</f>
        <v>0</v>
      </c>
      <c r="J20" s="1390">
        <f>SUM(AT19:AW19)-J19</f>
        <v>0</v>
      </c>
      <c r="K20" s="265"/>
      <c r="L20" s="265"/>
      <c r="M20" s="265"/>
      <c r="N20" s="265"/>
      <c r="O20" s="743"/>
      <c r="P20" s="743"/>
      <c r="Q20" s="265"/>
      <c r="R20" s="265"/>
      <c r="V20" s="266"/>
      <c r="W20" s="266"/>
      <c r="X20" s="266"/>
      <c r="Y20" s="267"/>
      <c r="Z20" s="266"/>
      <c r="AA20" s="266"/>
      <c r="AB20" s="266"/>
      <c r="AC20" s="267"/>
      <c r="AD20" s="266"/>
      <c r="AE20" s="266"/>
      <c r="AF20" s="266"/>
      <c r="AG20" s="267"/>
      <c r="AH20" s="266"/>
      <c r="AI20" s="266"/>
      <c r="AJ20" s="266"/>
      <c r="AK20" s="267"/>
      <c r="AL20" s="266"/>
      <c r="AM20" s="266"/>
      <c r="AN20" s="266"/>
      <c r="AO20" s="267"/>
      <c r="AP20" s="266"/>
      <c r="AQ20" s="266"/>
      <c r="AR20" s="266"/>
      <c r="AS20" s="267"/>
      <c r="AT20" s="266"/>
      <c r="AU20" s="266"/>
      <c r="AV20" s="266"/>
      <c r="AW20" s="267"/>
      <c r="AX20" s="266"/>
      <c r="AY20" s="286"/>
      <c r="AZ20" s="266"/>
      <c r="BA20" s="267"/>
      <c r="BB20" s="266"/>
      <c r="BC20" s="266"/>
      <c r="BD20" s="266"/>
      <c r="BE20" s="266"/>
      <c r="BF20" s="266"/>
      <c r="BG20" s="301"/>
      <c r="BJ20" s="489"/>
      <c r="BK20" s="489"/>
      <c r="BL20" s="489"/>
      <c r="BM20" s="489"/>
      <c r="BN20" s="489"/>
      <c r="BO20" s="489"/>
      <c r="BP20" s="489"/>
      <c r="BQ20" s="489"/>
      <c r="CG20"/>
      <c r="CH20"/>
      <c r="CI20"/>
      <c r="CJ20"/>
      <c r="CK20"/>
      <c r="CL20"/>
    </row>
    <row r="21" spans="1:90" outlineLevel="1">
      <c r="B21" s="268"/>
      <c r="C21" s="143"/>
      <c r="D21" s="143"/>
      <c r="E21" s="143"/>
      <c r="F21" s="143"/>
      <c r="G21" s="143"/>
      <c r="H21" s="143"/>
      <c r="I21" s="955"/>
      <c r="J21" s="1391"/>
      <c r="K21" s="955"/>
      <c r="L21" s="955"/>
      <c r="M21" s="955"/>
      <c r="N21" s="269"/>
      <c r="O21" s="269"/>
      <c r="P21" s="269"/>
      <c r="Q21" s="143"/>
      <c r="R21" s="143"/>
      <c r="V21" s="250"/>
      <c r="W21" s="250"/>
      <c r="X21" s="250"/>
      <c r="Y21" s="251"/>
      <c r="Z21" s="252"/>
      <c r="AA21" s="252"/>
      <c r="AB21" s="252"/>
      <c r="AC21" s="253"/>
      <c r="AD21" s="252"/>
      <c r="AE21" s="252"/>
      <c r="AF21" s="252"/>
      <c r="AG21" s="253"/>
      <c r="AH21" s="252"/>
      <c r="AI21" s="252"/>
      <c r="AJ21" s="252"/>
      <c r="AK21" s="253"/>
      <c r="AL21" s="252"/>
      <c r="AM21" s="252"/>
      <c r="AN21" s="252"/>
      <c r="AO21" s="253"/>
      <c r="AP21" s="252"/>
      <c r="AQ21" s="252"/>
      <c r="AR21" s="252"/>
      <c r="AS21" s="253"/>
      <c r="AT21" s="252"/>
      <c r="AU21" s="252"/>
      <c r="AV21" s="252"/>
      <c r="AW21" s="253"/>
      <c r="AX21" s="270"/>
      <c r="AY21" s="270"/>
      <c r="AZ21" s="270"/>
      <c r="BA21" s="535"/>
      <c r="BB21" s="270"/>
      <c r="BC21" s="270"/>
      <c r="BD21" s="270"/>
      <c r="BE21" s="270"/>
      <c r="BF21" s="252"/>
      <c r="BG21" s="15"/>
      <c r="BJ21" s="454"/>
      <c r="BK21" s="454"/>
      <c r="BL21" s="454"/>
      <c r="BM21" s="454"/>
      <c r="BN21" s="454"/>
      <c r="BO21" s="454"/>
      <c r="BP21" s="454"/>
      <c r="BQ21" s="454"/>
    </row>
    <row r="22" spans="1:90" outlineLevel="1">
      <c r="B22" s="271" t="s">
        <v>875</v>
      </c>
      <c r="C22" s="143"/>
      <c r="D22" s="143"/>
      <c r="E22" s="143"/>
      <c r="F22" s="143"/>
      <c r="G22" s="143"/>
      <c r="H22" s="143"/>
      <c r="I22" s="143"/>
      <c r="J22" s="1392"/>
      <c r="K22" s="272"/>
      <c r="L22" s="272"/>
      <c r="M22" s="272"/>
      <c r="N22" s="143"/>
      <c r="O22" s="143"/>
      <c r="P22" s="143"/>
      <c r="Q22" s="143"/>
      <c r="R22" s="143"/>
      <c r="V22" s="250"/>
      <c r="W22" s="250"/>
      <c r="X22" s="250"/>
      <c r="Y22" s="251"/>
      <c r="Z22" s="252"/>
      <c r="AA22" s="252"/>
      <c r="AB22" s="252"/>
      <c r="AC22" s="253"/>
      <c r="AD22" s="252"/>
      <c r="AE22" s="252"/>
      <c r="AF22" s="252"/>
      <c r="AG22" s="253"/>
      <c r="AH22" s="252"/>
      <c r="AI22" s="252"/>
      <c r="AJ22" s="252"/>
      <c r="AK22" s="253"/>
      <c r="AL22" s="252"/>
      <c r="AM22" s="252"/>
      <c r="AN22" s="252"/>
      <c r="AO22" s="253"/>
      <c r="AP22" s="252"/>
      <c r="AQ22" s="252"/>
      <c r="AR22" s="252"/>
      <c r="AS22" s="253"/>
      <c r="AT22" s="252"/>
      <c r="AU22" s="252"/>
      <c r="AV22" s="252"/>
      <c r="AW22" s="253"/>
      <c r="AX22" s="252"/>
      <c r="AY22" s="252"/>
      <c r="AZ22" s="252"/>
      <c r="BA22" s="253"/>
      <c r="BB22" s="252"/>
      <c r="BC22" s="252"/>
      <c r="BD22" s="252"/>
      <c r="BE22" s="252"/>
      <c r="BF22" s="252"/>
      <c r="BG22" s="15"/>
      <c r="BJ22" s="454"/>
      <c r="BK22" s="454"/>
      <c r="BL22" s="454"/>
      <c r="BM22" s="454"/>
      <c r="BN22" s="454"/>
      <c r="BO22" s="454"/>
      <c r="BP22" s="454"/>
      <c r="BQ22" s="454"/>
    </row>
    <row r="23" spans="1:90" s="1369" customFormat="1" outlineLevel="1">
      <c r="A23" s="1494"/>
      <c r="B23" s="1495" t="s">
        <v>596</v>
      </c>
      <c r="C23" s="1496"/>
      <c r="D23" s="1496"/>
      <c r="E23" s="1496"/>
      <c r="F23" s="1496">
        <f t="shared" ref="F23:R23" si="68">F9/F$19</f>
        <v>0.96552423443520585</v>
      </c>
      <c r="G23" s="1496">
        <f t="shared" si="68"/>
        <v>0.95198461069632789</v>
      </c>
      <c r="H23" s="1496">
        <f t="shared" si="68"/>
        <v>0.91101516980735919</v>
      </c>
      <c r="I23" s="1496">
        <f t="shared" si="68"/>
        <v>0.91291537723816774</v>
      </c>
      <c r="J23" s="1497">
        <f t="shared" si="68"/>
        <v>0.84588021962052906</v>
      </c>
      <c r="K23" s="1496">
        <f t="shared" si="68"/>
        <v>0.85733274848849139</v>
      </c>
      <c r="L23" s="1496">
        <f t="shared" si="68"/>
        <v>0.85643319624927738</v>
      </c>
      <c r="M23" s="1496">
        <f t="shared" si="68"/>
        <v>0.84595137041476831</v>
      </c>
      <c r="N23" s="1496">
        <f t="shared" si="68"/>
        <v>0.82879704071218874</v>
      </c>
      <c r="O23" s="1496">
        <f t="shared" si="68"/>
        <v>0.81235747278062265</v>
      </c>
      <c r="P23" s="1496">
        <f t="shared" si="68"/>
        <v>0.80186003823898866</v>
      </c>
      <c r="Q23" s="1496">
        <f t="shared" si="68"/>
        <v>0.78470423739287565</v>
      </c>
      <c r="R23" s="1496">
        <f t="shared" si="68"/>
        <v>0.7684904223979</v>
      </c>
      <c r="V23" s="1498"/>
      <c r="W23" s="1498"/>
      <c r="X23" s="1498"/>
      <c r="Y23" s="1499"/>
      <c r="Z23" s="1500"/>
      <c r="AA23" s="1500"/>
      <c r="AB23" s="1500"/>
      <c r="AC23" s="1501"/>
      <c r="AD23" s="1500"/>
      <c r="AE23" s="1500"/>
      <c r="AF23" s="1500"/>
      <c r="AG23" s="1501"/>
      <c r="AH23" s="1500"/>
      <c r="AI23" s="1500"/>
      <c r="AJ23" s="1500"/>
      <c r="AK23" s="1501"/>
      <c r="AL23" s="1500"/>
      <c r="AM23" s="1500"/>
      <c r="AN23" s="1500"/>
      <c r="AO23" s="1501"/>
      <c r="AP23" s="1500">
        <f t="shared" ref="AP23:BE23" si="69">AP9/AP$19</f>
        <v>0.91568288466287973</v>
      </c>
      <c r="AQ23" s="1500">
        <f t="shared" si="69"/>
        <v>0.91249830860132608</v>
      </c>
      <c r="AR23" s="1500">
        <f t="shared" si="69"/>
        <v>0.92959499753929886</v>
      </c>
      <c r="AS23" s="1501">
        <f t="shared" si="69"/>
        <v>0.88715679788289781</v>
      </c>
      <c r="AT23" s="1500">
        <f t="shared" si="69"/>
        <v>0.8472040803632519</v>
      </c>
      <c r="AU23" s="1500">
        <f t="shared" si="69"/>
        <v>0.83089350285780939</v>
      </c>
      <c r="AV23" s="1500">
        <f t="shared" si="69"/>
        <v>0.87469951923076927</v>
      </c>
      <c r="AW23" s="1501">
        <f t="shared" si="69"/>
        <v>0.81832084812981154</v>
      </c>
      <c r="AX23" s="1500">
        <f t="shared" si="69"/>
        <v>0.85738482384823844</v>
      </c>
      <c r="AY23" s="1500">
        <f t="shared" si="69"/>
        <v>0.84289394434164222</v>
      </c>
      <c r="AZ23" s="1500">
        <f t="shared" si="69"/>
        <v>0.88216023510141162</v>
      </c>
      <c r="BA23" s="1501">
        <f t="shared" si="69"/>
        <v>0.83620162486223049</v>
      </c>
      <c r="BB23" s="1500">
        <f t="shared" si="69"/>
        <v>0.85928205700098936</v>
      </c>
      <c r="BC23" s="1500">
        <f t="shared" si="69"/>
        <v>0.84558509554133721</v>
      </c>
      <c r="BD23" s="1500">
        <f t="shared" si="69"/>
        <v>0.87962959891930093</v>
      </c>
      <c r="BE23" s="1500">
        <f t="shared" si="69"/>
        <v>0.83289592425343961</v>
      </c>
      <c r="BF23" s="1500"/>
      <c r="CG23"/>
      <c r="CH23"/>
      <c r="CI23"/>
      <c r="CJ23"/>
      <c r="CK23"/>
      <c r="CL23"/>
    </row>
    <row r="24" spans="1:90" s="375" customFormat="1" outlineLevel="1">
      <c r="A24" s="1502"/>
      <c r="B24" s="1503" t="s">
        <v>16</v>
      </c>
      <c r="C24" s="1504"/>
      <c r="D24" s="1504"/>
      <c r="E24" s="1504"/>
      <c r="F24" s="1504">
        <f t="shared" ref="F24:R24" si="70">F10/F$19</f>
        <v>0.78135411536344412</v>
      </c>
      <c r="G24" s="1504">
        <f t="shared" si="70"/>
        <v>0.81578546396465035</v>
      </c>
      <c r="H24" s="1504">
        <f t="shared" si="70"/>
        <v>0.78384336780221509</v>
      </c>
      <c r="I24" s="1504">
        <f t="shared" si="70"/>
        <v>0.79128560552880578</v>
      </c>
      <c r="J24" s="1505">
        <f t="shared" si="70"/>
        <v>0.72096314595666977</v>
      </c>
      <c r="K24" s="1504">
        <f t="shared" si="70"/>
        <v>0.7112042554142165</v>
      </c>
      <c r="L24" s="1504">
        <f t="shared" si="70"/>
        <v>0.70742931331775949</v>
      </c>
      <c r="M24" s="1504">
        <f t="shared" si="70"/>
        <v>0.71204871440282269</v>
      </c>
      <c r="N24" s="1504">
        <f t="shared" si="70"/>
        <v>0.70375048468527324</v>
      </c>
      <c r="O24" s="1504">
        <f t="shared" si="70"/>
        <v>0.69633684868455903</v>
      </c>
      <c r="P24" s="1504">
        <f t="shared" si="70"/>
        <v>0.69717149798997047</v>
      </c>
      <c r="Q24" s="1504">
        <f t="shared" si="70"/>
        <v>0.68650346152197372</v>
      </c>
      <c r="R24" s="1504">
        <f t="shared" si="70"/>
        <v>0.67638249369242665</v>
      </c>
      <c r="V24" s="1506"/>
      <c r="W24" s="1506"/>
      <c r="X24" s="1506"/>
      <c r="Y24" s="1507"/>
      <c r="Z24" s="542"/>
      <c r="AA24" s="542"/>
      <c r="AB24" s="542"/>
      <c r="AC24" s="603"/>
      <c r="AD24" s="542"/>
      <c r="AE24" s="542"/>
      <c r="AF24" s="542"/>
      <c r="AG24" s="603"/>
      <c r="AH24" s="542"/>
      <c r="AI24" s="542"/>
      <c r="AJ24" s="542"/>
      <c r="AK24" s="603"/>
      <c r="AL24" s="542"/>
      <c r="AM24" s="542"/>
      <c r="AN24" s="542"/>
      <c r="AO24" s="603"/>
      <c r="AP24" s="542">
        <f t="shared" ref="AP24:BE24" si="71">AP10/AP$19</f>
        <v>0.77609286243516917</v>
      </c>
      <c r="AQ24" s="542">
        <f t="shared" si="71"/>
        <v>0.77881015741283655</v>
      </c>
      <c r="AR24" s="542">
        <f t="shared" si="71"/>
        <v>0.83125379961207768</v>
      </c>
      <c r="AS24" s="603">
        <f t="shared" si="71"/>
        <v>0.75835262983790941</v>
      </c>
      <c r="AT24" s="542">
        <f t="shared" si="71"/>
        <v>0.72721900852149035</v>
      </c>
      <c r="AU24" s="542">
        <f t="shared" si="71"/>
        <v>0.70305027411641197</v>
      </c>
      <c r="AV24" s="542">
        <f t="shared" si="71"/>
        <v>0.76626352163461542</v>
      </c>
      <c r="AW24" s="603">
        <f t="shared" si="71"/>
        <v>0.66914642681251457</v>
      </c>
      <c r="AX24" s="542">
        <f t="shared" si="71"/>
        <v>0.73154790371433132</v>
      </c>
      <c r="AY24" s="542">
        <f t="shared" si="71"/>
        <v>0.71762635608287073</v>
      </c>
      <c r="AZ24" s="542">
        <f t="shared" si="71"/>
        <v>0.72391241508888571</v>
      </c>
      <c r="BA24" s="603">
        <f t="shared" si="71"/>
        <v>0.67071053409393988</v>
      </c>
      <c r="BB24" s="542">
        <f t="shared" si="71"/>
        <v>0.7066178578732919</v>
      </c>
      <c r="BC24" s="542">
        <f t="shared" si="71"/>
        <v>0.69597876887965349</v>
      </c>
      <c r="BD24" s="542">
        <f t="shared" si="71"/>
        <v>0.74046414507714242</v>
      </c>
      <c r="BE24" s="542">
        <f t="shared" si="71"/>
        <v>0.67447949890597103</v>
      </c>
      <c r="BF24" s="542"/>
      <c r="CG24"/>
      <c r="CH24"/>
      <c r="CI24"/>
      <c r="CJ24"/>
      <c r="CK24"/>
      <c r="CL24"/>
    </row>
    <row r="25" spans="1:90" s="411" customFormat="1" outlineLevel="1">
      <c r="A25" s="1508"/>
      <c r="B25" s="1509" t="s">
        <v>53</v>
      </c>
      <c r="C25" s="1504"/>
      <c r="D25" s="1504"/>
      <c r="E25" s="1504"/>
      <c r="F25" s="1504">
        <f t="shared" ref="F25:R25" si="72">F11/F$19</f>
        <v>6.3649795752817456E-2</v>
      </c>
      <c r="G25" s="1504">
        <f t="shared" si="72"/>
        <v>4.38061861953375E-2</v>
      </c>
      <c r="H25" s="1504">
        <f t="shared" si="72"/>
        <v>4.2058159676657395E-2</v>
      </c>
      <c r="I25" s="1504">
        <f t="shared" si="72"/>
        <v>4.239542034545149E-2</v>
      </c>
      <c r="J25" s="1505">
        <f t="shared" si="72"/>
        <v>3.5881040986144197E-2</v>
      </c>
      <c r="K25" s="1504">
        <f t="shared" si="72"/>
        <v>2.8126910569564456E-2</v>
      </c>
      <c r="L25" s="1504">
        <f t="shared" si="72"/>
        <v>2.3750879909780653E-2</v>
      </c>
      <c r="M25" s="1504">
        <f t="shared" si="72"/>
        <v>2.026683361099425E-2</v>
      </c>
      <c r="N25" s="1504">
        <f t="shared" si="72"/>
        <v>1.8053077341865658E-2</v>
      </c>
      <c r="O25" s="1504">
        <f t="shared" si="72"/>
        <v>1.6054928753050885E-2</v>
      </c>
      <c r="P25" s="1504">
        <f t="shared" si="72"/>
        <v>1.3952597156386977E-2</v>
      </c>
      <c r="Q25" s="1504">
        <f t="shared" si="72"/>
        <v>1.266273991235542E-2</v>
      </c>
      <c r="R25" s="1504">
        <f t="shared" si="72"/>
        <v>1.1539291927578733E-2</v>
      </c>
      <c r="V25" s="1506"/>
      <c r="W25" s="1506"/>
      <c r="X25" s="1506"/>
      <c r="Y25" s="1507"/>
      <c r="Z25" s="542"/>
      <c r="AA25" s="542"/>
      <c r="AB25" s="542"/>
      <c r="AC25" s="603"/>
      <c r="AD25" s="542"/>
      <c r="AE25" s="542"/>
      <c r="AF25" s="542"/>
      <c r="AG25" s="603"/>
      <c r="AH25" s="542"/>
      <c r="AI25" s="542"/>
      <c r="AJ25" s="542"/>
      <c r="AK25" s="603"/>
      <c r="AL25" s="542"/>
      <c r="AM25" s="542"/>
      <c r="AN25" s="542"/>
      <c r="AO25" s="603"/>
      <c r="AP25" s="542">
        <f t="shared" ref="AP25:BE25" si="73">AP11/AP$19</f>
        <v>4.9246727587058531E-2</v>
      </c>
      <c r="AQ25" s="542">
        <f t="shared" si="73"/>
        <v>4.7178747011862344E-2</v>
      </c>
      <c r="AR25" s="542">
        <f t="shared" si="73"/>
        <v>3.3639232261239611E-2</v>
      </c>
      <c r="AS25" s="603">
        <f t="shared" si="73"/>
        <v>4.4781673833939793E-2</v>
      </c>
      <c r="AT25" s="542">
        <f t="shared" si="73"/>
        <v>3.9217515705666478E-2</v>
      </c>
      <c r="AU25" s="542">
        <f t="shared" si="73"/>
        <v>4.1846494809284963E-2</v>
      </c>
      <c r="AV25" s="542">
        <f t="shared" si="73"/>
        <v>2.843299278846154E-2</v>
      </c>
      <c r="AW25" s="603">
        <f t="shared" si="73"/>
        <v>3.8077710671608908E-2</v>
      </c>
      <c r="AX25" s="542">
        <f t="shared" si="73"/>
        <v>3.2699665231946437E-2</v>
      </c>
      <c r="AY25" s="542">
        <f t="shared" si="73"/>
        <v>3.1094662748086064E-2</v>
      </c>
      <c r="AZ25" s="542">
        <f t="shared" si="73"/>
        <v>2.3196993785229079E-2</v>
      </c>
      <c r="BA25" s="603">
        <f t="shared" si="73"/>
        <v>2.8397755055468123E-2</v>
      </c>
      <c r="BB25" s="542">
        <f t="shared" si="73"/>
        <v>2.5782948980946283E-2</v>
      </c>
      <c r="BC25" s="542">
        <f t="shared" si="73"/>
        <v>2.5335116153581135E-2</v>
      </c>
      <c r="BD25" s="542">
        <f t="shared" si="73"/>
        <v>2.0885971625614098E-2</v>
      </c>
      <c r="BE25" s="542">
        <f t="shared" si="73"/>
        <v>2.4218662781287072E-2</v>
      </c>
      <c r="BF25" s="542"/>
      <c r="BG25" s="375"/>
      <c r="BJ25" s="1510"/>
      <c r="BK25" s="1510"/>
      <c r="BL25" s="1510"/>
      <c r="BM25" s="1510"/>
      <c r="BN25" s="1510"/>
      <c r="BO25" s="1510"/>
      <c r="BP25" s="1510"/>
      <c r="BQ25" s="1510"/>
      <c r="CG25"/>
      <c r="CH25"/>
      <c r="CI25"/>
      <c r="CJ25"/>
      <c r="CK25"/>
      <c r="CL25"/>
    </row>
    <row r="26" spans="1:90" s="411" customFormat="1" outlineLevel="1">
      <c r="A26" s="1508"/>
      <c r="B26" s="1509" t="s">
        <v>613</v>
      </c>
      <c r="C26" s="1504"/>
      <c r="D26" s="1504"/>
      <c r="E26" s="1504"/>
      <c r="F26" s="1504">
        <f t="shared" ref="F26:R26" si="74">F12/F$19</f>
        <v>1.1356722774285136E-2</v>
      </c>
      <c r="G26" s="1504">
        <f t="shared" si="74"/>
        <v>1.7865305500533293E-2</v>
      </c>
      <c r="H26" s="1504">
        <f t="shared" si="74"/>
        <v>2.3200881843472784E-2</v>
      </c>
      <c r="I26" s="1504">
        <f t="shared" si="74"/>
        <v>2.1790929673828143E-2</v>
      </c>
      <c r="J26" s="1505">
        <f t="shared" si="74"/>
        <v>4.6350293480252477E-2</v>
      </c>
      <c r="K26" s="1504">
        <f t="shared" si="74"/>
        <v>5.4275245226593459E-2</v>
      </c>
      <c r="L26" s="1504">
        <f t="shared" si="74"/>
        <v>4.9951065068340128E-2</v>
      </c>
      <c r="M26" s="1504">
        <f t="shared" si="74"/>
        <v>4.6578217397996044E-2</v>
      </c>
      <c r="N26" s="1504">
        <f t="shared" si="74"/>
        <v>4.4637800664343384E-2</v>
      </c>
      <c r="O26" s="1504">
        <f t="shared" si="74"/>
        <v>4.2149462275909516E-2</v>
      </c>
      <c r="P26" s="1504">
        <f t="shared" si="74"/>
        <v>3.8466736039574297E-2</v>
      </c>
      <c r="Q26" s="1504">
        <f t="shared" si="74"/>
        <v>3.6327448562862547E-2</v>
      </c>
      <c r="R26" s="1504">
        <f t="shared" si="74"/>
        <v>3.4189471783525702E-2</v>
      </c>
      <c r="V26" s="1506"/>
      <c r="W26" s="1506"/>
      <c r="X26" s="1506"/>
      <c r="Y26" s="1507"/>
      <c r="Z26" s="542"/>
      <c r="AA26" s="542"/>
      <c r="AB26" s="542"/>
      <c r="AC26" s="603"/>
      <c r="AD26" s="542"/>
      <c r="AE26" s="542"/>
      <c r="AF26" s="542"/>
      <c r="AG26" s="603"/>
      <c r="AH26" s="542"/>
      <c r="AI26" s="542"/>
      <c r="AJ26" s="542"/>
      <c r="AK26" s="603"/>
      <c r="AL26" s="542"/>
      <c r="AM26" s="542"/>
      <c r="AN26" s="542"/>
      <c r="AO26" s="603"/>
      <c r="AP26" s="542">
        <f t="shared" ref="AP26:BE26" si="75">AP12/AP$19</f>
        <v>2.4746851074339344E-2</v>
      </c>
      <c r="AQ26" s="542">
        <f t="shared" si="75"/>
        <v>2.169500699111452E-2</v>
      </c>
      <c r="AR26" s="542">
        <f t="shared" si="75"/>
        <v>1.8296036823669051E-2</v>
      </c>
      <c r="AS26" s="603">
        <f t="shared" si="75"/>
        <v>2.4396295071121402E-2</v>
      </c>
      <c r="AT26" s="542">
        <f t="shared" si="75"/>
        <v>3.4739068234123281E-2</v>
      </c>
      <c r="AU26" s="542">
        <f t="shared" si="75"/>
        <v>3.9017846728099846E-2</v>
      </c>
      <c r="AV26" s="542">
        <f t="shared" si="75"/>
        <v>4.6048677884615384E-2</v>
      </c>
      <c r="AW26" s="603">
        <f t="shared" si="75"/>
        <v>6.2961714922626297E-2</v>
      </c>
      <c r="AX26" s="542">
        <f t="shared" si="75"/>
        <v>5.2566555077315481E-2</v>
      </c>
      <c r="AY26" s="542">
        <f t="shared" si="75"/>
        <v>5.2211458219948478E-2</v>
      </c>
      <c r="AZ26" s="542">
        <f t="shared" si="75"/>
        <v>5.7004865828395243E-2</v>
      </c>
      <c r="BA26" s="603">
        <f t="shared" si="75"/>
        <v>5.3823226634690739E-2</v>
      </c>
      <c r="BB26" s="542">
        <f t="shared" si="75"/>
        <v>4.4896759726056737E-2</v>
      </c>
      <c r="BC26" s="542">
        <f t="shared" si="75"/>
        <v>4.7662143105786613E-2</v>
      </c>
      <c r="BD26" s="542">
        <f t="shared" si="75"/>
        <v>5.1153469807258163E-2</v>
      </c>
      <c r="BE26" s="542">
        <f t="shared" si="75"/>
        <v>5.5223884937148811E-2</v>
      </c>
      <c r="BF26" s="542"/>
      <c r="BG26" s="375"/>
      <c r="BJ26" s="1510"/>
      <c r="BK26" s="1510"/>
      <c r="BL26" s="1510"/>
      <c r="BM26" s="1510"/>
      <c r="BN26" s="1510"/>
      <c r="BO26" s="1510"/>
      <c r="BP26" s="1510"/>
      <c r="BQ26" s="1510"/>
      <c r="CG26"/>
      <c r="CH26"/>
      <c r="CI26"/>
      <c r="CJ26"/>
      <c r="CK26"/>
      <c r="CL26"/>
    </row>
    <row r="27" spans="1:90" s="411" customFormat="1" outlineLevel="1">
      <c r="A27" s="1508"/>
      <c r="B27" s="1509" t="s">
        <v>580</v>
      </c>
      <c r="C27" s="1504"/>
      <c r="D27" s="1504"/>
      <c r="E27" s="1504"/>
      <c r="F27" s="1504">
        <f t="shared" ref="F27:R28" si="76">F13/F$19</f>
        <v>0.10916360054465915</v>
      </c>
      <c r="G27" s="1504">
        <f t="shared" si="76"/>
        <v>7.45276550358068E-2</v>
      </c>
      <c r="H27" s="1504">
        <f t="shared" si="76"/>
        <v>6.1912760485013908E-2</v>
      </c>
      <c r="I27" s="1504">
        <f t="shared" si="76"/>
        <v>5.3636929891341958E-2</v>
      </c>
      <c r="J27" s="1505">
        <f t="shared" si="76"/>
        <v>3.7915500432796498E-2</v>
      </c>
      <c r="K27" s="1504">
        <f t="shared" si="76"/>
        <v>2.658039093690661E-2</v>
      </c>
      <c r="L27" s="1504">
        <f t="shared" si="76"/>
        <v>2.088358108598207E-2</v>
      </c>
      <c r="M27" s="1504">
        <f t="shared" si="76"/>
        <v>1.6856891497443849E-2</v>
      </c>
      <c r="N27" s="1504">
        <f t="shared" si="76"/>
        <v>1.4353151736518525E-2</v>
      </c>
      <c r="O27" s="1504">
        <f t="shared" si="76"/>
        <v>1.23065979556408E-2</v>
      </c>
      <c r="P27" s="1504">
        <f t="shared" si="76"/>
        <v>1.0384060148732933E-2</v>
      </c>
      <c r="Q27" s="1504">
        <f t="shared" si="76"/>
        <v>9.2024774310093798E-3</v>
      </c>
      <c r="R27" s="1504">
        <f t="shared" si="76"/>
        <v>8.226886755977483E-3</v>
      </c>
      <c r="V27" s="1506"/>
      <c r="W27" s="1506"/>
      <c r="X27" s="1506"/>
      <c r="Y27" s="1507"/>
      <c r="Z27" s="542"/>
      <c r="AA27" s="542"/>
      <c r="AB27" s="542"/>
      <c r="AC27" s="603"/>
      <c r="AD27" s="542"/>
      <c r="AE27" s="542"/>
      <c r="AF27" s="542"/>
      <c r="AG27" s="603"/>
      <c r="AH27" s="542"/>
      <c r="AI27" s="542"/>
      <c r="AJ27" s="542"/>
      <c r="AK27" s="603"/>
      <c r="AL27" s="542"/>
      <c r="AM27" s="542"/>
      <c r="AN27" s="542"/>
      <c r="AO27" s="603"/>
      <c r="AP27" s="542">
        <f t="shared" ref="AP27:BE27" si="77">AP13/AP$19</f>
        <v>6.1496665843418126E-2</v>
      </c>
      <c r="AQ27" s="542">
        <f t="shared" si="77"/>
        <v>6.1115872085156286E-2</v>
      </c>
      <c r="AR27" s="542">
        <f t="shared" si="77"/>
        <v>4.1397678256086617E-2</v>
      </c>
      <c r="AS27" s="603">
        <f t="shared" si="77"/>
        <v>5.7682765464770094E-2</v>
      </c>
      <c r="AT27" s="542">
        <f t="shared" si="77"/>
        <v>4.4535672078124026E-2</v>
      </c>
      <c r="AU27" s="542">
        <f t="shared" si="77"/>
        <v>4.391694855943077E-2</v>
      </c>
      <c r="AV27" s="542">
        <f t="shared" si="77"/>
        <v>2.918419471153846E-2</v>
      </c>
      <c r="AW27" s="603">
        <f t="shared" si="77"/>
        <v>3.9114544182067966E-2</v>
      </c>
      <c r="AX27" s="542">
        <f t="shared" si="77"/>
        <v>3.2062011796588553E-2</v>
      </c>
      <c r="AY27" s="542">
        <f t="shared" si="77"/>
        <v>2.9951743405536808E-2</v>
      </c>
      <c r="AZ27" s="542">
        <f t="shared" si="77"/>
        <v>2.0065520065520065E-2</v>
      </c>
      <c r="BA27" s="603">
        <f t="shared" si="77"/>
        <v>2.7913341681530986E-2</v>
      </c>
      <c r="BB27" s="542">
        <f t="shared" si="77"/>
        <v>2.3081897653000397E-2</v>
      </c>
      <c r="BC27" s="542">
        <f t="shared" si="77"/>
        <v>2.270623314059755E-2</v>
      </c>
      <c r="BD27" s="542">
        <f t="shared" si="77"/>
        <v>1.6676745136962899E-2</v>
      </c>
      <c r="BE27" s="542">
        <f t="shared" si="77"/>
        <v>2.2789216545490182E-2</v>
      </c>
      <c r="BF27" s="542"/>
      <c r="BG27" s="375"/>
      <c r="BJ27" s="1510"/>
      <c r="BK27" s="1510"/>
      <c r="BL27" s="1510"/>
      <c r="BM27" s="1510"/>
      <c r="BN27" s="1510"/>
      <c r="BO27" s="1510"/>
      <c r="BP27" s="1510"/>
      <c r="BQ27" s="1510"/>
      <c r="CG27"/>
      <c r="CH27"/>
      <c r="CI27"/>
      <c r="CJ27"/>
      <c r="CK27"/>
      <c r="CL27"/>
    </row>
    <row r="28" spans="1:90" s="411" customFormat="1" outlineLevel="1">
      <c r="A28" s="1508"/>
      <c r="B28" s="1509" t="s">
        <v>884</v>
      </c>
      <c r="C28" s="1511"/>
      <c r="D28" s="1511"/>
      <c r="E28" s="1511"/>
      <c r="F28" s="1511"/>
      <c r="G28" s="1511"/>
      <c r="H28" s="1511"/>
      <c r="I28" s="1504">
        <f t="shared" si="76"/>
        <v>0</v>
      </c>
      <c r="J28" s="1505">
        <f t="shared" si="76"/>
        <v>0</v>
      </c>
      <c r="K28" s="1504">
        <f t="shared" si="76"/>
        <v>2.6201482150922013E-2</v>
      </c>
      <c r="L28" s="1504">
        <f t="shared" si="76"/>
        <v>4.3167583632031055E-2</v>
      </c>
      <c r="M28" s="1504">
        <f t="shared" si="76"/>
        <v>3.9821920825661661E-2</v>
      </c>
      <c r="N28" s="1504">
        <f t="shared" si="76"/>
        <v>3.8145605383658569E-2</v>
      </c>
      <c r="O28" s="1504">
        <f t="shared" si="76"/>
        <v>3.6271987087549536E-2</v>
      </c>
      <c r="P28" s="1504">
        <f t="shared" si="76"/>
        <v>3.3506926420719937E-2</v>
      </c>
      <c r="Q28" s="1504">
        <f t="shared" si="76"/>
        <v>3.2136202094127958E-2</v>
      </c>
      <c r="R28" s="1504">
        <f t="shared" si="76"/>
        <v>3.0774576931485831E-2</v>
      </c>
      <c r="T28" s="375"/>
      <c r="V28" s="1506"/>
      <c r="W28" s="1506"/>
      <c r="X28" s="1506"/>
      <c r="Y28" s="1507"/>
      <c r="Z28" s="542"/>
      <c r="AA28" s="542"/>
      <c r="AB28" s="542"/>
      <c r="AC28" s="603"/>
      <c r="AD28" s="542"/>
      <c r="AE28" s="542"/>
      <c r="AF28" s="542"/>
      <c r="AG28" s="603"/>
      <c r="AH28" s="542"/>
      <c r="AI28" s="542"/>
      <c r="AJ28" s="542"/>
      <c r="AK28" s="603"/>
      <c r="AL28" s="542"/>
      <c r="AM28" s="542"/>
      <c r="AN28" s="542"/>
      <c r="AO28" s="603"/>
      <c r="AP28" s="1504">
        <f t="shared" ref="AP28:BE28" si="78">AP14/AP$19</f>
        <v>0</v>
      </c>
      <c r="AQ28" s="1504">
        <f t="shared" si="78"/>
        <v>0</v>
      </c>
      <c r="AR28" s="1504">
        <f t="shared" si="78"/>
        <v>0</v>
      </c>
      <c r="AS28" s="1505">
        <f t="shared" si="78"/>
        <v>0</v>
      </c>
      <c r="AT28" s="1504">
        <f t="shared" si="78"/>
        <v>0</v>
      </c>
      <c r="AU28" s="1504">
        <f t="shared" si="78"/>
        <v>0</v>
      </c>
      <c r="AV28" s="1504">
        <f t="shared" si="78"/>
        <v>0</v>
      </c>
      <c r="AW28" s="1505">
        <f t="shared" si="78"/>
        <v>0</v>
      </c>
      <c r="AX28" s="1504">
        <f t="shared" si="78"/>
        <v>0</v>
      </c>
      <c r="AY28" s="1504">
        <f t="shared" si="78"/>
        <v>0</v>
      </c>
      <c r="AZ28" s="1504">
        <f t="shared" si="78"/>
        <v>4.7056414703473527E-2</v>
      </c>
      <c r="BA28" s="1505">
        <f t="shared" si="78"/>
        <v>4.3325585560253448E-2</v>
      </c>
      <c r="BB28" s="1504">
        <f t="shared" si="78"/>
        <v>4.7818308790139624E-2</v>
      </c>
      <c r="BC28" s="1504">
        <f t="shared" si="78"/>
        <v>4.2415850695965575E-2</v>
      </c>
      <c r="BD28" s="1504">
        <f t="shared" si="78"/>
        <v>4.0781689677335795E-2</v>
      </c>
      <c r="BE28" s="1504">
        <f t="shared" si="78"/>
        <v>4.2858743296511126E-2</v>
      </c>
      <c r="BF28" s="542"/>
      <c r="BG28" s="375"/>
      <c r="BI28" s="1512"/>
      <c r="BJ28" s="1513"/>
      <c r="BK28" s="1513"/>
      <c r="BL28" s="1513"/>
      <c r="BM28" s="1513"/>
      <c r="BN28" s="1513"/>
      <c r="BO28" s="1513"/>
      <c r="BP28" s="1513"/>
      <c r="BQ28" s="1510"/>
      <c r="CG28"/>
      <c r="CH28"/>
      <c r="CI28"/>
      <c r="CJ28"/>
      <c r="CK28"/>
      <c r="CL28"/>
    </row>
    <row r="29" spans="1:90" s="411" customFormat="1" outlineLevel="1">
      <c r="A29" s="1508"/>
      <c r="B29" s="1509" t="s">
        <v>82</v>
      </c>
      <c r="C29" s="1504"/>
      <c r="D29" s="1504"/>
      <c r="E29" s="1504"/>
      <c r="F29" s="1504">
        <f t="shared" ref="F29:R29" si="79">F15/F$19</f>
        <v>0</v>
      </c>
      <c r="G29" s="1504">
        <f t="shared" si="79"/>
        <v>0</v>
      </c>
      <c r="H29" s="1504">
        <f t="shared" si="79"/>
        <v>0</v>
      </c>
      <c r="I29" s="1504">
        <f t="shared" si="79"/>
        <v>3.8064917987403971E-3</v>
      </c>
      <c r="J29" s="1505">
        <f t="shared" si="79"/>
        <v>4.7702387646661147E-3</v>
      </c>
      <c r="K29" s="1504">
        <f t="shared" si="79"/>
        <v>1.094446419028831E-2</v>
      </c>
      <c r="L29" s="1504">
        <f t="shared" si="79"/>
        <v>1.1250773235383874E-2</v>
      </c>
      <c r="M29" s="1504">
        <f t="shared" si="79"/>
        <v>1.0378792679849846E-2</v>
      </c>
      <c r="N29" s="1504">
        <f t="shared" si="79"/>
        <v>9.856920900529283E-3</v>
      </c>
      <c r="O29" s="1504">
        <f t="shared" si="79"/>
        <v>9.2376480239129439E-3</v>
      </c>
      <c r="P29" s="1504">
        <f t="shared" si="79"/>
        <v>8.3782204836040947E-3</v>
      </c>
      <c r="Q29" s="1504">
        <f t="shared" si="79"/>
        <v>7.8719078705464848E-3</v>
      </c>
      <c r="R29" s="1504">
        <f t="shared" si="79"/>
        <v>7.3777013069057564E-3</v>
      </c>
      <c r="V29" s="1506"/>
      <c r="W29" s="1506"/>
      <c r="X29" s="1506"/>
      <c r="Y29" s="1507"/>
      <c r="Z29" s="542"/>
      <c r="AA29" s="542"/>
      <c r="AB29" s="542"/>
      <c r="AC29" s="603"/>
      <c r="AD29" s="542"/>
      <c r="AE29" s="542"/>
      <c r="AF29" s="542"/>
      <c r="AG29" s="603"/>
      <c r="AH29" s="542"/>
      <c r="AI29" s="542"/>
      <c r="AJ29" s="542"/>
      <c r="AK29" s="603"/>
      <c r="AL29" s="542"/>
      <c r="AM29" s="542"/>
      <c r="AN29" s="542"/>
      <c r="AO29" s="603"/>
      <c r="AP29" s="542">
        <f t="shared" ref="AP29:BE29" si="80">AP15/AP$19</f>
        <v>4.0997777228945417E-3</v>
      </c>
      <c r="AQ29" s="542">
        <f t="shared" si="80"/>
        <v>3.6985251003563212E-3</v>
      </c>
      <c r="AR29" s="542">
        <f t="shared" si="80"/>
        <v>5.0082505862258635E-3</v>
      </c>
      <c r="AS29" s="603">
        <f t="shared" si="80"/>
        <v>1.9434336751571286E-3</v>
      </c>
      <c r="AT29" s="542">
        <f t="shared" si="80"/>
        <v>1.4928158238477329E-3</v>
      </c>
      <c r="AU29" s="542">
        <f t="shared" si="80"/>
        <v>3.0619386445818269E-3</v>
      </c>
      <c r="AV29" s="542">
        <f t="shared" si="80"/>
        <v>4.7701322115384619E-3</v>
      </c>
      <c r="AW29" s="603">
        <f t="shared" si="80"/>
        <v>9.0204515409938041E-3</v>
      </c>
      <c r="AX29" s="542">
        <f t="shared" si="80"/>
        <v>8.5086880280567517E-3</v>
      </c>
      <c r="AY29" s="542">
        <f t="shared" si="80"/>
        <v>1.2009723885200102E-2</v>
      </c>
      <c r="AZ29" s="542">
        <f t="shared" si="80"/>
        <v>1.0924025629907982E-2</v>
      </c>
      <c r="BA29" s="603">
        <f t="shared" si="80"/>
        <v>1.2031181836347302E-2</v>
      </c>
      <c r="BB29" s="542">
        <f t="shared" si="80"/>
        <v>1.1084283977554364E-2</v>
      </c>
      <c r="BC29" s="542">
        <f t="shared" si="80"/>
        <v>1.148698356575286E-2</v>
      </c>
      <c r="BD29" s="542">
        <f t="shared" si="80"/>
        <v>9.6675775949875229E-3</v>
      </c>
      <c r="BE29" s="542">
        <f t="shared" si="80"/>
        <v>1.3325917787031388E-2</v>
      </c>
      <c r="BF29" s="542"/>
      <c r="BG29" s="375"/>
      <c r="BJ29" s="1510"/>
      <c r="BK29" s="1510"/>
      <c r="BL29" s="1510"/>
      <c r="BM29" s="1510"/>
      <c r="BN29" s="1510"/>
      <c r="BO29" s="1510"/>
      <c r="BP29" s="1510"/>
      <c r="BQ29" s="1510"/>
      <c r="CG29"/>
      <c r="CH29"/>
      <c r="CI29"/>
      <c r="CJ29"/>
      <c r="CK29"/>
      <c r="CL29"/>
    </row>
    <row r="30" spans="1:90" s="1516" customFormat="1" outlineLevel="1">
      <c r="A30" s="1514"/>
      <c r="B30" s="1515" t="s">
        <v>429</v>
      </c>
      <c r="C30" s="1496"/>
      <c r="D30" s="1496"/>
      <c r="E30" s="1496"/>
      <c r="F30" s="1496">
        <f t="shared" ref="F30:R30" si="81">F16/F$19</f>
        <v>1.8831300518585045E-2</v>
      </c>
      <c r="G30" s="1496">
        <f t="shared" si="81"/>
        <v>1.4722687795215603E-2</v>
      </c>
      <c r="H30" s="1496">
        <f t="shared" si="81"/>
        <v>1.6678914492677551E-2</v>
      </c>
      <c r="I30" s="1496">
        <f t="shared" si="81"/>
        <v>2.9848827897135739E-2</v>
      </c>
      <c r="J30" s="1497">
        <f t="shared" si="81"/>
        <v>4.2098146872808377E-2</v>
      </c>
      <c r="K30" s="1496">
        <f t="shared" si="81"/>
        <v>5.1512911187560975E-2</v>
      </c>
      <c r="L30" s="1496">
        <f t="shared" si="81"/>
        <v>6.3545559368360469E-2</v>
      </c>
      <c r="M30" s="1496">
        <f t="shared" si="81"/>
        <v>7.7818741355911589E-2</v>
      </c>
      <c r="N30" s="1496">
        <f t="shared" si="81"/>
        <v>9.584565394775911E-2</v>
      </c>
      <c r="O30" s="1496">
        <f t="shared" si="81"/>
        <v>0.11398090426893946</v>
      </c>
      <c r="P30" s="1496">
        <f t="shared" si="81"/>
        <v>0.1285479529627627</v>
      </c>
      <c r="Q30" s="1496">
        <f t="shared" si="81"/>
        <v>0.14739024080322083</v>
      </c>
      <c r="R30" s="1496">
        <f t="shared" si="81"/>
        <v>0.16566068948741236</v>
      </c>
      <c r="V30" s="1498"/>
      <c r="W30" s="1498"/>
      <c r="X30" s="1498"/>
      <c r="Y30" s="1499"/>
      <c r="Z30" s="1500"/>
      <c r="AA30" s="1500"/>
      <c r="AB30" s="1500"/>
      <c r="AC30" s="1501"/>
      <c r="AD30" s="1500"/>
      <c r="AE30" s="1500"/>
      <c r="AF30" s="1500"/>
      <c r="AG30" s="1501"/>
      <c r="AH30" s="1500"/>
      <c r="AI30" s="1500"/>
      <c r="AJ30" s="1500"/>
      <c r="AK30" s="1501"/>
      <c r="AL30" s="1500"/>
      <c r="AM30" s="1500"/>
      <c r="AN30" s="1500"/>
      <c r="AO30" s="1501"/>
      <c r="AP30" s="1500">
        <f t="shared" ref="AP30:BE30" si="82">AP16/AP$19</f>
        <v>2.3956532477154853E-2</v>
      </c>
      <c r="AQ30" s="1500">
        <f t="shared" si="82"/>
        <v>2.927247305038113E-2</v>
      </c>
      <c r="AR30" s="1500">
        <f t="shared" si="82"/>
        <v>2.3709579364849607E-2</v>
      </c>
      <c r="AS30" s="1501">
        <f t="shared" si="82"/>
        <v>4.4078729738670198E-2</v>
      </c>
      <c r="AT30" s="1500">
        <f t="shared" si="82"/>
        <v>3.8657709771723579E-2</v>
      </c>
      <c r="AU30" s="1500">
        <f t="shared" si="82"/>
        <v>4.3537851393911114E-2</v>
      </c>
      <c r="AV30" s="1500">
        <f t="shared" si="82"/>
        <v>3.3128004807692304E-2</v>
      </c>
      <c r="AW30" s="1501">
        <f t="shared" si="82"/>
        <v>5.6066772078073562E-2</v>
      </c>
      <c r="AX30" s="1500">
        <f t="shared" si="82"/>
        <v>4.8441734417344173E-2</v>
      </c>
      <c r="AY30" s="1500">
        <f t="shared" si="82"/>
        <v>5.397119117593701E-2</v>
      </c>
      <c r="AZ30" s="1500">
        <f t="shared" si="82"/>
        <v>4.3346822758587464E-2</v>
      </c>
      <c r="BA30" s="1501">
        <f t="shared" si="82"/>
        <v>6.3121378876468306E-2</v>
      </c>
      <c r="BB30" s="1500">
        <f t="shared" si="82"/>
        <v>6.0448080507791296E-2</v>
      </c>
      <c r="BC30" s="1500">
        <f t="shared" si="82"/>
        <v>6.729981643759872E-2</v>
      </c>
      <c r="BD30" s="1500">
        <f t="shared" si="82"/>
        <v>5.3372109508629653E-2</v>
      </c>
      <c r="BE30" s="1500">
        <f t="shared" si="82"/>
        <v>7.6557726060102041E-2</v>
      </c>
      <c r="BF30" s="1500"/>
      <c r="BG30" s="1369"/>
      <c r="BJ30" s="1517"/>
      <c r="BK30" s="1517"/>
      <c r="BL30" s="1517"/>
      <c r="BM30" s="1517"/>
      <c r="BN30" s="1517"/>
      <c r="BO30" s="1517"/>
      <c r="BP30" s="1517"/>
      <c r="BQ30" s="1517"/>
      <c r="CG30"/>
      <c r="CH30"/>
      <c r="CI30"/>
      <c r="CJ30"/>
      <c r="CK30"/>
      <c r="CL30"/>
    </row>
    <row r="31" spans="1:90" s="1516" customFormat="1" outlineLevel="1">
      <c r="A31" s="1514"/>
      <c r="B31" s="1515" t="s">
        <v>605</v>
      </c>
      <c r="C31" s="1496"/>
      <c r="D31" s="1496"/>
      <c r="E31" s="1496"/>
      <c r="F31" s="1496">
        <f t="shared" ref="F31:R31" si="83">F17/F$19</f>
        <v>0</v>
      </c>
      <c r="G31" s="1496">
        <f t="shared" si="83"/>
        <v>0</v>
      </c>
      <c r="H31" s="1496">
        <f t="shared" si="83"/>
        <v>0</v>
      </c>
      <c r="I31" s="1496">
        <f t="shared" si="83"/>
        <v>3.9271130972978852E-2</v>
      </c>
      <c r="J31" s="1497">
        <f t="shared" si="83"/>
        <v>9.3085996979901817E-2</v>
      </c>
      <c r="K31" s="1496">
        <f t="shared" si="83"/>
        <v>7.8483042628138669E-2</v>
      </c>
      <c r="L31" s="1496">
        <f t="shared" si="83"/>
        <v>6.8856155843804029E-2</v>
      </c>
      <c r="M31" s="1496">
        <f t="shared" si="83"/>
        <v>6.6359295538719582E-2</v>
      </c>
      <c r="N31" s="1496">
        <f t="shared" si="83"/>
        <v>6.6185062633804831E-2</v>
      </c>
      <c r="O31" s="1496">
        <f t="shared" si="83"/>
        <v>6.511517099686584E-2</v>
      </c>
      <c r="P31" s="1496">
        <f t="shared" si="83"/>
        <v>6.1791811045134218E-2</v>
      </c>
      <c r="Q31" s="1496">
        <f t="shared" si="83"/>
        <v>6.0464970139789749E-2</v>
      </c>
      <c r="R31" s="1496">
        <f t="shared" si="83"/>
        <v>5.8724692547665061E-2</v>
      </c>
      <c r="V31" s="1498"/>
      <c r="W31" s="1498"/>
      <c r="X31" s="1498"/>
      <c r="Y31" s="1499"/>
      <c r="Z31" s="1500"/>
      <c r="AA31" s="1500"/>
      <c r="AB31" s="1500"/>
      <c r="AC31" s="1501"/>
      <c r="AD31" s="1500"/>
      <c r="AE31" s="1500"/>
      <c r="AF31" s="1500"/>
      <c r="AG31" s="1501"/>
      <c r="AH31" s="1500"/>
      <c r="AI31" s="1500"/>
      <c r="AJ31" s="1500"/>
      <c r="AK31" s="1501"/>
      <c r="AL31" s="1500"/>
      <c r="AM31" s="1500"/>
      <c r="AN31" s="1500"/>
      <c r="AO31" s="1501"/>
      <c r="AP31" s="1500">
        <f t="shared" ref="AP31:BE31" si="84">AP17/AP$19</f>
        <v>4.010866880711287E-2</v>
      </c>
      <c r="AQ31" s="1500">
        <f t="shared" si="84"/>
        <v>4.050336024536557E-2</v>
      </c>
      <c r="AR31" s="1500">
        <f t="shared" si="84"/>
        <v>3.1496974785050515E-2</v>
      </c>
      <c r="AS31" s="1501">
        <f t="shared" si="84"/>
        <v>4.85444922262653E-2</v>
      </c>
      <c r="AT31" s="1500">
        <f t="shared" si="84"/>
        <v>9.7499533495055052E-2</v>
      </c>
      <c r="AU31" s="1500">
        <f t="shared" si="84"/>
        <v>0.10521404409191648</v>
      </c>
      <c r="AV31" s="1500">
        <f t="shared" si="84"/>
        <v>7.6303335336538464E-2</v>
      </c>
      <c r="AW31" s="1501">
        <f t="shared" si="84"/>
        <v>0.10179112988931802</v>
      </c>
      <c r="AX31" s="1500">
        <f t="shared" si="84"/>
        <v>8.1320739677985018E-2</v>
      </c>
      <c r="AY31" s="1500">
        <f t="shared" si="84"/>
        <v>8.7043285802401948E-2</v>
      </c>
      <c r="AZ31" s="1500">
        <f t="shared" si="84"/>
        <v>6.5194874018403431E-2</v>
      </c>
      <c r="BA31" s="1501">
        <f t="shared" si="84"/>
        <v>8.6632007880739839E-2</v>
      </c>
      <c r="BB31" s="1500">
        <f t="shared" si="84"/>
        <v>6.9695185061628501E-2</v>
      </c>
      <c r="BC31" s="1500">
        <f t="shared" si="84"/>
        <v>7.4004091505179212E-2</v>
      </c>
      <c r="BD31" s="1500">
        <f t="shared" si="84"/>
        <v>5.7696358899302608E-2</v>
      </c>
      <c r="BE31" s="1500">
        <f t="shared" si="84"/>
        <v>7.8210973090085692E-2</v>
      </c>
      <c r="BF31" s="1500"/>
      <c r="BG31" s="1369"/>
      <c r="BJ31" s="1517"/>
      <c r="BK31" s="1517"/>
      <c r="BL31" s="1517"/>
      <c r="BM31" s="1517"/>
      <c r="BN31" s="1517"/>
      <c r="BO31" s="1517"/>
      <c r="BP31" s="1517"/>
      <c r="BQ31" s="1517"/>
      <c r="CG31"/>
      <c r="CH31"/>
      <c r="CI31"/>
      <c r="CJ31"/>
      <c r="CK31"/>
      <c r="CL31"/>
    </row>
    <row r="32" spans="1:90" s="1516" customFormat="1" outlineLevel="1">
      <c r="A32" s="1514"/>
      <c r="B32" s="1515" t="s">
        <v>606</v>
      </c>
      <c r="C32" s="1496"/>
      <c r="D32" s="1496"/>
      <c r="E32" s="1496"/>
      <c r="F32" s="1496">
        <f t="shared" ref="F32:R32" si="85">F18/F$19</f>
        <v>1.5644465046209113E-2</v>
      </c>
      <c r="G32" s="1496">
        <f t="shared" si="85"/>
        <v>3.32927015084565E-2</v>
      </c>
      <c r="H32" s="1496">
        <f t="shared" si="85"/>
        <v>7.2305915699963252E-2</v>
      </c>
      <c r="I32" s="1496">
        <f t="shared" si="85"/>
        <v>1.7964663891717667E-2</v>
      </c>
      <c r="J32" s="1497">
        <f t="shared" si="85"/>
        <v>1.8935636526760724E-2</v>
      </c>
      <c r="K32" s="1496">
        <f t="shared" si="85"/>
        <v>1.2671297695808966E-2</v>
      </c>
      <c r="L32" s="1496">
        <f t="shared" si="85"/>
        <v>1.1165088538558103E-2</v>
      </c>
      <c r="M32" s="1496">
        <f t="shared" si="85"/>
        <v>9.8705926906005742E-3</v>
      </c>
      <c r="N32" s="1496">
        <f t="shared" si="85"/>
        <v>9.17224270624745E-3</v>
      </c>
      <c r="O32" s="1496">
        <f t="shared" si="85"/>
        <v>8.5464519535718708E-3</v>
      </c>
      <c r="P32" s="1496">
        <f t="shared" si="85"/>
        <v>7.8001977531145681E-3</v>
      </c>
      <c r="Q32" s="1496">
        <f t="shared" si="85"/>
        <v>7.4405516641137173E-3</v>
      </c>
      <c r="R32" s="1496">
        <f t="shared" si="85"/>
        <v>7.1241955670225156E-3</v>
      </c>
      <c r="V32" s="1498"/>
      <c r="W32" s="1498"/>
      <c r="X32" s="1498"/>
      <c r="Y32" s="1499"/>
      <c r="Z32" s="1500"/>
      <c r="AA32" s="1500"/>
      <c r="AB32" s="1500"/>
      <c r="AC32" s="1501"/>
      <c r="AD32" s="1500"/>
      <c r="AE32" s="1500"/>
      <c r="AF32" s="1500"/>
      <c r="AG32" s="1501"/>
      <c r="AH32" s="1500"/>
      <c r="AI32" s="1500"/>
      <c r="AJ32" s="1500"/>
      <c r="AK32" s="1501"/>
      <c r="AL32" s="1500"/>
      <c r="AM32" s="1500"/>
      <c r="AN32" s="1500"/>
      <c r="AO32" s="1501"/>
      <c r="AP32" s="1500">
        <f t="shared" ref="AP32:BE32" si="86">AP18/AP$19</f>
        <v>2.0251914052852555E-2</v>
      </c>
      <c r="AQ32" s="1500">
        <f t="shared" si="86"/>
        <v>1.7725858102927247E-2</v>
      </c>
      <c r="AR32" s="1500">
        <f t="shared" si="86"/>
        <v>1.5198448310801031E-2</v>
      </c>
      <c r="AS32" s="1501">
        <f t="shared" si="86"/>
        <v>2.0219980152166722E-2</v>
      </c>
      <c r="AT32" s="1500">
        <f t="shared" si="86"/>
        <v>1.6638676369969522E-2</v>
      </c>
      <c r="AU32" s="1500">
        <f t="shared" si="86"/>
        <v>2.0354601656362999E-2</v>
      </c>
      <c r="AV32" s="1500">
        <f t="shared" si="86"/>
        <v>1.5869140625E-2</v>
      </c>
      <c r="AW32" s="1501">
        <f t="shared" si="86"/>
        <v>2.3821249902796857E-2</v>
      </c>
      <c r="AX32" s="1500">
        <f t="shared" si="86"/>
        <v>1.285270205643233E-2</v>
      </c>
      <c r="AY32" s="1500">
        <f t="shared" si="86"/>
        <v>1.6091578680018866E-2</v>
      </c>
      <c r="AZ32" s="1500">
        <f t="shared" si="86"/>
        <v>9.2980681215975337E-3</v>
      </c>
      <c r="BA32" s="1501">
        <f t="shared" si="86"/>
        <v>1.4044988380561389E-2</v>
      </c>
      <c r="BB32" s="1500">
        <f t="shared" si="86"/>
        <v>1.0574677429590878E-2</v>
      </c>
      <c r="BC32" s="1500">
        <f t="shared" si="86"/>
        <v>1.3110996515884753E-2</v>
      </c>
      <c r="BD32" s="1500">
        <f t="shared" si="86"/>
        <v>9.3019326727668654E-3</v>
      </c>
      <c r="BE32" s="1500">
        <f t="shared" si="86"/>
        <v>1.2335376596372611E-2</v>
      </c>
      <c r="BF32" s="1500"/>
      <c r="BG32" s="1369"/>
      <c r="BJ32" s="1517"/>
      <c r="BK32" s="1517"/>
      <c r="BL32" s="1517"/>
      <c r="BM32" s="1517"/>
      <c r="BN32" s="1517"/>
      <c r="BO32" s="1517"/>
      <c r="BP32" s="1517"/>
      <c r="BQ32" s="1517"/>
      <c r="CG32"/>
      <c r="CH32"/>
      <c r="CI32"/>
      <c r="CJ32"/>
      <c r="CK32"/>
      <c r="CL32"/>
    </row>
    <row r="33" spans="1:90" s="1516" customFormat="1" outlineLevel="1">
      <c r="A33" s="1514"/>
      <c r="B33" s="1516" t="s">
        <v>42</v>
      </c>
      <c r="C33" s="1496"/>
      <c r="D33" s="1496"/>
      <c r="E33" s="1496"/>
      <c r="F33" s="1500">
        <f t="shared" ref="F33" si="87">SUM(F24:F32)</f>
        <v>1</v>
      </c>
      <c r="G33" s="1500">
        <f t="shared" ref="G33" si="88">SUM(G24:G32)</f>
        <v>1</v>
      </c>
      <c r="H33" s="1500">
        <f t="shared" ref="H33" si="89">SUM(H24:H32)</f>
        <v>1</v>
      </c>
      <c r="I33" s="1500">
        <f t="shared" ref="I33:AO33" si="90">SUM(I24:I32)</f>
        <v>1</v>
      </c>
      <c r="J33" s="1501">
        <f t="shared" si="90"/>
        <v>0.99999999999999978</v>
      </c>
      <c r="K33" s="1500">
        <f t="shared" si="90"/>
        <v>0.99999999999999978</v>
      </c>
      <c r="L33" s="1500">
        <f t="shared" si="90"/>
        <v>1</v>
      </c>
      <c r="M33" s="1500">
        <f t="shared" si="90"/>
        <v>1.0000000000000002</v>
      </c>
      <c r="N33" s="1500">
        <f t="shared" si="90"/>
        <v>1</v>
      </c>
      <c r="O33" s="1500">
        <f t="shared" si="90"/>
        <v>0.99999999999999989</v>
      </c>
      <c r="P33" s="1500">
        <f t="shared" si="90"/>
        <v>1.0000000000000002</v>
      </c>
      <c r="Q33" s="1500">
        <f t="shared" si="90"/>
        <v>0.99999999999999978</v>
      </c>
      <c r="R33" s="1500">
        <f t="shared" si="90"/>
        <v>1.0000000000000002</v>
      </c>
      <c r="S33" s="1500"/>
      <c r="T33" s="1500"/>
      <c r="U33" s="1500"/>
      <c r="V33" s="1500">
        <f t="shared" si="90"/>
        <v>0</v>
      </c>
      <c r="W33" s="1500">
        <f t="shared" si="90"/>
        <v>0</v>
      </c>
      <c r="X33" s="1500">
        <f t="shared" si="90"/>
        <v>0</v>
      </c>
      <c r="Y33" s="1500">
        <f t="shared" si="90"/>
        <v>0</v>
      </c>
      <c r="Z33" s="1500">
        <f t="shared" si="90"/>
        <v>0</v>
      </c>
      <c r="AA33" s="1500">
        <f t="shared" si="90"/>
        <v>0</v>
      </c>
      <c r="AB33" s="1500">
        <f t="shared" si="90"/>
        <v>0</v>
      </c>
      <c r="AC33" s="1500">
        <f t="shared" si="90"/>
        <v>0</v>
      </c>
      <c r="AD33" s="1500">
        <f t="shared" si="90"/>
        <v>0</v>
      </c>
      <c r="AE33" s="1500">
        <f t="shared" si="90"/>
        <v>0</v>
      </c>
      <c r="AF33" s="1500">
        <f t="shared" si="90"/>
        <v>0</v>
      </c>
      <c r="AG33" s="1501">
        <f t="shared" si="90"/>
        <v>0</v>
      </c>
      <c r="AH33" s="1500">
        <f t="shared" si="90"/>
        <v>0</v>
      </c>
      <c r="AI33" s="1500">
        <f t="shared" si="90"/>
        <v>0</v>
      </c>
      <c r="AJ33" s="1500">
        <f t="shared" si="90"/>
        <v>0</v>
      </c>
      <c r="AK33" s="1501">
        <f t="shared" si="90"/>
        <v>0</v>
      </c>
      <c r="AL33" s="1500">
        <f t="shared" si="90"/>
        <v>0</v>
      </c>
      <c r="AM33" s="1500">
        <f t="shared" si="90"/>
        <v>0</v>
      </c>
      <c r="AN33" s="1500">
        <f t="shared" si="90"/>
        <v>0</v>
      </c>
      <c r="AO33" s="1501">
        <f t="shared" si="90"/>
        <v>0</v>
      </c>
      <c r="AP33" s="1500">
        <f>SUM(AP24:AP32)</f>
        <v>1</v>
      </c>
      <c r="AQ33" s="1500">
        <f t="shared" ref="AQ33:BE33" si="91">SUM(AQ24:AQ32)</f>
        <v>0.99999999999999989</v>
      </c>
      <c r="AR33" s="1500">
        <f t="shared" si="91"/>
        <v>1.0000000000000002</v>
      </c>
      <c r="AS33" s="1501">
        <f t="shared" si="91"/>
        <v>1.0000000000000002</v>
      </c>
      <c r="AT33" s="1500">
        <f t="shared" si="91"/>
        <v>1</v>
      </c>
      <c r="AU33" s="1500">
        <f t="shared" si="91"/>
        <v>0.99999999999999989</v>
      </c>
      <c r="AV33" s="1500">
        <f t="shared" si="91"/>
        <v>1</v>
      </c>
      <c r="AW33" s="1500">
        <f t="shared" si="91"/>
        <v>1</v>
      </c>
      <c r="AX33" s="1500">
        <f t="shared" si="91"/>
        <v>1</v>
      </c>
      <c r="AY33" s="1500">
        <f t="shared" si="91"/>
        <v>0.99999999999999989</v>
      </c>
      <c r="AZ33" s="1500">
        <f t="shared" si="91"/>
        <v>1.0000000000000002</v>
      </c>
      <c r="BA33" s="1501">
        <f t="shared" si="91"/>
        <v>1.0000000000000002</v>
      </c>
      <c r="BB33" s="1500">
        <f t="shared" si="91"/>
        <v>0.99999999999999989</v>
      </c>
      <c r="BC33" s="1500">
        <f t="shared" si="91"/>
        <v>0.99999999999999978</v>
      </c>
      <c r="BD33" s="1500">
        <f t="shared" si="91"/>
        <v>1</v>
      </c>
      <c r="BE33" s="1500">
        <f t="shared" si="91"/>
        <v>1</v>
      </c>
      <c r="BF33" s="1500"/>
      <c r="BG33" s="1369"/>
      <c r="BJ33" s="1517"/>
      <c r="BK33" s="1517"/>
      <c r="BL33" s="1517"/>
      <c r="BM33" s="1517"/>
      <c r="BN33" s="1517"/>
      <c r="BO33" s="1517"/>
      <c r="BP33" s="1517"/>
      <c r="BQ33" s="1517"/>
      <c r="CG33"/>
      <c r="CH33"/>
      <c r="CI33"/>
      <c r="CJ33"/>
      <c r="CK33"/>
      <c r="CL33"/>
    </row>
    <row r="34" spans="1:90" s="13" customFormat="1" outlineLevel="1">
      <c r="A34" s="1349"/>
      <c r="C34" s="140"/>
      <c r="D34" s="140"/>
      <c r="E34" s="140"/>
      <c r="F34" s="139"/>
      <c r="G34" s="139"/>
      <c r="H34" s="139"/>
      <c r="I34" s="139"/>
      <c r="J34" s="245"/>
      <c r="K34" s="139"/>
      <c r="L34" s="139"/>
      <c r="M34" s="139"/>
      <c r="N34" s="139"/>
      <c r="O34" s="139"/>
      <c r="P34" s="139"/>
      <c r="Q34" s="139"/>
      <c r="R34" s="139"/>
      <c r="S34" s="139"/>
      <c r="T34" s="139"/>
      <c r="U34" s="139"/>
      <c r="V34" s="139"/>
      <c r="W34" s="139"/>
      <c r="X34" s="139"/>
      <c r="Y34" s="139"/>
      <c r="Z34" s="139"/>
      <c r="AA34" s="139"/>
      <c r="AB34" s="139"/>
      <c r="AC34" s="139"/>
      <c r="AD34" s="139"/>
      <c r="AE34" s="139"/>
      <c r="AF34" s="139"/>
      <c r="AG34" s="245"/>
      <c r="AH34" s="139"/>
      <c r="AI34" s="139"/>
      <c r="AJ34" s="139"/>
      <c r="AK34" s="245"/>
      <c r="AL34" s="139"/>
      <c r="AM34" s="139"/>
      <c r="AN34" s="139"/>
      <c r="AO34" s="245"/>
      <c r="AP34" s="139"/>
      <c r="AQ34" s="139"/>
      <c r="AR34" s="139"/>
      <c r="AS34" s="245"/>
      <c r="AT34" s="139"/>
      <c r="AU34" s="139"/>
      <c r="AV34" s="139"/>
      <c r="AW34" s="139"/>
      <c r="AX34" s="139"/>
      <c r="AY34" s="139"/>
      <c r="AZ34" s="139"/>
      <c r="BA34" s="245"/>
      <c r="BB34" s="139"/>
      <c r="BC34" s="139"/>
      <c r="BD34" s="139"/>
      <c r="BE34" s="139"/>
      <c r="BF34" s="139"/>
      <c r="BG34" s="14"/>
      <c r="BJ34" s="389"/>
      <c r="BK34" s="389"/>
      <c r="BL34" s="389"/>
      <c r="BM34" s="389"/>
      <c r="BN34" s="389"/>
      <c r="BO34" s="389"/>
      <c r="BP34" s="389"/>
      <c r="BQ34" s="389"/>
      <c r="CG34"/>
      <c r="CH34"/>
      <c r="CI34"/>
      <c r="CJ34"/>
      <c r="CK34"/>
      <c r="CL34"/>
    </row>
    <row r="35" spans="1:90" s="225" customFormat="1" outlineLevel="1">
      <c r="A35" s="1348"/>
      <c r="B35" s="273" t="s">
        <v>874</v>
      </c>
      <c r="G35" s="274"/>
      <c r="H35" s="275"/>
      <c r="I35" s="276"/>
      <c r="J35" s="1380"/>
      <c r="K35" s="276"/>
      <c r="L35" s="276"/>
      <c r="M35" s="276"/>
      <c r="N35" s="276"/>
      <c r="O35" s="276"/>
      <c r="P35" s="276"/>
      <c r="Q35" s="276"/>
      <c r="R35" s="276"/>
      <c r="V35" s="218"/>
      <c r="W35" s="218"/>
      <c r="X35" s="218"/>
      <c r="Y35" s="277"/>
      <c r="Z35" s="218"/>
      <c r="AA35" s="218"/>
      <c r="AB35" s="218"/>
      <c r="AC35" s="277"/>
      <c r="AG35" s="278"/>
      <c r="AK35" s="279"/>
      <c r="AL35" s="280"/>
      <c r="AM35" s="280"/>
      <c r="AN35" s="281"/>
      <c r="AO35" s="282"/>
      <c r="AP35" s="218"/>
      <c r="AQ35" s="218"/>
      <c r="AR35" s="283"/>
      <c r="AS35" s="284"/>
      <c r="AT35" s="285"/>
      <c r="AU35" s="283"/>
      <c r="AV35" s="283"/>
      <c r="AW35" s="284"/>
      <c r="AX35" s="283"/>
      <c r="AY35" s="283"/>
      <c r="AZ35" s="283"/>
      <c r="BA35" s="284"/>
      <c r="BB35" s="283"/>
      <c r="BC35" s="283"/>
      <c r="BD35" s="283"/>
      <c r="BE35" s="283"/>
      <c r="BF35" s="283"/>
      <c r="CG35"/>
      <c r="CH35"/>
      <c r="CI35"/>
      <c r="CJ35"/>
      <c r="CK35"/>
      <c r="CL35"/>
    </row>
    <row r="36" spans="1:90" s="226" customFormat="1" outlineLevel="1">
      <c r="A36" s="1349"/>
      <c r="B36" s="144" t="s">
        <v>596</v>
      </c>
      <c r="G36" s="288"/>
      <c r="H36" s="289"/>
      <c r="I36" s="290"/>
      <c r="J36" s="1393"/>
      <c r="K36" s="290"/>
      <c r="L36" s="290"/>
      <c r="M36" s="290"/>
      <c r="N36" s="290"/>
      <c r="O36" s="290"/>
      <c r="P36" s="290"/>
      <c r="Q36" s="290"/>
      <c r="R36" s="290"/>
      <c r="V36" s="291"/>
      <c r="W36" s="291"/>
      <c r="X36" s="291"/>
      <c r="Y36" s="292"/>
      <c r="Z36" s="291"/>
      <c r="AA36" s="291"/>
      <c r="AB36" s="291"/>
      <c r="AC36" s="292"/>
      <c r="AG36" s="293"/>
      <c r="AK36" s="294"/>
      <c r="AL36" s="295"/>
      <c r="AM36" s="295"/>
      <c r="AN36" s="296"/>
      <c r="AO36" s="297"/>
      <c r="AP36" s="291"/>
      <c r="AQ36" s="298">
        <f t="shared" ref="AQ36:BE36" si="92">AQ9/AP9-1</f>
        <v>9.1325925126766627E-2</v>
      </c>
      <c r="AR36" s="298">
        <f t="shared" si="92"/>
        <v>0.58721763630072665</v>
      </c>
      <c r="AS36" s="299">
        <f t="shared" si="92"/>
        <v>-0.33184889913113891</v>
      </c>
      <c r="AT36" s="298">
        <f t="shared" si="92"/>
        <v>0.26968072710323931</v>
      </c>
      <c r="AU36" s="298">
        <f t="shared" si="92"/>
        <v>4.5960133622113819E-2</v>
      </c>
      <c r="AV36" s="298">
        <f t="shared" si="92"/>
        <v>0.6346471063068122</v>
      </c>
      <c r="AW36" s="299">
        <f t="shared" si="92"/>
        <v>-0.32218309859154926</v>
      </c>
      <c r="AX36" s="298">
        <f t="shared" si="92"/>
        <v>0.36290782388343357</v>
      </c>
      <c r="AY36" s="298">
        <f t="shared" si="92"/>
        <v>7.983359286029712E-2</v>
      </c>
      <c r="AZ36" s="298">
        <f t="shared" si="92"/>
        <v>0.57642804872799269</v>
      </c>
      <c r="BA36" s="299">
        <f t="shared" si="92"/>
        <v>-0.31487808415433394</v>
      </c>
      <c r="BB36" s="298">
        <f t="shared" si="92"/>
        <v>0.25334219645122924</v>
      </c>
      <c r="BC36" s="298">
        <f t="shared" si="92"/>
        <v>4.6004377917517436E-2</v>
      </c>
      <c r="BD36" s="298">
        <f t="shared" si="92"/>
        <v>0.44259432005471133</v>
      </c>
      <c r="BE36" s="298">
        <f t="shared" si="92"/>
        <v>-0.30378572147670446</v>
      </c>
      <c r="BF36" s="304"/>
      <c r="CG36"/>
      <c r="CH36"/>
      <c r="CI36"/>
      <c r="CJ36"/>
      <c r="CK36"/>
      <c r="CL36"/>
    </row>
    <row r="37" spans="1:90" s="225" customFormat="1" outlineLevel="1">
      <c r="A37" s="1348"/>
      <c r="B37" s="248" t="s">
        <v>16</v>
      </c>
      <c r="G37" s="274"/>
      <c r="H37" s="275"/>
      <c r="I37" s="276"/>
      <c r="J37" s="1380"/>
      <c r="K37" s="276"/>
      <c r="L37" s="276"/>
      <c r="M37" s="276"/>
      <c r="N37" s="276"/>
      <c r="O37" s="276"/>
      <c r="P37" s="276"/>
      <c r="Q37" s="276"/>
      <c r="R37" s="276"/>
      <c r="V37" s="218"/>
      <c r="W37" s="218"/>
      <c r="X37" s="218"/>
      <c r="Y37" s="277"/>
      <c r="Z37" s="218"/>
      <c r="AA37" s="218"/>
      <c r="AB37" s="218"/>
      <c r="AC37" s="277"/>
      <c r="AG37" s="278"/>
      <c r="AK37" s="279"/>
      <c r="AL37" s="280"/>
      <c r="AM37" s="280"/>
      <c r="AN37" s="281"/>
      <c r="AO37" s="282"/>
      <c r="AP37" s="218"/>
      <c r="AQ37" s="286">
        <f t="shared" ref="AQ37:BE37" si="93">AQ10/AP10-1</f>
        <v>9.8968940936863481E-2</v>
      </c>
      <c r="AR37" s="286">
        <f t="shared" si="93"/>
        <v>0.6629408698673771</v>
      </c>
      <c r="AS37" s="287">
        <f t="shared" si="93"/>
        <v>-0.36128717698683566</v>
      </c>
      <c r="AT37" s="286">
        <f t="shared" si="93"/>
        <v>0.27497273718647763</v>
      </c>
      <c r="AU37" s="286">
        <f t="shared" si="93"/>
        <v>3.1048197408373612E-2</v>
      </c>
      <c r="AV37" s="286">
        <f t="shared" si="93"/>
        <v>0.69239703015471399</v>
      </c>
      <c r="AW37" s="287">
        <f t="shared" si="93"/>
        <v>-0.3673104259595118</v>
      </c>
      <c r="AX37" s="286">
        <f t="shared" si="93"/>
        <v>0.42211892310672083</v>
      </c>
      <c r="AY37" s="286">
        <f t="shared" si="93"/>
        <v>7.7495096971017752E-2</v>
      </c>
      <c r="AZ37" s="286">
        <f t="shared" si="93"/>
        <v>0.51945294132517628</v>
      </c>
      <c r="BA37" s="287">
        <f t="shared" si="93"/>
        <v>-0.33034142743199446</v>
      </c>
      <c r="BB37" s="286">
        <f t="shared" si="93"/>
        <v>0.28497419666280455</v>
      </c>
      <c r="BC37" s="286">
        <f t="shared" si="93"/>
        <v>4.6943653656604356E-2</v>
      </c>
      <c r="BD37" s="286">
        <f t="shared" si="93"/>
        <v>0.47539988423920287</v>
      </c>
      <c r="BE37" s="286">
        <f t="shared" si="93"/>
        <v>-0.33024379872096954</v>
      </c>
      <c r="BF37" s="283"/>
      <c r="CG37"/>
      <c r="CH37"/>
      <c r="CI37"/>
      <c r="CJ37"/>
      <c r="CK37"/>
      <c r="CL37"/>
    </row>
    <row r="38" spans="1:90" s="225" customFormat="1" outlineLevel="1">
      <c r="A38" s="1348"/>
      <c r="B38" s="248" t="s">
        <v>53</v>
      </c>
      <c r="G38" s="274"/>
      <c r="H38" s="275"/>
      <c r="I38" s="276"/>
      <c r="J38" s="1380"/>
      <c r="K38" s="276"/>
      <c r="L38" s="276"/>
      <c r="M38" s="276"/>
      <c r="N38" s="276"/>
      <c r="O38" s="276"/>
      <c r="P38" s="276"/>
      <c r="Q38" s="276"/>
      <c r="R38" s="276"/>
      <c r="V38" s="218"/>
      <c r="W38" s="218"/>
      <c r="X38" s="218"/>
      <c r="Y38" s="277"/>
      <c r="Z38" s="218"/>
      <c r="AA38" s="218"/>
      <c r="AB38" s="218"/>
      <c r="AC38" s="277"/>
      <c r="AG38" s="278"/>
      <c r="AK38" s="279"/>
      <c r="AL38" s="280"/>
      <c r="AM38" s="280"/>
      <c r="AN38" s="281"/>
      <c r="AO38" s="282"/>
      <c r="AP38" s="218"/>
      <c r="AQ38" s="286">
        <f t="shared" ref="AQ38:BE38" si="94">AQ11/AP11-1</f>
        <v>4.9147442326980872E-2</v>
      </c>
      <c r="AR38" s="286">
        <f t="shared" si="94"/>
        <v>0.11089866156787753</v>
      </c>
      <c r="AS38" s="287">
        <f t="shared" si="94"/>
        <v>-6.7986230636833067E-2</v>
      </c>
      <c r="AT38" s="286">
        <f t="shared" si="94"/>
        <v>0.16435826408125576</v>
      </c>
      <c r="AU38" s="286">
        <f t="shared" si="94"/>
        <v>0.13798572561459155</v>
      </c>
      <c r="AV38" s="286">
        <f t="shared" si="94"/>
        <v>5.505226480836245E-2</v>
      </c>
      <c r="AW38" s="287">
        <f t="shared" si="94"/>
        <v>-2.9722589167767488E-2</v>
      </c>
      <c r="AX38" s="286">
        <f t="shared" si="94"/>
        <v>0.11708645336963919</v>
      </c>
      <c r="AY38" s="286">
        <f t="shared" si="94"/>
        <v>4.448507007922009E-2</v>
      </c>
      <c r="AZ38" s="286">
        <f t="shared" si="94"/>
        <v>0.12368728121353567</v>
      </c>
      <c r="BA38" s="287">
        <f t="shared" si="94"/>
        <v>-0.11517653167185871</v>
      </c>
      <c r="BB38" s="286">
        <f t="shared" si="94"/>
        <v>0.1073719171209444</v>
      </c>
      <c r="BC38" s="286">
        <f t="shared" si="94"/>
        <v>4.448507007922009E-2</v>
      </c>
      <c r="BD38" s="286">
        <f t="shared" si="94"/>
        <v>0.14322966871290155</v>
      </c>
      <c r="BE38" s="286">
        <f t="shared" si="94"/>
        <v>-0.14739573625866476</v>
      </c>
      <c r="BF38" s="283"/>
      <c r="CG38"/>
      <c r="CH38"/>
      <c r="CI38"/>
      <c r="CJ38"/>
      <c r="CK38"/>
      <c r="CL38"/>
    </row>
    <row r="39" spans="1:90" s="225" customFormat="1" outlineLevel="1">
      <c r="A39" s="1348"/>
      <c r="B39" s="248" t="s">
        <v>613</v>
      </c>
      <c r="G39" s="274"/>
      <c r="H39" s="275"/>
      <c r="I39" s="276"/>
      <c r="J39" s="1380"/>
      <c r="K39" s="276"/>
      <c r="L39" s="276"/>
      <c r="M39" s="276"/>
      <c r="N39" s="276"/>
      <c r="O39" s="276"/>
      <c r="P39" s="276"/>
      <c r="Q39" s="276"/>
      <c r="R39" s="276"/>
      <c r="V39" s="218"/>
      <c r="W39" s="218"/>
      <c r="X39" s="218"/>
      <c r="Y39" s="277"/>
      <c r="Z39" s="218"/>
      <c r="AA39" s="218"/>
      <c r="AB39" s="218"/>
      <c r="AC39" s="277"/>
      <c r="AG39" s="278"/>
      <c r="AK39" s="279"/>
      <c r="AL39" s="280"/>
      <c r="AM39" s="280"/>
      <c r="AN39" s="281"/>
      <c r="AO39" s="282"/>
      <c r="AP39" s="218"/>
      <c r="AQ39" s="286">
        <f t="shared" ref="AQ39:BE39" si="95">AQ12/AP12-1</f>
        <v>-3.9920159680638667E-2</v>
      </c>
      <c r="AR39" s="286">
        <f t="shared" si="95"/>
        <v>0.313929313929314</v>
      </c>
      <c r="AS39" s="287">
        <f t="shared" si="95"/>
        <v>-6.6455696202531667E-2</v>
      </c>
      <c r="AT39" s="286">
        <f t="shared" si="95"/>
        <v>0.89322033898305087</v>
      </c>
      <c r="AU39" s="286">
        <f t="shared" si="95"/>
        <v>0.19785138764547905</v>
      </c>
      <c r="AV39" s="286">
        <f t="shared" si="95"/>
        <v>0.83258594917787754</v>
      </c>
      <c r="AW39" s="287">
        <f t="shared" si="95"/>
        <v>-9.3800978792821788E-3</v>
      </c>
      <c r="AX39" s="286">
        <f t="shared" si="95"/>
        <v>8.6043639357760382E-2</v>
      </c>
      <c r="AY39" s="286">
        <f t="shared" si="95"/>
        <v>9.0978013646701994E-2</v>
      </c>
      <c r="AZ39" s="286">
        <f t="shared" si="95"/>
        <v>0.64454482279360659</v>
      </c>
      <c r="BA39" s="287">
        <f t="shared" si="95"/>
        <v>-0.31756368054088324</v>
      </c>
      <c r="BB39" s="286">
        <f t="shared" si="95"/>
        <v>1.7396394042039631E-2</v>
      </c>
      <c r="BC39" s="286">
        <f t="shared" si="95"/>
        <v>0.12841926990824959</v>
      </c>
      <c r="BD39" s="286">
        <f t="shared" si="95"/>
        <v>0.48834370241770153</v>
      </c>
      <c r="BE39" s="286">
        <f t="shared" si="95"/>
        <v>-0.20621318417969381</v>
      </c>
      <c r="BF39" s="283"/>
      <c r="CG39"/>
      <c r="CH39"/>
      <c r="CI39"/>
      <c r="CJ39"/>
      <c r="CK39"/>
      <c r="CL39"/>
    </row>
    <row r="40" spans="1:90" s="225" customFormat="1" outlineLevel="1">
      <c r="A40" s="1348"/>
      <c r="B40" s="248" t="s">
        <v>580</v>
      </c>
      <c r="G40" s="274"/>
      <c r="H40" s="275"/>
      <c r="I40" s="276"/>
      <c r="J40" s="1380"/>
      <c r="K40" s="276"/>
      <c r="L40" s="276"/>
      <c r="M40" s="276"/>
      <c r="N40" s="276"/>
      <c r="O40" s="276"/>
      <c r="P40" s="276"/>
      <c r="Q40" s="276"/>
      <c r="R40" s="276"/>
      <c r="V40" s="218"/>
      <c r="W40" s="218"/>
      <c r="X40" s="218"/>
      <c r="Y40" s="277"/>
      <c r="Z40" s="218"/>
      <c r="AA40" s="218"/>
      <c r="AB40" s="218"/>
      <c r="AC40" s="277"/>
      <c r="AG40" s="278"/>
      <c r="AK40" s="279"/>
      <c r="AL40" s="280"/>
      <c r="AM40" s="280"/>
      <c r="AN40" s="281"/>
      <c r="AO40" s="282"/>
      <c r="AP40" s="218"/>
      <c r="AQ40" s="286">
        <f t="shared" ref="AQ40:BE40" si="96">AQ13/AP13-1</f>
        <v>8.8353413654618462E-2</v>
      </c>
      <c r="AR40" s="286">
        <f t="shared" si="96"/>
        <v>5.5350553505534972E-2</v>
      </c>
      <c r="AS40" s="287">
        <f t="shared" si="96"/>
        <v>-2.4475524475524479E-2</v>
      </c>
      <c r="AT40" s="286">
        <f t="shared" si="96"/>
        <v>2.6523297491039433E-2</v>
      </c>
      <c r="AU40" s="286">
        <f t="shared" si="96"/>
        <v>5.16759776536313E-2</v>
      </c>
      <c r="AV40" s="286">
        <f t="shared" si="96"/>
        <v>3.1872509960159334E-2</v>
      </c>
      <c r="AW40" s="287">
        <f t="shared" si="96"/>
        <v>-2.8957528957529011E-2</v>
      </c>
      <c r="AX40" s="286">
        <f t="shared" si="96"/>
        <v>6.6269052352551316E-2</v>
      </c>
      <c r="AY40" s="286">
        <f t="shared" si="96"/>
        <v>2.6103169670602888E-2</v>
      </c>
      <c r="AZ40" s="286">
        <f t="shared" si="96"/>
        <v>9.0854027861901887E-3</v>
      </c>
      <c r="BA40" s="287">
        <f t="shared" si="96"/>
        <v>5.4621848739497825E-3</v>
      </c>
      <c r="BB40" s="286">
        <f t="shared" si="96"/>
        <v>8.5666527371497381E-3</v>
      </c>
      <c r="BC40" s="286">
        <f t="shared" si="96"/>
        <v>4.5647991950042988E-2</v>
      </c>
      <c r="BD40" s="286">
        <f t="shared" si="96"/>
        <v>1.8516107485126554E-2</v>
      </c>
      <c r="BE40" s="286">
        <f t="shared" si="96"/>
        <v>4.7780223200386551E-3</v>
      </c>
      <c r="BF40" s="283"/>
      <c r="CG40"/>
      <c r="CH40"/>
      <c r="CI40"/>
      <c r="CJ40"/>
      <c r="CK40"/>
      <c r="CL40"/>
    </row>
    <row r="41" spans="1:90" outlineLevel="1">
      <c r="B41" s="248" t="s">
        <v>884</v>
      </c>
      <c r="C41" s="249"/>
      <c r="D41" s="249"/>
      <c r="E41" s="249"/>
      <c r="F41" s="249"/>
      <c r="G41" s="249"/>
      <c r="H41" s="249"/>
      <c r="I41" s="143"/>
      <c r="J41" s="1392"/>
      <c r="K41" s="143"/>
      <c r="L41" s="143"/>
      <c r="M41" s="143"/>
      <c r="N41" s="143">
        <f t="shared" ref="N41:R41" si="97">N25/N$19</f>
        <v>3.359508860415814E-8</v>
      </c>
      <c r="O41" s="143">
        <f t="shared" si="97"/>
        <v>2.4822411457641559E-8</v>
      </c>
      <c r="P41" s="143">
        <f t="shared" si="97"/>
        <v>1.7747689129530841E-8</v>
      </c>
      <c r="Q41" s="143">
        <f t="shared" si="97"/>
        <v>1.3987738762098916E-8</v>
      </c>
      <c r="R41" s="143">
        <f t="shared" si="97"/>
        <v>1.1211711785464498E-8</v>
      </c>
      <c r="T41" s="15"/>
      <c r="V41" s="250"/>
      <c r="W41" s="250"/>
      <c r="X41" s="250"/>
      <c r="Y41" s="251"/>
      <c r="Z41" s="252"/>
      <c r="AA41" s="252"/>
      <c r="AB41" s="252"/>
      <c r="AC41" s="253"/>
      <c r="AD41" s="252"/>
      <c r="AE41" s="252"/>
      <c r="AF41" s="252"/>
      <c r="AG41" s="253"/>
      <c r="AH41" s="252"/>
      <c r="AI41" s="252"/>
      <c r="AJ41" s="252"/>
      <c r="AK41" s="253"/>
      <c r="AL41" s="252"/>
      <c r="AM41" s="252"/>
      <c r="AN41" s="252"/>
      <c r="AO41" s="253"/>
      <c r="AP41" s="272"/>
      <c r="AQ41" s="286"/>
      <c r="AR41" s="286"/>
      <c r="AS41" s="287"/>
      <c r="AT41" s="286"/>
      <c r="AU41" s="286"/>
      <c r="AV41" s="286"/>
      <c r="AW41" s="287"/>
      <c r="AX41" s="286"/>
      <c r="AY41" s="286"/>
      <c r="AZ41" s="286"/>
      <c r="BA41" s="287">
        <f t="shared" ref="BA41" si="98">BA14/AZ14-1</f>
        <v>-0.33452777066803174</v>
      </c>
      <c r="BB41" s="286">
        <f t="shared" ref="BB41" si="99">BB14/BA14-1</f>
        <v>0.34615384615384626</v>
      </c>
      <c r="BC41" s="286">
        <f t="shared" ref="BC41" si="100">BC14/BB14-1</f>
        <v>-5.7142857142857162E-2</v>
      </c>
      <c r="BD41" s="286">
        <f t="shared" ref="BD41" si="101">BD14/BC14-1</f>
        <v>0.33333333333333326</v>
      </c>
      <c r="BE41" s="286">
        <f t="shared" ref="BE41" si="102">BE14/BD14-1</f>
        <v>-0.22727272727272729</v>
      </c>
      <c r="BF41" s="252"/>
      <c r="BG41" s="15"/>
      <c r="BI41" s="1294"/>
      <c r="BJ41" s="307"/>
      <c r="BK41" s="307"/>
      <c r="BL41" s="307"/>
      <c r="BM41" s="307"/>
      <c r="BN41" s="307"/>
      <c r="BO41" s="307"/>
      <c r="BP41" s="307"/>
      <c r="BQ41" s="454"/>
    </row>
    <row r="42" spans="1:90" s="225" customFormat="1" outlineLevel="1">
      <c r="A42" s="1348"/>
      <c r="B42" s="248" t="s">
        <v>82</v>
      </c>
      <c r="G42" s="274"/>
      <c r="H42" s="275"/>
      <c r="I42" s="276"/>
      <c r="J42" s="1380"/>
      <c r="K42" s="276"/>
      <c r="L42" s="276"/>
      <c r="M42" s="276"/>
      <c r="N42" s="276"/>
      <c r="O42" s="276"/>
      <c r="P42" s="276"/>
      <c r="Q42" s="276"/>
      <c r="R42" s="276"/>
      <c r="V42" s="218"/>
      <c r="W42" s="218"/>
      <c r="X42" s="218"/>
      <c r="Y42" s="277"/>
      <c r="Z42" s="218"/>
      <c r="AA42" s="218"/>
      <c r="AB42" s="218"/>
      <c r="AC42" s="277"/>
      <c r="AG42" s="278"/>
      <c r="AK42" s="279"/>
      <c r="AL42" s="280"/>
      <c r="AM42" s="280"/>
      <c r="AN42" s="281"/>
      <c r="AO42" s="282"/>
      <c r="AP42" s="218"/>
      <c r="AQ42" s="286">
        <f t="shared" ref="AQ42:BE42" si="103">AQ15/AP15-1</f>
        <v>-1.2048192771084376E-2</v>
      </c>
      <c r="AR42" s="286">
        <f t="shared" si="103"/>
        <v>1.1097560975609757</v>
      </c>
      <c r="AS42" s="287">
        <f t="shared" si="103"/>
        <v>-0.72832369942196529</v>
      </c>
      <c r="AT42" s="286">
        <f t="shared" si="103"/>
        <v>2.1276595744680771E-2</v>
      </c>
      <c r="AU42" s="286">
        <f t="shared" si="103"/>
        <v>1.1875</v>
      </c>
      <c r="AV42" s="286">
        <f t="shared" si="103"/>
        <v>1.4190476190476189</v>
      </c>
      <c r="AW42" s="287">
        <f t="shared" si="103"/>
        <v>0.37007874015748032</v>
      </c>
      <c r="AX42" s="286">
        <f t="shared" si="103"/>
        <v>0.22701149425287359</v>
      </c>
      <c r="AY42" s="286">
        <f t="shared" si="103"/>
        <v>0.55035128805620603</v>
      </c>
      <c r="AZ42" s="286">
        <f t="shared" si="103"/>
        <v>0.3700906344410877</v>
      </c>
      <c r="BA42" s="287">
        <f t="shared" si="103"/>
        <v>-0.20396912899669239</v>
      </c>
      <c r="BB42" s="286">
        <f t="shared" si="103"/>
        <v>0.12368421052631562</v>
      </c>
      <c r="BC42" s="286">
        <f t="shared" si="103"/>
        <v>0.10156538888204136</v>
      </c>
      <c r="BD42" s="286">
        <f t="shared" si="103"/>
        <v>0.16711424415351894</v>
      </c>
      <c r="BE42" s="286">
        <f t="shared" si="103"/>
        <v>1.3518048032213015E-2</v>
      </c>
      <c r="BF42" s="283"/>
      <c r="CG42"/>
      <c r="CH42"/>
      <c r="CI42"/>
      <c r="CJ42"/>
      <c r="CK42"/>
      <c r="CL42"/>
    </row>
    <row r="43" spans="1:90" s="226" customFormat="1" outlineLevel="1">
      <c r="A43" s="1349"/>
      <c r="B43" s="144" t="s">
        <v>429</v>
      </c>
      <c r="G43" s="288"/>
      <c r="H43" s="289"/>
      <c r="I43" s="290"/>
      <c r="J43" s="1393"/>
      <c r="K43" s="290"/>
      <c r="L43" s="290"/>
      <c r="M43" s="290"/>
      <c r="N43" s="290"/>
      <c r="O43" s="290"/>
      <c r="P43" s="290"/>
      <c r="Q43" s="290"/>
      <c r="R43" s="290"/>
      <c r="V43" s="291"/>
      <c r="W43" s="291"/>
      <c r="X43" s="291"/>
      <c r="Y43" s="292"/>
      <c r="Z43" s="291"/>
      <c r="AA43" s="291"/>
      <c r="AB43" s="291"/>
      <c r="AC43" s="292"/>
      <c r="AG43" s="293"/>
      <c r="AK43" s="294"/>
      <c r="AL43" s="295"/>
      <c r="AM43" s="296"/>
      <c r="AN43" s="296"/>
      <c r="AO43" s="297"/>
      <c r="AP43" s="291"/>
      <c r="AQ43" s="298">
        <f t="shared" ref="AQ43:BE43" si="104">AQ16/AP16-1</f>
        <v>0.33814432989690713</v>
      </c>
      <c r="AR43" s="298">
        <f t="shared" si="104"/>
        <v>0.2619414483821263</v>
      </c>
      <c r="AS43" s="299">
        <f t="shared" si="104"/>
        <v>0.30158730158730163</v>
      </c>
      <c r="AT43" s="298">
        <f t="shared" si="104"/>
        <v>0.16604127579737327</v>
      </c>
      <c r="AU43" s="298">
        <f t="shared" si="104"/>
        <v>0.20112630732099768</v>
      </c>
      <c r="AV43" s="298">
        <f t="shared" si="104"/>
        <v>0.18151373074346955</v>
      </c>
      <c r="AW43" s="299">
        <f t="shared" si="104"/>
        <v>0.22619047619047628</v>
      </c>
      <c r="AX43" s="298">
        <f t="shared" si="104"/>
        <v>0.1239019879796579</v>
      </c>
      <c r="AY43" s="298">
        <f t="shared" si="104"/>
        <v>0.22377622377622375</v>
      </c>
      <c r="AZ43" s="298">
        <f t="shared" si="104"/>
        <v>0.20974789915966396</v>
      </c>
      <c r="BA43" s="299">
        <f t="shared" si="104"/>
        <v>5.2503473186996219E-2</v>
      </c>
      <c r="BB43" s="298">
        <f t="shared" si="104"/>
        <v>0.16802183761180167</v>
      </c>
      <c r="BC43" s="298">
        <f t="shared" si="104"/>
        <v>0.18343195266272216</v>
      </c>
      <c r="BD43" s="298">
        <f t="shared" si="104"/>
        <v>9.9770817417876412E-2</v>
      </c>
      <c r="BE43" s="298">
        <f t="shared" si="104"/>
        <v>5.4694498471797193E-2</v>
      </c>
      <c r="BF43" s="304"/>
      <c r="CG43"/>
      <c r="CH43"/>
      <c r="CI43"/>
      <c r="CJ43"/>
      <c r="CK43"/>
      <c r="CL43"/>
    </row>
    <row r="44" spans="1:90" s="226" customFormat="1" outlineLevel="1">
      <c r="A44" s="1349"/>
      <c r="B44" s="144" t="s">
        <v>605</v>
      </c>
      <c r="G44" s="288"/>
      <c r="H44" s="289"/>
      <c r="I44" s="290"/>
      <c r="J44" s="1393"/>
      <c r="K44" s="290"/>
      <c r="L44" s="290"/>
      <c r="M44" s="290"/>
      <c r="N44" s="290"/>
      <c r="O44" s="290"/>
      <c r="P44" s="290"/>
      <c r="Q44" s="290"/>
      <c r="R44" s="290"/>
      <c r="V44" s="291"/>
      <c r="W44" s="291"/>
      <c r="X44" s="291"/>
      <c r="Y44" s="292"/>
      <c r="Z44" s="291"/>
      <c r="AA44" s="291"/>
      <c r="AB44" s="291"/>
      <c r="AC44" s="292"/>
      <c r="AG44" s="293"/>
      <c r="AK44" s="294"/>
      <c r="AL44" s="295"/>
      <c r="AM44" s="295"/>
      <c r="AN44" s="296"/>
      <c r="AO44" s="297"/>
      <c r="AP44" s="291"/>
      <c r="AQ44" s="298">
        <f t="shared" ref="AQ44:BE44" si="105">AQ17/AP17-1</f>
        <v>0.10591133004926112</v>
      </c>
      <c r="AR44" s="298">
        <f t="shared" si="105"/>
        <v>0.2115812917594655</v>
      </c>
      <c r="AS44" s="299">
        <f t="shared" si="105"/>
        <v>7.9044117647058876E-2</v>
      </c>
      <c r="AT44" s="298">
        <f t="shared" si="105"/>
        <v>1.6703577512776833</v>
      </c>
      <c r="AU44" s="298">
        <f t="shared" si="105"/>
        <v>0.15087719298245617</v>
      </c>
      <c r="AV44" s="298">
        <f t="shared" si="105"/>
        <v>0.12610864745011097</v>
      </c>
      <c r="AW44" s="299">
        <f t="shared" si="105"/>
        <v>-3.3472803347280311E-2</v>
      </c>
      <c r="AX44" s="298">
        <f t="shared" si="105"/>
        <v>3.9215686274509887E-2</v>
      </c>
      <c r="AY44" s="298">
        <f t="shared" si="105"/>
        <v>0.17569223229600595</v>
      </c>
      <c r="AZ44" s="298">
        <f t="shared" si="105"/>
        <v>0.12817840766986244</v>
      </c>
      <c r="BA44" s="299">
        <f t="shared" si="105"/>
        <v>-3.95621651579533E-2</v>
      </c>
      <c r="BB44" s="298">
        <f t="shared" si="105"/>
        <v>-1.8773382574992281E-2</v>
      </c>
      <c r="BC44" s="298">
        <f t="shared" si="105"/>
        <v>0.12866454300416552</v>
      </c>
      <c r="BD44" s="298">
        <f t="shared" si="105"/>
        <v>8.1170974016951503E-2</v>
      </c>
      <c r="BE44" s="298">
        <f t="shared" si="105"/>
        <v>-3.2842834078989913E-3</v>
      </c>
      <c r="BF44" s="304"/>
      <c r="CG44"/>
      <c r="CH44"/>
      <c r="CI44"/>
      <c r="CJ44"/>
      <c r="CK44"/>
      <c r="CL44"/>
    </row>
    <row r="45" spans="1:90" s="226" customFormat="1" outlineLevel="1">
      <c r="A45" s="1349"/>
      <c r="B45" s="144" t="s">
        <v>606</v>
      </c>
      <c r="G45" s="288"/>
      <c r="H45" s="289"/>
      <c r="I45" s="290"/>
      <c r="J45" s="1393"/>
      <c r="K45" s="290"/>
      <c r="L45" s="290"/>
      <c r="M45" s="290"/>
      <c r="N45" s="290"/>
      <c r="O45" s="290"/>
      <c r="P45" s="290"/>
      <c r="Q45" s="290"/>
      <c r="R45" s="290"/>
      <c r="V45" s="291"/>
      <c r="W45" s="291"/>
      <c r="X45" s="291"/>
      <c r="Y45" s="292"/>
      <c r="Z45" s="291"/>
      <c r="AA45" s="291"/>
      <c r="AB45" s="291"/>
      <c r="AC45" s="292"/>
      <c r="AG45" s="293"/>
      <c r="AK45" s="294"/>
      <c r="AL45" s="295"/>
      <c r="AM45" s="295"/>
      <c r="AN45" s="296"/>
      <c r="AO45" s="297"/>
      <c r="AP45" s="291"/>
      <c r="AQ45" s="298">
        <f t="shared" ref="AQ45:BE45" si="106">AQ18/AP18-1</f>
        <v>-4.1463414634146378E-2</v>
      </c>
      <c r="AR45" s="298">
        <f t="shared" si="106"/>
        <v>0.33587786259541974</v>
      </c>
      <c r="AS45" s="299">
        <f t="shared" si="106"/>
        <v>-6.8571428571428616E-2</v>
      </c>
      <c r="AT45" s="298">
        <f t="shared" si="106"/>
        <v>9.4069529652351713E-2</v>
      </c>
      <c r="AU45" s="298">
        <f t="shared" si="106"/>
        <v>0.30467289719626178</v>
      </c>
      <c r="AV45" s="298">
        <f t="shared" si="106"/>
        <v>0.21060171919770765</v>
      </c>
      <c r="AW45" s="299">
        <f t="shared" si="106"/>
        <v>8.7573964497041468E-2</v>
      </c>
      <c r="AX45" s="298">
        <f t="shared" si="106"/>
        <v>-0.29815016322089227</v>
      </c>
      <c r="AY45" s="298">
        <f t="shared" si="106"/>
        <v>0.37519379844961231</v>
      </c>
      <c r="AZ45" s="298">
        <f t="shared" si="106"/>
        <v>-0.12965050732807215</v>
      </c>
      <c r="BA45" s="299">
        <f t="shared" si="106"/>
        <v>9.1774611398963701E-2</v>
      </c>
      <c r="BB45" s="298">
        <f t="shared" si="106"/>
        <v>-8.1687132941804519E-2</v>
      </c>
      <c r="BC45" s="298">
        <f t="shared" si="106"/>
        <v>0.31789405684754524</v>
      </c>
      <c r="BD45" s="298">
        <f t="shared" si="106"/>
        <v>-1.612666045782063E-2</v>
      </c>
      <c r="BE45" s="298">
        <f t="shared" si="106"/>
        <v>-2.4940215225189633E-2</v>
      </c>
      <c r="BF45" s="304"/>
      <c r="CG45"/>
      <c r="CH45"/>
      <c r="CI45"/>
      <c r="CJ45"/>
      <c r="CK45"/>
      <c r="CL45"/>
    </row>
    <row r="46" spans="1:90" s="226" customFormat="1" outlineLevel="1">
      <c r="A46" s="1349"/>
      <c r="B46" s="13" t="s">
        <v>42</v>
      </c>
      <c r="G46" s="288"/>
      <c r="H46" s="289"/>
      <c r="I46" s="290"/>
      <c r="J46" s="1393"/>
      <c r="K46" s="290"/>
      <c r="L46" s="290"/>
      <c r="M46" s="290"/>
      <c r="N46" s="290"/>
      <c r="O46" s="290"/>
      <c r="P46" s="290"/>
      <c r="Q46" s="290"/>
      <c r="R46" s="290"/>
      <c r="V46" s="291"/>
      <c r="W46" s="291"/>
      <c r="X46" s="291"/>
      <c r="Y46" s="292"/>
      <c r="Z46" s="291"/>
      <c r="AA46" s="291"/>
      <c r="AB46" s="291"/>
      <c r="AC46" s="292"/>
      <c r="AG46" s="293"/>
      <c r="AH46" s="298">
        <f t="shared" ref="AH46:AO46" si="107">AH19/AG19-1</f>
        <v>0.24256398432095927</v>
      </c>
      <c r="AI46" s="298">
        <f t="shared" si="107"/>
        <v>1.5958433846724907E-2</v>
      </c>
      <c r="AJ46" s="298">
        <f t="shared" si="107"/>
        <v>0.71187214611872141</v>
      </c>
      <c r="AK46" s="299">
        <f t="shared" si="107"/>
        <v>-0.35817551347025878</v>
      </c>
      <c r="AL46" s="298">
        <f t="shared" si="107"/>
        <v>0.31086360236056843</v>
      </c>
      <c r="AM46" s="298">
        <f t="shared" si="107"/>
        <v>6.7085156299537152E-2</v>
      </c>
      <c r="AN46" s="298">
        <f t="shared" si="107"/>
        <v>0.55558856735397222</v>
      </c>
      <c r="AO46" s="299">
        <f t="shared" si="107"/>
        <v>-0.33439016005194999</v>
      </c>
      <c r="AP46" s="298">
        <f t="shared" ref="AP46:BE46" si="108">AP19/AO19-1</f>
        <v>0.16183644189383073</v>
      </c>
      <c r="AQ46" s="298">
        <f t="shared" si="108"/>
        <v>9.5134601136082964E-2</v>
      </c>
      <c r="AR46" s="298">
        <f t="shared" si="108"/>
        <v>0.55802625050741961</v>
      </c>
      <c r="AS46" s="299">
        <f t="shared" si="108"/>
        <v>-0.29988709724111973</v>
      </c>
      <c r="AT46" s="298">
        <f t="shared" si="108"/>
        <v>0.32955673172345357</v>
      </c>
      <c r="AU46" s="298">
        <f t="shared" si="108"/>
        <v>6.6492504820551135E-2</v>
      </c>
      <c r="AV46" s="298">
        <f t="shared" si="108"/>
        <v>0.5527819899685058</v>
      </c>
      <c r="AW46" s="299">
        <f t="shared" si="108"/>
        <v>-0.27548452524038458</v>
      </c>
      <c r="AX46" s="298">
        <f t="shared" si="108"/>
        <v>0.30081132222193419</v>
      </c>
      <c r="AY46" s="298">
        <f t="shared" si="108"/>
        <v>9.8397895743663311E-2</v>
      </c>
      <c r="AZ46" s="298">
        <f t="shared" si="108"/>
        <v>0.50625884401872212</v>
      </c>
      <c r="BA46" s="299">
        <f t="shared" si="108"/>
        <v>-0.27722298978416959</v>
      </c>
      <c r="BB46" s="298">
        <f t="shared" si="108"/>
        <v>0.21967725572990537</v>
      </c>
      <c r="BC46" s="298">
        <f t="shared" si="108"/>
        <v>6.2947772173765015E-2</v>
      </c>
      <c r="BD46" s="298">
        <f t="shared" si="108"/>
        <v>0.38676126570720792</v>
      </c>
      <c r="BE46" s="298">
        <f t="shared" si="108"/>
        <v>-0.2647212349751058</v>
      </c>
      <c r="BF46" s="304"/>
      <c r="CG46"/>
      <c r="CH46"/>
      <c r="CI46"/>
      <c r="CJ46"/>
      <c r="CK46"/>
      <c r="CL46"/>
    </row>
    <row r="47" spans="1:90" s="226" customFormat="1" outlineLevel="1">
      <c r="A47" s="1349"/>
      <c r="B47" s="13"/>
      <c r="G47" s="288"/>
      <c r="H47" s="289"/>
      <c r="I47" s="290"/>
      <c r="J47" s="1393"/>
      <c r="K47" s="290"/>
      <c r="L47" s="290"/>
      <c r="M47" s="290"/>
      <c r="N47" s="290"/>
      <c r="O47" s="290"/>
      <c r="P47" s="290"/>
      <c r="Q47" s="290"/>
      <c r="R47" s="290"/>
      <c r="V47" s="291"/>
      <c r="W47" s="291"/>
      <c r="X47" s="291"/>
      <c r="Y47" s="292"/>
      <c r="Z47" s="291"/>
      <c r="AA47" s="291"/>
      <c r="AB47" s="291"/>
      <c r="AC47" s="292"/>
      <c r="AG47" s="293"/>
      <c r="AH47" s="298"/>
      <c r="AI47" s="298"/>
      <c r="AJ47" s="298"/>
      <c r="AK47" s="299"/>
      <c r="AL47" s="298"/>
      <c r="AM47" s="298"/>
      <c r="AN47" s="298"/>
      <c r="AO47" s="299"/>
      <c r="AP47" s="298"/>
      <c r="AQ47" s="298"/>
      <c r="AR47" s="298"/>
      <c r="AS47" s="299"/>
      <c r="AT47" s="298"/>
      <c r="AU47" s="298"/>
      <c r="AV47" s="298"/>
      <c r="AW47" s="299"/>
      <c r="AX47" s="298"/>
      <c r="AY47" s="298"/>
      <c r="AZ47" s="298"/>
      <c r="BA47" s="299"/>
      <c r="BB47" s="298"/>
      <c r="BC47" s="298"/>
      <c r="BD47" s="298"/>
      <c r="BE47" s="298"/>
      <c r="BF47" s="304"/>
      <c r="CG47"/>
      <c r="CH47"/>
      <c r="CI47"/>
      <c r="CJ47"/>
      <c r="CK47"/>
      <c r="CL47"/>
    </row>
    <row r="48" spans="1:90" s="225" customFormat="1" outlineLevel="1">
      <c r="A48" s="1348"/>
      <c r="B48" s="273" t="s">
        <v>876</v>
      </c>
      <c r="G48" s="274"/>
      <c r="H48" s="275"/>
      <c r="I48" s="276"/>
      <c r="J48" s="1380"/>
      <c r="K48" s="276"/>
      <c r="L48" s="276"/>
      <c r="M48" s="276"/>
      <c r="N48" s="276"/>
      <c r="O48" s="276"/>
      <c r="P48" s="276"/>
      <c r="Q48" s="276"/>
      <c r="R48" s="276"/>
      <c r="V48" s="218"/>
      <c r="W48" s="218"/>
      <c r="X48" s="218"/>
      <c r="Y48" s="277"/>
      <c r="Z48" s="218"/>
      <c r="AA48" s="218"/>
      <c r="AB48" s="218"/>
      <c r="AC48" s="277"/>
      <c r="AG48" s="278"/>
      <c r="AK48" s="279"/>
      <c r="AL48" s="280"/>
      <c r="AM48" s="280"/>
      <c r="AN48" s="281"/>
      <c r="AO48" s="282"/>
      <c r="AP48" s="218"/>
      <c r="AQ48" s="218"/>
      <c r="AR48" s="283"/>
      <c r="AS48" s="284"/>
      <c r="AT48" s="285"/>
      <c r="AU48" s="283"/>
      <c r="AV48" s="283"/>
      <c r="AW48" s="284"/>
      <c r="AX48" s="300"/>
      <c r="AY48" s="266"/>
      <c r="AZ48" s="286"/>
      <c r="BA48" s="267"/>
      <c r="BB48" s="300"/>
      <c r="BC48" s="266"/>
      <c r="BD48" s="266"/>
      <c r="BE48" s="266"/>
      <c r="BF48" s="283"/>
      <c r="CG48"/>
      <c r="CH48"/>
      <c r="CI48"/>
      <c r="CJ48"/>
      <c r="CK48"/>
      <c r="CL48"/>
    </row>
    <row r="49" spans="1:90" s="225" customFormat="1" outlineLevel="1">
      <c r="A49" s="1348"/>
      <c r="B49" s="268" t="s">
        <v>596</v>
      </c>
      <c r="G49" s="301">
        <f t="shared" ref="G49:R49" si="109">G9/F9-1</f>
        <v>0.49977495724187593</v>
      </c>
      <c r="H49" s="301">
        <f t="shared" si="109"/>
        <v>0.38893223696056656</v>
      </c>
      <c r="I49" s="301">
        <f t="shared" si="109"/>
        <v>0.33003471471990542</v>
      </c>
      <c r="J49" s="335">
        <f t="shared" si="109"/>
        <v>0.44993772675583465</v>
      </c>
      <c r="K49" s="301">
        <f t="shared" si="109"/>
        <v>0.59033514792500741</v>
      </c>
      <c r="L49" s="301">
        <f t="shared" si="109"/>
        <v>0.36045521046595907</v>
      </c>
      <c r="M49" s="301">
        <f t="shared" si="109"/>
        <v>0.28489809789760123</v>
      </c>
      <c r="N49" s="301">
        <f t="shared" si="109"/>
        <v>0.19664780365081214</v>
      </c>
      <c r="O49" s="301">
        <f t="shared" si="109"/>
        <v>0.17974446555495938</v>
      </c>
      <c r="P49" s="301">
        <f t="shared" si="109"/>
        <v>0.19977613897361346</v>
      </c>
      <c r="Q49" s="301">
        <f t="shared" si="109"/>
        <v>0.12687140626513926</v>
      </c>
      <c r="R49" s="301">
        <f t="shared" si="109"/>
        <v>0.11342129442017335</v>
      </c>
      <c r="V49" s="218"/>
      <c r="W49" s="218"/>
      <c r="X49" s="218"/>
      <c r="Y49" s="277"/>
      <c r="Z49" s="218"/>
      <c r="AA49" s="218"/>
      <c r="AB49" s="218"/>
      <c r="AC49" s="277"/>
      <c r="AG49" s="278"/>
      <c r="AK49" s="279"/>
      <c r="AL49" s="280"/>
      <c r="AM49" s="280"/>
      <c r="AN49" s="281"/>
      <c r="AO49" s="282"/>
      <c r="AP49" s="286"/>
      <c r="AQ49" s="286"/>
      <c r="AR49" s="286"/>
      <c r="AS49" s="287"/>
      <c r="AT49" s="286">
        <f t="shared" ref="AT49:BE53" si="110">AT9/AP9-1</f>
        <v>0.46946811953824574</v>
      </c>
      <c r="AU49" s="286">
        <f t="shared" si="110"/>
        <v>0.40838317433641436</v>
      </c>
      <c r="AV49" s="286">
        <f t="shared" si="110"/>
        <v>0.45046868674286067</v>
      </c>
      <c r="AW49" s="287">
        <f t="shared" si="110"/>
        <v>0.47145187601957583</v>
      </c>
      <c r="AX49" s="286">
        <f t="shared" si="110"/>
        <v>0.57949414485518158</v>
      </c>
      <c r="AY49" s="286">
        <f t="shared" si="110"/>
        <v>0.6306461236093075</v>
      </c>
      <c r="AZ49" s="286">
        <f t="shared" si="110"/>
        <v>0.57256956372380619</v>
      </c>
      <c r="BA49" s="287">
        <f t="shared" si="110"/>
        <v>0.5895175674437747</v>
      </c>
      <c r="BB49" s="286">
        <f t="shared" si="110"/>
        <v>0.46173453873149439</v>
      </c>
      <c r="BC49" s="286">
        <f t="shared" si="110"/>
        <v>0.41594106441565137</v>
      </c>
      <c r="BD49" s="286">
        <f t="shared" si="110"/>
        <v>0.29573217040030553</v>
      </c>
      <c r="BE49" s="286">
        <f t="shared" si="110"/>
        <v>0.31671052598160587</v>
      </c>
      <c r="BF49" s="283"/>
      <c r="CG49"/>
      <c r="CH49"/>
      <c r="CI49"/>
      <c r="CJ49"/>
      <c r="CK49"/>
      <c r="CL49"/>
    </row>
    <row r="50" spans="1:90" s="225" customFormat="1" outlineLevel="1">
      <c r="A50" s="1348"/>
      <c r="B50" s="248" t="s">
        <v>16</v>
      </c>
      <c r="G50" s="301">
        <f t="shared" ref="G50:R50" si="111">G10/F10-1</f>
        <v>0.58813496477567662</v>
      </c>
      <c r="H50" s="301">
        <f t="shared" si="111"/>
        <v>0.39456481135599542</v>
      </c>
      <c r="I50" s="301">
        <f t="shared" si="111"/>
        <v>0.33986807741244229</v>
      </c>
      <c r="J50" s="335">
        <f t="shared" si="111"/>
        <v>0.42577436807316982</v>
      </c>
      <c r="K50" s="301">
        <f t="shared" si="111"/>
        <v>0.54785186535856045</v>
      </c>
      <c r="L50" s="301">
        <f t="shared" si="111"/>
        <v>0.35465552881986229</v>
      </c>
      <c r="M50" s="301">
        <f t="shared" si="111"/>
        <v>0.30931286681715564</v>
      </c>
      <c r="N50" s="301">
        <f t="shared" si="111"/>
        <v>0.20718145454545489</v>
      </c>
      <c r="O50" s="301">
        <f t="shared" si="111"/>
        <v>0.19093931217167226</v>
      </c>
      <c r="P50" s="301">
        <f t="shared" si="111"/>
        <v>0.21693974707400532</v>
      </c>
      <c r="Q50" s="301">
        <f t="shared" si="111"/>
        <v>0.13388768680780805</v>
      </c>
      <c r="R50" s="301">
        <f t="shared" si="111"/>
        <v>0.12015130367432447</v>
      </c>
      <c r="V50" s="218"/>
      <c r="W50" s="218"/>
      <c r="X50" s="218"/>
      <c r="Y50" s="277"/>
      <c r="Z50" s="218"/>
      <c r="AA50" s="218"/>
      <c r="AB50" s="218"/>
      <c r="AC50" s="277"/>
      <c r="AG50" s="278"/>
      <c r="AK50" s="279"/>
      <c r="AL50" s="280"/>
      <c r="AM50" s="280"/>
      <c r="AN50" s="281"/>
      <c r="AO50" s="282"/>
      <c r="AP50" s="218"/>
      <c r="AQ50" s="218"/>
      <c r="AR50" s="283"/>
      <c r="AS50" s="284"/>
      <c r="AT50" s="286">
        <f t="shared" si="110"/>
        <v>0.48822556008146645</v>
      </c>
      <c r="AU50" s="286">
        <f t="shared" si="110"/>
        <v>0.39624717669543053</v>
      </c>
      <c r="AV50" s="286">
        <f t="shared" si="110"/>
        <v>0.42097931322699722</v>
      </c>
      <c r="AW50" s="287">
        <f t="shared" si="110"/>
        <v>0.4075790621592148</v>
      </c>
      <c r="AX50" s="286">
        <f t="shared" si="110"/>
        <v>0.57002950861737167</v>
      </c>
      <c r="AY50" s="286">
        <f t="shared" si="110"/>
        <v>0.640756563938778</v>
      </c>
      <c r="AZ50" s="286">
        <f t="shared" si="110"/>
        <v>0.47308955443360623</v>
      </c>
      <c r="BA50" s="287">
        <f t="shared" si="110"/>
        <v>0.55916438133643109</v>
      </c>
      <c r="BB50" s="286">
        <f t="shared" si="110"/>
        <v>0.40880341708433243</v>
      </c>
      <c r="BC50" s="286">
        <f t="shared" si="110"/>
        <v>0.3688580123588745</v>
      </c>
      <c r="BD50" s="286">
        <f t="shared" si="110"/>
        <v>0.3291711102370849</v>
      </c>
      <c r="BE50" s="286">
        <f t="shared" si="110"/>
        <v>0.32936488848101364</v>
      </c>
      <c r="BF50" s="283"/>
      <c r="CG50"/>
      <c r="CH50"/>
      <c r="CI50"/>
      <c r="CJ50"/>
      <c r="CK50"/>
      <c r="CL50"/>
    </row>
    <row r="51" spans="1:90" s="225" customFormat="1" outlineLevel="1">
      <c r="A51" s="1348"/>
      <c r="B51" s="248" t="s">
        <v>53</v>
      </c>
      <c r="G51" s="301">
        <f t="shared" ref="G51:R51" si="112">G11/F11-1</f>
        <v>4.6882111970869333E-2</v>
      </c>
      <c r="H51" s="301">
        <f t="shared" si="112"/>
        <v>0.39347826086956528</v>
      </c>
      <c r="I51" s="301">
        <f t="shared" si="112"/>
        <v>0.33790951638065514</v>
      </c>
      <c r="J51" s="335">
        <f t="shared" si="112"/>
        <v>0.32439365671641784</v>
      </c>
      <c r="K51" s="301">
        <f t="shared" si="112"/>
        <v>0.22999999999999998</v>
      </c>
      <c r="L51" s="301">
        <f t="shared" si="112"/>
        <v>0.14999999999999991</v>
      </c>
      <c r="M51" s="301">
        <f t="shared" si="112"/>
        <v>0.1100000000000001</v>
      </c>
      <c r="N51" s="301">
        <f t="shared" si="112"/>
        <v>8.8000000000000078E-2</v>
      </c>
      <c r="O51" s="301">
        <f t="shared" si="112"/>
        <v>7.0400000000000018E-2</v>
      </c>
      <c r="P51" s="301">
        <f t="shared" si="112"/>
        <v>5.6319999999999926E-2</v>
      </c>
      <c r="Q51" s="301">
        <f t="shared" si="112"/>
        <v>4.5055999999999985E-2</v>
      </c>
      <c r="R51" s="301">
        <f t="shared" si="112"/>
        <v>3.6044799999999988E-2</v>
      </c>
      <c r="V51" s="218"/>
      <c r="W51" s="218"/>
      <c r="X51" s="218"/>
      <c r="Y51" s="277"/>
      <c r="Z51" s="218"/>
      <c r="AA51" s="218"/>
      <c r="AB51" s="218"/>
      <c r="AC51" s="277"/>
      <c r="AG51" s="278"/>
      <c r="AK51" s="279"/>
      <c r="AL51" s="280"/>
      <c r="AM51" s="280"/>
      <c r="AN51" s="281"/>
      <c r="AO51" s="282"/>
      <c r="AP51" s="218"/>
      <c r="AQ51" s="218"/>
      <c r="AR51" s="283"/>
      <c r="AS51" s="284"/>
      <c r="AT51" s="286">
        <f t="shared" si="110"/>
        <v>0.26479438314944836</v>
      </c>
      <c r="AU51" s="286">
        <f t="shared" si="110"/>
        <v>0.37189292543021035</v>
      </c>
      <c r="AV51" s="286">
        <f t="shared" si="110"/>
        <v>0.30292598967297768</v>
      </c>
      <c r="AW51" s="287">
        <f t="shared" si="110"/>
        <v>0.35641735918744222</v>
      </c>
      <c r="AX51" s="286">
        <f t="shared" si="110"/>
        <v>0.30134813639968283</v>
      </c>
      <c r="AY51" s="286">
        <f t="shared" si="110"/>
        <v>0.19442508710801398</v>
      </c>
      <c r="AZ51" s="286">
        <f t="shared" si="110"/>
        <v>0.27212681638044911</v>
      </c>
      <c r="BA51" s="287">
        <f t="shared" si="110"/>
        <v>0.16008849557522131</v>
      </c>
      <c r="BB51" s="286">
        <f t="shared" si="110"/>
        <v>0.14999999999999991</v>
      </c>
      <c r="BC51" s="286">
        <f t="shared" si="110"/>
        <v>0.14999999999999991</v>
      </c>
      <c r="BD51" s="286">
        <f t="shared" si="110"/>
        <v>0.16999999999999993</v>
      </c>
      <c r="BE51" s="286">
        <f t="shared" si="110"/>
        <v>0.12739662122910245</v>
      </c>
      <c r="BF51" s="283"/>
      <c r="CG51"/>
      <c r="CH51"/>
      <c r="CI51"/>
      <c r="CJ51"/>
      <c r="CK51"/>
      <c r="CL51"/>
    </row>
    <row r="52" spans="1:90" s="225" customFormat="1" outlineLevel="1">
      <c r="A52" s="1348"/>
      <c r="B52" s="248" t="s">
        <v>613</v>
      </c>
      <c r="G52" s="301">
        <f t="shared" ref="G52:R52" si="113">G12/F12-1</f>
        <v>1.3928571428571428</v>
      </c>
      <c r="H52" s="301">
        <f t="shared" si="113"/>
        <v>0.88486140724946694</v>
      </c>
      <c r="I52" s="301">
        <f t="shared" si="113"/>
        <v>0.24660633484162897</v>
      </c>
      <c r="J52" s="335">
        <f t="shared" si="113"/>
        <v>2.3284936479128855</v>
      </c>
      <c r="K52" s="301">
        <f t="shared" si="113"/>
        <v>0.83737337786259536</v>
      </c>
      <c r="L52" s="301">
        <f t="shared" si="113"/>
        <v>0.25338105888512508</v>
      </c>
      <c r="M52" s="301">
        <f t="shared" si="113"/>
        <v>0.21298349459738408</v>
      </c>
      <c r="N52" s="301">
        <f t="shared" si="113"/>
        <v>0.17053250826637711</v>
      </c>
      <c r="O52" s="301">
        <f t="shared" si="113"/>
        <v>0.13652295152800864</v>
      </c>
      <c r="P52" s="301">
        <f t="shared" si="113"/>
        <v>0.10928241621854506</v>
      </c>
      <c r="Q52" s="301">
        <f t="shared" si="113"/>
        <v>8.7468011536081303E-2</v>
      </c>
      <c r="R52" s="301">
        <f t="shared" si="113"/>
        <v>7.000191792492183E-2</v>
      </c>
      <c r="V52" s="218"/>
      <c r="W52" s="218"/>
      <c r="X52" s="218"/>
      <c r="Y52" s="277"/>
      <c r="Z52" s="218"/>
      <c r="AA52" s="218"/>
      <c r="AB52" s="218"/>
      <c r="AC52" s="277"/>
      <c r="AG52" s="278"/>
      <c r="AK52" s="279"/>
      <c r="AL52" s="280"/>
      <c r="AM52" s="280"/>
      <c r="AN52" s="281"/>
      <c r="AO52" s="282"/>
      <c r="AP52" s="218"/>
      <c r="AQ52" s="218"/>
      <c r="AR52" s="283"/>
      <c r="AS52" s="284"/>
      <c r="AT52" s="286">
        <f t="shared" si="110"/>
        <v>1.2295409181636727</v>
      </c>
      <c r="AU52" s="286">
        <f t="shared" si="110"/>
        <v>1.7817047817047817</v>
      </c>
      <c r="AV52" s="286">
        <f t="shared" si="110"/>
        <v>2.8797468354430378</v>
      </c>
      <c r="AW52" s="287">
        <f t="shared" si="110"/>
        <v>3.1169491525423725</v>
      </c>
      <c r="AX52" s="286">
        <f t="shared" si="110"/>
        <v>1.3616830796777082</v>
      </c>
      <c r="AY52" s="286">
        <f t="shared" si="110"/>
        <v>1.1509715994020926</v>
      </c>
      <c r="AZ52" s="286">
        <f t="shared" si="110"/>
        <v>0.93026101141924955</v>
      </c>
      <c r="BA52" s="287">
        <f t="shared" si="110"/>
        <v>0.32975343762865372</v>
      </c>
      <c r="BB52" s="286">
        <f t="shared" si="110"/>
        <v>0.24570164897649738</v>
      </c>
      <c r="BC52" s="286">
        <f t="shared" si="110"/>
        <v>0.28845286309937457</v>
      </c>
      <c r="BD52" s="286">
        <f t="shared" si="110"/>
        <v>0.16607384491865629</v>
      </c>
      <c r="BE52" s="286">
        <f t="shared" si="110"/>
        <v>0.35633760685970239</v>
      </c>
      <c r="BF52" s="283"/>
      <c r="CG52"/>
      <c r="CH52"/>
      <c r="CI52"/>
      <c r="CJ52"/>
      <c r="CK52"/>
      <c r="CL52"/>
    </row>
    <row r="53" spans="1:90" s="225" customFormat="1" outlineLevel="1">
      <c r="A53" s="1348"/>
      <c r="B53" s="248" t="s">
        <v>580</v>
      </c>
      <c r="G53" s="301">
        <f t="shared" ref="G53:R53" si="114">G13/F13-1</f>
        <v>3.8481953290870452E-2</v>
      </c>
      <c r="H53" s="301">
        <f t="shared" si="114"/>
        <v>0.20572450805008935</v>
      </c>
      <c r="I53" s="301">
        <f t="shared" si="114"/>
        <v>0.14985163204747765</v>
      </c>
      <c r="J53" s="335">
        <f t="shared" si="114"/>
        <v>0.10617511520737333</v>
      </c>
      <c r="K53" s="301">
        <f t="shared" si="114"/>
        <v>0.10000000000000009</v>
      </c>
      <c r="L53" s="301">
        <f t="shared" si="114"/>
        <v>7.0000000000000062E-2</v>
      </c>
      <c r="M53" s="301">
        <f t="shared" si="114"/>
        <v>5.0000000000000044E-2</v>
      </c>
      <c r="N53" s="301">
        <f t="shared" si="114"/>
        <v>4.0000000000000036E-2</v>
      </c>
      <c r="O53" s="301">
        <f t="shared" si="114"/>
        <v>3.2000000000000028E-2</v>
      </c>
      <c r="P53" s="301">
        <f t="shared" si="114"/>
        <v>2.5600000000000067E-2</v>
      </c>
      <c r="Q53" s="301">
        <f t="shared" si="114"/>
        <v>2.0480000000000054E-2</v>
      </c>
      <c r="R53" s="301">
        <f t="shared" si="114"/>
        <v>1.6383999999999954E-2</v>
      </c>
      <c r="V53" s="218"/>
      <c r="W53" s="218"/>
      <c r="X53" s="218"/>
      <c r="Y53" s="277"/>
      <c r="Z53" s="218"/>
      <c r="AA53" s="218"/>
      <c r="AB53" s="218"/>
      <c r="AC53" s="277"/>
      <c r="AG53" s="278"/>
      <c r="AK53" s="279"/>
      <c r="AL53" s="280"/>
      <c r="AM53" s="280"/>
      <c r="AN53" s="281"/>
      <c r="AO53" s="282"/>
      <c r="AP53" s="218"/>
      <c r="AQ53" s="218"/>
      <c r="AR53" s="283"/>
      <c r="AS53" s="284"/>
      <c r="AT53" s="286">
        <f t="shared" si="110"/>
        <v>0.15020080321285145</v>
      </c>
      <c r="AU53" s="286">
        <f t="shared" si="110"/>
        <v>0.11143911439114396</v>
      </c>
      <c r="AV53" s="286">
        <f t="shared" si="110"/>
        <v>8.6713286713286708E-2</v>
      </c>
      <c r="AW53" s="287">
        <f t="shared" si="110"/>
        <v>8.1720430107526942E-2</v>
      </c>
      <c r="AX53" s="286">
        <f t="shared" si="110"/>
        <v>0.12360335195530725</v>
      </c>
      <c r="AY53" s="286">
        <f t="shared" si="110"/>
        <v>9.6281540504647989E-2</v>
      </c>
      <c r="AZ53" s="286">
        <f t="shared" si="110"/>
        <v>7.2072072072072002E-2</v>
      </c>
      <c r="BA53" s="287">
        <f t="shared" si="110"/>
        <v>0.11007289595758807</v>
      </c>
      <c r="BB53" s="286">
        <f t="shared" si="110"/>
        <v>5.0000000000000044E-2</v>
      </c>
      <c r="BC53" s="286">
        <f t="shared" si="110"/>
        <v>7.0000000000000062E-2</v>
      </c>
      <c r="BD53" s="286">
        <f t="shared" si="110"/>
        <v>8.0000000000000071E-2</v>
      </c>
      <c r="BE53" s="286">
        <f t="shared" si="110"/>
        <v>7.9265118500387421E-2</v>
      </c>
      <c r="BF53" s="283"/>
      <c r="CG53"/>
      <c r="CH53"/>
      <c r="CI53"/>
      <c r="CJ53"/>
      <c r="CK53"/>
      <c r="CL53"/>
    </row>
    <row r="54" spans="1:90" outlineLevel="1">
      <c r="B54" s="248" t="s">
        <v>884</v>
      </c>
      <c r="C54" s="249"/>
      <c r="D54" s="249"/>
      <c r="E54" s="249"/>
      <c r="F54" s="249"/>
      <c r="G54" s="249"/>
      <c r="H54" s="249"/>
      <c r="I54" s="301"/>
      <c r="J54" s="335"/>
      <c r="K54" s="301"/>
      <c r="L54" s="301">
        <f t="shared" ref="L54" si="115">L14/K14-1</f>
        <v>1.2437375134470572</v>
      </c>
      <c r="M54" s="301">
        <f t="shared" ref="M54" si="116">M14/L14-1</f>
        <v>0.19999999999999996</v>
      </c>
      <c r="N54" s="301">
        <f t="shared" ref="N54" si="117">N14/M14-1</f>
        <v>0.16999999999999993</v>
      </c>
      <c r="O54" s="301">
        <f t="shared" ref="O54" si="118">O14/N14-1</f>
        <v>0.14450000000000007</v>
      </c>
      <c r="P54" s="301">
        <f t="shared" ref="P54" si="119">P14/O14-1</f>
        <v>0.12282499999999996</v>
      </c>
      <c r="Q54" s="301">
        <f t="shared" ref="Q54" si="120">Q14/P14-1</f>
        <v>0.10440125</v>
      </c>
      <c r="R54" s="301">
        <f t="shared" ref="R54:R59" si="121">R14/Q14-1</f>
        <v>8.8741062500000023E-2</v>
      </c>
      <c r="T54" s="15"/>
      <c r="V54" s="250"/>
      <c r="W54" s="250"/>
      <c r="X54" s="250"/>
      <c r="Y54" s="251"/>
      <c r="Z54" s="252"/>
      <c r="AA54" s="252"/>
      <c r="AB54" s="252"/>
      <c r="AC54" s="253"/>
      <c r="AD54" s="252"/>
      <c r="AE54" s="252"/>
      <c r="AF54" s="252"/>
      <c r="AG54" s="253"/>
      <c r="AH54" s="252"/>
      <c r="AI54" s="252"/>
      <c r="AJ54" s="252"/>
      <c r="AK54" s="253"/>
      <c r="AL54" s="252"/>
      <c r="AM54" s="252"/>
      <c r="AN54" s="252"/>
      <c r="AO54" s="253"/>
      <c r="AP54" s="272"/>
      <c r="AQ54" s="286"/>
      <c r="AR54" s="286"/>
      <c r="AS54" s="287"/>
      <c r="AT54" s="286"/>
      <c r="AU54" s="286"/>
      <c r="AV54" s="286"/>
      <c r="AW54" s="287"/>
      <c r="AX54" s="286"/>
      <c r="AY54" s="286"/>
      <c r="AZ54" s="286"/>
      <c r="BA54" s="287"/>
      <c r="BB54" s="286"/>
      <c r="BC54" s="286"/>
      <c r="BD54" s="286">
        <f t="shared" ref="BD54:BE59" si="122">BD14/AZ14-1</f>
        <v>0.12618377271563852</v>
      </c>
      <c r="BE54" s="286">
        <f t="shared" si="122"/>
        <v>0.30769230769230771</v>
      </c>
      <c r="BF54" s="252"/>
      <c r="BG54" s="15"/>
      <c r="BI54" s="1294"/>
      <c r="BJ54" s="307"/>
      <c r="BK54" s="307"/>
      <c r="BL54" s="307"/>
      <c r="BM54" s="307"/>
      <c r="BN54" s="307"/>
      <c r="BO54" s="307"/>
      <c r="BP54" s="307"/>
      <c r="BQ54" s="454"/>
    </row>
    <row r="55" spans="1:90" s="225" customFormat="1" outlineLevel="1">
      <c r="A55" s="1348"/>
      <c r="B55" s="248" t="s">
        <v>82</v>
      </c>
      <c r="G55" s="301"/>
      <c r="H55" s="301"/>
      <c r="I55" s="301"/>
      <c r="J55" s="335"/>
      <c r="K55" s="301">
        <f t="shared" ref="K55:Q59" si="123">K15/J15-1</f>
        <v>2.6</v>
      </c>
      <c r="L55" s="301">
        <f t="shared" si="123"/>
        <v>0.39999999999999991</v>
      </c>
      <c r="M55" s="301">
        <f t="shared" si="123"/>
        <v>0.19999999999999996</v>
      </c>
      <c r="N55" s="301">
        <f t="shared" si="123"/>
        <v>0.16000000000000014</v>
      </c>
      <c r="O55" s="301">
        <f t="shared" si="123"/>
        <v>0.12800000000000011</v>
      </c>
      <c r="P55" s="301">
        <f t="shared" si="123"/>
        <v>0.10240000000000005</v>
      </c>
      <c r="Q55" s="301">
        <f t="shared" si="123"/>
        <v>8.1919999999999993E-2</v>
      </c>
      <c r="R55" s="301">
        <f t="shared" si="121"/>
        <v>6.5536000000000039E-2</v>
      </c>
      <c r="V55" s="218"/>
      <c r="W55" s="218"/>
      <c r="X55" s="218"/>
      <c r="Y55" s="277"/>
      <c r="Z55" s="218"/>
      <c r="AA55" s="218"/>
      <c r="AB55" s="218"/>
      <c r="AC55" s="277"/>
      <c r="AG55" s="278"/>
      <c r="AK55" s="279"/>
      <c r="AL55" s="280"/>
      <c r="AM55" s="280"/>
      <c r="AN55" s="281"/>
      <c r="AO55" s="282"/>
      <c r="AP55" s="218"/>
      <c r="AQ55" s="218"/>
      <c r="AR55" s="283"/>
      <c r="AS55" s="284"/>
      <c r="AT55" s="286">
        <f t="shared" ref="AT55:BC59" si="124">AT15/AP15-1</f>
        <v>-0.42168674698795183</v>
      </c>
      <c r="AU55" s="286">
        <f t="shared" si="124"/>
        <v>0.28048780487804881</v>
      </c>
      <c r="AV55" s="286">
        <f t="shared" si="124"/>
        <v>0.46820809248554918</v>
      </c>
      <c r="AW55" s="287">
        <f t="shared" si="124"/>
        <v>6.4042553191489358</v>
      </c>
      <c r="AX55" s="286">
        <f t="shared" si="124"/>
        <v>7.8958333333333339</v>
      </c>
      <c r="AY55" s="286">
        <f t="shared" si="124"/>
        <v>5.3047619047619046</v>
      </c>
      <c r="AZ55" s="286">
        <f t="shared" si="124"/>
        <v>2.5708661417322833</v>
      </c>
      <c r="BA55" s="287">
        <f t="shared" si="124"/>
        <v>1.0747126436781609</v>
      </c>
      <c r="BB55" s="286">
        <f t="shared" si="124"/>
        <v>0.89999999999999991</v>
      </c>
      <c r="BC55" s="286">
        <f t="shared" si="124"/>
        <v>0.35000000000000009</v>
      </c>
      <c r="BD55" s="286">
        <f t="shared" si="122"/>
        <v>0.14999999999999991</v>
      </c>
      <c r="BE55" s="286">
        <f t="shared" si="122"/>
        <v>0.46419667590027647</v>
      </c>
      <c r="BF55" s="283"/>
      <c r="CG55"/>
      <c r="CH55"/>
      <c r="CI55"/>
      <c r="CJ55"/>
      <c r="CK55"/>
      <c r="CL55"/>
    </row>
    <row r="56" spans="1:90" s="225" customFormat="1" outlineLevel="1">
      <c r="A56" s="1348"/>
      <c r="B56" s="268" t="s">
        <v>429</v>
      </c>
      <c r="G56" s="301">
        <f>G16/F16-1</f>
        <v>0.18923076923076931</v>
      </c>
      <c r="H56" s="301">
        <f>H16/G16-1</f>
        <v>0.64424320827943071</v>
      </c>
      <c r="I56" s="301">
        <f>I16/H16-1</f>
        <v>1.3752950432730136</v>
      </c>
      <c r="J56" s="335">
        <f>J16/I16-1</f>
        <v>1.2070221927790659</v>
      </c>
      <c r="K56" s="301">
        <f t="shared" si="123"/>
        <v>0.91999999999999993</v>
      </c>
      <c r="L56" s="301">
        <f t="shared" si="123"/>
        <v>0.67999999999999994</v>
      </c>
      <c r="M56" s="301">
        <f t="shared" si="123"/>
        <v>0.59299999999999997</v>
      </c>
      <c r="N56" s="301">
        <f t="shared" si="123"/>
        <v>0.50435999999999992</v>
      </c>
      <c r="O56" s="301">
        <f t="shared" si="123"/>
        <v>0.43135920000000016</v>
      </c>
      <c r="P56" s="301">
        <f t="shared" si="123"/>
        <v>0.37082462400000016</v>
      </c>
      <c r="Q56" s="301">
        <f t="shared" si="123"/>
        <v>0.32029352928000021</v>
      </c>
      <c r="R56" s="301">
        <f t="shared" si="121"/>
        <v>0.27784388108160041</v>
      </c>
      <c r="V56" s="218"/>
      <c r="W56" s="218"/>
      <c r="X56" s="218"/>
      <c r="Y56" s="277"/>
      <c r="Z56" s="218"/>
      <c r="AA56" s="218"/>
      <c r="AB56" s="218"/>
      <c r="AC56" s="277"/>
      <c r="AG56" s="278"/>
      <c r="AK56" s="279"/>
      <c r="AL56" s="280"/>
      <c r="AM56" s="280"/>
      <c r="AN56" s="281"/>
      <c r="AO56" s="282"/>
      <c r="AP56" s="218"/>
      <c r="AQ56" s="218"/>
      <c r="AR56" s="283"/>
      <c r="AS56" s="284"/>
      <c r="AT56" s="286">
        <f t="shared" si="124"/>
        <v>1.5628865979381446</v>
      </c>
      <c r="AU56" s="286">
        <f t="shared" si="124"/>
        <v>1.300462249614792</v>
      </c>
      <c r="AV56" s="286">
        <f t="shared" si="124"/>
        <v>1.1538461538461537</v>
      </c>
      <c r="AW56" s="287">
        <f t="shared" si="124"/>
        <v>1.0290806754221387</v>
      </c>
      <c r="AX56" s="286">
        <f t="shared" si="124"/>
        <v>0.95575221238938046</v>
      </c>
      <c r="AY56" s="286">
        <f t="shared" si="124"/>
        <v>0.99263228399196257</v>
      </c>
      <c r="AZ56" s="286">
        <f t="shared" si="124"/>
        <v>1.0402494331065761</v>
      </c>
      <c r="BA56" s="287">
        <f t="shared" si="124"/>
        <v>0.75125288950531632</v>
      </c>
      <c r="BB56" s="286">
        <f t="shared" si="124"/>
        <v>0.81999999999999962</v>
      </c>
      <c r="BC56" s="286">
        <f t="shared" si="124"/>
        <v>0.76</v>
      </c>
      <c r="BD56" s="286">
        <f t="shared" si="122"/>
        <v>0.60000000000000009</v>
      </c>
      <c r="BE56" s="286">
        <f t="shared" si="122"/>
        <v>0.60333076378842398</v>
      </c>
      <c r="BF56" s="283"/>
      <c r="CG56"/>
      <c r="CH56"/>
      <c r="CI56"/>
      <c r="CJ56"/>
      <c r="CK56"/>
      <c r="CL56"/>
    </row>
    <row r="57" spans="1:90" s="225" customFormat="1" outlineLevel="1">
      <c r="A57" s="1348"/>
      <c r="B57" s="268" t="s">
        <v>605</v>
      </c>
      <c r="G57" s="301"/>
      <c r="H57" s="301"/>
      <c r="I57" s="301"/>
      <c r="J57" s="335"/>
      <c r="K57" s="301">
        <f t="shared" si="123"/>
        <v>0.32293830177153326</v>
      </c>
      <c r="L57" s="301">
        <f t="shared" si="123"/>
        <v>0.19483272920370331</v>
      </c>
      <c r="M57" s="301">
        <f t="shared" si="123"/>
        <v>0.2536484689708316</v>
      </c>
      <c r="N57" s="301">
        <f t="shared" si="123"/>
        <v>0.21820891063255132</v>
      </c>
      <c r="O57" s="301">
        <f t="shared" si="123"/>
        <v>0.18416211272754857</v>
      </c>
      <c r="P57" s="301">
        <f t="shared" si="123"/>
        <v>0.15344680032041857</v>
      </c>
      <c r="Q57" s="301">
        <f t="shared" si="123"/>
        <v>0.12678186936520519</v>
      </c>
      <c r="R57" s="301">
        <f t="shared" si="121"/>
        <v>0.10419040888379105</v>
      </c>
      <c r="V57" s="218"/>
      <c r="W57" s="218"/>
      <c r="X57" s="218"/>
      <c r="Y57" s="277"/>
      <c r="Z57" s="218"/>
      <c r="AA57" s="218"/>
      <c r="AB57" s="218"/>
      <c r="AC57" s="277"/>
      <c r="AG57" s="278"/>
      <c r="AK57" s="279"/>
      <c r="AL57" s="280"/>
      <c r="AM57" s="280"/>
      <c r="AN57" s="281"/>
      <c r="AO57" s="282"/>
      <c r="AP57" s="218"/>
      <c r="AQ57" s="218"/>
      <c r="AR57" s="283"/>
      <c r="AS57" s="284"/>
      <c r="AT57" s="286">
        <f t="shared" si="124"/>
        <v>2.8608374384236455</v>
      </c>
      <c r="AU57" s="286">
        <f t="shared" si="124"/>
        <v>3.0178173719376389</v>
      </c>
      <c r="AV57" s="286">
        <f t="shared" si="124"/>
        <v>2.734375</v>
      </c>
      <c r="AW57" s="287">
        <f t="shared" si="124"/>
        <v>2.3449744463373086</v>
      </c>
      <c r="AX57" s="286">
        <f t="shared" si="124"/>
        <v>0.30175438596491233</v>
      </c>
      <c r="AY57" s="286">
        <f t="shared" si="124"/>
        <v>0.32982261640798227</v>
      </c>
      <c r="AZ57" s="286">
        <f t="shared" si="124"/>
        <v>0.3322667979325622</v>
      </c>
      <c r="BA57" s="287">
        <f t="shared" si="124"/>
        <v>0.32387318563789114</v>
      </c>
      <c r="BB57" s="286">
        <f t="shared" si="124"/>
        <v>0.25</v>
      </c>
      <c r="BC57" s="286">
        <f t="shared" si="124"/>
        <v>0.19999999999999996</v>
      </c>
      <c r="BD57" s="286">
        <f t="shared" si="122"/>
        <v>0.14999999999999991</v>
      </c>
      <c r="BE57" s="286">
        <f t="shared" si="122"/>
        <v>0.1934380680342771</v>
      </c>
      <c r="BF57" s="283"/>
      <c r="CG57"/>
      <c r="CH57"/>
      <c r="CI57"/>
      <c r="CJ57"/>
      <c r="CK57"/>
      <c r="CL57"/>
    </row>
    <row r="58" spans="1:90" s="225" customFormat="1" outlineLevel="1">
      <c r="A58" s="1348"/>
      <c r="B58" s="268" t="s">
        <v>606</v>
      </c>
      <c r="G58" s="301"/>
      <c r="H58" s="301"/>
      <c r="I58" s="301"/>
      <c r="J58" s="335"/>
      <c r="K58" s="301">
        <f t="shared" si="123"/>
        <v>5.0000000000000044E-2</v>
      </c>
      <c r="L58" s="301">
        <f t="shared" si="123"/>
        <v>0.19999999999999996</v>
      </c>
      <c r="M58" s="301">
        <f t="shared" si="123"/>
        <v>0.14999999999999991</v>
      </c>
      <c r="N58" s="301">
        <f t="shared" si="123"/>
        <v>0.13500000000000001</v>
      </c>
      <c r="O58" s="301">
        <f t="shared" si="123"/>
        <v>0.12149999999999994</v>
      </c>
      <c r="P58" s="301">
        <f t="shared" si="123"/>
        <v>0.10935000000000006</v>
      </c>
      <c r="Q58" s="301">
        <f t="shared" si="123"/>
        <v>9.8414999999999919E-2</v>
      </c>
      <c r="R58" s="301">
        <f t="shared" si="121"/>
        <v>8.8573500000000083E-2</v>
      </c>
      <c r="V58" s="218"/>
      <c r="W58" s="218"/>
      <c r="X58" s="218"/>
      <c r="Y58" s="277"/>
      <c r="Z58" s="218"/>
      <c r="AA58" s="218"/>
      <c r="AB58" s="218"/>
      <c r="AC58" s="277"/>
      <c r="AG58" s="278"/>
      <c r="AK58" s="279"/>
      <c r="AL58" s="280"/>
      <c r="AM58" s="280"/>
      <c r="AN58" s="281"/>
      <c r="AO58" s="282"/>
      <c r="AP58" s="218"/>
      <c r="AQ58" s="218"/>
      <c r="AR58" s="283"/>
      <c r="AS58" s="284"/>
      <c r="AT58" s="286">
        <f t="shared" si="124"/>
        <v>0.30487804878048785</v>
      </c>
      <c r="AU58" s="286">
        <f t="shared" si="124"/>
        <v>0.77608142493638677</v>
      </c>
      <c r="AV58" s="286">
        <f t="shared" si="124"/>
        <v>0.60952380952380958</v>
      </c>
      <c r="AW58" s="287">
        <f t="shared" si="124"/>
        <v>0.87934560327198374</v>
      </c>
      <c r="AX58" s="286">
        <f t="shared" si="124"/>
        <v>0.20560747663551404</v>
      </c>
      <c r="AY58" s="286">
        <f t="shared" si="124"/>
        <v>0.27077363896848139</v>
      </c>
      <c r="AZ58" s="286">
        <f t="shared" si="124"/>
        <v>-8.6390532544378673E-2</v>
      </c>
      <c r="BA58" s="287">
        <f t="shared" si="124"/>
        <v>-8.2861806311207986E-2</v>
      </c>
      <c r="BB58" s="286">
        <f t="shared" si="124"/>
        <v>0.19999999999999996</v>
      </c>
      <c r="BC58" s="286">
        <f t="shared" si="124"/>
        <v>0.14999999999999991</v>
      </c>
      <c r="BD58" s="286">
        <f t="shared" si="122"/>
        <v>0.30000000000000004</v>
      </c>
      <c r="BE58" s="286">
        <f t="shared" si="122"/>
        <v>0.16102509343299487</v>
      </c>
      <c r="BF58" s="283"/>
      <c r="CG58"/>
      <c r="CH58"/>
      <c r="CI58"/>
      <c r="CJ58"/>
      <c r="CK58"/>
      <c r="CL58"/>
    </row>
    <row r="59" spans="1:90" s="226" customFormat="1" outlineLevel="1">
      <c r="A59" s="1349"/>
      <c r="B59" s="13" t="s">
        <v>42</v>
      </c>
      <c r="G59" s="302">
        <f>G19/F19-1</f>
        <v>0.52110554219659888</v>
      </c>
      <c r="H59" s="302">
        <f>H19/G19-1</f>
        <v>0.45139417949108629</v>
      </c>
      <c r="I59" s="302">
        <f>I19/H19-1</f>
        <v>0.32726628523437085</v>
      </c>
      <c r="J59" s="1394">
        <f>J19/I19-1</f>
        <v>0.56484383496633472</v>
      </c>
      <c r="K59" s="1291">
        <f t="shared" si="123"/>
        <v>0.56909093530924415</v>
      </c>
      <c r="L59" s="1291">
        <f t="shared" si="123"/>
        <v>0.36188416083393227</v>
      </c>
      <c r="M59" s="302">
        <f t="shared" si="123"/>
        <v>0.30081872708300139</v>
      </c>
      <c r="N59" s="302">
        <f t="shared" si="123"/>
        <v>0.22141585898080485</v>
      </c>
      <c r="O59" s="302">
        <f t="shared" si="123"/>
        <v>0.20361879420118245</v>
      </c>
      <c r="P59" s="302">
        <f t="shared" si="123"/>
        <v>0.2154828345100932</v>
      </c>
      <c r="Q59" s="302">
        <f t="shared" si="123"/>
        <v>0.15150792599299812</v>
      </c>
      <c r="R59" s="302">
        <f t="shared" si="121"/>
        <v>0.13691255254524592</v>
      </c>
      <c r="V59" s="291"/>
      <c r="W59" s="291"/>
      <c r="X59" s="291"/>
      <c r="Y59" s="292"/>
      <c r="Z59" s="291"/>
      <c r="AA59" s="291"/>
      <c r="AB59" s="291"/>
      <c r="AC59" s="292"/>
      <c r="AG59" s="293"/>
      <c r="AK59" s="294"/>
      <c r="AL59" s="295"/>
      <c r="AM59" s="295"/>
      <c r="AN59" s="296"/>
      <c r="AO59" s="299">
        <f>AO19/AK19-1</f>
        <v>0.44834178372537603</v>
      </c>
      <c r="AP59" s="298">
        <f>AP19/AL19-1</f>
        <v>0.28368524507006532</v>
      </c>
      <c r="AQ59" s="298">
        <f>AQ19/AM19-1</f>
        <v>0.31742824885614129</v>
      </c>
      <c r="AR59" s="298">
        <f>AR19/AN19-1</f>
        <v>0.31949272317506394</v>
      </c>
      <c r="AS59" s="299">
        <f>AS19/AO19-1</f>
        <v>0.38789096126255385</v>
      </c>
      <c r="AT59" s="298">
        <f t="shared" si="124"/>
        <v>0.58824401086688072</v>
      </c>
      <c r="AU59" s="298">
        <f t="shared" si="124"/>
        <v>0.54670515538315811</v>
      </c>
      <c r="AV59" s="298">
        <f t="shared" si="124"/>
        <v>0.54149900124482531</v>
      </c>
      <c r="AW59" s="299">
        <f t="shared" si="124"/>
        <v>0.59522825008269931</v>
      </c>
      <c r="AX59" s="298">
        <f t="shared" si="124"/>
        <v>0.56073894383280454</v>
      </c>
      <c r="AY59" s="298">
        <f t="shared" si="124"/>
        <v>0.60743030444418533</v>
      </c>
      <c r="AZ59" s="298">
        <f t="shared" si="124"/>
        <v>0.55926983173076916</v>
      </c>
      <c r="BA59" s="299">
        <f t="shared" si="124"/>
        <v>0.55552838601829913</v>
      </c>
      <c r="BB59" s="298">
        <f t="shared" si="124"/>
        <v>0.45850713370795493</v>
      </c>
      <c r="BC59" s="298">
        <f t="shared" si="124"/>
        <v>0.41143470365516488</v>
      </c>
      <c r="BD59" s="298">
        <f t="shared" si="122"/>
        <v>0.29945990616177642</v>
      </c>
      <c r="BE59" s="298">
        <f t="shared" si="122"/>
        <v>0.32193644996633441</v>
      </c>
      <c r="BF59" s="304"/>
      <c r="CG59"/>
      <c r="CH59"/>
      <c r="CI59"/>
      <c r="CJ59"/>
      <c r="CK59"/>
      <c r="CL59"/>
    </row>
    <row r="60" spans="1:90" s="225" customFormat="1" outlineLevel="1">
      <c r="A60" s="1348"/>
      <c r="B60" s="305"/>
      <c r="G60" s="274"/>
      <c r="H60" s="275"/>
      <c r="I60" s="276"/>
      <c r="J60" s="1380"/>
      <c r="K60" s="276"/>
      <c r="L60" s="276"/>
      <c r="M60" s="276"/>
      <c r="N60" s="276"/>
      <c r="O60" s="276"/>
      <c r="P60" s="276"/>
      <c r="Q60" s="276"/>
      <c r="R60" s="276"/>
      <c r="V60" s="218"/>
      <c r="W60" s="218"/>
      <c r="X60" s="218"/>
      <c r="Y60" s="277"/>
      <c r="Z60" s="218"/>
      <c r="AA60" s="218"/>
      <c r="AB60" s="218"/>
      <c r="AC60" s="277"/>
      <c r="AG60" s="278"/>
      <c r="AK60" s="279"/>
      <c r="AL60" s="280"/>
      <c r="AM60" s="280"/>
      <c r="AN60" s="281"/>
      <c r="AO60" s="282"/>
      <c r="AP60" s="218"/>
      <c r="AQ60" s="218"/>
      <c r="AR60" s="283"/>
      <c r="AS60" s="284"/>
      <c r="AT60" s="285"/>
      <c r="AU60" s="283"/>
      <c r="AV60" s="283"/>
      <c r="AW60" s="284"/>
      <c r="AX60" s="300"/>
      <c r="AY60" s="266"/>
      <c r="AZ60" s="266"/>
      <c r="BA60" s="267"/>
      <c r="BB60" s="300"/>
      <c r="BC60" s="266"/>
      <c r="BD60" s="266"/>
      <c r="BE60" s="266"/>
      <c r="BF60" s="283"/>
      <c r="CG60"/>
      <c r="CH60"/>
      <c r="CI60"/>
      <c r="CJ60"/>
      <c r="CK60"/>
      <c r="CL60"/>
    </row>
    <row r="61" spans="1:90" s="225" customFormat="1" outlineLevel="1">
      <c r="A61" s="1348"/>
      <c r="B61" s="273" t="s">
        <v>630</v>
      </c>
      <c r="G61" s="274"/>
      <c r="H61" s="275"/>
      <c r="I61" s="276"/>
      <c r="J61" s="1380"/>
      <c r="K61" s="276"/>
      <c r="L61" s="276"/>
      <c r="M61" s="276"/>
      <c r="N61" s="276"/>
      <c r="O61" s="276"/>
      <c r="P61" s="276"/>
      <c r="Q61" s="276"/>
      <c r="R61" s="276"/>
      <c r="V61" s="218"/>
      <c r="W61" s="218"/>
      <c r="X61" s="218"/>
      <c r="Y61" s="277"/>
      <c r="Z61" s="218"/>
      <c r="AA61" s="218"/>
      <c r="AB61" s="218"/>
      <c r="AC61" s="277"/>
      <c r="AG61" s="278"/>
      <c r="AK61" s="279"/>
      <c r="AL61" s="280"/>
      <c r="AM61" s="280"/>
      <c r="AN61" s="281"/>
      <c r="AO61" s="282"/>
      <c r="AS61" s="278"/>
      <c r="AV61" s="283"/>
      <c r="AW61" s="284"/>
      <c r="AY61" s="452"/>
      <c r="AZ61" s="266"/>
      <c r="BA61" s="287"/>
      <c r="BB61" s="452"/>
      <c r="BC61" s="452"/>
      <c r="BD61" s="266"/>
      <c r="BE61" s="266"/>
      <c r="BF61" s="283"/>
      <c r="CG61"/>
      <c r="CH61"/>
      <c r="CI61"/>
      <c r="CJ61"/>
      <c r="CK61"/>
      <c r="CL61"/>
    </row>
    <row r="62" spans="1:90" s="225" customFormat="1" outlineLevel="1">
      <c r="A62" s="1348"/>
      <c r="B62" s="306" t="s">
        <v>607</v>
      </c>
      <c r="G62" s="274"/>
      <c r="H62" s="275"/>
      <c r="I62" s="307">
        <f t="shared" ref="I62:I67" si="125">SUM(AP62:AS62)</f>
        <v>58036</v>
      </c>
      <c r="J62" s="493">
        <f t="shared" ref="J62:J67" si="126">SUM(AT62:AW62)</f>
        <v>82432</v>
      </c>
      <c r="K62" s="308">
        <f t="shared" ref="K62:R62" si="127">K9*K72</f>
        <v>114654.2264818617</v>
      </c>
      <c r="L62" s="308">
        <f t="shared" si="127"/>
        <v>146278.3279641456</v>
      </c>
      <c r="M62" s="308">
        <f t="shared" si="127"/>
        <v>182369.99055195713</v>
      </c>
      <c r="N62" s="308">
        <f t="shared" si="127"/>
        <v>216005.78488412686</v>
      </c>
      <c r="O62" s="308">
        <f t="shared" si="127"/>
        <v>254831.62924490374</v>
      </c>
      <c r="P62" s="308">
        <f t="shared" si="127"/>
        <v>302588.94009778736</v>
      </c>
      <c r="Q62" s="308">
        <f t="shared" si="127"/>
        <v>340978.8244482716</v>
      </c>
      <c r="R62" s="308">
        <f t="shared" si="127"/>
        <v>379653.08408706367</v>
      </c>
      <c r="T62" s="15">
        <f t="shared" ref="T62:T67" si="128">(M62/J62)^(1/3)-1</f>
        <v>0.30302429385872776</v>
      </c>
      <c r="V62" s="218"/>
      <c r="W62" s="218"/>
      <c r="X62" s="218"/>
      <c r="Y62" s="277"/>
      <c r="Z62" s="218"/>
      <c r="AA62" s="218"/>
      <c r="AB62" s="218"/>
      <c r="AC62" s="277"/>
      <c r="AG62" s="278"/>
      <c r="AK62" s="279"/>
      <c r="AL62" s="280"/>
      <c r="AM62" s="280"/>
      <c r="AN62" s="281"/>
      <c r="AO62" s="282"/>
      <c r="AP62" s="309">
        <f>Reported!P149</f>
        <v>12023</v>
      </c>
      <c r="AQ62" s="309">
        <f>Reported!Q149</f>
        <v>12576</v>
      </c>
      <c r="AR62" s="309">
        <f>Reported!R149</f>
        <v>20744</v>
      </c>
      <c r="AS62" s="310">
        <f>Reported!S149</f>
        <v>12693</v>
      </c>
      <c r="AT62" s="309">
        <f>Reported!T149</f>
        <v>16624</v>
      </c>
      <c r="AU62" s="309">
        <f>Reported!U149</f>
        <v>17599</v>
      </c>
      <c r="AV62" s="309">
        <f>Reported!V149</f>
        <v>29630</v>
      </c>
      <c r="AW62" s="310">
        <f>Reported!W149</f>
        <v>18579</v>
      </c>
      <c r="AX62" s="309">
        <f>Reported!X149</f>
        <v>26970</v>
      </c>
      <c r="AY62" s="309">
        <f>Reported!Y149</f>
        <v>26414</v>
      </c>
      <c r="AZ62" s="309">
        <f>Reported!Z149</f>
        <v>38530</v>
      </c>
      <c r="BA62" s="1519">
        <f t="shared" ref="BA62:BA67" si="129">K62-SUM(AX62:AZ62)</f>
        <v>22740.226481861697</v>
      </c>
      <c r="BB62" s="311">
        <f>BB9*BB72</f>
        <v>32704.907038960006</v>
      </c>
      <c r="BC62" s="311">
        <f>BC9*BC72</f>
        <v>32893.726867439997</v>
      </c>
      <c r="BD62" s="311">
        <f>BD9*BD72</f>
        <v>50299.441757063993</v>
      </c>
      <c r="BE62" s="312">
        <f t="shared" ref="BE62:BE67" si="130">L62-SUM(BB62:BD62)</f>
        <v>30380.252300681605</v>
      </c>
      <c r="BF62" s="283"/>
      <c r="CG62"/>
      <c r="CH62"/>
      <c r="CI62"/>
      <c r="CJ62"/>
      <c r="CK62"/>
      <c r="CL62"/>
    </row>
    <row r="63" spans="1:90" s="225" customFormat="1" outlineLevel="1">
      <c r="A63" s="1348"/>
      <c r="B63" s="306" t="s">
        <v>595</v>
      </c>
      <c r="G63" s="274"/>
      <c r="H63" s="275"/>
      <c r="I63" s="307">
        <f t="shared" si="125"/>
        <v>-1252</v>
      </c>
      <c r="J63" s="493">
        <f t="shared" si="126"/>
        <v>-476</v>
      </c>
      <c r="K63" s="308">
        <f t="shared" ref="K63:R66" si="131">K16*K73</f>
        <v>-633.25152000000003</v>
      </c>
      <c r="L63" s="308">
        <f t="shared" si="131"/>
        <v>-859.68691199999989</v>
      </c>
      <c r="M63" s="308">
        <f t="shared" si="131"/>
        <v>-1027.1109381119998</v>
      </c>
      <c r="N63" s="308">
        <f t="shared" si="131"/>
        <v>-772.57230542908394</v>
      </c>
      <c r="O63" s="308">
        <f t="shared" si="131"/>
        <v>-737.21898469408632</v>
      </c>
      <c r="P63" s="308">
        <f t="shared" si="131"/>
        <v>0</v>
      </c>
      <c r="Q63" s="308">
        <f t="shared" si="131"/>
        <v>1334.2859175835547</v>
      </c>
      <c r="R63" s="308">
        <f t="shared" si="131"/>
        <v>3410.0181907949877</v>
      </c>
      <c r="T63" s="15">
        <f t="shared" si="128"/>
        <v>0.29222101779019494</v>
      </c>
      <c r="V63" s="218"/>
      <c r="W63" s="218"/>
      <c r="X63" s="218"/>
      <c r="Y63" s="277"/>
      <c r="Z63" s="218"/>
      <c r="AA63" s="218"/>
      <c r="AB63" s="218"/>
      <c r="AC63" s="277"/>
      <c r="AG63" s="278"/>
      <c r="AK63" s="279"/>
      <c r="AL63" s="280"/>
      <c r="AM63" s="280"/>
      <c r="AN63" s="281"/>
      <c r="AO63" s="282"/>
      <c r="AP63" s="309">
        <f>Reported!P150</f>
        <v>-368</v>
      </c>
      <c r="AQ63" s="309">
        <f>Reported!Q150</f>
        <v>-386</v>
      </c>
      <c r="AR63" s="309">
        <f>Reported!R150</f>
        <v>-332</v>
      </c>
      <c r="AS63" s="310">
        <f>Reported!S150</f>
        <v>-166</v>
      </c>
      <c r="AT63" s="309">
        <f>Reported!T150</f>
        <v>-158</v>
      </c>
      <c r="AU63" s="309">
        <f>Reported!U150</f>
        <v>-57</v>
      </c>
      <c r="AV63" s="309">
        <f>Reported!V150</f>
        <v>-92</v>
      </c>
      <c r="AW63" s="310">
        <f>Reported!W150</f>
        <v>-169</v>
      </c>
      <c r="AX63" s="309">
        <f>Reported!X150</f>
        <v>-103</v>
      </c>
      <c r="AY63" s="309">
        <f>Reported!Y150</f>
        <v>-162</v>
      </c>
      <c r="AZ63" s="309">
        <f>Reported!Z150</f>
        <v>-181</v>
      </c>
      <c r="BA63" s="1519">
        <f t="shared" si="129"/>
        <v>-187.25152000000003</v>
      </c>
      <c r="BB63" s="311">
        <f t="shared" ref="BB63:BD66" si="132">BB16*BB73</f>
        <v>-199.09889999999996</v>
      </c>
      <c r="BC63" s="311">
        <f t="shared" si="132"/>
        <v>-235.62</v>
      </c>
      <c r="BD63" s="311">
        <f t="shared" si="132"/>
        <v>-201.54400000000004</v>
      </c>
      <c r="BE63" s="312">
        <f t="shared" si="130"/>
        <v>-223.42401199999995</v>
      </c>
      <c r="BF63" s="283"/>
      <c r="CG63"/>
      <c r="CH63"/>
      <c r="CI63"/>
      <c r="CJ63"/>
      <c r="CK63"/>
      <c r="CL63"/>
    </row>
    <row r="64" spans="1:90" s="225" customFormat="1" outlineLevel="1">
      <c r="A64" s="1348"/>
      <c r="B64" s="306" t="s">
        <v>628</v>
      </c>
      <c r="G64" s="274"/>
      <c r="H64" s="275"/>
      <c r="I64" s="307">
        <f t="shared" si="125"/>
        <v>-1810</v>
      </c>
      <c r="J64" s="493">
        <f t="shared" si="126"/>
        <v>-6542</v>
      </c>
      <c r="K64" s="308">
        <f t="shared" si="131"/>
        <v>-8478.5197499999995</v>
      </c>
      <c r="L64" s="308">
        <f t="shared" si="131"/>
        <v>-9781.0883099999992</v>
      </c>
      <c r="M64" s="308">
        <f t="shared" si="131"/>
        <v>-10218.371987249999</v>
      </c>
      <c r="N64" s="308">
        <f t="shared" si="131"/>
        <v>-8891.5084335899992</v>
      </c>
      <c r="O64" s="308">
        <f t="shared" si="131"/>
        <v>-7580.8709366794201</v>
      </c>
      <c r="P64" s="308">
        <f t="shared" si="131"/>
        <v>-7772.5611782710512</v>
      </c>
      <c r="Q64" s="308">
        <f t="shared" si="131"/>
        <v>-8210.6072008196952</v>
      </c>
      <c r="R64" s="308">
        <f t="shared" si="131"/>
        <v>-9066.0737222572989</v>
      </c>
      <c r="T64" s="15">
        <f t="shared" si="128"/>
        <v>0.16026463811816472</v>
      </c>
      <c r="V64" s="218"/>
      <c r="W64" s="218"/>
      <c r="X64" s="218"/>
      <c r="Y64" s="277"/>
      <c r="Z64" s="218"/>
      <c r="AA64" s="218"/>
      <c r="AB64" s="218"/>
      <c r="AC64" s="277"/>
      <c r="AG64" s="278"/>
      <c r="AK64" s="279"/>
      <c r="AL64" s="280"/>
      <c r="AM64" s="280"/>
      <c r="AN64" s="281"/>
      <c r="AO64" s="282"/>
      <c r="AP64" s="309">
        <f>Reported!P151</f>
        <v>-543</v>
      </c>
      <c r="AQ64" s="309">
        <f>Reported!Q151</f>
        <v>-651</v>
      </c>
      <c r="AR64" s="309">
        <f>Reported!R151</f>
        <v>-415</v>
      </c>
      <c r="AS64" s="310">
        <f>Reported!S151</f>
        <v>-201</v>
      </c>
      <c r="AT64" s="309">
        <f>Reported!T151</f>
        <v>-996</v>
      </c>
      <c r="AU64" s="309">
        <f>Reported!U151</f>
        <v>-1404</v>
      </c>
      <c r="AV64" s="309">
        <f>Reported!V151</f>
        <v>-2431</v>
      </c>
      <c r="AW64" s="310">
        <f>Reported!W151</f>
        <v>-1711</v>
      </c>
      <c r="AX64" s="309">
        <f>Reported!X151</f>
        <v>-1748</v>
      </c>
      <c r="AY64" s="309">
        <f>Reported!Y151</f>
        <v>-1749</v>
      </c>
      <c r="AZ64" s="309">
        <f>Reported!Z151</f>
        <v>-2213</v>
      </c>
      <c r="BA64" s="1519">
        <f t="shared" si="129"/>
        <v>-2768.5197499999995</v>
      </c>
      <c r="BB64" s="311">
        <f t="shared" si="132"/>
        <v>-2244.5500000000002</v>
      </c>
      <c r="BC64" s="311">
        <f t="shared" si="132"/>
        <v>-2418.1919999999996</v>
      </c>
      <c r="BD64" s="311">
        <f t="shared" si="132"/>
        <v>-2427.7305000000001</v>
      </c>
      <c r="BE64" s="312">
        <f t="shared" si="130"/>
        <v>-2690.6158099999993</v>
      </c>
      <c r="BF64" s="283"/>
      <c r="CG64"/>
      <c r="CH64"/>
      <c r="CI64"/>
      <c r="CJ64"/>
      <c r="CK64"/>
      <c r="CL64"/>
    </row>
    <row r="65" spans="1:90" s="225" customFormat="1" outlineLevel="1">
      <c r="A65" s="1348"/>
      <c r="B65" s="306" t="s">
        <v>629</v>
      </c>
      <c r="G65" s="274"/>
      <c r="H65" s="275"/>
      <c r="I65" s="307">
        <f t="shared" si="125"/>
        <v>-3467</v>
      </c>
      <c r="J65" s="493">
        <f t="shared" si="126"/>
        <v>-3125</v>
      </c>
      <c r="K65" s="308">
        <f t="shared" si="131"/>
        <v>-2832.165</v>
      </c>
      <c r="L65" s="308">
        <f t="shared" si="131"/>
        <v>-2454.5430000000001</v>
      </c>
      <c r="M65" s="308">
        <f t="shared" si="131"/>
        <v>-1737.0611999999999</v>
      </c>
      <c r="N65" s="308">
        <f t="shared" si="131"/>
        <v>-1232.2277887499997</v>
      </c>
      <c r="O65" s="308">
        <f t="shared" si="131"/>
        <v>-1105.5547720664997</v>
      </c>
      <c r="P65" s="308">
        <f t="shared" si="131"/>
        <v>-919.83538979397872</v>
      </c>
      <c r="Q65" s="308">
        <f t="shared" si="131"/>
        <v>-673.57399312036875</v>
      </c>
      <c r="R65" s="308">
        <f t="shared" si="131"/>
        <v>-366.6173996000079</v>
      </c>
      <c r="T65" s="15">
        <f t="shared" si="128"/>
        <v>-0.17777937617928352</v>
      </c>
      <c r="V65" s="218"/>
      <c r="W65" s="218"/>
      <c r="X65" s="218"/>
      <c r="Y65" s="277"/>
      <c r="Z65" s="218"/>
      <c r="AA65" s="218"/>
      <c r="AB65" s="218"/>
      <c r="AC65" s="277"/>
      <c r="AG65" s="278"/>
      <c r="AK65" s="279"/>
      <c r="AL65" s="280"/>
      <c r="AM65" s="280"/>
      <c r="AN65" s="281"/>
      <c r="AO65" s="282"/>
      <c r="AP65" s="309">
        <f>Reported!P152</f>
        <v>-620</v>
      </c>
      <c r="AQ65" s="309">
        <f>Reported!Q152</f>
        <v>-861</v>
      </c>
      <c r="AR65" s="309">
        <f>Reported!R152</f>
        <v>-961</v>
      </c>
      <c r="AS65" s="310">
        <f>Reported!S152</f>
        <v>-1025</v>
      </c>
      <c r="AT65" s="309">
        <f>Reported!T152</f>
        <v>-887</v>
      </c>
      <c r="AU65" s="309">
        <f>Reported!U152</f>
        <v>-771</v>
      </c>
      <c r="AV65" s="309">
        <f>Reported!V152</f>
        <v>-785</v>
      </c>
      <c r="AW65" s="310">
        <f>Reported!W152</f>
        <v>-682</v>
      </c>
      <c r="AX65" s="309">
        <f>Reported!X152</f>
        <v>-634</v>
      </c>
      <c r="AY65" s="309">
        <f>Reported!Y152</f>
        <v>-496</v>
      </c>
      <c r="AZ65" s="309">
        <f>Reported!Z152</f>
        <v>-1006</v>
      </c>
      <c r="BA65" s="1519">
        <f t="shared" si="129"/>
        <v>-696.16499999999996</v>
      </c>
      <c r="BB65" s="311">
        <f t="shared" si="132"/>
        <v>-541.79999999999995</v>
      </c>
      <c r="BC65" s="311">
        <f t="shared" si="132"/>
        <v>-612.03</v>
      </c>
      <c r="BD65" s="311">
        <f t="shared" si="132"/>
        <v>-652.34</v>
      </c>
      <c r="BE65" s="312">
        <f t="shared" si="130"/>
        <v>-648.37300000000005</v>
      </c>
      <c r="BF65" s="283"/>
      <c r="CG65"/>
      <c r="CH65"/>
      <c r="CI65"/>
      <c r="CJ65"/>
      <c r="CK65"/>
      <c r="CL65"/>
    </row>
    <row r="66" spans="1:90" s="225" customFormat="1" outlineLevel="1">
      <c r="A66" s="1348"/>
      <c r="B66" s="306" t="s">
        <v>598</v>
      </c>
      <c r="G66" s="274"/>
      <c r="H66" s="275"/>
      <c r="I66" s="307">
        <f t="shared" si="125"/>
        <v>-2937</v>
      </c>
      <c r="J66" s="493">
        <f t="shared" si="126"/>
        <v>-3117</v>
      </c>
      <c r="K66" s="308">
        <f t="shared" si="131"/>
        <v>-5215.2393216882001</v>
      </c>
      <c r="L66" s="308">
        <f t="shared" si="131"/>
        <v>-6426.118319816369</v>
      </c>
      <c r="M66" s="308">
        <f t="shared" si="131"/>
        <v>-7919.2563658752169</v>
      </c>
      <c r="N66" s="308">
        <f t="shared" si="131"/>
        <v>-8060.5877638455704</v>
      </c>
      <c r="O66" s="308">
        <f t="shared" si="131"/>
        <v>-9055.0832632144375</v>
      </c>
      <c r="P66" s="308">
        <f t="shared" si="131"/>
        <v>-10220.134109247017</v>
      </c>
      <c r="Q66" s="308">
        <f t="shared" si="131"/>
        <v>-10863.291167547073</v>
      </c>
      <c r="R66" s="308">
        <f t="shared" si="131"/>
        <v>-11321.394416143319</v>
      </c>
      <c r="T66" s="15">
        <f t="shared" si="128"/>
        <v>0.36452825632970565</v>
      </c>
      <c r="V66" s="218"/>
      <c r="W66" s="218"/>
      <c r="X66" s="218"/>
      <c r="Y66" s="277"/>
      <c r="Z66" s="218"/>
      <c r="AA66" s="218"/>
      <c r="AB66" s="218"/>
      <c r="AC66" s="277"/>
      <c r="AG66" s="278"/>
      <c r="AK66" s="279"/>
      <c r="AL66" s="280"/>
      <c r="AM66" s="280"/>
      <c r="AN66" s="281"/>
      <c r="AO66" s="282"/>
      <c r="AP66" s="309">
        <f>Reported!P153</f>
        <v>-689</v>
      </c>
      <c r="AQ66" s="309">
        <f>Reported!Q153</f>
        <v>-391</v>
      </c>
      <c r="AR66" s="309">
        <f>Reported!R153</f>
        <v>-964</v>
      </c>
      <c r="AS66" s="310">
        <f>Reported!S153</f>
        <v>-893</v>
      </c>
      <c r="AT66" s="309">
        <f>Reported!T153</f>
        <v>-824</v>
      </c>
      <c r="AU66" s="309">
        <f>Reported!U153</f>
        <v>-774</v>
      </c>
      <c r="AV66" s="309">
        <f>Reported!V153</f>
        <v>-653</v>
      </c>
      <c r="AW66" s="310">
        <f>Reported!W153</f>
        <v>-866</v>
      </c>
      <c r="AX66" s="309">
        <f>Reported!X153</f>
        <v>-967</v>
      </c>
      <c r="AY66" s="309">
        <f>Reported!Y153</f>
        <v>-989</v>
      </c>
      <c r="AZ66" s="309">
        <f>Reported!Z153</f>
        <v>-1468</v>
      </c>
      <c r="BA66" s="1519">
        <f t="shared" si="129"/>
        <v>-1791.2393216882001</v>
      </c>
      <c r="BB66" s="311">
        <f t="shared" si="132"/>
        <v>-1537.0681619580002</v>
      </c>
      <c r="BC66" s="311">
        <f t="shared" si="132"/>
        <v>-1556.0220746976001</v>
      </c>
      <c r="BD66" s="311">
        <f t="shared" si="132"/>
        <v>-1618.3733563319995</v>
      </c>
      <c r="BE66" s="312">
        <f t="shared" si="130"/>
        <v>-1714.6547268287695</v>
      </c>
      <c r="BF66" s="283"/>
      <c r="CG66"/>
      <c r="CH66"/>
      <c r="CI66"/>
      <c r="CJ66"/>
      <c r="CK66"/>
      <c r="CL66"/>
    </row>
    <row r="67" spans="1:90" s="226" customFormat="1" outlineLevel="1">
      <c r="A67" s="1349"/>
      <c r="B67" s="273" t="s">
        <v>677</v>
      </c>
      <c r="G67" s="288"/>
      <c r="H67" s="289"/>
      <c r="I67" s="313">
        <f t="shared" si="125"/>
        <v>48570</v>
      </c>
      <c r="J67" s="391">
        <f t="shared" si="126"/>
        <v>69172</v>
      </c>
      <c r="K67" s="314">
        <f>SUM(K62:K66)</f>
        <v>97495.050890173501</v>
      </c>
      <c r="L67" s="314">
        <f t="shared" ref="L67:R67" si="133">SUM(L62:L66)</f>
        <v>126756.89142232924</v>
      </c>
      <c r="M67" s="314">
        <f t="shared" si="133"/>
        <v>161468.19006071993</v>
      </c>
      <c r="N67" s="314">
        <f t="shared" si="133"/>
        <v>197048.8885925122</v>
      </c>
      <c r="O67" s="314">
        <f t="shared" si="133"/>
        <v>236352.9012882493</v>
      </c>
      <c r="P67" s="314">
        <f t="shared" si="133"/>
        <v>283676.40942047531</v>
      </c>
      <c r="Q67" s="314">
        <f t="shared" si="133"/>
        <v>322565.63800436805</v>
      </c>
      <c r="R67" s="314">
        <f t="shared" si="133"/>
        <v>362309.01673985808</v>
      </c>
      <c r="T67" s="14">
        <f t="shared" si="128"/>
        <v>0.32653551417166704</v>
      </c>
      <c r="V67" s="291"/>
      <c r="W67" s="291"/>
      <c r="X67" s="291"/>
      <c r="Y67" s="292"/>
      <c r="Z67" s="291"/>
      <c r="AA67" s="291"/>
      <c r="AB67" s="291"/>
      <c r="AC67" s="292"/>
      <c r="AG67" s="293"/>
      <c r="AK67" s="294"/>
      <c r="AL67" s="295"/>
      <c r="AM67" s="295"/>
      <c r="AN67" s="296"/>
      <c r="AO67" s="297"/>
      <c r="AP67" s="315">
        <f>Reported!P154</f>
        <v>9803</v>
      </c>
      <c r="AQ67" s="315">
        <f>Reported!Q154</f>
        <v>10287</v>
      </c>
      <c r="AR67" s="315">
        <f>Reported!R154</f>
        <v>18072</v>
      </c>
      <c r="AS67" s="316">
        <f>Reported!S154</f>
        <v>10408</v>
      </c>
      <c r="AT67" s="315">
        <f>Reported!T154</f>
        <v>13759</v>
      </c>
      <c r="AU67" s="315">
        <f>Reported!U154</f>
        <v>14593</v>
      </c>
      <c r="AV67" s="315">
        <f>Reported!V154</f>
        <v>25669</v>
      </c>
      <c r="AW67" s="316">
        <f>Reported!W154</f>
        <v>15151</v>
      </c>
      <c r="AX67" s="314">
        <f>SUM(AX62:AX66)</f>
        <v>23518</v>
      </c>
      <c r="AY67" s="314">
        <f>SUM(AY62:AY66)</f>
        <v>23018</v>
      </c>
      <c r="AZ67" s="314">
        <f>SUM(AZ62:AZ66)</f>
        <v>33662</v>
      </c>
      <c r="BA67" s="1520">
        <f t="shared" si="129"/>
        <v>17297.050890173501</v>
      </c>
      <c r="BB67" s="314">
        <f>SUM(BB62:BB66)</f>
        <v>28182.389977002007</v>
      </c>
      <c r="BC67" s="314">
        <f>SUM(BC62:BC66)</f>
        <v>28071.862792742399</v>
      </c>
      <c r="BD67" s="314">
        <f>SUM(BD62:BD66)</f>
        <v>45399.453900731998</v>
      </c>
      <c r="BE67" s="317">
        <f t="shared" si="130"/>
        <v>25103.184751852838</v>
      </c>
      <c r="BF67" s="304"/>
      <c r="CG67"/>
      <c r="CH67"/>
      <c r="CI67"/>
      <c r="CJ67"/>
      <c r="CK67"/>
      <c r="CL67"/>
    </row>
    <row r="68" spans="1:90" s="264" customFormat="1" outlineLevel="1">
      <c r="A68" s="1350"/>
      <c r="B68" s="318" t="s">
        <v>699</v>
      </c>
      <c r="G68" s="319"/>
      <c r="H68" s="320"/>
      <c r="I68" s="321">
        <f>I351+I352</f>
        <v>-3386</v>
      </c>
      <c r="J68" s="329">
        <f>J351+J352</f>
        <v>-5122</v>
      </c>
      <c r="K68" s="321">
        <f>K351+K352</f>
        <v>-7060.423156647912</v>
      </c>
      <c r="L68" s="321">
        <f t="shared" ref="L68:R68" si="134">L351+L352</f>
        <v>-6803.1539828249925</v>
      </c>
      <c r="M68" s="321">
        <f t="shared" si="134"/>
        <v>-6871.1924785312403</v>
      </c>
      <c r="N68" s="321">
        <f t="shared" si="134"/>
        <v>-5460.2309742374891</v>
      </c>
      <c r="O68" s="321">
        <f t="shared" si="134"/>
        <v>-4246.846313295825</v>
      </c>
      <c r="P68" s="321">
        <f t="shared" si="134"/>
        <v>-3640.1539828249929</v>
      </c>
      <c r="Q68" s="321">
        <f t="shared" si="134"/>
        <v>-3640.1539828249929</v>
      </c>
      <c r="R68" s="321">
        <f t="shared" si="134"/>
        <v>-3640.1539828249929</v>
      </c>
      <c r="V68" s="322"/>
      <c r="W68" s="322"/>
      <c r="X68" s="322"/>
      <c r="Y68" s="323"/>
      <c r="Z68" s="322"/>
      <c r="AA68" s="322"/>
      <c r="AB68" s="322"/>
      <c r="AC68" s="323"/>
      <c r="AG68" s="324"/>
      <c r="AK68" s="325"/>
      <c r="AL68" s="326"/>
      <c r="AM68" s="326"/>
      <c r="AN68" s="327"/>
      <c r="AO68" s="328"/>
      <c r="AP68" s="321">
        <f t="shared" ref="AP68:AW68" si="135">AP351+AP352</f>
        <v>-647</v>
      </c>
      <c r="AQ68" s="321">
        <f t="shared" si="135"/>
        <v>-728</v>
      </c>
      <c r="AR68" s="321">
        <f t="shared" si="135"/>
        <v>-1268</v>
      </c>
      <c r="AS68" s="329">
        <f t="shared" si="135"/>
        <v>-743</v>
      </c>
      <c r="AT68" s="321">
        <f t="shared" si="135"/>
        <v>-1251</v>
      </c>
      <c r="AU68" s="321">
        <f t="shared" si="135"/>
        <v>-1297</v>
      </c>
      <c r="AV68" s="321">
        <f t="shared" si="135"/>
        <v>-1261</v>
      </c>
      <c r="AW68" s="329">
        <f t="shared" si="135"/>
        <v>-1313</v>
      </c>
      <c r="AX68" s="321">
        <f t="shared" ref="AX68:BE68" si="136">AX351+AX352</f>
        <v>-1986</v>
      </c>
      <c r="AY68" s="321">
        <f t="shared" si="136"/>
        <v>-1748</v>
      </c>
      <c r="AZ68" s="321">
        <f t="shared" si="136"/>
        <v>-2551</v>
      </c>
      <c r="BA68" s="329">
        <f t="shared" si="136"/>
        <v>-1269.423156647912</v>
      </c>
      <c r="BB68" s="321">
        <f t="shared" si="136"/>
        <v>-1700.7884957062481</v>
      </c>
      <c r="BC68" s="321">
        <f t="shared" si="136"/>
        <v>-1700.7884957062481</v>
      </c>
      <c r="BD68" s="321">
        <f t="shared" si="136"/>
        <v>-1700.7884957062481</v>
      </c>
      <c r="BE68" s="321">
        <f t="shared" si="136"/>
        <v>-1700.7884957062479</v>
      </c>
      <c r="BF68" s="1280"/>
      <c r="CG68"/>
      <c r="CH68"/>
      <c r="CI68"/>
      <c r="CJ68"/>
      <c r="CK68"/>
      <c r="CL68"/>
    </row>
    <row r="69" spans="1:90" s="226" customFormat="1" outlineLevel="1">
      <c r="A69" s="1349"/>
      <c r="B69" s="273" t="s">
        <v>678</v>
      </c>
      <c r="G69" s="288"/>
      <c r="H69" s="289"/>
      <c r="I69" s="314">
        <f>I507</f>
        <v>45639</v>
      </c>
      <c r="J69" s="409">
        <f t="shared" ref="J69:R69" si="137">J507</f>
        <v>64050</v>
      </c>
      <c r="K69" s="314">
        <f t="shared" si="137"/>
        <v>90434.627733525573</v>
      </c>
      <c r="L69" s="314">
        <f t="shared" si="137"/>
        <v>119953.73743950424</v>
      </c>
      <c r="M69" s="314">
        <f t="shared" si="137"/>
        <v>154596.99758218875</v>
      </c>
      <c r="N69" s="314">
        <f t="shared" si="137"/>
        <v>191588.65761827465</v>
      </c>
      <c r="O69" s="314">
        <f t="shared" si="137"/>
        <v>232106.05497495347</v>
      </c>
      <c r="P69" s="314">
        <f t="shared" si="137"/>
        <v>280036.25543765025</v>
      </c>
      <c r="Q69" s="314">
        <f t="shared" si="137"/>
        <v>318925.484021543</v>
      </c>
      <c r="R69" s="314">
        <f t="shared" si="137"/>
        <v>358668.86275703314</v>
      </c>
      <c r="V69" s="291"/>
      <c r="W69" s="291"/>
      <c r="X69" s="291"/>
      <c r="Y69" s="292"/>
      <c r="Z69" s="291"/>
      <c r="AA69" s="291"/>
      <c r="AB69" s="291"/>
      <c r="AC69" s="292"/>
      <c r="AG69" s="293"/>
      <c r="AK69" s="294"/>
      <c r="AL69" s="295"/>
      <c r="AM69" s="295"/>
      <c r="AN69" s="296"/>
      <c r="AO69" s="297"/>
      <c r="AP69" s="314">
        <f t="shared" ref="AP69:AX69" si="138">AP507</f>
        <v>9156</v>
      </c>
      <c r="AQ69" s="314">
        <f t="shared" si="138"/>
        <v>9559</v>
      </c>
      <c r="AR69" s="314">
        <f t="shared" si="138"/>
        <v>17259</v>
      </c>
      <c r="AS69" s="409">
        <f t="shared" si="138"/>
        <v>9665</v>
      </c>
      <c r="AT69" s="314">
        <f t="shared" si="138"/>
        <v>12508</v>
      </c>
      <c r="AU69" s="314">
        <f t="shared" si="138"/>
        <v>13296</v>
      </c>
      <c r="AV69" s="314">
        <f t="shared" si="138"/>
        <v>24408</v>
      </c>
      <c r="AW69" s="409">
        <f t="shared" si="138"/>
        <v>13838</v>
      </c>
      <c r="AX69" s="314">
        <f t="shared" si="138"/>
        <v>21532</v>
      </c>
      <c r="AY69" s="314">
        <f t="shared" ref="AY69:BE69" si="139">AY507</f>
        <v>21270</v>
      </c>
      <c r="AZ69" s="314">
        <f t="shared" si="139"/>
        <v>31605</v>
      </c>
      <c r="BA69" s="409">
        <f t="shared" si="139"/>
        <v>16027.627733525549</v>
      </c>
      <c r="BB69" s="314">
        <f t="shared" si="139"/>
        <v>26481.601481295762</v>
      </c>
      <c r="BC69" s="314">
        <f t="shared" si="139"/>
        <v>26371.07429703615</v>
      </c>
      <c r="BD69" s="314">
        <f t="shared" si="139"/>
        <v>43698.665405025742</v>
      </c>
      <c r="BE69" s="314">
        <f t="shared" si="139"/>
        <v>23402.396256146567</v>
      </c>
      <c r="BF69" s="304"/>
      <c r="CG69"/>
      <c r="CH69"/>
      <c r="CI69"/>
      <c r="CJ69"/>
      <c r="CK69"/>
      <c r="CL69"/>
    </row>
    <row r="70" spans="1:90" s="225" customFormat="1" outlineLevel="1">
      <c r="A70" s="1348"/>
      <c r="B70" s="305"/>
      <c r="G70" s="274"/>
      <c r="H70" s="275"/>
      <c r="I70" s="276"/>
      <c r="J70" s="1380"/>
      <c r="K70" s="331"/>
      <c r="L70" s="331"/>
      <c r="M70" s="276"/>
      <c r="N70" s="276"/>
      <c r="O70" s="276"/>
      <c r="P70" s="276"/>
      <c r="Q70" s="276"/>
      <c r="R70" s="276"/>
      <c r="V70" s="218"/>
      <c r="W70" s="218"/>
      <c r="X70" s="218"/>
      <c r="Y70" s="277"/>
      <c r="Z70" s="218"/>
      <c r="AA70" s="218"/>
      <c r="AB70" s="218"/>
      <c r="AC70" s="277"/>
      <c r="AG70" s="278"/>
      <c r="AK70" s="279"/>
      <c r="AL70" s="280"/>
      <c r="AM70" s="280"/>
      <c r="AN70" s="281"/>
      <c r="AO70" s="282"/>
      <c r="AP70" s="218"/>
      <c r="AQ70" s="218"/>
      <c r="AR70" s="218"/>
      <c r="AS70" s="284"/>
      <c r="AT70" s="285"/>
      <c r="AU70" s="283"/>
      <c r="AV70" s="283"/>
      <c r="AW70" s="284"/>
      <c r="AX70" s="276"/>
      <c r="AY70" s="266"/>
      <c r="AZ70" s="286"/>
      <c r="BA70" s="535"/>
      <c r="BB70" s="276"/>
      <c r="BC70" s="266"/>
      <c r="BD70" s="266"/>
      <c r="BE70" s="266"/>
      <c r="BF70" s="283"/>
      <c r="CG70"/>
      <c r="CH70"/>
      <c r="CI70"/>
      <c r="CJ70"/>
      <c r="CK70"/>
      <c r="CL70"/>
    </row>
    <row r="71" spans="1:90" s="225" customFormat="1" outlineLevel="1">
      <c r="A71" s="1348"/>
      <c r="B71" s="273" t="s">
        <v>631</v>
      </c>
      <c r="G71" s="274"/>
      <c r="H71" s="275"/>
      <c r="I71" s="276"/>
      <c r="J71" s="1380"/>
      <c r="K71" s="331"/>
      <c r="L71" s="276"/>
      <c r="M71" s="276"/>
      <c r="N71" s="276"/>
      <c r="O71" s="276"/>
      <c r="P71" s="276"/>
      <c r="Q71" s="276"/>
      <c r="R71" s="276"/>
      <c r="V71" s="218"/>
      <c r="W71" s="218"/>
      <c r="X71" s="218"/>
      <c r="Y71" s="277"/>
      <c r="Z71" s="218"/>
      <c r="AA71" s="218"/>
      <c r="AB71" s="218"/>
      <c r="AC71" s="277"/>
      <c r="AG71" s="278"/>
      <c r="AK71" s="279"/>
      <c r="AL71" s="280"/>
      <c r="AM71" s="280"/>
      <c r="AN71" s="281"/>
      <c r="AO71" s="282"/>
      <c r="AS71" s="1553"/>
      <c r="AV71" s="283"/>
      <c r="AW71" s="1553">
        <f>SUM(AV62:AW62)/SUM(AV9:AW9)</f>
        <v>0.61690937476006447</v>
      </c>
      <c r="AX71" s="276"/>
      <c r="AZ71" s="286"/>
      <c r="BA71" s="1553">
        <f>SUM(AZ62:BA62)/SUM(AZ9:BA9)</f>
        <v>0.4964163818448174</v>
      </c>
      <c r="BB71" s="276"/>
      <c r="BD71" s="266"/>
      <c r="BE71" s="266"/>
      <c r="BF71" s="283"/>
      <c r="CG71"/>
      <c r="CH71"/>
      <c r="CI71"/>
      <c r="CJ71"/>
      <c r="CK71"/>
      <c r="CL71"/>
    </row>
    <row r="72" spans="1:90" s="225" customFormat="1" outlineLevel="1">
      <c r="A72" s="1348"/>
      <c r="B72" s="306" t="s">
        <v>607</v>
      </c>
      <c r="G72" s="274"/>
      <c r="H72" s="275"/>
      <c r="I72" s="332">
        <f>I62/I9</f>
        <v>0.62853739102182271</v>
      </c>
      <c r="J72" s="336">
        <f>J62/J9</f>
        <v>0.61571556617866752</v>
      </c>
      <c r="K72" s="333">
        <v>0.53849999999999998</v>
      </c>
      <c r="L72" s="333">
        <v>0.505</v>
      </c>
      <c r="M72" s="333">
        <v>0.49</v>
      </c>
      <c r="N72" s="333">
        <f>M72-0.5%</f>
        <v>0.48499999999999999</v>
      </c>
      <c r="O72" s="333">
        <f t="shared" ref="O72:R72" si="140">N72</f>
        <v>0.48499999999999999</v>
      </c>
      <c r="P72" s="333">
        <f>O72-0.5%</f>
        <v>0.48</v>
      </c>
      <c r="Q72" s="333">
        <f t="shared" si="140"/>
        <v>0.48</v>
      </c>
      <c r="R72" s="333">
        <f t="shared" si="140"/>
        <v>0.48</v>
      </c>
      <c r="S72" s="332"/>
      <c r="T72" s="332"/>
      <c r="U72" s="332"/>
      <c r="V72" s="270"/>
      <c r="W72" s="270"/>
      <c r="X72" s="270"/>
      <c r="Y72" s="535"/>
      <c r="Z72" s="270"/>
      <c r="AA72" s="270"/>
      <c r="AB72" s="270"/>
      <c r="AC72" s="535"/>
      <c r="AD72" s="332"/>
      <c r="AE72" s="332"/>
      <c r="AF72" s="332"/>
      <c r="AG72" s="336"/>
      <c r="AH72" s="332"/>
      <c r="AI72" s="332"/>
      <c r="AJ72" s="332"/>
      <c r="AK72" s="1491"/>
      <c r="AL72" s="1492"/>
      <c r="AM72" s="1492"/>
      <c r="AN72" s="1492"/>
      <c r="AO72" s="1493"/>
      <c r="AP72" s="270">
        <f t="shared" ref="AP72:AW72" si="141">AP62/AP9</f>
        <v>0.64855971517963107</v>
      </c>
      <c r="AQ72" s="270">
        <f t="shared" si="141"/>
        <v>0.62162028570016314</v>
      </c>
      <c r="AR72" s="270">
        <f t="shared" si="141"/>
        <v>0.64600915574102336</v>
      </c>
      <c r="AS72" s="535">
        <f t="shared" si="141"/>
        <v>0.591610347238406</v>
      </c>
      <c r="AT72" s="270">
        <f t="shared" si="141"/>
        <v>0.61025659850959946</v>
      </c>
      <c r="AU72" s="270">
        <f t="shared" si="141"/>
        <v>0.6176604780121433</v>
      </c>
      <c r="AV72" s="270">
        <f t="shared" si="141"/>
        <v>0.63616454826520097</v>
      </c>
      <c r="AW72" s="535">
        <f t="shared" si="141"/>
        <v>0.58850174216027873</v>
      </c>
      <c r="AX72" s="270">
        <f>AX62/AX9</f>
        <v>0.62681572036163336</v>
      </c>
      <c r="AY72" s="270">
        <f>AY62/AY9</f>
        <v>0.56850759760664626</v>
      </c>
      <c r="AZ72" s="270">
        <f>AZ62/AZ9</f>
        <v>0.52604991535142809</v>
      </c>
      <c r="BA72" s="535">
        <f>BA62/BA9</f>
        <v>0.45316344711708623</v>
      </c>
      <c r="BB72" s="333">
        <v>0.52</v>
      </c>
      <c r="BC72" s="333">
        <v>0.5</v>
      </c>
      <c r="BD72" s="333">
        <v>0.53</v>
      </c>
      <c r="BE72" s="270">
        <f>BE62/BE9</f>
        <v>0.45979172918846767</v>
      </c>
      <c r="BF72" s="283"/>
      <c r="CG72"/>
      <c r="CH72"/>
      <c r="CI72"/>
      <c r="CJ72"/>
      <c r="CK72"/>
      <c r="CL72"/>
    </row>
    <row r="73" spans="1:90" s="225" customFormat="1" outlineLevel="1">
      <c r="A73" s="1348"/>
      <c r="B73" s="306" t="s">
        <v>595</v>
      </c>
      <c r="G73" s="274"/>
      <c r="H73" s="275"/>
      <c r="I73" s="332">
        <f t="shared" ref="I73:J76" si="142">I63/I16</f>
        <v>-0.41470685657502482</v>
      </c>
      <c r="J73" s="336">
        <f t="shared" si="142"/>
        <v>-7.1439291610385716E-2</v>
      </c>
      <c r="K73" s="333">
        <v>-4.9500000000000002E-2</v>
      </c>
      <c r="L73" s="333">
        <v>-0.04</v>
      </c>
      <c r="M73" s="333">
        <v>-0.03</v>
      </c>
      <c r="N73" s="333">
        <v>-1.4999999999999999E-2</v>
      </c>
      <c r="O73" s="333">
        <v>-0.01</v>
      </c>
      <c r="P73" s="333">
        <v>0</v>
      </c>
      <c r="Q73" s="333">
        <v>0.01</v>
      </c>
      <c r="R73" s="333">
        <v>0.02</v>
      </c>
      <c r="S73" s="332"/>
      <c r="T73" s="332"/>
      <c r="U73" s="332"/>
      <c r="V73" s="270"/>
      <c r="W73" s="270"/>
      <c r="X73" s="270"/>
      <c r="Y73" s="535"/>
      <c r="Z73" s="270"/>
      <c r="AA73" s="270"/>
      <c r="AB73" s="270"/>
      <c r="AC73" s="535"/>
      <c r="AD73" s="332"/>
      <c r="AE73" s="332"/>
      <c r="AF73" s="332"/>
      <c r="AG73" s="336"/>
      <c r="AH73" s="332"/>
      <c r="AI73" s="332"/>
      <c r="AJ73" s="332"/>
      <c r="AK73" s="1491"/>
      <c r="AL73" s="1492"/>
      <c r="AM73" s="1492"/>
      <c r="AN73" s="1492"/>
      <c r="AO73" s="1493"/>
      <c r="AP73" s="270">
        <f t="shared" ref="AP73:BA73" si="143">AP63/AP16</f>
        <v>-0.75876288659793811</v>
      </c>
      <c r="AQ73" s="270">
        <f t="shared" si="143"/>
        <v>-0.59476117103235748</v>
      </c>
      <c r="AR73" s="270">
        <f t="shared" si="143"/>
        <v>-0.40537240537240538</v>
      </c>
      <c r="AS73" s="535">
        <f t="shared" si="143"/>
        <v>-0.15572232645403378</v>
      </c>
      <c r="AT73" s="270">
        <f t="shared" si="143"/>
        <v>-0.12711182622687048</v>
      </c>
      <c r="AU73" s="270">
        <f t="shared" si="143"/>
        <v>-3.8178164768921635E-2</v>
      </c>
      <c r="AV73" s="270">
        <f t="shared" si="143"/>
        <v>-5.2154195011337869E-2</v>
      </c>
      <c r="AW73" s="535">
        <f t="shared" si="143"/>
        <v>-7.8132223763291722E-2</v>
      </c>
      <c r="AX73" s="270">
        <f t="shared" si="143"/>
        <v>-4.2369395310571781E-2</v>
      </c>
      <c r="AY73" s="270">
        <f t="shared" si="143"/>
        <v>-5.4453781512605041E-2</v>
      </c>
      <c r="AZ73" s="270">
        <f t="shared" si="143"/>
        <v>-5.029174770769658E-2</v>
      </c>
      <c r="BA73" s="535">
        <f t="shared" si="143"/>
        <v>-4.9433341429159776E-2</v>
      </c>
      <c r="BB73" s="333">
        <v>-4.4999999999999998E-2</v>
      </c>
      <c r="BC73" s="333">
        <v>-4.4999999999999998E-2</v>
      </c>
      <c r="BD73" s="333">
        <v>-3.5000000000000003E-2</v>
      </c>
      <c r="BE73" s="270">
        <f>BE63/BE16</f>
        <v>-3.6787589879514339E-2</v>
      </c>
      <c r="BF73" s="283"/>
      <c r="CG73"/>
      <c r="CH73"/>
      <c r="CI73"/>
      <c r="CJ73"/>
      <c r="CK73"/>
      <c r="CL73"/>
    </row>
    <row r="74" spans="1:90" s="225" customFormat="1" outlineLevel="1">
      <c r="A74" s="1348"/>
      <c r="B74" s="306" t="s">
        <v>628</v>
      </c>
      <c r="G74" s="274"/>
      <c r="H74" s="275"/>
      <c r="I74" s="332">
        <f t="shared" si="142"/>
        <v>-0.4556898288016113</v>
      </c>
      <c r="J74" s="336">
        <f t="shared" si="142"/>
        <v>-0.44403719541166092</v>
      </c>
      <c r="K74" s="333">
        <v>-0.435</v>
      </c>
      <c r="L74" s="333">
        <v>-0.42</v>
      </c>
      <c r="M74" s="333">
        <v>-0.35</v>
      </c>
      <c r="N74" s="333">
        <v>-0.25</v>
      </c>
      <c r="O74" s="333">
        <v>-0.18</v>
      </c>
      <c r="P74" s="333">
        <v>-0.16</v>
      </c>
      <c r="Q74" s="333">
        <v>-0.15</v>
      </c>
      <c r="R74" s="333">
        <f t="shared" ref="R74" si="144">Q74</f>
        <v>-0.15</v>
      </c>
      <c r="S74" s="332"/>
      <c r="T74" s="332"/>
      <c r="U74" s="332"/>
      <c r="V74" s="270"/>
      <c r="W74" s="270"/>
      <c r="X74" s="270"/>
      <c r="Y74" s="535"/>
      <c r="Z74" s="270"/>
      <c r="AA74" s="270"/>
      <c r="AB74" s="270"/>
      <c r="AC74" s="535"/>
      <c r="AD74" s="332"/>
      <c r="AE74" s="332"/>
      <c r="AF74" s="332"/>
      <c r="AG74" s="336"/>
      <c r="AH74" s="332"/>
      <c r="AI74" s="332"/>
      <c r="AJ74" s="332"/>
      <c r="AK74" s="1491"/>
      <c r="AL74" s="1492"/>
      <c r="AM74" s="1492"/>
      <c r="AN74" s="1492"/>
      <c r="AO74" s="1493"/>
      <c r="AP74" s="270">
        <f t="shared" ref="AP74:BA74" si="145">AP64/AP17</f>
        <v>-0.66871921182266014</v>
      </c>
      <c r="AQ74" s="270">
        <f t="shared" si="145"/>
        <v>-0.72494432071269488</v>
      </c>
      <c r="AR74" s="270">
        <f t="shared" si="145"/>
        <v>-0.38143382352941174</v>
      </c>
      <c r="AS74" s="535">
        <f t="shared" si="145"/>
        <v>-0.17120954003407154</v>
      </c>
      <c r="AT74" s="270">
        <f t="shared" si="145"/>
        <v>-0.31770334928229665</v>
      </c>
      <c r="AU74" s="270">
        <f t="shared" si="145"/>
        <v>-0.38913525498891355</v>
      </c>
      <c r="AV74" s="270">
        <f t="shared" si="145"/>
        <v>-0.59832635983263593</v>
      </c>
      <c r="AW74" s="535">
        <f t="shared" si="145"/>
        <v>-0.43570155334861216</v>
      </c>
      <c r="AX74" s="270">
        <f t="shared" si="145"/>
        <v>-0.42832639059054156</v>
      </c>
      <c r="AY74" s="270">
        <f t="shared" si="145"/>
        <v>-0.36452688620258439</v>
      </c>
      <c r="AZ74" s="270">
        <f t="shared" si="145"/>
        <v>-0.40883059301681141</v>
      </c>
      <c r="BA74" s="535">
        <f t="shared" si="145"/>
        <v>-0.53252541427431066</v>
      </c>
      <c r="BB74" s="333">
        <v>-0.44</v>
      </c>
      <c r="BC74" s="333">
        <v>-0.42</v>
      </c>
      <c r="BD74" s="333">
        <v>-0.39</v>
      </c>
      <c r="BE74" s="270">
        <f>BE64/BE17</f>
        <v>-0.43365515753028178</v>
      </c>
      <c r="BF74" s="283"/>
      <c r="CG74"/>
      <c r="CH74"/>
      <c r="CI74"/>
      <c r="CJ74"/>
      <c r="CK74"/>
      <c r="CL74"/>
    </row>
    <row r="75" spans="1:90" s="225" customFormat="1" outlineLevel="1">
      <c r="A75" s="1348"/>
      <c r="B75" s="306" t="s">
        <v>629</v>
      </c>
      <c r="G75" s="274"/>
      <c r="H75" s="275"/>
      <c r="I75" s="332">
        <f t="shared" si="142"/>
        <v>-1.9080902586681343</v>
      </c>
      <c r="J75" s="336">
        <f t="shared" si="142"/>
        <v>-1.0427093760427093</v>
      </c>
      <c r="K75" s="333">
        <v>-0.9</v>
      </c>
      <c r="L75" s="333">
        <v>-0.65</v>
      </c>
      <c r="M75" s="333">
        <v>-0.4</v>
      </c>
      <c r="N75" s="333">
        <v>-0.25</v>
      </c>
      <c r="O75" s="333">
        <v>-0.2</v>
      </c>
      <c r="P75" s="333">
        <v>-0.15</v>
      </c>
      <c r="Q75" s="333">
        <v>-0.1</v>
      </c>
      <c r="R75" s="333">
        <v>-0.05</v>
      </c>
      <c r="S75" s="332"/>
      <c r="T75" s="332"/>
      <c r="U75" s="332"/>
      <c r="V75" s="270"/>
      <c r="W75" s="270"/>
      <c r="X75" s="270"/>
      <c r="Y75" s="535"/>
      <c r="Z75" s="270"/>
      <c r="AA75" s="270"/>
      <c r="AB75" s="270"/>
      <c r="AC75" s="535"/>
      <c r="AD75" s="332"/>
      <c r="AE75" s="332"/>
      <c r="AF75" s="332"/>
      <c r="AG75" s="336"/>
      <c r="AH75" s="332"/>
      <c r="AI75" s="332"/>
      <c r="AJ75" s="332"/>
      <c r="AK75" s="1491"/>
      <c r="AL75" s="1492"/>
      <c r="AM75" s="1492"/>
      <c r="AN75" s="1492"/>
      <c r="AO75" s="1493"/>
      <c r="AP75" s="270">
        <f t="shared" ref="AP75:BA75" si="146">AP65/AP18</f>
        <v>-1.5121951219512195</v>
      </c>
      <c r="AQ75" s="270">
        <f t="shared" si="146"/>
        <v>-2.1908396946564888</v>
      </c>
      <c r="AR75" s="270">
        <f t="shared" si="146"/>
        <v>-1.8304761904761904</v>
      </c>
      <c r="AS75" s="535">
        <f t="shared" si="146"/>
        <v>-2.0961145194274029</v>
      </c>
      <c r="AT75" s="270">
        <f t="shared" si="146"/>
        <v>-1.6579439252336448</v>
      </c>
      <c r="AU75" s="270">
        <f t="shared" si="146"/>
        <v>-1.1045845272206303</v>
      </c>
      <c r="AV75" s="270">
        <f t="shared" si="146"/>
        <v>-0.92899408284023666</v>
      </c>
      <c r="AW75" s="535">
        <f t="shared" si="146"/>
        <v>-0.74211099020674642</v>
      </c>
      <c r="AX75" s="270">
        <f t="shared" si="146"/>
        <v>-0.98294573643410854</v>
      </c>
      <c r="AY75" s="270">
        <f t="shared" si="146"/>
        <v>-0.55918827508455471</v>
      </c>
      <c r="AZ75" s="270">
        <f t="shared" si="146"/>
        <v>-1.3031088082901554</v>
      </c>
      <c r="BA75" s="535">
        <f t="shared" si="146"/>
        <v>-0.82596547428368039</v>
      </c>
      <c r="BB75" s="333">
        <v>-0.7</v>
      </c>
      <c r="BC75" s="333">
        <v>-0.6</v>
      </c>
      <c r="BD75" s="333">
        <v>-0.65</v>
      </c>
      <c r="BE75" s="270">
        <f>BE65/BE18</f>
        <v>-0.66257191616338151</v>
      </c>
      <c r="BF75" s="283"/>
      <c r="CG75"/>
      <c r="CH75"/>
      <c r="CI75"/>
      <c r="CJ75"/>
      <c r="CK75"/>
      <c r="CL75"/>
    </row>
    <row r="76" spans="1:90" s="225" customFormat="1" outlineLevel="1">
      <c r="A76" s="1348"/>
      <c r="B76" s="306" t="s">
        <v>598</v>
      </c>
      <c r="G76" s="274"/>
      <c r="H76" s="275"/>
      <c r="I76" s="332">
        <f t="shared" si="142"/>
        <v>-2.9038094578962458E-2</v>
      </c>
      <c r="J76" s="336">
        <f t="shared" si="142"/>
        <v>-1.9693820171475869E-2</v>
      </c>
      <c r="K76" s="333">
        <v>-2.1000000000000001E-2</v>
      </c>
      <c r="L76" s="333">
        <v>-1.9E-2</v>
      </c>
      <c r="M76" s="333">
        <v>-1.7999999999999999E-2</v>
      </c>
      <c r="N76" s="333">
        <v>-1.4999999999999999E-2</v>
      </c>
      <c r="O76" s="333">
        <f>N76+0.1%</f>
        <v>-1.3999999999999999E-2</v>
      </c>
      <c r="P76" s="333">
        <f>O76+0.1%</f>
        <v>-1.2999999999999998E-2</v>
      </c>
      <c r="Q76" s="333">
        <f>P76+0.1%</f>
        <v>-1.1999999999999997E-2</v>
      </c>
      <c r="R76" s="333">
        <f>Q76+0.1%</f>
        <v>-1.0999999999999996E-2</v>
      </c>
      <c r="S76" s="332"/>
      <c r="T76" s="332"/>
      <c r="U76" s="332"/>
      <c r="V76" s="270"/>
      <c r="W76" s="270"/>
      <c r="X76" s="270"/>
      <c r="Y76" s="535"/>
      <c r="Z76" s="270"/>
      <c r="AA76" s="270"/>
      <c r="AB76" s="270"/>
      <c r="AC76" s="535"/>
      <c r="AD76" s="332"/>
      <c r="AE76" s="332"/>
      <c r="AF76" s="332"/>
      <c r="AG76" s="336"/>
      <c r="AH76" s="332"/>
      <c r="AI76" s="332"/>
      <c r="AJ76" s="332"/>
      <c r="AK76" s="1491"/>
      <c r="AL76" s="1492"/>
      <c r="AM76" s="1492"/>
      <c r="AN76" s="1492"/>
      <c r="AO76" s="1493"/>
      <c r="AP76" s="332">
        <f t="shared" ref="AP76:BA76" si="147">AP66/AP19</f>
        <v>-3.4033094591257099E-2</v>
      </c>
      <c r="AQ76" s="332">
        <f t="shared" si="147"/>
        <v>-1.7635650173650264E-2</v>
      </c>
      <c r="AR76" s="332">
        <f t="shared" si="147"/>
        <v>-2.7907246041166085E-2</v>
      </c>
      <c r="AS76" s="336">
        <f t="shared" si="147"/>
        <v>-3.6925239827985443E-2</v>
      </c>
      <c r="AT76" s="332">
        <f t="shared" si="147"/>
        <v>-2.5626671642719413E-2</v>
      </c>
      <c r="AU76" s="332">
        <f t="shared" si="147"/>
        <v>-2.2570862008631752E-2</v>
      </c>
      <c r="AV76" s="332">
        <f t="shared" si="147"/>
        <v>-1.226337139423077E-2</v>
      </c>
      <c r="AW76" s="336">
        <f t="shared" si="147"/>
        <v>-2.2447445501438606E-2</v>
      </c>
      <c r="AX76" s="332">
        <f t="shared" si="147"/>
        <v>-1.9269089749721028E-2</v>
      </c>
      <c r="AY76" s="332">
        <f t="shared" si="147"/>
        <v>-1.7942019520336708E-2</v>
      </c>
      <c r="AZ76" s="332">
        <f t="shared" si="147"/>
        <v>-1.7680782386664741E-2</v>
      </c>
      <c r="BA76" s="336">
        <f t="shared" si="147"/>
        <v>-2.9848650957958637E-2</v>
      </c>
      <c r="BB76" s="333">
        <v>-2.1000000000000001E-2</v>
      </c>
      <c r="BC76" s="333">
        <v>-0.02</v>
      </c>
      <c r="BD76" s="333">
        <v>-1.4999999999999999E-2</v>
      </c>
      <c r="BE76" s="332">
        <f>BE66/BE19</f>
        <v>-2.1614101993912834E-2</v>
      </c>
      <c r="BF76" s="283"/>
      <c r="CG76"/>
      <c r="CH76"/>
      <c r="CI76"/>
      <c r="CJ76"/>
      <c r="CK76"/>
      <c r="CL76"/>
    </row>
    <row r="77" spans="1:90" s="226" customFormat="1" outlineLevel="1">
      <c r="A77" s="1349"/>
      <c r="B77" s="226" t="s">
        <v>633</v>
      </c>
      <c r="G77" s="288"/>
      <c r="H77" s="289"/>
      <c r="I77" s="303">
        <f t="shared" ref="I77:R77" si="148">I67/I19</f>
        <v>0.48021118614239244</v>
      </c>
      <c r="J77" s="338">
        <f t="shared" si="148"/>
        <v>0.43704232560196621</v>
      </c>
      <c r="K77" s="303">
        <f t="shared" si="148"/>
        <v>0.39257950448779999</v>
      </c>
      <c r="L77" s="303">
        <f t="shared" si="148"/>
        <v>0.37478004872669024</v>
      </c>
      <c r="M77" s="303">
        <f t="shared" si="148"/>
        <v>0.36700761874776705</v>
      </c>
      <c r="N77" s="303">
        <f t="shared" si="148"/>
        <v>0.36668955360118211</v>
      </c>
      <c r="O77" s="303">
        <f t="shared" si="148"/>
        <v>0.36542354408576239</v>
      </c>
      <c r="P77" s="303">
        <f t="shared" si="148"/>
        <v>0.36083609892452589</v>
      </c>
      <c r="Q77" s="303">
        <f t="shared" si="148"/>
        <v>0.35631813566923271</v>
      </c>
      <c r="R77" s="303">
        <f t="shared" si="148"/>
        <v>0.35202370288023943</v>
      </c>
      <c r="S77" s="302"/>
      <c r="V77" s="291"/>
      <c r="W77" s="291"/>
      <c r="X77" s="291"/>
      <c r="Y77" s="292"/>
      <c r="Z77" s="291"/>
      <c r="AA77" s="291"/>
      <c r="AB77" s="291"/>
      <c r="AC77" s="292"/>
      <c r="AG77" s="293"/>
      <c r="AK77" s="294"/>
      <c r="AL77" s="295"/>
      <c r="AM77" s="295"/>
      <c r="AN77" s="296"/>
      <c r="AO77" s="297"/>
      <c r="AP77" s="1224">
        <f t="shared" ref="AP77:BE77" si="149">AP67/AP19</f>
        <v>0.48421832551247224</v>
      </c>
      <c r="AQ77" s="1224">
        <f t="shared" si="149"/>
        <v>0.46398448423616434</v>
      </c>
      <c r="AR77" s="1224">
        <f t="shared" si="149"/>
        <v>0.52317401499580229</v>
      </c>
      <c r="AS77" s="1225">
        <f t="shared" si="149"/>
        <v>0.43036718491564668</v>
      </c>
      <c r="AT77" s="1224">
        <f t="shared" si="149"/>
        <v>0.42790943584001989</v>
      </c>
      <c r="AU77" s="1224">
        <f t="shared" si="149"/>
        <v>0.42555114895602475</v>
      </c>
      <c r="AV77" s="1224">
        <f t="shared" si="149"/>
        <v>0.48206505408653844</v>
      </c>
      <c r="AW77" s="1225">
        <f t="shared" si="149"/>
        <v>0.39272661292412969</v>
      </c>
      <c r="AX77" s="303">
        <f t="shared" si="149"/>
        <v>0.46863542164833411</v>
      </c>
      <c r="AY77" s="303">
        <f>AY67/AY19</f>
        <v>0.41758281629839267</v>
      </c>
      <c r="AZ77" s="303">
        <f t="shared" si="149"/>
        <v>0.40542949366478781</v>
      </c>
      <c r="BA77" s="338">
        <f t="shared" si="149"/>
        <v>0.2882326378008731</v>
      </c>
      <c r="BB77" s="303">
        <f t="shared" si="149"/>
        <v>0.38503835038983369</v>
      </c>
      <c r="BC77" s="303">
        <f t="shared" si="149"/>
        <v>0.36081573968927055</v>
      </c>
      <c r="BD77" s="303">
        <f t="shared" si="149"/>
        <v>0.42078782738640103</v>
      </c>
      <c r="BE77" s="303">
        <f t="shared" si="149"/>
        <v>0.31643851506016268</v>
      </c>
      <c r="BF77" s="304"/>
      <c r="CG77"/>
      <c r="CH77"/>
      <c r="CI77"/>
      <c r="CJ77"/>
      <c r="CK77"/>
      <c r="CL77"/>
    </row>
    <row r="78" spans="1:90" s="264" customFormat="1" outlineLevel="1">
      <c r="A78" s="1350"/>
      <c r="B78" s="330" t="s">
        <v>700</v>
      </c>
      <c r="G78" s="319"/>
      <c r="H78" s="320"/>
      <c r="I78" s="1223">
        <f t="shared" ref="I78:R78" si="150">I69/I19</f>
        <v>0.45123241351354021</v>
      </c>
      <c r="J78" s="1226">
        <f t="shared" si="150"/>
        <v>0.40468052036670815</v>
      </c>
      <c r="K78" s="1223">
        <f t="shared" si="150"/>
        <v>0.36414957497852268</v>
      </c>
      <c r="L78" s="1223">
        <f t="shared" si="150"/>
        <v>0.35466527348592425</v>
      </c>
      <c r="M78" s="1223">
        <f t="shared" si="150"/>
        <v>0.35138980579925388</v>
      </c>
      <c r="N78" s="1223">
        <f t="shared" si="150"/>
        <v>0.35652857440051788</v>
      </c>
      <c r="O78" s="1223">
        <f t="shared" si="150"/>
        <v>0.35885752512625968</v>
      </c>
      <c r="P78" s="1223">
        <f t="shared" si="150"/>
        <v>0.35620582682918134</v>
      </c>
      <c r="Q78" s="1223">
        <f t="shared" si="150"/>
        <v>0.35229708467095006</v>
      </c>
      <c r="R78" s="1223">
        <f t="shared" si="150"/>
        <v>0.34848688644762948</v>
      </c>
      <c r="V78" s="322"/>
      <c r="W78" s="322"/>
      <c r="X78" s="322"/>
      <c r="Y78" s="323"/>
      <c r="Z78" s="322"/>
      <c r="AA78" s="322"/>
      <c r="AB78" s="322"/>
      <c r="AC78" s="323"/>
      <c r="AG78" s="324"/>
      <c r="AK78" s="325"/>
      <c r="AL78" s="326"/>
      <c r="AM78" s="326"/>
      <c r="AN78" s="327"/>
      <c r="AO78" s="328"/>
      <c r="AP78" s="1223">
        <f t="shared" ref="AP78:BE78" si="151">AP69/AP19</f>
        <v>0.45225981723882441</v>
      </c>
      <c r="AQ78" s="1223">
        <f t="shared" si="151"/>
        <v>0.43114879797934236</v>
      </c>
      <c r="AR78" s="1223">
        <f t="shared" si="151"/>
        <v>0.49963813218307618</v>
      </c>
      <c r="AS78" s="1226">
        <f t="shared" si="151"/>
        <v>0.39964439298709892</v>
      </c>
      <c r="AT78" s="1223">
        <f t="shared" si="151"/>
        <v>0.38900292343098836</v>
      </c>
      <c r="AU78" s="1223">
        <f t="shared" si="151"/>
        <v>0.38772891636533302</v>
      </c>
      <c r="AV78" s="1223">
        <f t="shared" si="151"/>
        <v>0.45838341346153844</v>
      </c>
      <c r="AW78" s="1226">
        <f t="shared" si="151"/>
        <v>0.35869255294331115</v>
      </c>
      <c r="AX78" s="1223">
        <f t="shared" si="151"/>
        <v>0.42906105531643551</v>
      </c>
      <c r="AY78" s="1223">
        <f>AY69/AY19</f>
        <v>0.38587133993686729</v>
      </c>
      <c r="AZ78" s="1223">
        <f t="shared" si="151"/>
        <v>0.38065471889001301</v>
      </c>
      <c r="BA78" s="1226">
        <f t="shared" si="151"/>
        <v>0.2670793679602893</v>
      </c>
      <c r="BB78" s="1223">
        <f t="shared" si="151"/>
        <v>0.36180154196857706</v>
      </c>
      <c r="BC78" s="1223">
        <f t="shared" si="151"/>
        <v>0.33895501517433357</v>
      </c>
      <c r="BD78" s="1223">
        <f t="shared" si="151"/>
        <v>0.40502395724124757</v>
      </c>
      <c r="BE78" s="1223">
        <f t="shared" si="151"/>
        <v>0.29499920401924079</v>
      </c>
      <c r="BF78" s="1280"/>
      <c r="CG78"/>
      <c r="CH78"/>
      <c r="CI78"/>
      <c r="CJ78"/>
      <c r="CK78"/>
      <c r="CL78"/>
    </row>
    <row r="79" spans="1:90" s="226" customFormat="1" outlineLevel="1">
      <c r="A79" s="1349"/>
      <c r="G79" s="288"/>
      <c r="H79" s="289"/>
      <c r="I79" s="303"/>
      <c r="J79" s="338"/>
      <c r="K79" s="303"/>
      <c r="L79" s="303"/>
      <c r="M79" s="303"/>
      <c r="N79" s="303"/>
      <c r="O79" s="303"/>
      <c r="P79" s="303"/>
      <c r="Q79" s="303"/>
      <c r="R79" s="303"/>
      <c r="S79" s="302"/>
      <c r="V79" s="291"/>
      <c r="W79" s="291"/>
      <c r="X79" s="291"/>
      <c r="Y79" s="292"/>
      <c r="Z79" s="291"/>
      <c r="AA79" s="291"/>
      <c r="AB79" s="291"/>
      <c r="AC79" s="292"/>
      <c r="AG79" s="293"/>
      <c r="AK79" s="294"/>
      <c r="AL79" s="295"/>
      <c r="AM79" s="295"/>
      <c r="AN79" s="296"/>
      <c r="AO79" s="297"/>
      <c r="AP79" s="298"/>
      <c r="AQ79" s="298"/>
      <c r="AR79" s="298"/>
      <c r="AS79" s="299"/>
      <c r="AT79" s="298"/>
      <c r="AU79" s="298"/>
      <c r="AV79" s="298"/>
      <c r="AW79" s="299"/>
      <c r="AX79" s="303"/>
      <c r="AY79" s="298"/>
      <c r="AZ79" s="315"/>
      <c r="BA79" s="1554"/>
      <c r="BB79" s="303"/>
      <c r="BC79" s="298"/>
      <c r="BD79" s="315"/>
      <c r="BE79" s="315"/>
      <c r="BF79" s="304"/>
      <c r="CG79"/>
      <c r="CH79"/>
      <c r="CI79"/>
      <c r="CJ79"/>
      <c r="CK79"/>
      <c r="CL79"/>
    </row>
    <row r="80" spans="1:90" outlineLevel="1">
      <c r="B80" s="271" t="s">
        <v>877</v>
      </c>
      <c r="C80" s="143"/>
      <c r="D80" s="143"/>
      <c r="E80" s="143"/>
      <c r="F80" s="143"/>
      <c r="G80" s="143"/>
      <c r="H80" s="143"/>
      <c r="I80" s="143"/>
      <c r="J80" s="1392"/>
      <c r="K80" s="143"/>
      <c r="L80" s="143"/>
      <c r="M80" s="143"/>
      <c r="N80" s="143"/>
      <c r="O80" s="143"/>
      <c r="P80" s="143"/>
      <c r="Q80" s="143"/>
      <c r="R80" s="143"/>
      <c r="V80" s="250"/>
      <c r="W80" s="250"/>
      <c r="X80" s="250"/>
      <c r="Y80" s="251"/>
      <c r="Z80" s="252"/>
      <c r="AA80" s="252"/>
      <c r="AB80" s="252"/>
      <c r="AC80" s="253"/>
      <c r="AD80" s="252"/>
      <c r="AE80" s="252"/>
      <c r="AF80" s="252"/>
      <c r="AG80" s="253"/>
      <c r="AH80" s="252"/>
      <c r="AI80" s="252"/>
      <c r="AJ80" s="252"/>
      <c r="AK80" s="253"/>
      <c r="AL80" s="252"/>
      <c r="AM80" s="252"/>
      <c r="AN80" s="252"/>
      <c r="AO80" s="253"/>
      <c r="AP80" s="332"/>
      <c r="AQ80" s="332"/>
      <c r="AR80" s="332"/>
      <c r="AS80" s="336"/>
      <c r="AT80" s="332"/>
      <c r="AU80" s="332"/>
      <c r="AV80" s="332"/>
      <c r="AW80" s="336"/>
      <c r="AX80" s="143"/>
      <c r="AY80" s="252"/>
      <c r="AZ80" s="252"/>
      <c r="BA80" s="253"/>
      <c r="BB80" s="143"/>
      <c r="BC80" s="252"/>
      <c r="BD80" s="252"/>
      <c r="BE80" s="252"/>
      <c r="BF80" s="252"/>
      <c r="BG80" s="15"/>
      <c r="BJ80" s="454"/>
      <c r="BK80" s="454"/>
      <c r="BL80" s="454"/>
      <c r="BM80" s="454"/>
      <c r="BN80" s="454"/>
      <c r="BO80" s="454"/>
      <c r="BP80" s="454"/>
      <c r="BQ80" s="454"/>
    </row>
    <row r="81" spans="1:90" s="225" customFormat="1" outlineLevel="1">
      <c r="A81" s="1348"/>
      <c r="B81" s="306" t="s">
        <v>607</v>
      </c>
      <c r="G81" s="274"/>
      <c r="H81" s="275"/>
      <c r="I81" s="332">
        <f>I62/I$67</f>
        <v>1.1948939674696315</v>
      </c>
      <c r="J81" s="336">
        <f t="shared" ref="J81:R81" si="152">J62/J$67</f>
        <v>1.1916960619904007</v>
      </c>
      <c r="K81" s="332">
        <f t="shared" si="152"/>
        <v>1.1760004783321536</v>
      </c>
      <c r="L81" s="332">
        <f t="shared" si="152"/>
        <v>1.1540069050508248</v>
      </c>
      <c r="M81" s="332">
        <f t="shared" si="152"/>
        <v>1.1294484101381028</v>
      </c>
      <c r="N81" s="332">
        <f t="shared" si="152"/>
        <v>1.0962040254427246</v>
      </c>
      <c r="O81" s="332">
        <f t="shared" si="152"/>
        <v>1.0781827845392864</v>
      </c>
      <c r="P81" s="332">
        <f t="shared" si="152"/>
        <v>1.0666693812007442</v>
      </c>
      <c r="Q81" s="332">
        <f t="shared" si="152"/>
        <v>1.057083533626896</v>
      </c>
      <c r="R81" s="332">
        <f t="shared" si="152"/>
        <v>1.0478709238408461</v>
      </c>
      <c r="V81" s="218"/>
      <c r="W81" s="218"/>
      <c r="X81" s="218"/>
      <c r="Y81" s="277"/>
      <c r="Z81" s="218"/>
      <c r="AA81" s="218"/>
      <c r="AB81" s="218"/>
      <c r="AC81" s="277"/>
      <c r="AG81" s="278"/>
      <c r="AK81" s="279"/>
      <c r="AL81" s="280"/>
      <c r="AM81" s="280"/>
      <c r="AN81" s="281"/>
      <c r="AO81" s="282"/>
      <c r="AP81" s="332">
        <f t="shared" ref="AP81:AX81" si="153">AP62/AP$67</f>
        <v>1.2264612873610119</v>
      </c>
      <c r="AQ81" s="332">
        <f t="shared" si="153"/>
        <v>1.2225138524351122</v>
      </c>
      <c r="AR81" s="332">
        <f t="shared" si="153"/>
        <v>1.1478530323151837</v>
      </c>
      <c r="AS81" s="336">
        <f t="shared" si="153"/>
        <v>1.2195426594926979</v>
      </c>
      <c r="AT81" s="332">
        <f t="shared" si="153"/>
        <v>1.2082273421033505</v>
      </c>
      <c r="AU81" s="332">
        <f t="shared" si="153"/>
        <v>1.2059891728911121</v>
      </c>
      <c r="AV81" s="332">
        <f t="shared" si="153"/>
        <v>1.1543106470840314</v>
      </c>
      <c r="AW81" s="336">
        <f t="shared" si="153"/>
        <v>1.2262556926935515</v>
      </c>
      <c r="AX81" s="332">
        <f t="shared" si="153"/>
        <v>1.1467811888766051</v>
      </c>
      <c r="AY81" s="332">
        <f t="shared" ref="AY81:BE85" si="154">AY62/AY$67</f>
        <v>1.147536710400556</v>
      </c>
      <c r="AZ81" s="332">
        <f t="shared" si="154"/>
        <v>1.1446141049254352</v>
      </c>
      <c r="BA81" s="336">
        <f t="shared" si="154"/>
        <v>1.3146880717556586</v>
      </c>
      <c r="BB81" s="332">
        <f t="shared" si="154"/>
        <v>1.1604731559547845</v>
      </c>
      <c r="BC81" s="332">
        <f t="shared" si="154"/>
        <v>1.1717685823095512</v>
      </c>
      <c r="BD81" s="332">
        <f t="shared" si="154"/>
        <v>1.1079305461921645</v>
      </c>
      <c r="BE81" s="332">
        <f t="shared" si="154"/>
        <v>1.210215062391208</v>
      </c>
      <c r="BF81" s="283"/>
      <c r="CG81"/>
      <c r="CH81"/>
      <c r="CI81"/>
      <c r="CJ81"/>
      <c r="CK81"/>
      <c r="CL81"/>
    </row>
    <row r="82" spans="1:90" s="225" customFormat="1" outlineLevel="1">
      <c r="A82" s="1348"/>
      <c r="B82" s="306" t="s">
        <v>595</v>
      </c>
      <c r="G82" s="274"/>
      <c r="H82" s="275"/>
      <c r="I82" s="332">
        <f>I63/I$67</f>
        <v>-2.5777228742021825E-2</v>
      </c>
      <c r="J82" s="336">
        <f t="shared" ref="J82:R82" si="155">J63/J$67</f>
        <v>-6.881397097091309E-3</v>
      </c>
      <c r="K82" s="332">
        <f t="shared" si="155"/>
        <v>-6.4952170824891103E-3</v>
      </c>
      <c r="L82" s="332">
        <f t="shared" si="155"/>
        <v>-6.7821709916795828E-3</v>
      </c>
      <c r="M82" s="332">
        <f t="shared" si="155"/>
        <v>-6.3610729625801577E-3</v>
      </c>
      <c r="N82" s="332">
        <f t="shared" si="155"/>
        <v>-3.920713843896511E-3</v>
      </c>
      <c r="O82" s="332">
        <f t="shared" si="155"/>
        <v>-3.1191450609484796E-3</v>
      </c>
      <c r="P82" s="332">
        <f t="shared" si="155"/>
        <v>0</v>
      </c>
      <c r="Q82" s="332">
        <f t="shared" si="155"/>
        <v>4.1364787825462247E-3</v>
      </c>
      <c r="R82" s="332">
        <f t="shared" si="155"/>
        <v>9.4119053990958743E-3</v>
      </c>
      <c r="V82" s="218"/>
      <c r="W82" s="218"/>
      <c r="X82" s="218"/>
      <c r="Y82" s="277"/>
      <c r="Z82" s="218"/>
      <c r="AA82" s="218"/>
      <c r="AB82" s="218"/>
      <c r="AC82" s="277"/>
      <c r="AG82" s="278"/>
      <c r="AK82" s="279"/>
      <c r="AL82" s="280"/>
      <c r="AM82" s="280"/>
      <c r="AN82" s="281"/>
      <c r="AO82" s="282"/>
      <c r="AP82" s="332">
        <f t="shared" ref="AP82:AX82" si="156">AP63/AP$67</f>
        <v>-3.7539528715699273E-2</v>
      </c>
      <c r="AQ82" s="332">
        <f t="shared" si="156"/>
        <v>-3.7523087391853796E-2</v>
      </c>
      <c r="AR82" s="332">
        <f t="shared" si="156"/>
        <v>-1.8370960602036298E-2</v>
      </c>
      <c r="AS82" s="336">
        <f t="shared" si="156"/>
        <v>-1.5949269792467333E-2</v>
      </c>
      <c r="AT82" s="332">
        <f t="shared" si="156"/>
        <v>-1.1483392688422123E-2</v>
      </c>
      <c r="AU82" s="332">
        <f t="shared" si="156"/>
        <v>-3.9059823202905503E-3</v>
      </c>
      <c r="AV82" s="332">
        <f t="shared" si="156"/>
        <v>-3.5840897580739412E-3</v>
      </c>
      <c r="AW82" s="336">
        <f t="shared" si="156"/>
        <v>-1.1154379248894463E-2</v>
      </c>
      <c r="AX82" s="332">
        <f t="shared" si="156"/>
        <v>-4.3796241176970833E-3</v>
      </c>
      <c r="AY82" s="332">
        <f t="shared" si="154"/>
        <v>-7.0379702841254672E-3</v>
      </c>
      <c r="AZ82" s="332">
        <f t="shared" si="154"/>
        <v>-5.3769829481314238E-3</v>
      </c>
      <c r="BA82" s="336">
        <f t="shared" si="154"/>
        <v>-1.0825632715596513E-2</v>
      </c>
      <c r="BB82" s="332">
        <f t="shared" si="154"/>
        <v>-7.0646563390284814E-3</v>
      </c>
      <c r="BC82" s="332">
        <f t="shared" si="154"/>
        <v>-8.3934579525273383E-3</v>
      </c>
      <c r="BD82" s="332">
        <f t="shared" si="154"/>
        <v>-4.439348553413997E-3</v>
      </c>
      <c r="BE82" s="332">
        <f t="shared" si="154"/>
        <v>-8.9002257764728143E-3</v>
      </c>
      <c r="BF82" s="283"/>
      <c r="CG82"/>
      <c r="CH82"/>
      <c r="CI82"/>
      <c r="CJ82"/>
      <c r="CK82"/>
      <c r="CL82"/>
    </row>
    <row r="83" spans="1:90" s="225" customFormat="1" outlineLevel="1">
      <c r="A83" s="1348"/>
      <c r="B83" s="306" t="s">
        <v>628</v>
      </c>
      <c r="G83" s="274"/>
      <c r="H83" s="275"/>
      <c r="I83" s="332">
        <f>I64/I$67</f>
        <v>-3.7265801935351041E-2</v>
      </c>
      <c r="J83" s="336">
        <f t="shared" ref="J83:R83" si="157">J64/J$67</f>
        <v>-9.4575839935233913E-2</v>
      </c>
      <c r="K83" s="332">
        <f t="shared" si="157"/>
        <v>-8.6963591203731011E-2</v>
      </c>
      <c r="L83" s="332">
        <f t="shared" si="157"/>
        <v>-7.716415415562157E-2</v>
      </c>
      <c r="M83" s="332">
        <f t="shared" si="157"/>
        <v>-6.3284117964085632E-2</v>
      </c>
      <c r="N83" s="332">
        <f t="shared" si="157"/>
        <v>-4.5123362517294978E-2</v>
      </c>
      <c r="O83" s="332">
        <f t="shared" si="157"/>
        <v>-3.2074372243199187E-2</v>
      </c>
      <c r="P83" s="332">
        <f t="shared" si="157"/>
        <v>-2.7399392124814594E-2</v>
      </c>
      <c r="Q83" s="332">
        <f t="shared" si="157"/>
        <v>-2.5454066501368972E-2</v>
      </c>
      <c r="R83" s="332">
        <f t="shared" si="157"/>
        <v>-2.5023041943134528E-2</v>
      </c>
      <c r="V83" s="218"/>
      <c r="W83" s="218"/>
      <c r="X83" s="218"/>
      <c r="Y83" s="277"/>
      <c r="Z83" s="218"/>
      <c r="AA83" s="218"/>
      <c r="AB83" s="218"/>
      <c r="AC83" s="277"/>
      <c r="AG83" s="278"/>
      <c r="AK83" s="279"/>
      <c r="AL83" s="280"/>
      <c r="AM83" s="280"/>
      <c r="AN83" s="281"/>
      <c r="AO83" s="282"/>
      <c r="AP83" s="332">
        <f t="shared" ref="AP83:AX84" si="158">AP64/AP$67</f>
        <v>-5.5391206773436702E-2</v>
      </c>
      <c r="AQ83" s="332">
        <f t="shared" si="158"/>
        <v>-6.3283756197142021E-2</v>
      </c>
      <c r="AR83" s="332">
        <f t="shared" si="158"/>
        <v>-2.2963700752545373E-2</v>
      </c>
      <c r="AS83" s="336">
        <f t="shared" si="158"/>
        <v>-1.9312067640276709E-2</v>
      </c>
      <c r="AT83" s="332">
        <f t="shared" si="158"/>
        <v>-7.2388981757395165E-2</v>
      </c>
      <c r="AU83" s="332">
        <f t="shared" si="158"/>
        <v>-9.6210511889261968E-2</v>
      </c>
      <c r="AV83" s="332">
        <f t="shared" si="158"/>
        <v>-9.4705676107366868E-2</v>
      </c>
      <c r="AW83" s="336">
        <f t="shared" si="158"/>
        <v>-0.11292983961454689</v>
      </c>
      <c r="AX83" s="332">
        <f t="shared" si="158"/>
        <v>-7.4326048133344674E-2</v>
      </c>
      <c r="AY83" s="332">
        <f t="shared" si="154"/>
        <v>-7.5984012511947169E-2</v>
      </c>
      <c r="AZ83" s="332">
        <f t="shared" si="154"/>
        <v>-6.5741785990137247E-2</v>
      </c>
      <c r="BA83" s="336">
        <f t="shared" si="154"/>
        <v>-0.16005732812943291</v>
      </c>
      <c r="BB83" s="332">
        <f t="shared" si="154"/>
        <v>-7.9643706649139612E-2</v>
      </c>
      <c r="BC83" s="332">
        <f t="shared" si="154"/>
        <v>-8.6142911778023884E-2</v>
      </c>
      <c r="BD83" s="332">
        <f t="shared" si="154"/>
        <v>-5.3474883317062467E-2</v>
      </c>
      <c r="BE83" s="332">
        <f t="shared" si="154"/>
        <v>-0.10718224944750916</v>
      </c>
      <c r="BF83" s="283"/>
      <c r="CG83"/>
      <c r="CH83"/>
      <c r="CI83"/>
      <c r="CJ83"/>
      <c r="CK83"/>
      <c r="CL83"/>
    </row>
    <row r="84" spans="1:90" s="225" customFormat="1" outlineLevel="1">
      <c r="A84" s="1348"/>
      <c r="B84" s="306" t="s">
        <v>629</v>
      </c>
      <c r="G84" s="274"/>
      <c r="H84" s="275"/>
      <c r="I84" s="332">
        <f>I65/I$67</f>
        <v>-7.1381511220918265E-2</v>
      </c>
      <c r="J84" s="336">
        <f t="shared" ref="J84:R84" si="159">J65/J$67</f>
        <v>-4.5177239345399869E-2</v>
      </c>
      <c r="K84" s="332">
        <f t="shared" si="159"/>
        <v>-2.9049320700292626E-2</v>
      </c>
      <c r="L84" s="332">
        <f t="shared" si="159"/>
        <v>-1.9364177935083163E-2</v>
      </c>
      <c r="M84" s="332">
        <f t="shared" si="159"/>
        <v>-1.0757915843032487E-2</v>
      </c>
      <c r="N84" s="332">
        <f t="shared" si="159"/>
        <v>-6.2534115140237536E-3</v>
      </c>
      <c r="O84" s="332">
        <f t="shared" si="159"/>
        <v>-4.6775595562425377E-3</v>
      </c>
      <c r="P84" s="332">
        <f t="shared" si="159"/>
        <v>-3.2425515807716172E-3</v>
      </c>
      <c r="Q84" s="332">
        <f t="shared" si="159"/>
        <v>-2.0881765252108082E-3</v>
      </c>
      <c r="R84" s="332">
        <f t="shared" si="159"/>
        <v>-1.0118914591166338E-3</v>
      </c>
      <c r="V84" s="218"/>
      <c r="W84" s="218"/>
      <c r="X84" s="218"/>
      <c r="Y84" s="277"/>
      <c r="Z84" s="218"/>
      <c r="AA84" s="218"/>
      <c r="AB84" s="218"/>
      <c r="AC84" s="277"/>
      <c r="AG84" s="278"/>
      <c r="AK84" s="279"/>
      <c r="AL84" s="280"/>
      <c r="AM84" s="280"/>
      <c r="AN84" s="281"/>
      <c r="AO84" s="282"/>
      <c r="AP84" s="332">
        <f t="shared" si="158"/>
        <v>-6.3245945118841171E-2</v>
      </c>
      <c r="AQ84" s="332">
        <f t="shared" si="158"/>
        <v>-8.3697871099445903E-2</v>
      </c>
      <c r="AR84" s="332">
        <f t="shared" si="158"/>
        <v>-5.3176184152279767E-2</v>
      </c>
      <c r="AS84" s="336">
        <f t="shared" si="158"/>
        <v>-9.8481936971560338E-2</v>
      </c>
      <c r="AT84" s="332">
        <f t="shared" si="158"/>
        <v>-6.446689439639508E-2</v>
      </c>
      <c r="AU84" s="332">
        <f t="shared" si="158"/>
        <v>-5.2833550332351126E-2</v>
      </c>
      <c r="AV84" s="332">
        <f t="shared" si="158"/>
        <v>-3.0581635435739607E-2</v>
      </c>
      <c r="AW84" s="336">
        <f t="shared" si="158"/>
        <v>-4.5013530460035645E-2</v>
      </c>
      <c r="AX84" s="332">
        <f t="shared" si="158"/>
        <v>-2.6958074666213114E-2</v>
      </c>
      <c r="AY84" s="332">
        <f t="shared" si="154"/>
        <v>-2.1548353462507604E-2</v>
      </c>
      <c r="AZ84" s="332">
        <f t="shared" si="154"/>
        <v>-2.9885330639890677E-2</v>
      </c>
      <c r="BA84" s="336">
        <f t="shared" si="154"/>
        <v>-4.0247612406314484E-2</v>
      </c>
      <c r="BB84" s="332">
        <f t="shared" si="154"/>
        <v>-1.9224771229201323E-2</v>
      </c>
      <c r="BC84" s="332">
        <f t="shared" si="154"/>
        <v>-2.1802258172843168E-2</v>
      </c>
      <c r="BD84" s="332">
        <f t="shared" si="154"/>
        <v>-1.4368895304916477E-2</v>
      </c>
      <c r="BE84" s="332">
        <f t="shared" si="154"/>
        <v>-2.5828316462999556E-2</v>
      </c>
      <c r="BF84" s="283"/>
      <c r="CG84"/>
      <c r="CH84"/>
      <c r="CI84"/>
      <c r="CJ84"/>
      <c r="CK84"/>
      <c r="CL84"/>
    </row>
    <row r="85" spans="1:90" s="225" customFormat="1" outlineLevel="1">
      <c r="A85" s="1348"/>
      <c r="B85" s="306" t="s">
        <v>598</v>
      </c>
      <c r="G85" s="274"/>
      <c r="H85" s="275"/>
      <c r="I85" s="332">
        <f>I66/I$67</f>
        <v>-6.0469425571340336E-2</v>
      </c>
      <c r="J85" s="336">
        <f t="shared" ref="J85:R85" si="160">J66/J$67</f>
        <v>-4.5061585612675648E-2</v>
      </c>
      <c r="K85" s="332">
        <f t="shared" si="160"/>
        <v>-5.3492349345640913E-2</v>
      </c>
      <c r="L85" s="332">
        <f t="shared" si="160"/>
        <v>-5.069640196844049E-2</v>
      </c>
      <c r="M85" s="332">
        <f t="shared" si="160"/>
        <v>-4.9045303368404569E-2</v>
      </c>
      <c r="N85" s="332">
        <f t="shared" si="160"/>
        <v>-4.090653756750938E-2</v>
      </c>
      <c r="O85" s="332">
        <f t="shared" si="160"/>
        <v>-3.8311707678896287E-2</v>
      </c>
      <c r="P85" s="332">
        <f t="shared" si="160"/>
        <v>-3.602743749515798E-2</v>
      </c>
      <c r="Q85" s="332">
        <f t="shared" si="160"/>
        <v>-3.3677769382862682E-2</v>
      </c>
      <c r="R85" s="332">
        <f t="shared" si="160"/>
        <v>-3.124789583769097E-2</v>
      </c>
      <c r="V85" s="218"/>
      <c r="W85" s="218"/>
      <c r="X85" s="218"/>
      <c r="Y85" s="277"/>
      <c r="Z85" s="218"/>
      <c r="AA85" s="218"/>
      <c r="AB85" s="218"/>
      <c r="AC85" s="277"/>
      <c r="AG85" s="278"/>
      <c r="AK85" s="279"/>
      <c r="AL85" s="280"/>
      <c r="AM85" s="280"/>
      <c r="AN85" s="281"/>
      <c r="AO85" s="282"/>
      <c r="AP85" s="332">
        <f t="shared" ref="AP85:AX85" si="161">AP66/AP$67</f>
        <v>-7.0284606753034787E-2</v>
      </c>
      <c r="AQ85" s="332">
        <f t="shared" si="161"/>
        <v>-3.8009137746670557E-2</v>
      </c>
      <c r="AR85" s="332">
        <f t="shared" si="161"/>
        <v>-5.3342186808322263E-2</v>
      </c>
      <c r="AS85" s="336">
        <f t="shared" si="161"/>
        <v>-8.5799385088393548E-2</v>
      </c>
      <c r="AT85" s="332">
        <f t="shared" si="161"/>
        <v>-5.9888073261138167E-2</v>
      </c>
      <c r="AU85" s="332">
        <f t="shared" si="161"/>
        <v>-5.3039128349208528E-2</v>
      </c>
      <c r="AV85" s="332">
        <f t="shared" si="161"/>
        <v>-2.5439245782850908E-2</v>
      </c>
      <c r="AW85" s="336">
        <f t="shared" si="161"/>
        <v>-5.7157943370074585E-2</v>
      </c>
      <c r="AX85" s="332">
        <f t="shared" si="161"/>
        <v>-4.1117441959350284E-2</v>
      </c>
      <c r="AY85" s="332">
        <f t="shared" si="154"/>
        <v>-4.2966374141975842E-2</v>
      </c>
      <c r="AZ85" s="332">
        <f t="shared" si="154"/>
        <v>-4.3610005347275861E-2</v>
      </c>
      <c r="BA85" s="336">
        <f t="shared" si="154"/>
        <v>-0.10355749850431485</v>
      </c>
      <c r="BB85" s="332">
        <f t="shared" si="154"/>
        <v>-5.4540021737415151E-2</v>
      </c>
      <c r="BC85" s="332">
        <f t="shared" si="154"/>
        <v>-5.5429954406156785E-2</v>
      </c>
      <c r="BD85" s="332">
        <f t="shared" si="154"/>
        <v>-3.5647419016771605E-2</v>
      </c>
      <c r="BE85" s="332">
        <f t="shared" si="154"/>
        <v>-6.8304270704226594E-2</v>
      </c>
      <c r="BF85" s="283"/>
      <c r="CG85"/>
      <c r="CH85"/>
      <c r="CI85"/>
      <c r="CJ85"/>
      <c r="CK85"/>
      <c r="CL85"/>
    </row>
    <row r="86" spans="1:90" s="226" customFormat="1" outlineLevel="1">
      <c r="A86" s="1349"/>
      <c r="B86" s="337" t="s">
        <v>126</v>
      </c>
      <c r="G86" s="288"/>
      <c r="H86" s="289"/>
      <c r="I86" s="303">
        <f>SUM(I81:I85)</f>
        <v>0.99999999999999989</v>
      </c>
      <c r="J86" s="338">
        <f t="shared" ref="J86:BE86" si="162">SUM(J81:J85)</f>
        <v>0.99999999999999978</v>
      </c>
      <c r="K86" s="303">
        <f t="shared" si="162"/>
        <v>1</v>
      </c>
      <c r="L86" s="303">
        <f t="shared" si="162"/>
        <v>0.99999999999999989</v>
      </c>
      <c r="M86" s="303">
        <f t="shared" si="162"/>
        <v>0.99999999999999978</v>
      </c>
      <c r="N86" s="303">
        <f t="shared" si="162"/>
        <v>0.99999999999999989</v>
      </c>
      <c r="O86" s="303">
        <f t="shared" si="162"/>
        <v>1</v>
      </c>
      <c r="P86" s="303">
        <f t="shared" si="162"/>
        <v>0.99999999999999989</v>
      </c>
      <c r="Q86" s="303">
        <f t="shared" si="162"/>
        <v>0.99999999999999978</v>
      </c>
      <c r="R86" s="303">
        <f t="shared" si="162"/>
        <v>1</v>
      </c>
      <c r="S86" s="303"/>
      <c r="T86" s="303"/>
      <c r="U86" s="303"/>
      <c r="V86" s="303">
        <f t="shared" si="162"/>
        <v>0</v>
      </c>
      <c r="W86" s="303">
        <f t="shared" si="162"/>
        <v>0</v>
      </c>
      <c r="X86" s="303">
        <f t="shared" si="162"/>
        <v>0</v>
      </c>
      <c r="Y86" s="303">
        <f t="shared" si="162"/>
        <v>0</v>
      </c>
      <c r="Z86" s="303">
        <f t="shared" si="162"/>
        <v>0</v>
      </c>
      <c r="AA86" s="303">
        <f t="shared" si="162"/>
        <v>0</v>
      </c>
      <c r="AB86" s="303">
        <f t="shared" si="162"/>
        <v>0</v>
      </c>
      <c r="AC86" s="303">
        <f t="shared" si="162"/>
        <v>0</v>
      </c>
      <c r="AD86" s="303">
        <f t="shared" si="162"/>
        <v>0</v>
      </c>
      <c r="AE86" s="303">
        <f t="shared" si="162"/>
        <v>0</v>
      </c>
      <c r="AF86" s="303">
        <f t="shared" si="162"/>
        <v>0</v>
      </c>
      <c r="AG86" s="338">
        <f t="shared" si="162"/>
        <v>0</v>
      </c>
      <c r="AH86" s="303">
        <f t="shared" si="162"/>
        <v>0</v>
      </c>
      <c r="AI86" s="303">
        <f t="shared" si="162"/>
        <v>0</v>
      </c>
      <c r="AJ86" s="303">
        <f t="shared" si="162"/>
        <v>0</v>
      </c>
      <c r="AK86" s="338">
        <f t="shared" si="162"/>
        <v>0</v>
      </c>
      <c r="AL86" s="303">
        <f t="shared" si="162"/>
        <v>0</v>
      </c>
      <c r="AM86" s="303">
        <f t="shared" si="162"/>
        <v>0</v>
      </c>
      <c r="AN86" s="303">
        <f t="shared" si="162"/>
        <v>0</v>
      </c>
      <c r="AO86" s="338">
        <f t="shared" si="162"/>
        <v>0</v>
      </c>
      <c r="AP86" s="303">
        <f t="shared" si="162"/>
        <v>0.99999999999999989</v>
      </c>
      <c r="AQ86" s="303">
        <f t="shared" si="162"/>
        <v>1.0000000000000002</v>
      </c>
      <c r="AR86" s="303">
        <f t="shared" si="162"/>
        <v>0.99999999999999989</v>
      </c>
      <c r="AS86" s="338">
        <f t="shared" si="162"/>
        <v>1</v>
      </c>
      <c r="AT86" s="303">
        <f t="shared" si="162"/>
        <v>0.99999999999999978</v>
      </c>
      <c r="AU86" s="303">
        <f t="shared" si="162"/>
        <v>0.99999999999999989</v>
      </c>
      <c r="AV86" s="303">
        <f t="shared" si="162"/>
        <v>1.0000000000000002</v>
      </c>
      <c r="AW86" s="303">
        <f t="shared" si="162"/>
        <v>1</v>
      </c>
      <c r="AX86" s="303">
        <f t="shared" si="162"/>
        <v>1</v>
      </c>
      <c r="AY86" s="303">
        <f t="shared" si="162"/>
        <v>1</v>
      </c>
      <c r="AZ86" s="303">
        <f t="shared" si="162"/>
        <v>1</v>
      </c>
      <c r="BA86" s="303">
        <f t="shared" si="162"/>
        <v>1</v>
      </c>
      <c r="BB86" s="303">
        <f t="shared" si="162"/>
        <v>1</v>
      </c>
      <c r="BC86" s="303">
        <f t="shared" si="162"/>
        <v>0.99999999999999989</v>
      </c>
      <c r="BD86" s="303">
        <f t="shared" si="162"/>
        <v>0.99999999999999989</v>
      </c>
      <c r="BE86" s="303">
        <f t="shared" si="162"/>
        <v>0.99999999999999989</v>
      </c>
      <c r="BF86" s="304"/>
      <c r="CG86"/>
      <c r="CH86"/>
      <c r="CI86"/>
      <c r="CJ86"/>
      <c r="CK86"/>
      <c r="CL86"/>
    </row>
    <row r="87" spans="1:90" s="225" customFormat="1" outlineLevel="1">
      <c r="A87" s="1348"/>
      <c r="B87" s="306"/>
      <c r="G87" s="274"/>
      <c r="H87" s="275"/>
      <c r="I87" s="332"/>
      <c r="J87" s="336"/>
      <c r="K87" s="332"/>
      <c r="L87" s="332"/>
      <c r="M87" s="332"/>
      <c r="N87" s="332"/>
      <c r="O87" s="332"/>
      <c r="P87" s="332"/>
      <c r="Q87" s="332"/>
      <c r="R87" s="332"/>
      <c r="V87" s="218"/>
      <c r="W87" s="218"/>
      <c r="X87" s="218"/>
      <c r="Y87" s="277"/>
      <c r="Z87" s="218"/>
      <c r="AA87" s="218"/>
      <c r="AB87" s="218"/>
      <c r="AC87" s="277"/>
      <c r="AG87" s="278"/>
      <c r="AK87" s="279"/>
      <c r="AL87" s="280"/>
      <c r="AM87" s="280"/>
      <c r="AN87" s="281"/>
      <c r="AO87" s="282"/>
      <c r="AP87" s="332"/>
      <c r="AQ87" s="332"/>
      <c r="AR87" s="332"/>
      <c r="AS87" s="336"/>
      <c r="AT87" s="332"/>
      <c r="AU87" s="332"/>
      <c r="AV87" s="332"/>
      <c r="AW87" s="336"/>
      <c r="AX87" s="332"/>
      <c r="AY87" s="332"/>
      <c r="AZ87" s="332"/>
      <c r="BA87" s="336"/>
      <c r="BB87" s="332"/>
      <c r="BC87" s="332"/>
      <c r="BD87" s="332"/>
      <c r="BE87" s="332"/>
      <c r="BF87" s="283"/>
      <c r="CG87"/>
      <c r="CH87"/>
      <c r="CI87"/>
      <c r="CJ87"/>
      <c r="CK87"/>
      <c r="CL87"/>
    </row>
    <row r="88" spans="1:90" outlineLevel="1">
      <c r="B88" s="271" t="s">
        <v>878</v>
      </c>
      <c r="C88" s="143"/>
      <c r="D88" s="143"/>
      <c r="E88" s="143"/>
      <c r="F88" s="143"/>
      <c r="G88" s="143"/>
      <c r="H88" s="143"/>
      <c r="I88" s="143"/>
      <c r="J88" s="1392"/>
      <c r="K88" s="143"/>
      <c r="L88" s="143"/>
      <c r="M88" s="143"/>
      <c r="N88" s="143"/>
      <c r="O88" s="143"/>
      <c r="P88" s="143"/>
      <c r="Q88" s="143"/>
      <c r="R88" s="143"/>
      <c r="V88" s="250"/>
      <c r="W88" s="250"/>
      <c r="X88" s="250"/>
      <c r="Y88" s="251"/>
      <c r="Z88" s="252"/>
      <c r="AA88" s="252"/>
      <c r="AB88" s="252"/>
      <c r="AC88" s="253"/>
      <c r="AD88" s="252"/>
      <c r="AE88" s="252"/>
      <c r="AF88" s="252"/>
      <c r="AG88" s="253"/>
      <c r="AH88" s="252"/>
      <c r="AI88" s="252"/>
      <c r="AJ88" s="252"/>
      <c r="AK88" s="253"/>
      <c r="AL88" s="252"/>
      <c r="AM88" s="252"/>
      <c r="AN88" s="252"/>
      <c r="AO88" s="253"/>
      <c r="AP88" s="332"/>
      <c r="AQ88" s="332"/>
      <c r="AR88" s="332"/>
      <c r="AS88" s="336"/>
      <c r="AT88" s="332"/>
      <c r="AU88" s="332"/>
      <c r="AV88" s="332"/>
      <c r="AW88" s="336"/>
      <c r="AX88" s="143"/>
      <c r="AY88" s="143"/>
      <c r="AZ88" s="143"/>
      <c r="BA88" s="1392"/>
      <c r="BB88" s="143"/>
      <c r="BC88" s="143"/>
      <c r="BD88" s="143"/>
      <c r="BE88" s="143"/>
      <c r="BF88" s="252"/>
      <c r="BG88" s="15"/>
      <c r="BJ88" s="454"/>
      <c r="BK88" s="454"/>
      <c r="BL88" s="454"/>
      <c r="BM88" s="454"/>
      <c r="BN88" s="454"/>
      <c r="BO88" s="454"/>
      <c r="BP88" s="454"/>
      <c r="BQ88" s="454"/>
    </row>
    <row r="89" spans="1:90" s="225" customFormat="1" outlineLevel="1">
      <c r="A89" s="1348"/>
      <c r="B89" s="306" t="s">
        <v>607</v>
      </c>
      <c r="G89" s="274"/>
      <c r="H89" s="275"/>
      <c r="I89" s="332"/>
      <c r="J89" s="336"/>
      <c r="K89" s="332"/>
      <c r="L89" s="332"/>
      <c r="M89" s="332"/>
      <c r="N89" s="332"/>
      <c r="O89" s="332"/>
      <c r="P89" s="332"/>
      <c r="Q89" s="332"/>
      <c r="R89" s="332"/>
      <c r="V89" s="218"/>
      <c r="W89" s="218"/>
      <c r="X89" s="218"/>
      <c r="Y89" s="277"/>
      <c r="Z89" s="218"/>
      <c r="AA89" s="218"/>
      <c r="AB89" s="218"/>
      <c r="AC89" s="277"/>
      <c r="AG89" s="278"/>
      <c r="AK89" s="279"/>
      <c r="AL89" s="280"/>
      <c r="AM89" s="280"/>
      <c r="AN89" s="281"/>
      <c r="AO89" s="282"/>
      <c r="AP89" s="332"/>
      <c r="AQ89" s="332">
        <f>AQ62/AP62-1</f>
        <v>4.5995175912833641E-2</v>
      </c>
      <c r="AR89" s="332">
        <f t="shared" ref="AR89:AX89" si="163">AR62/AQ62-1</f>
        <v>0.64949109414758266</v>
      </c>
      <c r="AS89" s="336">
        <f t="shared" si="163"/>
        <v>-0.38811222522175082</v>
      </c>
      <c r="AT89" s="332">
        <f t="shared" si="163"/>
        <v>0.30969825888284874</v>
      </c>
      <c r="AU89" s="332">
        <f t="shared" si="163"/>
        <v>5.8650144369586155E-2</v>
      </c>
      <c r="AV89" s="332">
        <f t="shared" si="163"/>
        <v>0.68361838740837544</v>
      </c>
      <c r="AW89" s="336">
        <f t="shared" si="163"/>
        <v>-0.37296658791765103</v>
      </c>
      <c r="AX89" s="332">
        <f t="shared" si="163"/>
        <v>0.45163894719844988</v>
      </c>
      <c r="AY89" s="332">
        <f t="shared" ref="AY89:BE89" si="164">AY62/AX62-1</f>
        <v>-2.0615498702261759E-2</v>
      </c>
      <c r="AZ89" s="332">
        <f t="shared" si="164"/>
        <v>0.45869614598319064</v>
      </c>
      <c r="BA89" s="336">
        <f t="shared" si="164"/>
        <v>-0.40980465917825859</v>
      </c>
      <c r="BB89" s="332">
        <f t="shared" si="164"/>
        <v>0.43819618793359183</v>
      </c>
      <c r="BC89" s="332">
        <f t="shared" si="164"/>
        <v>5.7734403053051331E-3</v>
      </c>
      <c r="BD89" s="332">
        <f t="shared" si="164"/>
        <v>0.52914997925799412</v>
      </c>
      <c r="BE89" s="332">
        <f t="shared" si="164"/>
        <v>-0.3960121377208915</v>
      </c>
      <c r="BF89" s="283"/>
      <c r="CG89"/>
      <c r="CH89"/>
      <c r="CI89"/>
      <c r="CJ89"/>
      <c r="CK89"/>
      <c r="CL89"/>
    </row>
    <row r="90" spans="1:90" s="225" customFormat="1" outlineLevel="1">
      <c r="A90" s="1348"/>
      <c r="B90" s="306" t="s">
        <v>595</v>
      </c>
      <c r="G90" s="274"/>
      <c r="H90" s="275"/>
      <c r="I90" s="332"/>
      <c r="J90" s="336"/>
      <c r="K90" s="332"/>
      <c r="L90" s="332"/>
      <c r="M90" s="332"/>
      <c r="N90" s="332"/>
      <c r="O90" s="332"/>
      <c r="P90" s="332"/>
      <c r="Q90" s="332"/>
      <c r="R90" s="332"/>
      <c r="V90" s="218"/>
      <c r="W90" s="218"/>
      <c r="X90" s="218"/>
      <c r="Y90" s="277"/>
      <c r="Z90" s="218"/>
      <c r="AA90" s="218"/>
      <c r="AB90" s="218"/>
      <c r="AC90" s="277"/>
      <c r="AG90" s="278"/>
      <c r="AK90" s="279"/>
      <c r="AL90" s="280"/>
      <c r="AM90" s="280"/>
      <c r="AN90" s="281"/>
      <c r="AO90" s="282"/>
      <c r="AP90" s="332"/>
      <c r="AQ90" s="332">
        <f>-(AQ63/AP63-1)</f>
        <v>-4.8913043478260976E-2</v>
      </c>
      <c r="AR90" s="332">
        <f t="shared" ref="AR90:AX90" si="165">-(AR63/AQ63-1)</f>
        <v>0.13989637305699487</v>
      </c>
      <c r="AS90" s="336">
        <f t="shared" si="165"/>
        <v>0.5</v>
      </c>
      <c r="AT90" s="332">
        <f t="shared" si="165"/>
        <v>4.8192771084337394E-2</v>
      </c>
      <c r="AU90" s="332">
        <f t="shared" si="165"/>
        <v>0.639240506329114</v>
      </c>
      <c r="AV90" s="332">
        <f t="shared" si="165"/>
        <v>-0.61403508771929816</v>
      </c>
      <c r="AW90" s="336">
        <f t="shared" si="165"/>
        <v>-0.83695652173913038</v>
      </c>
      <c r="AX90" s="332">
        <f t="shared" si="165"/>
        <v>0.39053254437869822</v>
      </c>
      <c r="AY90" s="332">
        <f t="shared" ref="AY90:BE93" si="166">-(AY63/AX63-1)</f>
        <v>-0.57281553398058249</v>
      </c>
      <c r="AZ90" s="332">
        <f t="shared" si="166"/>
        <v>-0.11728395061728403</v>
      </c>
      <c r="BA90" s="336">
        <f t="shared" si="166"/>
        <v>-3.4538784530386835E-2</v>
      </c>
      <c r="BB90" s="332">
        <f t="shared" si="166"/>
        <v>-6.326987359034475E-2</v>
      </c>
      <c r="BC90" s="332">
        <f t="shared" si="166"/>
        <v>-0.18343195266272216</v>
      </c>
      <c r="BD90" s="332">
        <f t="shared" si="166"/>
        <v>0.14462269756387391</v>
      </c>
      <c r="BE90" s="332">
        <f t="shared" si="166"/>
        <v>-0.10856196165601517</v>
      </c>
      <c r="BF90" s="283"/>
      <c r="CG90"/>
      <c r="CH90"/>
      <c r="CI90"/>
      <c r="CJ90"/>
      <c r="CK90"/>
      <c r="CL90"/>
    </row>
    <row r="91" spans="1:90" s="225" customFormat="1" outlineLevel="1">
      <c r="A91" s="1348"/>
      <c r="B91" s="306" t="s">
        <v>628</v>
      </c>
      <c r="G91" s="274"/>
      <c r="H91" s="275"/>
      <c r="I91" s="332"/>
      <c r="J91" s="336"/>
      <c r="K91" s="332"/>
      <c r="L91" s="332"/>
      <c r="M91" s="332"/>
      <c r="N91" s="332"/>
      <c r="O91" s="332"/>
      <c r="P91" s="332"/>
      <c r="Q91" s="332"/>
      <c r="R91" s="332"/>
      <c r="V91" s="218"/>
      <c r="W91" s="218"/>
      <c r="X91" s="218"/>
      <c r="Y91" s="277"/>
      <c r="Z91" s="218"/>
      <c r="AA91" s="218"/>
      <c r="AB91" s="218"/>
      <c r="AC91" s="277"/>
      <c r="AG91" s="278"/>
      <c r="AK91" s="279"/>
      <c r="AL91" s="280"/>
      <c r="AM91" s="280"/>
      <c r="AN91" s="281"/>
      <c r="AO91" s="282"/>
      <c r="AP91" s="332"/>
      <c r="AQ91" s="332">
        <f t="shared" ref="AQ91:AX91" si="167">-(AQ64/AP64-1)</f>
        <v>-0.19889502762430933</v>
      </c>
      <c r="AR91" s="332">
        <f t="shared" si="167"/>
        <v>0.3625192012288786</v>
      </c>
      <c r="AS91" s="336">
        <f t="shared" si="167"/>
        <v>0.51566265060240957</v>
      </c>
      <c r="AT91" s="332">
        <f t="shared" si="167"/>
        <v>-3.955223880597015</v>
      </c>
      <c r="AU91" s="332">
        <f t="shared" si="167"/>
        <v>-0.40963855421686746</v>
      </c>
      <c r="AV91" s="332">
        <f t="shared" si="167"/>
        <v>-0.7314814814814814</v>
      </c>
      <c r="AW91" s="336">
        <f t="shared" si="167"/>
        <v>0.29617441382147269</v>
      </c>
      <c r="AX91" s="332">
        <f t="shared" si="167"/>
        <v>-2.1624780829923917E-2</v>
      </c>
      <c r="AY91" s="332">
        <f t="shared" si="166"/>
        <v>-5.7208237986272614E-4</v>
      </c>
      <c r="AZ91" s="332">
        <f t="shared" si="166"/>
        <v>-0.26529445397369922</v>
      </c>
      <c r="BA91" s="336">
        <f t="shared" si="166"/>
        <v>-0.25102564392227711</v>
      </c>
      <c r="BB91" s="332">
        <f t="shared" si="166"/>
        <v>0.18925989240279006</v>
      </c>
      <c r="BC91" s="332">
        <f t="shared" si="166"/>
        <v>-7.7361609231248796E-2</v>
      </c>
      <c r="BD91" s="332">
        <f t="shared" si="166"/>
        <v>-3.9444758728837126E-3</v>
      </c>
      <c r="BE91" s="332">
        <f t="shared" si="166"/>
        <v>-0.10828438741450053</v>
      </c>
      <c r="BF91" s="283"/>
      <c r="CG91"/>
      <c r="CH91"/>
      <c r="CI91"/>
      <c r="CJ91"/>
      <c r="CK91"/>
      <c r="CL91"/>
    </row>
    <row r="92" spans="1:90" s="225" customFormat="1" outlineLevel="1">
      <c r="A92" s="1348"/>
      <c r="B92" s="306" t="s">
        <v>629</v>
      </c>
      <c r="G92" s="274"/>
      <c r="H92" s="275"/>
      <c r="I92" s="332"/>
      <c r="J92" s="336"/>
      <c r="K92" s="332"/>
      <c r="L92" s="332"/>
      <c r="M92" s="332"/>
      <c r="N92" s="332"/>
      <c r="O92" s="332"/>
      <c r="P92" s="332"/>
      <c r="Q92" s="332"/>
      <c r="R92" s="332"/>
      <c r="V92" s="218"/>
      <c r="W92" s="218"/>
      <c r="X92" s="218"/>
      <c r="Y92" s="277"/>
      <c r="Z92" s="218"/>
      <c r="AA92" s="218"/>
      <c r="AB92" s="218"/>
      <c r="AC92" s="277"/>
      <c r="AG92" s="278"/>
      <c r="AK92" s="279"/>
      <c r="AL92" s="280"/>
      <c r="AM92" s="280"/>
      <c r="AN92" s="281"/>
      <c r="AO92" s="282"/>
      <c r="AP92" s="332"/>
      <c r="AQ92" s="332">
        <f t="shared" ref="AQ92:AX92" si="168">-(AQ65/AP65-1)</f>
        <v>-0.3887096774193548</v>
      </c>
      <c r="AR92" s="332">
        <f t="shared" si="168"/>
        <v>-0.11614401858304291</v>
      </c>
      <c r="AS92" s="336">
        <f t="shared" si="168"/>
        <v>-6.6597294484911584E-2</v>
      </c>
      <c r="AT92" s="332">
        <f t="shared" si="168"/>
        <v>0.13463414634146342</v>
      </c>
      <c r="AU92" s="332">
        <f t="shared" si="168"/>
        <v>0.13077790304396841</v>
      </c>
      <c r="AV92" s="332">
        <f t="shared" si="168"/>
        <v>-1.8158236057068677E-2</v>
      </c>
      <c r="AW92" s="336">
        <f t="shared" si="168"/>
        <v>0.13121019108280252</v>
      </c>
      <c r="AX92" s="332">
        <f t="shared" si="168"/>
        <v>7.0381231671554301E-2</v>
      </c>
      <c r="AY92" s="332">
        <f t="shared" si="166"/>
        <v>0.21766561514195581</v>
      </c>
      <c r="AZ92" s="332">
        <f t="shared" si="166"/>
        <v>-1.028225806451613</v>
      </c>
      <c r="BA92" s="336">
        <f t="shared" si="166"/>
        <v>0.30798707753479126</v>
      </c>
      <c r="BB92" s="332">
        <f t="shared" si="166"/>
        <v>0.22173622632565559</v>
      </c>
      <c r="BC92" s="332">
        <f t="shared" si="166"/>
        <v>-0.12962347729789592</v>
      </c>
      <c r="BD92" s="332">
        <f t="shared" si="166"/>
        <v>-6.5862784504027605E-2</v>
      </c>
      <c r="BE92" s="332">
        <f t="shared" si="166"/>
        <v>6.0811846583069817E-3</v>
      </c>
      <c r="BF92" s="283"/>
      <c r="CG92"/>
      <c r="CH92"/>
      <c r="CI92"/>
      <c r="CJ92"/>
      <c r="CK92"/>
      <c r="CL92"/>
    </row>
    <row r="93" spans="1:90" s="225" customFormat="1" outlineLevel="1">
      <c r="A93" s="1348"/>
      <c r="B93" s="306" t="s">
        <v>598</v>
      </c>
      <c r="G93" s="274"/>
      <c r="H93" s="275"/>
      <c r="I93" s="332"/>
      <c r="J93" s="336"/>
      <c r="K93" s="332"/>
      <c r="L93" s="332"/>
      <c r="M93" s="332"/>
      <c r="N93" s="332"/>
      <c r="O93" s="332"/>
      <c r="P93" s="332"/>
      <c r="Q93" s="332"/>
      <c r="R93" s="332"/>
      <c r="V93" s="218"/>
      <c r="W93" s="218"/>
      <c r="X93" s="218"/>
      <c r="Y93" s="277"/>
      <c r="Z93" s="218"/>
      <c r="AA93" s="218"/>
      <c r="AB93" s="218"/>
      <c r="AC93" s="277"/>
      <c r="AG93" s="278"/>
      <c r="AK93" s="279"/>
      <c r="AL93" s="280"/>
      <c r="AM93" s="280"/>
      <c r="AN93" s="281"/>
      <c r="AO93" s="282"/>
      <c r="AP93" s="332"/>
      <c r="AQ93" s="332">
        <f t="shared" ref="AQ93:AX93" si="169">-(AQ66/AP66-1)</f>
        <v>0.43251088534107407</v>
      </c>
      <c r="AR93" s="332">
        <f t="shared" si="169"/>
        <v>-1.4654731457800509</v>
      </c>
      <c r="AS93" s="336">
        <f t="shared" si="169"/>
        <v>7.3651452282157637E-2</v>
      </c>
      <c r="AT93" s="332">
        <f t="shared" si="169"/>
        <v>7.7267637178051518E-2</v>
      </c>
      <c r="AU93" s="332">
        <f t="shared" si="169"/>
        <v>6.067961165048541E-2</v>
      </c>
      <c r="AV93" s="332">
        <f t="shared" si="169"/>
        <v>0.15633074935400515</v>
      </c>
      <c r="AW93" s="336">
        <f t="shared" si="169"/>
        <v>-0.3261868300153139</v>
      </c>
      <c r="AX93" s="332">
        <f t="shared" si="169"/>
        <v>-0.11662817551963056</v>
      </c>
      <c r="AY93" s="332">
        <f t="shared" si="166"/>
        <v>-2.2750775594622574E-2</v>
      </c>
      <c r="AZ93" s="332">
        <f t="shared" si="166"/>
        <v>-0.48432760364004035</v>
      </c>
      <c r="BA93" s="336">
        <f t="shared" si="166"/>
        <v>-0.220190273629564</v>
      </c>
      <c r="BB93" s="332">
        <f t="shared" si="166"/>
        <v>0.14189681783596042</v>
      </c>
      <c r="BC93" s="332">
        <f t="shared" si="166"/>
        <v>-1.2331211594061919E-2</v>
      </c>
      <c r="BD93" s="332">
        <f t="shared" si="166"/>
        <v>-4.0070949280405888E-2</v>
      </c>
      <c r="BE93" s="332">
        <f t="shared" si="166"/>
        <v>-5.9492681413755522E-2</v>
      </c>
      <c r="BF93" s="283"/>
      <c r="CG93"/>
      <c r="CH93"/>
      <c r="CI93"/>
      <c r="CJ93"/>
      <c r="CK93"/>
      <c r="CL93"/>
    </row>
    <row r="94" spans="1:90" s="226" customFormat="1" outlineLevel="1">
      <c r="A94" s="1349"/>
      <c r="B94" s="337" t="s">
        <v>632</v>
      </c>
      <c r="G94" s="288"/>
      <c r="H94" s="289"/>
      <c r="I94" s="303"/>
      <c r="J94" s="338"/>
      <c r="K94" s="303"/>
      <c r="L94" s="303"/>
      <c r="M94" s="303"/>
      <c r="N94" s="303"/>
      <c r="O94" s="303"/>
      <c r="P94" s="303"/>
      <c r="Q94" s="303"/>
      <c r="R94" s="303"/>
      <c r="V94" s="291"/>
      <c r="W94" s="291"/>
      <c r="X94" s="291"/>
      <c r="Y94" s="292"/>
      <c r="Z94" s="291"/>
      <c r="AA94" s="291"/>
      <c r="AB94" s="291"/>
      <c r="AC94" s="292"/>
      <c r="AG94" s="293"/>
      <c r="AK94" s="294"/>
      <c r="AL94" s="295"/>
      <c r="AM94" s="295"/>
      <c r="AN94" s="296"/>
      <c r="AO94" s="297"/>
      <c r="AP94" s="303"/>
      <c r="AQ94" s="303">
        <f>AQ67/AP67-1</f>
        <v>4.937264102825667E-2</v>
      </c>
      <c r="AR94" s="303">
        <f t="shared" ref="AR94:AX94" si="170">AR67/AQ67-1</f>
        <v>0.7567804024496938</v>
      </c>
      <c r="AS94" s="338">
        <f t="shared" si="170"/>
        <v>-0.42408145196989822</v>
      </c>
      <c r="AT94" s="303">
        <f t="shared" si="170"/>
        <v>0.32196387394312076</v>
      </c>
      <c r="AU94" s="303">
        <f t="shared" si="170"/>
        <v>6.06148702667344E-2</v>
      </c>
      <c r="AV94" s="303">
        <f t="shared" si="170"/>
        <v>0.7589940382375111</v>
      </c>
      <c r="AW94" s="338">
        <f t="shared" si="170"/>
        <v>-0.40975495734154033</v>
      </c>
      <c r="AX94" s="303">
        <f t="shared" si="170"/>
        <v>0.55224077618639034</v>
      </c>
      <c r="AY94" s="303">
        <f t="shared" ref="AY94:BE94" si="171">AY67/AX67-1</f>
        <v>-2.1260311250956732E-2</v>
      </c>
      <c r="AZ94" s="303">
        <f t="shared" si="171"/>
        <v>0.46242071422365116</v>
      </c>
      <c r="BA94" s="338">
        <f t="shared" si="171"/>
        <v>-0.48615498514130173</v>
      </c>
      <c r="BB94" s="303">
        <f t="shared" si="171"/>
        <v>0.62931763084610548</v>
      </c>
      <c r="BC94" s="303">
        <f t="shared" si="171"/>
        <v>-3.9218527722383323E-3</v>
      </c>
      <c r="BD94" s="303">
        <f t="shared" si="171"/>
        <v>0.61725832859475993</v>
      </c>
      <c r="BE94" s="303">
        <f t="shared" si="171"/>
        <v>-0.44705976405041981</v>
      </c>
      <c r="BF94" s="304"/>
      <c r="CG94"/>
      <c r="CH94"/>
      <c r="CI94"/>
      <c r="CJ94"/>
      <c r="CK94"/>
      <c r="CL94"/>
    </row>
    <row r="95" spans="1:90" s="226" customFormat="1" outlineLevel="1">
      <c r="A95" s="1349"/>
      <c r="B95" s="337"/>
      <c r="G95" s="288"/>
      <c r="H95" s="289"/>
      <c r="I95" s="303"/>
      <c r="J95" s="338"/>
      <c r="K95" s="303"/>
      <c r="L95" s="303"/>
      <c r="M95" s="303"/>
      <c r="N95" s="303"/>
      <c r="O95" s="303"/>
      <c r="P95" s="303"/>
      <c r="Q95" s="303"/>
      <c r="R95" s="303"/>
      <c r="V95" s="291"/>
      <c r="W95" s="291"/>
      <c r="X95" s="291"/>
      <c r="Y95" s="292"/>
      <c r="Z95" s="291"/>
      <c r="AA95" s="291"/>
      <c r="AB95" s="291"/>
      <c r="AC95" s="292"/>
      <c r="AG95" s="293"/>
      <c r="AK95" s="294"/>
      <c r="AL95" s="295"/>
      <c r="AM95" s="295"/>
      <c r="AN95" s="296"/>
      <c r="AO95" s="297"/>
      <c r="AP95" s="303"/>
      <c r="AQ95" s="303"/>
      <c r="AR95" s="303"/>
      <c r="AS95" s="338"/>
      <c r="AT95" s="303"/>
      <c r="AU95" s="303"/>
      <c r="AV95" s="303"/>
      <c r="AW95" s="338"/>
      <c r="AX95" s="303"/>
      <c r="AY95" s="303"/>
      <c r="AZ95" s="303"/>
      <c r="BA95" s="338"/>
      <c r="BB95" s="303"/>
      <c r="BC95" s="303"/>
      <c r="BD95" s="303"/>
      <c r="BE95" s="303"/>
      <c r="BF95" s="304"/>
      <c r="CG95"/>
      <c r="CH95"/>
      <c r="CI95"/>
      <c r="CJ95"/>
      <c r="CK95"/>
      <c r="CL95"/>
    </row>
    <row r="96" spans="1:90" outlineLevel="1">
      <c r="B96" s="271" t="s">
        <v>879</v>
      </c>
      <c r="C96" s="143"/>
      <c r="D96" s="143"/>
      <c r="E96" s="143"/>
      <c r="F96" s="143"/>
      <c r="G96" s="143"/>
      <c r="H96" s="143"/>
      <c r="I96" s="143"/>
      <c r="J96" s="1392"/>
      <c r="K96" s="143"/>
      <c r="L96" s="143"/>
      <c r="M96" s="143"/>
      <c r="N96" s="143"/>
      <c r="O96" s="143"/>
      <c r="P96" s="143"/>
      <c r="Q96" s="143"/>
      <c r="R96" s="143"/>
      <c r="V96" s="250"/>
      <c r="W96" s="250"/>
      <c r="X96" s="250"/>
      <c r="Y96" s="251"/>
      <c r="Z96" s="252"/>
      <c r="AA96" s="252"/>
      <c r="AB96" s="252"/>
      <c r="AC96" s="253"/>
      <c r="AD96" s="252"/>
      <c r="AE96" s="252"/>
      <c r="AF96" s="252"/>
      <c r="AG96" s="253"/>
      <c r="AH96" s="252"/>
      <c r="AI96" s="252"/>
      <c r="AJ96" s="252"/>
      <c r="AK96" s="253"/>
      <c r="AL96" s="252"/>
      <c r="AM96" s="252"/>
      <c r="AN96" s="252"/>
      <c r="AO96" s="253"/>
      <c r="AP96" s="332"/>
      <c r="AQ96" s="332"/>
      <c r="AR96" s="332"/>
      <c r="AS96" s="336"/>
      <c r="AT96" s="332"/>
      <c r="AU96" s="332"/>
      <c r="AV96" s="332"/>
      <c r="AW96" s="336"/>
      <c r="AX96" s="143"/>
      <c r="AY96" s="143"/>
      <c r="AZ96" s="143"/>
      <c r="BA96" s="1392"/>
      <c r="BB96" s="143"/>
      <c r="BC96" s="143"/>
      <c r="BD96" s="143"/>
      <c r="BE96" s="143"/>
      <c r="BF96" s="252"/>
      <c r="BG96" s="15"/>
      <c r="BJ96" s="454"/>
      <c r="BK96" s="454"/>
      <c r="BL96" s="454"/>
      <c r="BM96" s="454"/>
      <c r="BN96" s="454"/>
      <c r="BO96" s="454"/>
      <c r="BP96" s="454"/>
      <c r="BQ96" s="454"/>
    </row>
    <row r="97" spans="1:90" s="225" customFormat="1" outlineLevel="1">
      <c r="A97" s="1348"/>
      <c r="B97" s="306" t="s">
        <v>607</v>
      </c>
      <c r="G97" s="274"/>
      <c r="H97" s="275"/>
      <c r="I97" s="332"/>
      <c r="J97" s="336">
        <f t="shared" ref="J97:R97" si="172">J62/I62-1</f>
        <v>0.4203597766903302</v>
      </c>
      <c r="K97" s="332">
        <f t="shared" si="172"/>
        <v>0.39089463414525549</v>
      </c>
      <c r="L97" s="332">
        <f t="shared" si="172"/>
        <v>0.27582150656510551</v>
      </c>
      <c r="M97" s="332">
        <f t="shared" si="172"/>
        <v>0.24673280786103868</v>
      </c>
      <c r="N97" s="332">
        <f t="shared" si="172"/>
        <v>0.18443711177682443</v>
      </c>
      <c r="O97" s="332">
        <f t="shared" si="172"/>
        <v>0.17974446555495938</v>
      </c>
      <c r="P97" s="332">
        <f t="shared" si="172"/>
        <v>0.18740731279862777</v>
      </c>
      <c r="Q97" s="332">
        <f t="shared" si="172"/>
        <v>0.12687140626513926</v>
      </c>
      <c r="R97" s="332">
        <f t="shared" si="172"/>
        <v>0.11342129442017357</v>
      </c>
      <c r="V97" s="218"/>
      <c r="W97" s="218"/>
      <c r="X97" s="218"/>
      <c r="Y97" s="277"/>
      <c r="Z97" s="218"/>
      <c r="AA97" s="218"/>
      <c r="AB97" s="218"/>
      <c r="AC97" s="277"/>
      <c r="AG97" s="278"/>
      <c r="AK97" s="279"/>
      <c r="AL97" s="280"/>
      <c r="AM97" s="280"/>
      <c r="AN97" s="281"/>
      <c r="AO97" s="282"/>
      <c r="AP97" s="332"/>
      <c r="AQ97" s="332"/>
      <c r="AR97" s="332"/>
      <c r="AS97" s="336"/>
      <c r="AT97" s="332">
        <f>AT62/AP62-1</f>
        <v>0.38268319055144318</v>
      </c>
      <c r="AU97" s="332">
        <f t="shared" ref="AU97:BA97" si="173">AU62/AQ62-1</f>
        <v>0.39941157760814239</v>
      </c>
      <c r="AV97" s="332">
        <f t="shared" si="173"/>
        <v>0.42836482838411105</v>
      </c>
      <c r="AW97" s="336">
        <f t="shared" si="173"/>
        <v>0.46372016071850619</v>
      </c>
      <c r="AX97" s="332">
        <f t="shared" si="173"/>
        <v>0.62235322425409056</v>
      </c>
      <c r="AY97" s="332">
        <f t="shared" si="173"/>
        <v>0.50088073185976478</v>
      </c>
      <c r="AZ97" s="332">
        <f t="shared" si="173"/>
        <v>0.30037124535943294</v>
      </c>
      <c r="BA97" s="336">
        <f t="shared" si="173"/>
        <v>0.22397472855706435</v>
      </c>
      <c r="BB97" s="332">
        <f>BB62/AX62-1</f>
        <v>0.21264023132962562</v>
      </c>
      <c r="BC97" s="332">
        <f>BC62/AY62-1</f>
        <v>0.24531410870901782</v>
      </c>
      <c r="BD97" s="332">
        <f>BD62/AZ62-1</f>
        <v>0.3054617637441992</v>
      </c>
      <c r="BE97" s="332">
        <f>BE62/BA62-1</f>
        <v>0.33596964502151416</v>
      </c>
      <c r="BF97" s="283"/>
      <c r="CG97"/>
      <c r="CH97"/>
      <c r="CI97"/>
      <c r="CJ97"/>
      <c r="CK97"/>
      <c r="CL97"/>
    </row>
    <row r="98" spans="1:90" s="225" customFormat="1" outlineLevel="1">
      <c r="A98" s="1348"/>
      <c r="B98" s="306" t="s">
        <v>595</v>
      </c>
      <c r="G98" s="274"/>
      <c r="H98" s="275"/>
      <c r="I98" s="332"/>
      <c r="J98" s="336">
        <f t="shared" ref="J98:L101" si="174">-(J63/I63-1)</f>
        <v>0.61980830670926523</v>
      </c>
      <c r="K98" s="332">
        <f t="shared" si="174"/>
        <v>-0.33036033613445381</v>
      </c>
      <c r="L98" s="332">
        <f t="shared" si="174"/>
        <v>-0.35757575757575744</v>
      </c>
      <c r="M98" s="332">
        <f t="shared" ref="M98:R98" si="175">(M63/L63-1)</f>
        <v>0.19474999999999976</v>
      </c>
      <c r="N98" s="332">
        <f t="shared" si="175"/>
        <v>-0.24782000000000004</v>
      </c>
      <c r="O98" s="332">
        <f t="shared" si="175"/>
        <v>-4.5760533333333187E-2</v>
      </c>
      <c r="P98" s="332">
        <f t="shared" si="175"/>
        <v>-1</v>
      </c>
      <c r="Q98" s="332" t="e">
        <f t="shared" si="175"/>
        <v>#DIV/0!</v>
      </c>
      <c r="R98" s="332">
        <f t="shared" si="175"/>
        <v>1.5556877621632008</v>
      </c>
      <c r="V98" s="218"/>
      <c r="W98" s="218"/>
      <c r="X98" s="218"/>
      <c r="Y98" s="277"/>
      <c r="Z98" s="218"/>
      <c r="AA98" s="218"/>
      <c r="AB98" s="218"/>
      <c r="AC98" s="277"/>
      <c r="AG98" s="278"/>
      <c r="AK98" s="279"/>
      <c r="AL98" s="280"/>
      <c r="AM98" s="280"/>
      <c r="AN98" s="281"/>
      <c r="AO98" s="282"/>
      <c r="AP98" s="332"/>
      <c r="AQ98" s="332"/>
      <c r="AR98" s="332"/>
      <c r="AS98" s="336"/>
      <c r="AT98" s="332">
        <f t="shared" ref="AT98:BE101" si="176">-(AT63/AP63-1)</f>
        <v>0.57065217391304346</v>
      </c>
      <c r="AU98" s="332">
        <f t="shared" si="176"/>
        <v>0.85233160621761661</v>
      </c>
      <c r="AV98" s="332">
        <f t="shared" si="176"/>
        <v>0.72289156626506024</v>
      </c>
      <c r="AW98" s="336">
        <f t="shared" si="176"/>
        <v>-1.8072289156626509E-2</v>
      </c>
      <c r="AX98" s="332">
        <f t="shared" si="176"/>
        <v>0.34810126582278478</v>
      </c>
      <c r="AY98" s="332">
        <f t="shared" si="176"/>
        <v>-1.8421052631578947</v>
      </c>
      <c r="AZ98" s="332">
        <f t="shared" si="176"/>
        <v>-0.96739130434782616</v>
      </c>
      <c r="BA98" s="336">
        <f t="shared" si="176"/>
        <v>-0.10799715976331381</v>
      </c>
      <c r="BB98" s="332">
        <f t="shared" si="176"/>
        <v>-0.93299902912621313</v>
      </c>
      <c r="BC98" s="332">
        <f t="shared" si="176"/>
        <v>-0.45444444444444443</v>
      </c>
      <c r="BD98" s="332">
        <f t="shared" si="176"/>
        <v>-0.11350276243093949</v>
      </c>
      <c r="BE98" s="332">
        <f t="shared" si="176"/>
        <v>-0.19317595926591102</v>
      </c>
      <c r="BF98" s="283"/>
      <c r="CG98"/>
      <c r="CH98"/>
      <c r="CI98"/>
      <c r="CJ98"/>
      <c r="CK98"/>
      <c r="CL98"/>
    </row>
    <row r="99" spans="1:90" s="225" customFormat="1" outlineLevel="1">
      <c r="A99" s="1348"/>
      <c r="B99" s="306" t="s">
        <v>628</v>
      </c>
      <c r="G99" s="274"/>
      <c r="H99" s="275"/>
      <c r="I99" s="332"/>
      <c r="J99" s="336">
        <f t="shared" si="174"/>
        <v>-2.614364640883978</v>
      </c>
      <c r="K99" s="332">
        <f t="shared" si="174"/>
        <v>-0.29601341332925712</v>
      </c>
      <c r="L99" s="332">
        <f t="shared" si="174"/>
        <v>-0.1536316006104721</v>
      </c>
      <c r="M99" s="332">
        <f t="shared" ref="M99:R101" si="177">-(M64/L64-1)</f>
        <v>-4.4707057475693146E-2</v>
      </c>
      <c r="N99" s="332">
        <f t="shared" si="177"/>
        <v>0.12985077811960621</v>
      </c>
      <c r="O99" s="332">
        <f t="shared" si="177"/>
        <v>0.147403278836165</v>
      </c>
      <c r="P99" s="332">
        <f t="shared" si="177"/>
        <v>-2.5286044729261103E-2</v>
      </c>
      <c r="Q99" s="332">
        <f t="shared" si="177"/>
        <v>-5.6358002529879547E-2</v>
      </c>
      <c r="R99" s="332">
        <f t="shared" si="177"/>
        <v>-0.10419040888379105</v>
      </c>
      <c r="V99" s="218"/>
      <c r="W99" s="218"/>
      <c r="X99" s="218"/>
      <c r="Y99" s="277"/>
      <c r="Z99" s="218"/>
      <c r="AA99" s="218"/>
      <c r="AB99" s="218"/>
      <c r="AC99" s="277"/>
      <c r="AG99" s="278"/>
      <c r="AK99" s="279"/>
      <c r="AL99" s="280"/>
      <c r="AM99" s="280"/>
      <c r="AN99" s="281"/>
      <c r="AO99" s="282"/>
      <c r="AP99" s="332"/>
      <c r="AQ99" s="332"/>
      <c r="AR99" s="332"/>
      <c r="AS99" s="336"/>
      <c r="AT99" s="332">
        <f t="shared" si="176"/>
        <v>-0.83425414364640882</v>
      </c>
      <c r="AU99" s="332">
        <f t="shared" si="176"/>
        <v>-1.1566820276497696</v>
      </c>
      <c r="AV99" s="332">
        <f t="shared" si="176"/>
        <v>-4.8578313253012047</v>
      </c>
      <c r="AW99" s="336">
        <f t="shared" si="176"/>
        <v>-7.5124378109452739</v>
      </c>
      <c r="AX99" s="332">
        <f t="shared" si="176"/>
        <v>-0.7550200803212852</v>
      </c>
      <c r="AY99" s="332">
        <f t="shared" si="176"/>
        <v>-0.24572649572649574</v>
      </c>
      <c r="AZ99" s="332">
        <f t="shared" si="176"/>
        <v>8.9675030851501414E-2</v>
      </c>
      <c r="BA99" s="336">
        <f t="shared" si="176"/>
        <v>-0.61807115721800088</v>
      </c>
      <c r="BB99" s="332">
        <f t="shared" si="176"/>
        <v>-0.28406750572082395</v>
      </c>
      <c r="BC99" s="332">
        <f t="shared" si="176"/>
        <v>-0.38261406518010266</v>
      </c>
      <c r="BD99" s="332">
        <f t="shared" si="176"/>
        <v>-9.7031405332128395E-2</v>
      </c>
      <c r="BE99" s="332">
        <f t="shared" si="176"/>
        <v>2.8139203269183843E-2</v>
      </c>
      <c r="BF99" s="283"/>
      <c r="CG99"/>
      <c r="CH99"/>
      <c r="CI99"/>
      <c r="CJ99"/>
      <c r="CK99"/>
      <c r="CL99"/>
    </row>
    <row r="100" spans="1:90" s="225" customFormat="1" outlineLevel="1">
      <c r="A100" s="1348"/>
      <c r="B100" s="306" t="s">
        <v>629</v>
      </c>
      <c r="G100" s="274"/>
      <c r="H100" s="275"/>
      <c r="I100" s="332"/>
      <c r="J100" s="336">
        <f t="shared" si="174"/>
        <v>9.8644361119123114E-2</v>
      </c>
      <c r="K100" s="332">
        <f t="shared" si="174"/>
        <v>9.3707199999999991E-2</v>
      </c>
      <c r="L100" s="332">
        <f t="shared" si="174"/>
        <v>0.1333333333333333</v>
      </c>
      <c r="M100" s="332">
        <f t="shared" si="177"/>
        <v>0.29230769230769238</v>
      </c>
      <c r="N100" s="332">
        <f t="shared" si="177"/>
        <v>0.29062500000000013</v>
      </c>
      <c r="O100" s="332">
        <f t="shared" si="177"/>
        <v>0.1028</v>
      </c>
      <c r="P100" s="332">
        <f t="shared" si="177"/>
        <v>0.16798749999999985</v>
      </c>
      <c r="Q100" s="332">
        <f t="shared" si="177"/>
        <v>0.26772333333333331</v>
      </c>
      <c r="R100" s="332">
        <f t="shared" si="177"/>
        <v>0.45571324999999996</v>
      </c>
      <c r="V100" s="218"/>
      <c r="W100" s="218"/>
      <c r="X100" s="218"/>
      <c r="Y100" s="277"/>
      <c r="Z100" s="218"/>
      <c r="AA100" s="218"/>
      <c r="AB100" s="218"/>
      <c r="AC100" s="277"/>
      <c r="AG100" s="278"/>
      <c r="AK100" s="279"/>
      <c r="AL100" s="280"/>
      <c r="AM100" s="280"/>
      <c r="AN100" s="281"/>
      <c r="AO100" s="282"/>
      <c r="AP100" s="332"/>
      <c r="AQ100" s="332"/>
      <c r="AR100" s="332"/>
      <c r="AS100" s="336"/>
      <c r="AT100" s="332">
        <f t="shared" si="176"/>
        <v>-0.4306451612903226</v>
      </c>
      <c r="AU100" s="332">
        <f t="shared" si="176"/>
        <v>0.10452961672473871</v>
      </c>
      <c r="AV100" s="332">
        <f t="shared" si="176"/>
        <v>0.1831425598335068</v>
      </c>
      <c r="AW100" s="336">
        <f t="shared" si="176"/>
        <v>0.33463414634146338</v>
      </c>
      <c r="AX100" s="332">
        <f t="shared" si="176"/>
        <v>0.28523111612175878</v>
      </c>
      <c r="AY100" s="332">
        <f t="shared" si="176"/>
        <v>0.35667963683527881</v>
      </c>
      <c r="AZ100" s="332">
        <f t="shared" si="176"/>
        <v>-0.2815286624203821</v>
      </c>
      <c r="BA100" s="336">
        <f t="shared" si="176"/>
        <v>-2.0769794721407608E-2</v>
      </c>
      <c r="BB100" s="332">
        <f t="shared" si="176"/>
        <v>0.14542586750788655</v>
      </c>
      <c r="BC100" s="332">
        <f t="shared" si="176"/>
        <v>-0.23393145161290319</v>
      </c>
      <c r="BD100" s="332">
        <f t="shared" si="176"/>
        <v>0.35155069582504972</v>
      </c>
      <c r="BE100" s="332">
        <f t="shared" si="176"/>
        <v>6.8650391789302656E-2</v>
      </c>
      <c r="BF100" s="283"/>
      <c r="CG100"/>
      <c r="CH100"/>
      <c r="CI100"/>
      <c r="CJ100"/>
      <c r="CK100"/>
      <c r="CL100"/>
    </row>
    <row r="101" spans="1:90" s="225" customFormat="1" outlineLevel="1">
      <c r="A101" s="1348"/>
      <c r="B101" s="306" t="s">
        <v>598</v>
      </c>
      <c r="G101" s="274"/>
      <c r="H101" s="275"/>
      <c r="I101" s="332"/>
      <c r="J101" s="336">
        <f t="shared" si="174"/>
        <v>-6.1287027579162379E-2</v>
      </c>
      <c r="K101" s="332">
        <f t="shared" si="174"/>
        <v>-0.67315987221308959</v>
      </c>
      <c r="L101" s="332">
        <f t="shared" si="174"/>
        <v>-0.2321809074211767</v>
      </c>
      <c r="M101" s="332">
        <f t="shared" si="177"/>
        <v>-0.23235458355231708</v>
      </c>
      <c r="N101" s="332">
        <f t="shared" si="177"/>
        <v>-1.7846549150670743E-2</v>
      </c>
      <c r="O101" s="332">
        <f t="shared" si="177"/>
        <v>-0.12337754125443712</v>
      </c>
      <c r="P101" s="332">
        <f t="shared" si="177"/>
        <v>-0.12866263204508654</v>
      </c>
      <c r="Q101" s="332">
        <f t="shared" si="177"/>
        <v>-6.2930393224305936E-2</v>
      </c>
      <c r="R101" s="332">
        <f t="shared" si="177"/>
        <v>-4.2169839833142042E-2</v>
      </c>
      <c r="V101" s="218"/>
      <c r="W101" s="218"/>
      <c r="X101" s="218"/>
      <c r="Y101" s="277"/>
      <c r="Z101" s="218"/>
      <c r="AA101" s="218"/>
      <c r="AB101" s="218"/>
      <c r="AC101" s="277"/>
      <c r="AG101" s="278"/>
      <c r="AK101" s="279"/>
      <c r="AL101" s="280"/>
      <c r="AM101" s="280"/>
      <c r="AN101" s="281"/>
      <c r="AO101" s="282"/>
      <c r="AP101" s="332"/>
      <c r="AQ101" s="332"/>
      <c r="AR101" s="332"/>
      <c r="AS101" s="336"/>
      <c r="AT101" s="332">
        <f t="shared" si="176"/>
        <v>-0.19593613933236576</v>
      </c>
      <c r="AU101" s="332">
        <f t="shared" si="176"/>
        <v>-0.97953964194373411</v>
      </c>
      <c r="AV101" s="332">
        <f t="shared" si="176"/>
        <v>0.32261410788381739</v>
      </c>
      <c r="AW101" s="336">
        <f t="shared" si="176"/>
        <v>3.023516237402013E-2</v>
      </c>
      <c r="AX101" s="332">
        <f t="shared" si="176"/>
        <v>-0.17354368932038833</v>
      </c>
      <c r="AY101" s="332">
        <f t="shared" si="176"/>
        <v>-0.27777777777777768</v>
      </c>
      <c r="AZ101" s="332">
        <f t="shared" si="176"/>
        <v>-1.2480857580398164</v>
      </c>
      <c r="BA101" s="336">
        <f t="shared" si="176"/>
        <v>-1.0684056832427253</v>
      </c>
      <c r="BB101" s="332">
        <f t="shared" si="176"/>
        <v>-0.58952240119751842</v>
      </c>
      <c r="BC101" s="332">
        <f t="shared" si="176"/>
        <v>-0.57332869029079903</v>
      </c>
      <c r="BD101" s="332">
        <f t="shared" si="176"/>
        <v>-0.10243416643869185</v>
      </c>
      <c r="BE101" s="332">
        <f t="shared" si="176"/>
        <v>4.27550880176365E-2</v>
      </c>
      <c r="BF101" s="283"/>
      <c r="CG101"/>
      <c r="CH101"/>
      <c r="CI101"/>
      <c r="CJ101"/>
      <c r="CK101"/>
      <c r="CL101"/>
    </row>
    <row r="102" spans="1:90" s="226" customFormat="1" outlineLevel="1">
      <c r="A102" s="1349"/>
      <c r="B102" s="337" t="s">
        <v>632</v>
      </c>
      <c r="G102" s="288"/>
      <c r="H102" s="289"/>
      <c r="I102" s="303"/>
      <c r="J102" s="338">
        <f t="shared" ref="J102:R102" si="178">J67/I67-1</f>
        <v>0.4241712991558575</v>
      </c>
      <c r="K102" s="303">
        <f t="shared" si="178"/>
        <v>0.40945831969833901</v>
      </c>
      <c r="L102" s="303">
        <f t="shared" si="178"/>
        <v>0.30013667632338281</v>
      </c>
      <c r="M102" s="303">
        <f t="shared" si="178"/>
        <v>0.27384151069735063</v>
      </c>
      <c r="N102" s="303">
        <f t="shared" si="178"/>
        <v>0.22035732560334131</v>
      </c>
      <c r="O102" s="303">
        <f t="shared" si="178"/>
        <v>0.19946325491343386</v>
      </c>
      <c r="P102" s="303">
        <f t="shared" si="178"/>
        <v>0.20022393579383913</v>
      </c>
      <c r="Q102" s="303">
        <f t="shared" si="178"/>
        <v>0.13709010440219482</v>
      </c>
      <c r="R102" s="303">
        <f t="shared" si="178"/>
        <v>0.12321020608820032</v>
      </c>
      <c r="V102" s="291"/>
      <c r="W102" s="291"/>
      <c r="X102" s="291"/>
      <c r="Y102" s="292"/>
      <c r="Z102" s="291"/>
      <c r="AA102" s="291"/>
      <c r="AB102" s="291"/>
      <c r="AC102" s="292"/>
      <c r="AG102" s="293"/>
      <c r="AK102" s="294"/>
      <c r="AL102" s="295"/>
      <c r="AM102" s="295"/>
      <c r="AN102" s="296"/>
      <c r="AO102" s="297"/>
      <c r="AP102" s="303"/>
      <c r="AQ102" s="303"/>
      <c r="AR102" s="303"/>
      <c r="AS102" s="338"/>
      <c r="AT102" s="303">
        <f>AT67/AP67-1</f>
        <v>0.40354993369376713</v>
      </c>
      <c r="AU102" s="303">
        <f t="shared" ref="AU102:BA102" si="179">AU67/AQ67-1</f>
        <v>0.41858656556819285</v>
      </c>
      <c r="AV102" s="303">
        <f t="shared" si="179"/>
        <v>0.42037405931828253</v>
      </c>
      <c r="AW102" s="338">
        <f t="shared" si="179"/>
        <v>0.4557071483474251</v>
      </c>
      <c r="AX102" s="303">
        <f t="shared" si="179"/>
        <v>0.70928119776146525</v>
      </c>
      <c r="AY102" s="303">
        <f t="shared" si="179"/>
        <v>0.57733159734119099</v>
      </c>
      <c r="AZ102" s="303">
        <f t="shared" si="179"/>
        <v>0.31138727648135878</v>
      </c>
      <c r="BA102" s="338">
        <f t="shared" si="179"/>
        <v>0.14164417465338919</v>
      </c>
      <c r="BB102" s="303">
        <f>BB67/AX67-1</f>
        <v>0.19833276541381095</v>
      </c>
      <c r="BC102" s="303">
        <f>BC67/AY67-1</f>
        <v>0.21956133429239721</v>
      </c>
      <c r="BD102" s="303">
        <f>BD67/AZ67-1</f>
        <v>0.34868557723046756</v>
      </c>
      <c r="BE102" s="303">
        <f>BE67/BA67-1</f>
        <v>0.45129854281194381</v>
      </c>
      <c r="BF102" s="304"/>
      <c r="CG102"/>
      <c r="CH102"/>
      <c r="CI102"/>
      <c r="CJ102"/>
      <c r="CK102"/>
      <c r="CL102"/>
    </row>
    <row r="103" spans="1:90" s="226" customFormat="1">
      <c r="A103" s="1349"/>
      <c r="G103" s="288"/>
      <c r="H103" s="289"/>
      <c r="I103" s="303"/>
      <c r="J103" s="338"/>
      <c r="K103" s="303"/>
      <c r="L103" s="303"/>
      <c r="M103" s="303"/>
      <c r="N103" s="303"/>
      <c r="O103" s="303"/>
      <c r="P103" s="303"/>
      <c r="Q103" s="303"/>
      <c r="R103" s="303"/>
      <c r="S103" s="302"/>
      <c r="V103" s="291"/>
      <c r="W103" s="291"/>
      <c r="X103" s="291"/>
      <c r="Y103" s="292"/>
      <c r="Z103" s="291"/>
      <c r="AA103" s="291"/>
      <c r="AB103" s="291"/>
      <c r="AC103" s="292"/>
      <c r="AG103" s="293"/>
      <c r="AK103" s="294"/>
      <c r="AL103" s="295"/>
      <c r="AM103" s="295"/>
      <c r="AN103" s="296"/>
      <c r="AO103" s="297"/>
      <c r="AP103" s="298"/>
      <c r="AQ103" s="298"/>
      <c r="AR103" s="298"/>
      <c r="AS103" s="299"/>
      <c r="AT103" s="298"/>
      <c r="AU103" s="298"/>
      <c r="AV103" s="298"/>
      <c r="AW103" s="299"/>
      <c r="AX103" s="298"/>
      <c r="AY103" s="298"/>
      <c r="AZ103" s="315"/>
      <c r="BA103" s="316"/>
      <c r="BB103" s="298"/>
      <c r="BC103" s="298"/>
      <c r="BD103" s="315"/>
      <c r="BE103" s="315"/>
      <c r="BF103" s="304"/>
      <c r="CG103"/>
      <c r="CH103"/>
      <c r="CI103"/>
      <c r="CJ103"/>
      <c r="CK103"/>
      <c r="CL103"/>
    </row>
    <row r="104" spans="1:90">
      <c r="B104" s="236" t="s">
        <v>698</v>
      </c>
      <c r="C104" s="237"/>
      <c r="D104" s="237"/>
      <c r="E104" s="237"/>
      <c r="F104" s="237"/>
      <c r="G104" s="237"/>
      <c r="H104" s="237"/>
      <c r="I104" s="237"/>
      <c r="J104" s="1395"/>
      <c r="K104" s="1382"/>
      <c r="L104" s="237"/>
      <c r="M104" s="237"/>
      <c r="N104" s="237"/>
      <c r="O104" s="237"/>
      <c r="P104" s="237"/>
      <c r="Q104" s="237"/>
      <c r="R104" s="237"/>
      <c r="T104" s="237"/>
      <c r="V104" s="238"/>
      <c r="W104" s="238"/>
      <c r="X104" s="238"/>
      <c r="Y104" s="238"/>
      <c r="Z104" s="238"/>
      <c r="AA104" s="238"/>
      <c r="AB104" s="238"/>
      <c r="AC104" s="238"/>
      <c r="AD104" s="238"/>
      <c r="AE104" s="238"/>
      <c r="AF104" s="238"/>
      <c r="AG104" s="239"/>
      <c r="AH104" s="238"/>
      <c r="AI104" s="238"/>
      <c r="AJ104" s="238"/>
      <c r="AK104" s="239"/>
      <c r="AL104" s="238"/>
      <c r="AM104" s="238"/>
      <c r="AN104" s="238"/>
      <c r="AO104" s="239"/>
      <c r="AP104" s="238"/>
      <c r="AQ104" s="238"/>
      <c r="AR104" s="238"/>
      <c r="AS104" s="239"/>
      <c r="AT104" s="238"/>
      <c r="AU104" s="238"/>
      <c r="AV104" s="238"/>
      <c r="AW104" s="239"/>
      <c r="AX104" s="240"/>
      <c r="AY104" s="240"/>
      <c r="AZ104" s="240"/>
      <c r="BA104" s="1518"/>
      <c r="BB104" s="240"/>
      <c r="BC104" s="240"/>
      <c r="BD104" s="240"/>
      <c r="BE104" s="240"/>
      <c r="BG104" s="15"/>
      <c r="BJ104" s="454"/>
      <c r="BK104" s="454"/>
      <c r="BL104" s="454"/>
      <c r="BM104" s="454"/>
      <c r="BN104" s="454"/>
      <c r="BO104" s="454"/>
      <c r="BP104" s="454"/>
      <c r="BQ104" s="454"/>
    </row>
    <row r="105" spans="1:90" outlineLevel="1">
      <c r="B105" s="339" t="s">
        <v>646</v>
      </c>
      <c r="C105" s="340"/>
      <c r="D105" s="340"/>
      <c r="E105" s="340"/>
      <c r="F105" s="340"/>
      <c r="G105" s="340"/>
      <c r="H105" s="340"/>
      <c r="I105" s="341"/>
      <c r="J105" s="1396"/>
      <c r="K105" s="1245"/>
      <c r="L105" s="341"/>
      <c r="M105" s="341"/>
      <c r="N105" s="341"/>
      <c r="O105" s="341"/>
      <c r="P105" s="341"/>
      <c r="Q105" s="341"/>
      <c r="R105" s="341"/>
      <c r="S105" s="276"/>
      <c r="T105" s="340"/>
      <c r="V105" s="342"/>
      <c r="W105" s="342"/>
      <c r="X105" s="342"/>
      <c r="Y105" s="343"/>
      <c r="Z105" s="342"/>
      <c r="AA105" s="342"/>
      <c r="AB105" s="342"/>
      <c r="AC105" s="343"/>
      <c r="AD105" s="342"/>
      <c r="AE105" s="342"/>
      <c r="AF105" s="342"/>
      <c r="AG105" s="343"/>
      <c r="AH105" s="342"/>
      <c r="AI105" s="342"/>
      <c r="AJ105" s="342"/>
      <c r="AK105" s="343"/>
      <c r="AL105" s="344"/>
      <c r="AM105" s="344"/>
      <c r="AN105" s="344"/>
      <c r="AO105" s="343"/>
      <c r="AP105" s="342"/>
      <c r="AQ105" s="342"/>
      <c r="AR105" s="345"/>
      <c r="AS105" s="346"/>
      <c r="AT105" s="345"/>
      <c r="AU105" s="345"/>
      <c r="AV105" s="345"/>
      <c r="AW105" s="346"/>
      <c r="AX105" s="347"/>
      <c r="AY105" s="347"/>
      <c r="AZ105" s="347"/>
      <c r="BA105" s="1521"/>
      <c r="BB105" s="347"/>
      <c r="BC105" s="347"/>
      <c r="BD105" s="347"/>
      <c r="BE105" s="347"/>
      <c r="BF105" s="283"/>
      <c r="BG105" s="15"/>
      <c r="BJ105" s="454"/>
      <c r="BK105" s="454"/>
      <c r="BL105" s="454"/>
      <c r="BM105" s="454"/>
      <c r="BN105" s="454"/>
      <c r="BO105" s="454"/>
      <c r="BP105" s="454"/>
      <c r="BQ105" s="454"/>
    </row>
    <row r="106" spans="1:90" outlineLevel="1">
      <c r="B106" s="271" t="s">
        <v>731</v>
      </c>
      <c r="C106" s="348"/>
      <c r="E106" s="141">
        <f>AC106</f>
        <v>123</v>
      </c>
      <c r="F106" s="349">
        <f>AG106</f>
        <v>172</v>
      </c>
      <c r="G106" s="349">
        <f>AK106</f>
        <v>255</v>
      </c>
      <c r="H106" s="350">
        <f>AO106</f>
        <v>350</v>
      </c>
      <c r="I106" s="350">
        <f>AS106</f>
        <v>423</v>
      </c>
      <c r="J106" s="670">
        <f>AW106</f>
        <v>454</v>
      </c>
      <c r="K106" s="351">
        <f t="shared" ref="K106:R106" si="180">J106*(1+K107)</f>
        <v>503.94000000000005</v>
      </c>
      <c r="L106" s="351">
        <f t="shared" si="180"/>
        <v>549.29460000000006</v>
      </c>
      <c r="M106" s="351">
        <f t="shared" si="180"/>
        <v>587.74522200000013</v>
      </c>
      <c r="N106" s="351">
        <f t="shared" si="180"/>
        <v>624.77317098600008</v>
      </c>
      <c r="O106" s="351">
        <f t="shared" si="180"/>
        <v>660.19780978090625</v>
      </c>
      <c r="P106" s="351">
        <f t="shared" si="180"/>
        <v>693.88770401402587</v>
      </c>
      <c r="Q106" s="351">
        <f t="shared" si="180"/>
        <v>725.75588459627807</v>
      </c>
      <c r="R106" s="351">
        <f t="shared" si="180"/>
        <v>755.75449605694598</v>
      </c>
      <c r="T106" s="15">
        <f>(M106/J106)^(1/3)-1</f>
        <v>8.9877662110704248E-2</v>
      </c>
      <c r="Z106" s="352">
        <v>98</v>
      </c>
      <c r="AA106" s="352">
        <v>102</v>
      </c>
      <c r="AB106" s="352">
        <v>114</v>
      </c>
      <c r="AC106" s="353">
        <v>123</v>
      </c>
      <c r="AD106" s="352">
        <v>133</v>
      </c>
      <c r="AE106" s="352">
        <v>145</v>
      </c>
      <c r="AF106" s="352">
        <v>160</v>
      </c>
      <c r="AG106" s="353">
        <v>172</v>
      </c>
      <c r="AH106" s="352">
        <v>185</v>
      </c>
      <c r="AI106" s="352">
        <v>202</v>
      </c>
      <c r="AJ106" s="352">
        <v>231</v>
      </c>
      <c r="AK106" s="353">
        <v>255</v>
      </c>
      <c r="AL106" s="352">
        <v>279</v>
      </c>
      <c r="AM106" s="354">
        <v>307</v>
      </c>
      <c r="AN106" s="354">
        <v>334</v>
      </c>
      <c r="AO106" s="355">
        <v>350</v>
      </c>
      <c r="AP106" s="309">
        <f>Reported!P6</f>
        <v>367</v>
      </c>
      <c r="AQ106" s="309">
        <f>Reported!Q6</f>
        <v>386</v>
      </c>
      <c r="AR106" s="309">
        <f>Reported!R6</f>
        <v>407</v>
      </c>
      <c r="AS106" s="310">
        <f>Reported!S6</f>
        <v>423</v>
      </c>
      <c r="AT106" s="309">
        <f>Reported!T6</f>
        <v>434</v>
      </c>
      <c r="AU106" s="309">
        <f>Reported!U6</f>
        <v>439</v>
      </c>
      <c r="AV106" s="309">
        <f>Reported!V6</f>
        <v>443</v>
      </c>
      <c r="AW106" s="310">
        <f>Reported!W6</f>
        <v>454</v>
      </c>
      <c r="AX106" s="309">
        <f>Reported!X6</f>
        <v>466</v>
      </c>
      <c r="AY106" s="309">
        <f>Reported!Y6</f>
        <v>488</v>
      </c>
      <c r="AZ106" s="309">
        <f>Reported!Z6</f>
        <v>515</v>
      </c>
      <c r="BA106" s="1522">
        <f>K106</f>
        <v>503.94000000000005</v>
      </c>
      <c r="BB106" s="356">
        <f>BA106*(1+BB108)</f>
        <v>514.52274</v>
      </c>
      <c r="BC106" s="356">
        <f>BB106*(1+BC108)</f>
        <v>523.26962657999991</v>
      </c>
      <c r="BD106" s="356">
        <f>BC106*(1+BD108)</f>
        <v>536.3513672444999</v>
      </c>
      <c r="BE106" s="356">
        <f>L106</f>
        <v>549.29460000000006</v>
      </c>
      <c r="BF106" s="41"/>
      <c r="BG106" s="15"/>
      <c r="BJ106" s="489">
        <f t="shared" ref="BJ106:BK106" si="181">E106*0.25+F106*0.75</f>
        <v>159.75</v>
      </c>
      <c r="BK106" s="489">
        <f t="shared" si="181"/>
        <v>234.25</v>
      </c>
      <c r="BL106" s="489">
        <f t="shared" ref="BL106" si="182">G106*0.25+H106*0.75</f>
        <v>326.25</v>
      </c>
      <c r="BM106" s="489">
        <f t="shared" ref="BM106" si="183">H106*0.25+I106*0.75</f>
        <v>404.75</v>
      </c>
      <c r="BN106" s="489">
        <f t="shared" ref="BN106" si="184">I106*0.25+J106*0.75</f>
        <v>446.25</v>
      </c>
      <c r="BO106" s="489">
        <f t="shared" ref="BO106" si="185">J106*0.25+K106*0.75</f>
        <v>491.45500000000004</v>
      </c>
      <c r="BP106" s="489">
        <f t="shared" ref="BP106" si="186">K106*0.25+L106*0.75</f>
        <v>537.95595000000003</v>
      </c>
      <c r="BQ106" s="489">
        <f t="shared" ref="BQ106" si="187">L106*0.25+M106*0.75</f>
        <v>578.13256650000017</v>
      </c>
    </row>
    <row r="107" spans="1:90" outlineLevel="1">
      <c r="B107" s="357" t="s">
        <v>80</v>
      </c>
      <c r="C107" s="348"/>
      <c r="F107" s="252">
        <f>F106/E106-1</f>
        <v>0.39837398373983746</v>
      </c>
      <c r="G107" s="252">
        <f>G106/F106-1</f>
        <v>0.48255813953488369</v>
      </c>
      <c r="H107" s="252">
        <f>H106/G106-1</f>
        <v>0.37254901960784315</v>
      </c>
      <c r="I107" s="252">
        <f>I106/H106-1</f>
        <v>0.20857142857142863</v>
      </c>
      <c r="J107" s="253">
        <f>J106/I106-1</f>
        <v>7.328605200945626E-2</v>
      </c>
      <c r="K107" s="358">
        <f>Scenario!K64</f>
        <v>0.11</v>
      </c>
      <c r="L107" s="358">
        <f>Scenario!L64</f>
        <v>0.09</v>
      </c>
      <c r="M107" s="358">
        <f>Scenario!M64</f>
        <v>7.0000000000000007E-2</v>
      </c>
      <c r="N107" s="358">
        <f>Scenario!N64</f>
        <v>6.3000000000000014E-2</v>
      </c>
      <c r="O107" s="358">
        <f>Scenario!O64</f>
        <v>5.6700000000000014E-2</v>
      </c>
      <c r="P107" s="358">
        <f>Scenario!P64</f>
        <v>5.1030000000000013E-2</v>
      </c>
      <c r="Q107" s="358">
        <f>Scenario!Q64</f>
        <v>4.5927000000000009E-2</v>
      </c>
      <c r="R107" s="358">
        <f>Scenario!R64</f>
        <v>4.1334300000000011E-2</v>
      </c>
      <c r="AD107" s="352"/>
      <c r="AE107" s="142"/>
      <c r="AF107" s="142"/>
      <c r="AG107" s="359"/>
      <c r="AH107" s="142">
        <f t="shared" ref="AH107:BA107" si="188">AH106/AD106-1</f>
        <v>0.39097744360902253</v>
      </c>
      <c r="AI107" s="142">
        <f t="shared" si="188"/>
        <v>0.39310344827586197</v>
      </c>
      <c r="AJ107" s="142">
        <f t="shared" si="188"/>
        <v>0.44375000000000009</v>
      </c>
      <c r="AK107" s="359">
        <f t="shared" si="188"/>
        <v>0.48255813953488369</v>
      </c>
      <c r="AL107" s="142">
        <f t="shared" si="188"/>
        <v>0.50810810810810803</v>
      </c>
      <c r="AM107" s="142">
        <f t="shared" si="188"/>
        <v>0.51980198019801982</v>
      </c>
      <c r="AN107" s="142">
        <f t="shared" si="188"/>
        <v>0.44588744588744578</v>
      </c>
      <c r="AO107" s="359">
        <f t="shared" si="188"/>
        <v>0.37254901960784315</v>
      </c>
      <c r="AP107" s="142">
        <f t="shared" si="188"/>
        <v>0.31541218637992841</v>
      </c>
      <c r="AQ107" s="142">
        <f t="shared" si="188"/>
        <v>0.25732899022801292</v>
      </c>
      <c r="AR107" s="142">
        <f t="shared" si="188"/>
        <v>0.2185628742514969</v>
      </c>
      <c r="AS107" s="359">
        <f t="shared" si="188"/>
        <v>0.20857142857142863</v>
      </c>
      <c r="AT107" s="142">
        <f t="shared" si="188"/>
        <v>0.18256130790190728</v>
      </c>
      <c r="AU107" s="142">
        <f t="shared" si="188"/>
        <v>0.13730569948186533</v>
      </c>
      <c r="AV107" s="142">
        <f t="shared" si="188"/>
        <v>8.8452088452088518E-2</v>
      </c>
      <c r="AW107" s="359">
        <f t="shared" si="188"/>
        <v>7.328605200945626E-2</v>
      </c>
      <c r="AX107" s="286">
        <f t="shared" si="188"/>
        <v>7.3732718894009119E-2</v>
      </c>
      <c r="AY107" s="286">
        <f t="shared" si="188"/>
        <v>0.11161731207289294</v>
      </c>
      <c r="AZ107" s="286">
        <f t="shared" si="188"/>
        <v>0.16252821670428896</v>
      </c>
      <c r="BA107" s="287">
        <f t="shared" si="188"/>
        <v>0.1100000000000001</v>
      </c>
      <c r="BB107" s="286">
        <f>BB106/AX106-1</f>
        <v>0.10412605150214582</v>
      </c>
      <c r="BC107" s="286">
        <f>BC106/AY106-1</f>
        <v>7.2273824959016242E-2</v>
      </c>
      <c r="BD107" s="286">
        <f>BD106/AZ106-1</f>
        <v>4.1458965523300861E-2</v>
      </c>
      <c r="BE107" s="286">
        <f>BE106/BA106-1</f>
        <v>9.000000000000008E-2</v>
      </c>
      <c r="BF107" s="142"/>
      <c r="BG107" s="15"/>
    </row>
    <row r="108" spans="1:90" outlineLevel="1">
      <c r="B108" s="357" t="s">
        <v>81</v>
      </c>
      <c r="C108" s="348"/>
      <c r="F108" s="352"/>
      <c r="G108" s="352"/>
      <c r="H108" s="360"/>
      <c r="AD108" s="352"/>
      <c r="AE108" s="142">
        <f t="shared" ref="AE108:AZ108" si="189">AE106/AD106-1</f>
        <v>9.0225563909774431E-2</v>
      </c>
      <c r="AF108" s="142">
        <f t="shared" si="189"/>
        <v>0.10344827586206895</v>
      </c>
      <c r="AG108" s="359">
        <f t="shared" si="189"/>
        <v>7.4999999999999956E-2</v>
      </c>
      <c r="AH108" s="142">
        <f t="shared" si="189"/>
        <v>7.5581395348837122E-2</v>
      </c>
      <c r="AI108" s="142">
        <f t="shared" si="189"/>
        <v>9.1891891891891841E-2</v>
      </c>
      <c r="AJ108" s="142">
        <f t="shared" si="189"/>
        <v>0.14356435643564347</v>
      </c>
      <c r="AK108" s="359">
        <f t="shared" si="189"/>
        <v>0.10389610389610393</v>
      </c>
      <c r="AL108" s="142">
        <f t="shared" si="189"/>
        <v>9.4117647058823639E-2</v>
      </c>
      <c r="AM108" s="142">
        <f t="shared" si="189"/>
        <v>0.10035842293906816</v>
      </c>
      <c r="AN108" s="252">
        <f t="shared" si="189"/>
        <v>8.7947882736156391E-2</v>
      </c>
      <c r="AO108" s="253">
        <f t="shared" si="189"/>
        <v>4.7904191616766401E-2</v>
      </c>
      <c r="AP108" s="252">
        <f t="shared" si="189"/>
        <v>4.8571428571428488E-2</v>
      </c>
      <c r="AQ108" s="252">
        <f t="shared" si="189"/>
        <v>5.1771117166212521E-2</v>
      </c>
      <c r="AR108" s="252">
        <f t="shared" si="189"/>
        <v>5.4404145077720178E-2</v>
      </c>
      <c r="AS108" s="253">
        <f t="shared" si="189"/>
        <v>3.9312039312039415E-2</v>
      </c>
      <c r="AT108" s="252">
        <f t="shared" si="189"/>
        <v>2.6004728132387633E-2</v>
      </c>
      <c r="AU108" s="252">
        <f t="shared" si="189"/>
        <v>1.1520737327188835E-2</v>
      </c>
      <c r="AV108" s="252">
        <f t="shared" si="189"/>
        <v>9.1116173120728838E-3</v>
      </c>
      <c r="AW108" s="253">
        <f t="shared" si="189"/>
        <v>2.483069977426644E-2</v>
      </c>
      <c r="AX108" s="252">
        <f t="shared" si="189"/>
        <v>2.6431718061673992E-2</v>
      </c>
      <c r="AY108" s="252">
        <f t="shared" si="189"/>
        <v>4.7210300429184615E-2</v>
      </c>
      <c r="AZ108" s="252">
        <f t="shared" si="189"/>
        <v>5.5327868852458995E-2</v>
      </c>
      <c r="BA108" s="479">
        <f>BA106/AZ106-1</f>
        <v>-2.1475728155339713E-2</v>
      </c>
      <c r="BB108" s="361">
        <v>2.1000000000000001E-2</v>
      </c>
      <c r="BC108" s="361">
        <v>1.7000000000000001E-2</v>
      </c>
      <c r="BD108" s="361">
        <v>2.5000000000000001E-2</v>
      </c>
      <c r="BE108" s="362">
        <f>BE106/BD106-1</f>
        <v>2.4132002910696171E-2</v>
      </c>
      <c r="BF108" s="436"/>
      <c r="BG108" s="15"/>
    </row>
    <row r="109" spans="1:90" outlineLevel="1">
      <c r="B109" s="357"/>
      <c r="C109" s="348"/>
      <c r="F109" s="352"/>
      <c r="G109" s="352"/>
      <c r="H109" s="360"/>
      <c r="AD109" s="352"/>
      <c r="AE109" s="142"/>
      <c r="AF109" s="142"/>
      <c r="AG109" s="359"/>
      <c r="AH109" s="142"/>
      <c r="AI109" s="142"/>
      <c r="AJ109" s="142"/>
      <c r="AK109" s="359"/>
      <c r="AL109" s="142"/>
      <c r="AM109" s="142"/>
      <c r="AN109" s="252"/>
      <c r="AO109" s="253"/>
      <c r="AP109" s="252"/>
      <c r="AQ109" s="252"/>
      <c r="AR109" s="252"/>
      <c r="AS109" s="253"/>
      <c r="AT109" s="252"/>
      <c r="AU109" s="252"/>
      <c r="AV109" s="252"/>
      <c r="AW109" s="253"/>
      <c r="AX109" s="252"/>
      <c r="AY109" s="252"/>
      <c r="AZ109" s="252"/>
      <c r="BA109" s="479"/>
      <c r="BB109" s="361"/>
      <c r="BC109" s="361"/>
      <c r="BD109" s="361"/>
      <c r="BE109" s="362"/>
      <c r="BF109" s="436"/>
      <c r="BG109" s="15"/>
    </row>
    <row r="110" spans="1:90" outlineLevel="1">
      <c r="B110" s="271" t="s">
        <v>420</v>
      </c>
      <c r="C110" s="348"/>
      <c r="E110" s="41">
        <f t="shared" ref="E110:J110" si="190">E114/E106*1000</f>
        <v>5390.2439024390251</v>
      </c>
      <c r="F110" s="41">
        <f t="shared" si="190"/>
        <v>6262.6104651162796</v>
      </c>
      <c r="G110" s="41">
        <f t="shared" si="190"/>
        <v>6580.3921568627447</v>
      </c>
      <c r="H110" s="41">
        <f t="shared" si="190"/>
        <v>6982.8571428571431</v>
      </c>
      <c r="I110" s="41">
        <f t="shared" si="190"/>
        <v>7309.6926713947996</v>
      </c>
      <c r="J110" s="363">
        <f t="shared" si="190"/>
        <v>8297.3568281938315</v>
      </c>
      <c r="K110" s="356">
        <f t="shared" ref="K110:R110" si="191">J110*(1+K111)</f>
        <v>9583.4471365638747</v>
      </c>
      <c r="L110" s="356">
        <f t="shared" si="191"/>
        <v>10925.129735682818</v>
      </c>
      <c r="M110" s="356">
        <f t="shared" si="191"/>
        <v>12236.145303964757</v>
      </c>
      <c r="N110" s="356">
        <f t="shared" si="191"/>
        <v>13587.015745522467</v>
      </c>
      <c r="O110" s="356">
        <f t="shared" si="191"/>
        <v>14967.021760763695</v>
      </c>
      <c r="P110" s="356">
        <f t="shared" si="191"/>
        <v>16365.578589665161</v>
      </c>
      <c r="Q110" s="356">
        <f t="shared" si="191"/>
        <v>17741.895993034716</v>
      </c>
      <c r="R110" s="356">
        <f t="shared" si="191"/>
        <v>19084.75301951747</v>
      </c>
      <c r="T110" s="15">
        <f>(M110/J110)^(1/3)-1</f>
        <v>0.13824290720272092</v>
      </c>
      <c r="Z110" s="41">
        <f t="shared" ref="Z110:BA110" si="192">Z114/Z106*1000</f>
        <v>1336.7346938775511</v>
      </c>
      <c r="AA110" s="41">
        <f t="shared" si="192"/>
        <v>1382.3529411764705</v>
      </c>
      <c r="AB110" s="41">
        <f t="shared" si="192"/>
        <v>1868.421052631579</v>
      </c>
      <c r="AC110" s="363">
        <f t="shared" si="192"/>
        <v>1447.1544715447155</v>
      </c>
      <c r="AD110" s="41">
        <f t="shared" si="192"/>
        <v>1573.0902255639098</v>
      </c>
      <c r="AE110" s="41">
        <f t="shared" si="192"/>
        <v>1572.8827586206896</v>
      </c>
      <c r="AF110" s="41">
        <f t="shared" si="192"/>
        <v>2160.6</v>
      </c>
      <c r="AG110" s="363">
        <f t="shared" si="192"/>
        <v>1710.372093023256</v>
      </c>
      <c r="AH110" s="41">
        <f t="shared" si="192"/>
        <v>1865.5891891891893</v>
      </c>
      <c r="AI110" s="41">
        <f t="shared" si="192"/>
        <v>1849.7970297029701</v>
      </c>
      <c r="AJ110" s="41">
        <f t="shared" si="192"/>
        <v>2288.7835497835495</v>
      </c>
      <c r="AK110" s="363">
        <f t="shared" si="192"/>
        <v>1686.6078431372548</v>
      </c>
      <c r="AL110" s="41">
        <f t="shared" si="192"/>
        <v>1795.3978494623655</v>
      </c>
      <c r="AM110" s="41">
        <f t="shared" si="192"/>
        <v>1809.9869706840393</v>
      </c>
      <c r="AN110" s="41">
        <f t="shared" si="192"/>
        <v>2356.4281437125751</v>
      </c>
      <c r="AO110" s="363">
        <f t="shared" si="192"/>
        <v>1714.5485714285712</v>
      </c>
      <c r="AP110" s="41">
        <f t="shared" si="192"/>
        <v>1833.7874659400545</v>
      </c>
      <c r="AQ110" s="41">
        <f t="shared" si="192"/>
        <v>1847.1502590673574</v>
      </c>
      <c r="AR110" s="41">
        <f t="shared" si="192"/>
        <v>2368.5503685503686</v>
      </c>
      <c r="AS110" s="363">
        <f t="shared" si="192"/>
        <v>1754.1371158392435</v>
      </c>
      <c r="AT110" s="41">
        <f t="shared" si="192"/>
        <v>1928.5714285714287</v>
      </c>
      <c r="AU110" s="41">
        <f t="shared" si="192"/>
        <v>1932.7334851936218</v>
      </c>
      <c r="AV110" s="41">
        <f t="shared" si="192"/>
        <v>2611.2866817155755</v>
      </c>
      <c r="AW110" s="363">
        <f t="shared" si="192"/>
        <v>2036.8502202643181</v>
      </c>
      <c r="AX110" s="41">
        <f t="shared" si="192"/>
        <v>2370.9012875536482</v>
      </c>
      <c r="AY110" s="41">
        <f t="shared" si="192"/>
        <v>2329.815163934426</v>
      </c>
      <c r="AZ110" s="41">
        <f t="shared" ref="AZ110" si="193">AZ114/AZ106*1000</f>
        <v>2785.304854368932</v>
      </c>
      <c r="BA110" s="363">
        <f t="shared" si="192"/>
        <v>2288.4878160098406</v>
      </c>
      <c r="BB110" s="41">
        <f>BB114/BB106*1000</f>
        <v>2727.0841323747914</v>
      </c>
      <c r="BC110" s="41">
        <f>BC114/BC106*1000</f>
        <v>2672.5194487973945</v>
      </c>
      <c r="BD110" s="41">
        <f>BD114/BD106*1000</f>
        <v>3289.543884383736</v>
      </c>
      <c r="BE110" s="41">
        <f>BE114/BE106*1000</f>
        <v>2612.7479755125923</v>
      </c>
      <c r="BF110" s="41"/>
      <c r="BG110" s="15"/>
    </row>
    <row r="111" spans="1:90" s="15" customFormat="1" outlineLevel="1">
      <c r="A111" s="1342"/>
      <c r="B111" s="954" t="s">
        <v>80</v>
      </c>
      <c r="C111" s="531"/>
      <c r="F111" s="142">
        <f>F110/E110-1</f>
        <v>0.16184176049668531</v>
      </c>
      <c r="G111" s="142">
        <f>G110/F110-1</f>
        <v>5.0742688455007512E-2</v>
      </c>
      <c r="H111" s="142">
        <f>H110/G110-1</f>
        <v>6.1161246381747025E-2</v>
      </c>
      <c r="I111" s="142">
        <f>I110/H110-1</f>
        <v>4.6805415297945796E-2</v>
      </c>
      <c r="J111" s="359">
        <f>J110/I110-1</f>
        <v>0.13511705637968641</v>
      </c>
      <c r="K111" s="1555">
        <f>Scenario!K67</f>
        <v>0.155</v>
      </c>
      <c r="L111" s="1555">
        <f>Scenario!L67</f>
        <v>0.14000000000000001</v>
      </c>
      <c r="M111" s="1555">
        <f>Scenario!M67</f>
        <v>0.12</v>
      </c>
      <c r="N111" s="1555">
        <f>Scenario!N67</f>
        <v>0.1104</v>
      </c>
      <c r="O111" s="1555">
        <f>Scenario!O67</f>
        <v>0.10156800000000001</v>
      </c>
      <c r="P111" s="1555">
        <f>Scenario!P67</f>
        <v>9.3442560000000008E-2</v>
      </c>
      <c r="Q111" s="1555">
        <f>Scenario!Q67</f>
        <v>8.4098304000000013E-2</v>
      </c>
      <c r="R111" s="1555">
        <f>Scenario!R67</f>
        <v>7.5688473600000014E-2</v>
      </c>
      <c r="V111" s="142"/>
      <c r="W111" s="142"/>
      <c r="X111" s="142"/>
      <c r="Y111" s="359"/>
      <c r="Z111" s="142"/>
      <c r="AA111" s="142"/>
      <c r="AB111" s="142"/>
      <c r="AC111" s="359"/>
      <c r="AD111" s="142">
        <f t="shared" ref="AD111:BA111" si="194">AD110/Z110-1</f>
        <v>0.17681558858979507</v>
      </c>
      <c r="AE111" s="142">
        <f t="shared" si="194"/>
        <v>0.13783008070432867</v>
      </c>
      <c r="AF111" s="142">
        <f t="shared" si="194"/>
        <v>0.15637746478873238</v>
      </c>
      <c r="AG111" s="359">
        <f t="shared" si="194"/>
        <v>0.18188633394303633</v>
      </c>
      <c r="AH111" s="142">
        <f t="shared" si="194"/>
        <v>0.185939089107509</v>
      </c>
      <c r="AI111" s="142">
        <f t="shared" si="194"/>
        <v>0.17605525241125752</v>
      </c>
      <c r="AJ111" s="142">
        <f t="shared" si="194"/>
        <v>5.9327756078658478E-2</v>
      </c>
      <c r="AK111" s="359">
        <f t="shared" si="194"/>
        <v>-1.3894198802083757E-2</v>
      </c>
      <c r="AL111" s="142">
        <f t="shared" si="194"/>
        <v>-3.7624220880766335E-2</v>
      </c>
      <c r="AM111" s="142">
        <f t="shared" si="194"/>
        <v>-2.1521312003254356E-2</v>
      </c>
      <c r="AN111" s="142">
        <f t="shared" si="194"/>
        <v>2.9554823537342623E-2</v>
      </c>
      <c r="AO111" s="359">
        <f t="shared" si="194"/>
        <v>1.6566226941850282E-2</v>
      </c>
      <c r="AP111" s="142">
        <f t="shared" si="194"/>
        <v>2.1382233742334611E-2</v>
      </c>
      <c r="AQ111" s="142">
        <f t="shared" si="194"/>
        <v>2.0532351329177301E-2</v>
      </c>
      <c r="AR111" s="142">
        <f t="shared" si="194"/>
        <v>5.1443218712770022E-3</v>
      </c>
      <c r="AS111" s="359">
        <f t="shared" si="194"/>
        <v>2.3089777140397283E-2</v>
      </c>
      <c r="AT111" s="142">
        <f t="shared" si="194"/>
        <v>5.1687539800467031E-2</v>
      </c>
      <c r="AU111" s="142">
        <f t="shared" si="194"/>
        <v>4.6332574031890728E-2</v>
      </c>
      <c r="AV111" s="142">
        <f t="shared" si="194"/>
        <v>0.10248306997742662</v>
      </c>
      <c r="AW111" s="359">
        <f t="shared" si="194"/>
        <v>0.16116933042022441</v>
      </c>
      <c r="AX111" s="286">
        <f t="shared" si="194"/>
        <v>0.2293562231759656</v>
      </c>
      <c r="AY111" s="286">
        <f t="shared" si="194"/>
        <v>0.20545081967213097</v>
      </c>
      <c r="AZ111" s="286">
        <f t="shared" si="194"/>
        <v>6.6640776699029125E-2</v>
      </c>
      <c r="BA111" s="287">
        <f t="shared" si="194"/>
        <v>0.12354251345632483</v>
      </c>
      <c r="BB111" s="286">
        <f>BB110/AX110-1</f>
        <v>0.15023098881888108</v>
      </c>
      <c r="BC111" s="286">
        <f>BC110/AY110-1</f>
        <v>0.14709505293296909</v>
      </c>
      <c r="BD111" s="286">
        <f>BD110/AZ110-1</f>
        <v>0.18103549032482835</v>
      </c>
      <c r="BE111" s="286">
        <f>BE110/BA110-1</f>
        <v>0.14169188808185362</v>
      </c>
      <c r="BF111" s="142"/>
      <c r="CG111"/>
      <c r="CH111"/>
      <c r="CI111"/>
      <c r="CJ111"/>
      <c r="CK111"/>
      <c r="CL111"/>
    </row>
    <row r="112" spans="1:90" outlineLevel="1">
      <c r="B112" s="357" t="s">
        <v>81</v>
      </c>
      <c r="C112" s="348"/>
      <c r="F112" s="41"/>
      <c r="G112" s="41"/>
      <c r="T112" s="15"/>
      <c r="AA112" s="142">
        <f t="shared" ref="AA112:BA112" si="195">AA110/Z110-1</f>
        <v>3.4126627750336702E-2</v>
      </c>
      <c r="AB112" s="142">
        <f t="shared" si="195"/>
        <v>0.35162374020156784</v>
      </c>
      <c r="AC112" s="359">
        <f t="shared" si="195"/>
        <v>-0.22546662086339164</v>
      </c>
      <c r="AD112" s="142">
        <f t="shared" si="195"/>
        <v>8.7023021035735448E-2</v>
      </c>
      <c r="AE112" s="142">
        <f t="shared" si="195"/>
        <v>-1.3188496110949632E-4</v>
      </c>
      <c r="AF112" s="142">
        <f t="shared" si="195"/>
        <v>0.37365610256590132</v>
      </c>
      <c r="AG112" s="359">
        <f t="shared" si="195"/>
        <v>-0.20838096222194946</v>
      </c>
      <c r="AH112" s="142">
        <f t="shared" si="195"/>
        <v>9.0750484528528075E-2</v>
      </c>
      <c r="AI112" s="142">
        <f t="shared" si="195"/>
        <v>-8.4649715906011114E-3</v>
      </c>
      <c r="AJ112" s="142">
        <f t="shared" si="195"/>
        <v>0.2373160476698728</v>
      </c>
      <c r="AK112" s="359">
        <f t="shared" si="195"/>
        <v>-0.26309858208446246</v>
      </c>
      <c r="AL112" s="142">
        <f t="shared" si="195"/>
        <v>6.4502253305516843E-2</v>
      </c>
      <c r="AM112" s="142">
        <f t="shared" si="195"/>
        <v>8.1258430971400397E-3</v>
      </c>
      <c r="AN112" s="142">
        <f t="shared" si="195"/>
        <v>0.30190337382485244</v>
      </c>
      <c r="AO112" s="359">
        <f t="shared" si="195"/>
        <v>-0.27239513922657388</v>
      </c>
      <c r="AP112" s="142">
        <f t="shared" si="195"/>
        <v>6.9545358176778205E-2</v>
      </c>
      <c r="AQ112" s="142">
        <f t="shared" si="195"/>
        <v>7.2869912001785053E-3</v>
      </c>
      <c r="AR112" s="142">
        <f t="shared" si="195"/>
        <v>0.28227271004269605</v>
      </c>
      <c r="AS112" s="359">
        <f t="shared" si="195"/>
        <v>-0.25940476540812019</v>
      </c>
      <c r="AT112" s="142">
        <f t="shared" si="195"/>
        <v>9.9441663457836116E-2</v>
      </c>
      <c r="AU112" s="142">
        <f t="shared" si="195"/>
        <v>2.1581034337296856E-3</v>
      </c>
      <c r="AV112" s="142">
        <f t="shared" si="195"/>
        <v>0.3510847210545307</v>
      </c>
      <c r="AW112" s="359">
        <f t="shared" si="195"/>
        <v>-0.21998215112630282</v>
      </c>
      <c r="AX112" s="286">
        <f t="shared" si="195"/>
        <v>0.16400374655235139</v>
      </c>
      <c r="AY112" s="286">
        <f t="shared" si="195"/>
        <v>-1.732932696730527E-2</v>
      </c>
      <c r="AZ112" s="286">
        <f t="shared" si="195"/>
        <v>0.19550464667132972</v>
      </c>
      <c r="BA112" s="287">
        <f t="shared" si="195"/>
        <v>-0.17837079398321576</v>
      </c>
      <c r="BB112" s="286">
        <f>BB110/BA110-1</f>
        <v>0.19165333251792371</v>
      </c>
      <c r="BC112" s="286">
        <f>BC110/BB110-1</f>
        <v>-2.0008434257538288E-2</v>
      </c>
      <c r="BD112" s="286">
        <f>BD110/BC110-1</f>
        <v>0.23087743509743053</v>
      </c>
      <c r="BE112" s="286">
        <f>BE110/BD110-1</f>
        <v>-0.20574156559639112</v>
      </c>
      <c r="BF112" s="142"/>
      <c r="BG112" s="15"/>
    </row>
    <row r="113" spans="1:90" outlineLevel="1">
      <c r="B113" s="357"/>
      <c r="C113" s="348"/>
      <c r="F113" s="41"/>
      <c r="G113" s="41"/>
      <c r="T113" s="15"/>
      <c r="AA113" s="142"/>
      <c r="AB113" s="142"/>
      <c r="AC113" s="359"/>
      <c r="AD113" s="142"/>
      <c r="AE113" s="142"/>
      <c r="AF113" s="142"/>
      <c r="AG113" s="359"/>
      <c r="AH113" s="142"/>
      <c r="AI113" s="142"/>
      <c r="AJ113" s="142"/>
      <c r="AK113" s="359"/>
      <c r="AL113" s="142"/>
      <c r="AM113" s="142"/>
      <c r="AN113" s="142"/>
      <c r="AO113" s="359"/>
      <c r="AP113" s="142"/>
      <c r="AQ113" s="142"/>
      <c r="AR113" s="142"/>
      <c r="AS113" s="359"/>
      <c r="AT113" s="142"/>
      <c r="AU113" s="142"/>
      <c r="AV113" s="142"/>
      <c r="AW113" s="359"/>
      <c r="AX113" s="286"/>
      <c r="AY113" s="286"/>
      <c r="AZ113" s="286"/>
      <c r="BA113" s="287"/>
      <c r="BB113" s="286"/>
      <c r="BC113" s="286"/>
      <c r="BD113" s="286"/>
      <c r="BE113" s="286"/>
      <c r="BF113" s="142"/>
      <c r="BG113" s="15"/>
    </row>
    <row r="114" spans="1:90" s="13" customFormat="1" outlineLevel="1">
      <c r="A114" s="1349"/>
      <c r="B114" s="13" t="s">
        <v>430</v>
      </c>
      <c r="C114" s="364">
        <f>C162/C207/1000</f>
        <v>259.44444444444446</v>
      </c>
      <c r="D114" s="364">
        <f>D162/D207/1000</f>
        <v>496</v>
      </c>
      <c r="E114" s="365">
        <f>SUM(Z114:AC114)</f>
        <v>663</v>
      </c>
      <c r="F114" s="365">
        <f>SUM(AD114:AG114)</f>
        <v>1077.1690000000001</v>
      </c>
      <c r="G114" s="364">
        <f>Reported!B33</f>
        <v>1678</v>
      </c>
      <c r="H114" s="364">
        <f>Reported!C33</f>
        <v>2444</v>
      </c>
      <c r="I114" s="364">
        <f>Reported!D33</f>
        <v>3092</v>
      </c>
      <c r="J114" s="521">
        <f>Reported!E33</f>
        <v>3767</v>
      </c>
      <c r="K114" s="366">
        <f t="shared" ref="K114:R114" si="196">K106*K110/1000</f>
        <v>4829.4823499999993</v>
      </c>
      <c r="L114" s="366">
        <f t="shared" si="196"/>
        <v>6001.1147681099992</v>
      </c>
      <c r="M114" s="366">
        <f t="shared" si="196"/>
        <v>7191.7359381030246</v>
      </c>
      <c r="N114" s="366">
        <f t="shared" si="196"/>
        <v>8488.802911566785</v>
      </c>
      <c r="O114" s="366">
        <f t="shared" si="196"/>
        <v>9881.1949853993538</v>
      </c>
      <c r="P114" s="366">
        <f t="shared" si="196"/>
        <v>11355.87375244386</v>
      </c>
      <c r="Q114" s="366">
        <f t="shared" si="196"/>
        <v>12876.285420840071</v>
      </c>
      <c r="R114" s="366">
        <f t="shared" si="196"/>
        <v>14423.387900636702</v>
      </c>
      <c r="S114" s="365"/>
      <c r="T114" s="15">
        <f>(M114/J114)^(1/3)-1</f>
        <v>0.24054551861619267</v>
      </c>
      <c r="V114" s="367">
        <f>Z114/(1+Z115)</f>
        <v>81.875</v>
      </c>
      <c r="W114" s="367">
        <f>AA114/(1+AA115)</f>
        <v>88.125</v>
      </c>
      <c r="X114" s="367">
        <f>AB114/(1+AB115)</f>
        <v>133.125</v>
      </c>
      <c r="Y114" s="368">
        <f>D114-SUM(V114:X114)</f>
        <v>192.875</v>
      </c>
      <c r="Z114" s="369">
        <v>131</v>
      </c>
      <c r="AA114" s="369">
        <v>141</v>
      </c>
      <c r="AB114" s="369">
        <v>213</v>
      </c>
      <c r="AC114" s="370">
        <v>178</v>
      </c>
      <c r="AD114" s="369">
        <v>209.221</v>
      </c>
      <c r="AE114" s="369">
        <v>228.06800000000001</v>
      </c>
      <c r="AF114" s="369">
        <v>345.69600000000003</v>
      </c>
      <c r="AG114" s="370">
        <v>294.18400000000003</v>
      </c>
      <c r="AH114" s="259">
        <f t="shared" ref="AH114:AT114" si="197">AH120+AH121</f>
        <v>345.13400000000001</v>
      </c>
      <c r="AI114" s="259">
        <f t="shared" si="197"/>
        <v>373.65899999999999</v>
      </c>
      <c r="AJ114" s="259">
        <f t="shared" si="197"/>
        <v>528.70899999999995</v>
      </c>
      <c r="AK114" s="260">
        <f t="shared" si="197"/>
        <v>430.08499999999998</v>
      </c>
      <c r="AL114" s="259">
        <f t="shared" si="197"/>
        <v>500.916</v>
      </c>
      <c r="AM114" s="259">
        <f t="shared" si="197"/>
        <v>555.66600000000005</v>
      </c>
      <c r="AN114" s="259">
        <f t="shared" si="197"/>
        <v>787.04700000000003</v>
      </c>
      <c r="AO114" s="260">
        <f t="shared" si="197"/>
        <v>600.09199999999998</v>
      </c>
      <c r="AP114" s="259">
        <f t="shared" si="197"/>
        <v>673</v>
      </c>
      <c r="AQ114" s="259">
        <f t="shared" si="197"/>
        <v>713</v>
      </c>
      <c r="AR114" s="259">
        <f t="shared" si="197"/>
        <v>964</v>
      </c>
      <c r="AS114" s="260">
        <f t="shared" si="197"/>
        <v>742</v>
      </c>
      <c r="AT114" s="259">
        <f t="shared" si="197"/>
        <v>837</v>
      </c>
      <c r="AU114" s="259">
        <f>AQ114*(1+AU115)</f>
        <v>848.46999999999991</v>
      </c>
      <c r="AV114" s="259">
        <f>AR114*(1+AV115)</f>
        <v>1156.8</v>
      </c>
      <c r="AW114" s="371">
        <f>J114-SUM(AT114:AV114)</f>
        <v>924.73000000000047</v>
      </c>
      <c r="AX114" s="372">
        <f>AT114*(1+AX115)</f>
        <v>1104.8400000000001</v>
      </c>
      <c r="AY114" s="372">
        <f>AU114*(1+AY115)</f>
        <v>1136.9497999999999</v>
      </c>
      <c r="AZ114" s="372">
        <f>AV114*(1+AZ115)</f>
        <v>1434.432</v>
      </c>
      <c r="BA114" s="1523">
        <f>K114-SUM(AX114:AZ114)</f>
        <v>1153.2605499999991</v>
      </c>
      <c r="BB114" s="372">
        <f>AX114*(1+BB115)</f>
        <v>1403.1468000000002</v>
      </c>
      <c r="BC114" s="372">
        <f>AY114*(1+BC115)</f>
        <v>1398.4482539999999</v>
      </c>
      <c r="BD114" s="372">
        <f>AZ114*(1+BD115)</f>
        <v>1764.3513599999999</v>
      </c>
      <c r="BE114" s="373">
        <f>L114-SUM(BB114:BD114)</f>
        <v>1435.1683541099992</v>
      </c>
      <c r="BF114" s="259"/>
      <c r="BG114" s="15"/>
      <c r="BI114" s="314">
        <f>SUM(Y114:AB114)</f>
        <v>677.875</v>
      </c>
      <c r="BJ114" s="313">
        <f>SUM(AC114:AF114)</f>
        <v>960.98500000000001</v>
      </c>
      <c r="BK114" s="313">
        <f>SUM(AG114:AJ114)</f>
        <v>1541.6859999999999</v>
      </c>
      <c r="BL114" s="313">
        <f>SUM(AK114:AN114)</f>
        <v>2273.7139999999999</v>
      </c>
      <c r="BM114" s="313">
        <f>SUM(AO114:AR114)</f>
        <v>2950.0920000000001</v>
      </c>
      <c r="BN114" s="313">
        <f>SUM(AS114:AV114)</f>
        <v>3584.2699999999995</v>
      </c>
      <c r="BO114" s="313">
        <f>SUM(AW114:AZ114)</f>
        <v>4600.9518000000007</v>
      </c>
      <c r="BP114" s="313">
        <f>SUM(BA114:BD114)</f>
        <v>5719.2069639999991</v>
      </c>
      <c r="BQ114" s="489">
        <f t="shared" ref="BQ114:BR114" si="198">L114*0.25+M114*0.75</f>
        <v>6894.0806456047685</v>
      </c>
      <c r="BR114" s="489">
        <f t="shared" si="198"/>
        <v>8164.5361682008452</v>
      </c>
      <c r="BS114" s="314"/>
      <c r="BT114" s="314"/>
      <c r="BU114" s="314"/>
      <c r="BV114" s="314"/>
      <c r="BW114" s="314"/>
      <c r="BX114" s="14"/>
      <c r="CG114"/>
      <c r="CH114"/>
      <c r="CI114"/>
      <c r="CJ114"/>
      <c r="CK114"/>
      <c r="CL114"/>
    </row>
    <row r="115" spans="1:90" outlineLevel="1">
      <c r="B115" s="357" t="s">
        <v>80</v>
      </c>
      <c r="C115" s="374"/>
      <c r="D115" s="15">
        <f t="shared" ref="D115:R115" si="199">D114/C114-1</f>
        <v>0.91177730192719486</v>
      </c>
      <c r="E115" s="15">
        <f t="shared" si="199"/>
        <v>0.33669354838709675</v>
      </c>
      <c r="F115" s="15">
        <f t="shared" si="199"/>
        <v>0.62468929110105598</v>
      </c>
      <c r="G115" s="15">
        <f t="shared" si="199"/>
        <v>0.55778712532573804</v>
      </c>
      <c r="H115" s="15">
        <f t="shared" si="199"/>
        <v>0.45649582836710367</v>
      </c>
      <c r="I115" s="15">
        <f t="shared" si="199"/>
        <v>0.26513911620294595</v>
      </c>
      <c r="J115" s="435">
        <f t="shared" si="199"/>
        <v>0.21830530401034931</v>
      </c>
      <c r="K115" s="375">
        <f t="shared" si="199"/>
        <v>0.28204999999999991</v>
      </c>
      <c r="L115" s="375">
        <f t="shared" si="199"/>
        <v>0.24259999999999993</v>
      </c>
      <c r="M115" s="375">
        <f t="shared" si="199"/>
        <v>0.19840000000000035</v>
      </c>
      <c r="N115" s="375">
        <f t="shared" si="199"/>
        <v>0.18035520000000016</v>
      </c>
      <c r="O115" s="375">
        <f t="shared" si="199"/>
        <v>0.16402690559999988</v>
      </c>
      <c r="P115" s="375">
        <f t="shared" si="199"/>
        <v>0.14924093383680015</v>
      </c>
      <c r="Q115" s="375">
        <f t="shared" si="199"/>
        <v>0.13388768680780805</v>
      </c>
      <c r="R115" s="375">
        <f t="shared" si="199"/>
        <v>0.12015130367432447</v>
      </c>
      <c r="V115" s="376"/>
      <c r="W115" s="376"/>
      <c r="X115" s="376"/>
      <c r="Y115" s="377"/>
      <c r="Z115" s="378">
        <v>0.6</v>
      </c>
      <c r="AA115" s="378">
        <v>0.6</v>
      </c>
      <c r="AB115" s="378">
        <v>0.6</v>
      </c>
      <c r="AC115" s="379">
        <f t="shared" ref="AC115:AT115" si="200">AC114/Y114-1</f>
        <v>-7.71224886584575E-2</v>
      </c>
      <c r="AD115" s="380">
        <f t="shared" si="200"/>
        <v>0.59710687022900766</v>
      </c>
      <c r="AE115" s="380">
        <f t="shared" si="200"/>
        <v>0.61750354609929081</v>
      </c>
      <c r="AF115" s="380">
        <f t="shared" si="200"/>
        <v>0.62298591549295779</v>
      </c>
      <c r="AG115" s="379">
        <f t="shared" si="200"/>
        <v>0.65271910112359555</v>
      </c>
      <c r="AH115" s="380">
        <f t="shared" si="200"/>
        <v>0.64961452244277584</v>
      </c>
      <c r="AI115" s="380">
        <f t="shared" si="200"/>
        <v>0.63836662749706208</v>
      </c>
      <c r="AJ115" s="380">
        <f t="shared" si="200"/>
        <v>0.52940444783856311</v>
      </c>
      <c r="AK115" s="379">
        <f t="shared" si="200"/>
        <v>0.46195918200853869</v>
      </c>
      <c r="AL115" s="380">
        <f t="shared" si="200"/>
        <v>0.45136671553657415</v>
      </c>
      <c r="AM115" s="380">
        <f t="shared" si="200"/>
        <v>0.48709384759901431</v>
      </c>
      <c r="AN115" s="380">
        <f t="shared" si="200"/>
        <v>0.48862039420550829</v>
      </c>
      <c r="AO115" s="379">
        <f t="shared" si="200"/>
        <v>0.39528697815548086</v>
      </c>
      <c r="AP115" s="380">
        <f t="shared" si="200"/>
        <v>0.34353863721661915</v>
      </c>
      <c r="AQ115" s="380">
        <f t="shared" si="200"/>
        <v>0.28314491079173454</v>
      </c>
      <c r="AR115" s="380">
        <f t="shared" si="200"/>
        <v>0.22483155389703535</v>
      </c>
      <c r="AS115" s="379">
        <f t="shared" si="200"/>
        <v>0.23647707351539426</v>
      </c>
      <c r="AT115" s="380">
        <f t="shared" si="200"/>
        <v>0.24368499257057952</v>
      </c>
      <c r="AU115" s="378">
        <v>0.19</v>
      </c>
      <c r="AV115" s="378">
        <v>0.2</v>
      </c>
      <c r="AW115" s="379">
        <f>AW114/AS114-1</f>
        <v>0.24626684636118656</v>
      </c>
      <c r="AX115" s="1249">
        <v>0.32</v>
      </c>
      <c r="AY115" s="1249">
        <v>0.34</v>
      </c>
      <c r="AZ115" s="1249">
        <v>0.24</v>
      </c>
      <c r="BA115" s="379">
        <f>BA114/AW114-1</f>
        <v>0.24713218993652042</v>
      </c>
      <c r="BB115" s="381">
        <v>0.27</v>
      </c>
      <c r="BC115" s="381">
        <v>0.23</v>
      </c>
      <c r="BD115" s="381">
        <v>0.23</v>
      </c>
      <c r="BE115" s="380">
        <f>BE114/BA114-1</f>
        <v>0.24444415800922026</v>
      </c>
      <c r="BF115" s="142"/>
      <c r="BG115" s="15"/>
      <c r="BK115" s="450"/>
      <c r="BL115" s="450"/>
      <c r="BM115" s="450"/>
      <c r="BN115" s="450"/>
      <c r="BO115" s="450"/>
      <c r="BP115" s="450"/>
      <c r="BQ115" s="450"/>
      <c r="BR115" s="450"/>
      <c r="BS115" s="450"/>
      <c r="BT115" s="450"/>
      <c r="BU115" s="450"/>
      <c r="BV115" s="450"/>
      <c r="BW115" s="450"/>
    </row>
    <row r="116" spans="1:90" outlineLevel="1">
      <c r="B116" s="357" t="s">
        <v>81</v>
      </c>
      <c r="C116" s="374"/>
      <c r="W116" s="142">
        <f t="shared" ref="W116:BA116" si="201">W114/V114-1</f>
        <v>7.6335877862595325E-2</v>
      </c>
      <c r="X116" s="142">
        <f t="shared" si="201"/>
        <v>0.5106382978723405</v>
      </c>
      <c r="Y116" s="359">
        <f t="shared" si="201"/>
        <v>0.4488262910798122</v>
      </c>
      <c r="Z116" s="142">
        <f t="shared" si="201"/>
        <v>-0.32080362929358397</v>
      </c>
      <c r="AA116" s="142">
        <f t="shared" si="201"/>
        <v>7.6335877862595325E-2</v>
      </c>
      <c r="AB116" s="142">
        <f t="shared" si="201"/>
        <v>0.5106382978723405</v>
      </c>
      <c r="AC116" s="359">
        <f t="shared" si="201"/>
        <v>-0.16431924882629112</v>
      </c>
      <c r="AD116" s="142">
        <f t="shared" si="201"/>
        <v>0.17539887640449447</v>
      </c>
      <c r="AE116" s="142">
        <f t="shared" si="201"/>
        <v>9.0081779553677688E-2</v>
      </c>
      <c r="AF116" s="142">
        <f t="shared" si="201"/>
        <v>0.51575845800375331</v>
      </c>
      <c r="AG116" s="359">
        <f t="shared" si="201"/>
        <v>-0.14900953438859577</v>
      </c>
      <c r="AH116" s="142">
        <f t="shared" si="201"/>
        <v>0.17319092812661463</v>
      </c>
      <c r="AI116" s="142">
        <f t="shared" si="201"/>
        <v>8.2649058047019386E-2</v>
      </c>
      <c r="AJ116" s="142">
        <f t="shared" si="201"/>
        <v>0.41495052976109226</v>
      </c>
      <c r="AK116" s="359">
        <f t="shared" si="201"/>
        <v>-0.1865373958075236</v>
      </c>
      <c r="AL116" s="142">
        <f t="shared" si="201"/>
        <v>0.16469070067544789</v>
      </c>
      <c r="AM116" s="142">
        <f t="shared" si="201"/>
        <v>0.10929976283448739</v>
      </c>
      <c r="AN116" s="142">
        <f t="shared" si="201"/>
        <v>0.41640301907980692</v>
      </c>
      <c r="AO116" s="359">
        <f t="shared" si="201"/>
        <v>-0.23753981655479284</v>
      </c>
      <c r="AP116" s="142">
        <f t="shared" si="201"/>
        <v>0.12149470414536445</v>
      </c>
      <c r="AQ116" s="142">
        <f t="shared" si="201"/>
        <v>5.9435364041604766E-2</v>
      </c>
      <c r="AR116" s="142">
        <f t="shared" si="201"/>
        <v>0.35203366058906038</v>
      </c>
      <c r="AS116" s="359">
        <f t="shared" si="201"/>
        <v>-0.23029045643153523</v>
      </c>
      <c r="AT116" s="142">
        <f t="shared" si="201"/>
        <v>0.12803234501347704</v>
      </c>
      <c r="AU116" s="142">
        <f t="shared" si="201"/>
        <v>1.3703703703703551E-2</v>
      </c>
      <c r="AV116" s="142">
        <f t="shared" si="201"/>
        <v>0.36339528798896836</v>
      </c>
      <c r="AW116" s="359">
        <f t="shared" si="201"/>
        <v>-0.20061376210235082</v>
      </c>
      <c r="AX116" s="142">
        <f t="shared" si="201"/>
        <v>0.1947703654039552</v>
      </c>
      <c r="AY116" s="142">
        <f t="shared" si="201"/>
        <v>2.9062850729517198E-2</v>
      </c>
      <c r="AZ116" s="142">
        <f t="shared" si="201"/>
        <v>0.2616493709748664</v>
      </c>
      <c r="BA116" s="359">
        <f t="shared" si="201"/>
        <v>-0.19601587945611987</v>
      </c>
      <c r="BB116" s="142">
        <f>BB114/BA114-1</f>
        <v>0.21667805250079986</v>
      </c>
      <c r="BC116" s="142">
        <f>BC114/BB114-1</f>
        <v>-3.3485776399164724E-3</v>
      </c>
      <c r="BD116" s="142">
        <f>BD114/BC114-1</f>
        <v>0.26164937097486618</v>
      </c>
      <c r="BE116" s="142">
        <f>BE114/BD114-1</f>
        <v>-0.18657451874551834</v>
      </c>
      <c r="BF116" s="142"/>
      <c r="BG116" s="15"/>
    </row>
    <row r="117" spans="1:90" outlineLevel="1">
      <c r="B117" s="357" t="s">
        <v>273</v>
      </c>
      <c r="C117" s="374"/>
      <c r="W117" s="142"/>
      <c r="X117" s="142"/>
      <c r="Y117" s="359"/>
      <c r="Z117" s="142">
        <f>Z114/SUM($Z$114:$AC$114)</f>
        <v>0.1975867269984917</v>
      </c>
      <c r="AA117" s="142">
        <f>AA114/SUM($Z$114:$AC$114)</f>
        <v>0.21266968325791855</v>
      </c>
      <c r="AB117" s="142">
        <f>AB114/SUM($Z$114:$AC$114)</f>
        <v>0.32126696832579188</v>
      </c>
      <c r="AC117" s="359">
        <f>AC114/SUM($Z$114:$AC$114)</f>
        <v>0.26847662141779788</v>
      </c>
      <c r="AD117" s="142">
        <f>AD114/SUM($AD$114:$AG$114)</f>
        <v>0.19423228852668428</v>
      </c>
      <c r="AE117" s="142">
        <f>AE114/SUM($AD$114:$AG$114)</f>
        <v>0.21172907872395139</v>
      </c>
      <c r="AF117" s="142">
        <f>AF114/SUM($AD$114:$AG$114)</f>
        <v>0.32093014188117186</v>
      </c>
      <c r="AG117" s="359">
        <f>AG114/SUM($AD$114:$AG$114)</f>
        <v>0.27310849086819244</v>
      </c>
      <c r="AH117" s="142">
        <f>AH114/SUM($AH$114:$AK$114)</f>
        <v>0.20573240016762173</v>
      </c>
      <c r="AI117" s="142">
        <f>AI114/SUM($AH$114:$AK$114)</f>
        <v>0.22273598925122809</v>
      </c>
      <c r="AJ117" s="142">
        <f>AJ114/SUM($AH$114:$AK$114)</f>
        <v>0.31516040598788614</v>
      </c>
      <c r="AK117" s="359">
        <f>AK114/SUM($AH$114:$AK$114)</f>
        <v>0.25637120459326401</v>
      </c>
      <c r="AL117" s="142">
        <f>AL114/SUM($AL$114:$AO$114)</f>
        <v>0.20498084683153273</v>
      </c>
      <c r="AM117" s="142">
        <f>AM114/SUM($AL$114:$AO$114)</f>
        <v>0.22738520477583163</v>
      </c>
      <c r="AN117" s="142">
        <f>AN114/SUM($AL$114:$AO$114)</f>
        <v>0.32206909053856803</v>
      </c>
      <c r="AO117" s="359">
        <f>AO114/SUM($AL$114:$AO$114)</f>
        <v>0.24556485785406762</v>
      </c>
      <c r="AP117" s="142">
        <f>AP114/SUM($AP$114:$AS$114)</f>
        <v>0.21765847347994827</v>
      </c>
      <c r="AQ117" s="142">
        <f>AQ114/SUM($AP$114:$AS$114)</f>
        <v>0.23059508408796894</v>
      </c>
      <c r="AR117" s="142">
        <f>AR114/SUM($AP$114:$AS$114)</f>
        <v>0.31177231565329883</v>
      </c>
      <c r="AS117" s="359">
        <f>AS114/SUM($AP$114:$AS$114)</f>
        <v>0.23997412677878396</v>
      </c>
      <c r="AT117" s="142">
        <f>AT114/SUM($AT$114:$AW$114)</f>
        <v>0.22219272630740641</v>
      </c>
      <c r="AU117" s="142">
        <f>AU114/SUM($AT$114:$AW$114)</f>
        <v>0.22523758959384124</v>
      </c>
      <c r="AV117" s="142">
        <f>AV114/SUM($AT$114:$AW$114)</f>
        <v>0.30708786833023627</v>
      </c>
      <c r="AW117" s="359">
        <f>AW114/SUM($AT$114:$AW$114)</f>
        <v>0.24548181576851619</v>
      </c>
      <c r="AX117" s="286">
        <f t="shared" ref="AX117:BE117" si="202">AX114/SUM($AX$114:$BA$114)</f>
        <v>0.22876985977596551</v>
      </c>
      <c r="AY117" s="286">
        <f t="shared" si="202"/>
        <v>0.23541856406204695</v>
      </c>
      <c r="AZ117" s="286">
        <f t="shared" si="202"/>
        <v>0.2970156832646878</v>
      </c>
      <c r="BA117" s="287">
        <f t="shared" si="202"/>
        <v>0.23879589289729969</v>
      </c>
      <c r="BB117" s="286">
        <f t="shared" si="202"/>
        <v>0.29053772191547617</v>
      </c>
      <c r="BC117" s="286">
        <f t="shared" si="202"/>
        <v>0.28956483379631776</v>
      </c>
      <c r="BD117" s="286">
        <f t="shared" si="202"/>
        <v>0.365329290415566</v>
      </c>
      <c r="BE117" s="286">
        <f t="shared" si="202"/>
        <v>0.29716815387264006</v>
      </c>
      <c r="BF117" s="142"/>
      <c r="BG117" s="15"/>
    </row>
    <row r="118" spans="1:90" outlineLevel="1">
      <c r="B118" s="357"/>
      <c r="C118" s="374"/>
      <c r="W118" s="142"/>
      <c r="X118" s="142"/>
      <c r="Y118" s="359"/>
      <c r="Z118" s="142"/>
      <c r="AA118" s="142"/>
      <c r="AB118" s="142"/>
      <c r="AC118" s="359"/>
      <c r="AD118" s="142"/>
      <c r="AE118" s="142"/>
      <c r="AF118" s="142"/>
      <c r="AG118" s="359"/>
      <c r="AH118" s="142"/>
      <c r="AI118" s="142"/>
      <c r="AJ118" s="142"/>
      <c r="AK118" s="359"/>
      <c r="AL118" s="142"/>
      <c r="AM118" s="142"/>
      <c r="AN118" s="142"/>
      <c r="AO118" s="359"/>
      <c r="AP118" s="142"/>
      <c r="AQ118" s="142"/>
      <c r="AR118" s="142"/>
      <c r="AS118" s="359"/>
      <c r="AT118" s="142"/>
      <c r="AU118" s="142"/>
      <c r="AV118" s="142"/>
      <c r="AW118" s="359"/>
      <c r="AX118" s="286"/>
      <c r="AY118" s="286"/>
      <c r="AZ118" s="286"/>
      <c r="BA118" s="287"/>
      <c r="BB118" s="286"/>
      <c r="BC118" s="286"/>
      <c r="BD118" s="286"/>
      <c r="BE118" s="286"/>
      <c r="BF118" s="142"/>
      <c r="BG118" s="15"/>
    </row>
    <row r="119" spans="1:90" outlineLevel="1">
      <c r="B119" s="383" t="s">
        <v>647</v>
      </c>
      <c r="C119" s="142"/>
      <c r="D119" s="142"/>
      <c r="E119" s="142"/>
      <c r="F119" s="142"/>
      <c r="G119" s="142"/>
      <c r="H119" s="142"/>
      <c r="I119" s="142"/>
      <c r="J119" s="359"/>
      <c r="K119" s="142"/>
      <c r="L119" s="142"/>
      <c r="M119" s="142"/>
      <c r="N119" s="142"/>
      <c r="O119" s="142"/>
      <c r="P119" s="142"/>
      <c r="Q119" s="142"/>
      <c r="R119" s="142"/>
      <c r="S119" s="41"/>
      <c r="T119" s="41"/>
      <c r="V119" s="384"/>
      <c r="W119" s="384"/>
      <c r="X119" s="384"/>
      <c r="Y119" s="385"/>
      <c r="Z119" s="142"/>
      <c r="AA119" s="142"/>
      <c r="AB119" s="142"/>
      <c r="AC119" s="359"/>
      <c r="AD119" s="142"/>
      <c r="AE119" s="142"/>
      <c r="AF119" s="142"/>
      <c r="AG119" s="359"/>
      <c r="AH119" s="142"/>
      <c r="AI119" s="142"/>
      <c r="AJ119" s="142"/>
      <c r="AK119" s="359"/>
      <c r="AL119" s="142"/>
      <c r="AM119" s="142"/>
      <c r="AN119" s="486">
        <f>SUM(AK120:AN120)</f>
        <v>1511</v>
      </c>
      <c r="AO119" s="359"/>
      <c r="AP119" s="142"/>
      <c r="AQ119" s="142"/>
      <c r="AR119" s="486"/>
      <c r="AS119" s="359"/>
      <c r="AT119" s="142"/>
      <c r="AU119" s="142"/>
      <c r="AV119" s="486"/>
      <c r="AW119" s="359"/>
      <c r="AX119" s="286"/>
      <c r="AY119" s="286"/>
      <c r="AZ119" s="286"/>
      <c r="BA119" s="287"/>
      <c r="BB119" s="286"/>
      <c r="BC119" s="286"/>
      <c r="BD119" s="286"/>
      <c r="BE119" s="286"/>
      <c r="BF119" s="142"/>
      <c r="BG119" s="15"/>
      <c r="BJ119" s="454"/>
      <c r="BK119" s="454"/>
      <c r="BL119" s="454"/>
      <c r="BM119" s="454"/>
      <c r="BN119" s="454"/>
      <c r="BO119" s="454"/>
      <c r="BP119" s="454"/>
      <c r="BQ119" s="454"/>
    </row>
    <row r="120" spans="1:90" s="13" customFormat="1" outlineLevel="1">
      <c r="A120" s="1349"/>
      <c r="B120" s="401" t="s">
        <v>372</v>
      </c>
      <c r="C120" s="387">
        <f>D120/(1+D128)</f>
        <v>245.71428571428572</v>
      </c>
      <c r="D120" s="387">
        <v>430</v>
      </c>
      <c r="E120" s="387">
        <v>549</v>
      </c>
      <c r="F120" s="313">
        <f>SUM(AD120:AG120)</f>
        <v>824</v>
      </c>
      <c r="G120" s="313">
        <f>SUM(AH120:AK120)</f>
        <v>1173</v>
      </c>
      <c r="H120" s="313">
        <f>SUM(AL120:AO120)</f>
        <v>1597</v>
      </c>
      <c r="I120" s="313">
        <f>SUM(AP120:AS120)</f>
        <v>1877</v>
      </c>
      <c r="J120" s="391">
        <f>Reported!E34</f>
        <v>2202</v>
      </c>
      <c r="K120" s="388">
        <f t="shared" ref="K120:R120" si="203">K124*K$114</f>
        <v>2690.0216689499998</v>
      </c>
      <c r="L120" s="388">
        <f t="shared" si="203"/>
        <v>3222.59863047507</v>
      </c>
      <c r="M120" s="388">
        <f t="shared" si="203"/>
        <v>3718.1274799992639</v>
      </c>
      <c r="N120" s="388">
        <f t="shared" si="203"/>
        <v>4329.2894848990609</v>
      </c>
      <c r="O120" s="388">
        <f t="shared" si="203"/>
        <v>4940.5974926996769</v>
      </c>
      <c r="P120" s="388">
        <f t="shared" si="203"/>
        <v>5564.3781386974915</v>
      </c>
      <c r="Q120" s="388">
        <f t="shared" si="203"/>
        <v>6180.6170020032341</v>
      </c>
      <c r="R120" s="388">
        <f t="shared" si="203"/>
        <v>6778.9923132992499</v>
      </c>
      <c r="T120" s="15">
        <f>(M120/J120)^(1/3)-1</f>
        <v>0.19079130210448159</v>
      </c>
      <c r="V120" s="389">
        <f>V124*V114</f>
        <v>81.875</v>
      </c>
      <c r="W120" s="389">
        <f>W124*W114</f>
        <v>83.71875</v>
      </c>
      <c r="X120" s="389">
        <f>X124*X114</f>
        <v>126.46875</v>
      </c>
      <c r="Y120" s="371">
        <f>D120-SUM(V120:X120)</f>
        <v>137.9375</v>
      </c>
      <c r="Z120" s="390">
        <v>114</v>
      </c>
      <c r="AA120" s="390">
        <v>119</v>
      </c>
      <c r="AB120" s="390">
        <v>172</v>
      </c>
      <c r="AC120" s="371">
        <f>E120-SUM(Z120:AB120)</f>
        <v>144</v>
      </c>
      <c r="AD120" s="390">
        <v>167</v>
      </c>
      <c r="AE120" s="390">
        <v>179</v>
      </c>
      <c r="AF120" s="390">
        <v>255</v>
      </c>
      <c r="AG120" s="370">
        <v>223</v>
      </c>
      <c r="AH120" s="313">
        <f>Reported!H34</f>
        <v>257</v>
      </c>
      <c r="AI120" s="313">
        <f>Reported!I34</f>
        <v>275</v>
      </c>
      <c r="AJ120" s="313">
        <f>Reported!J34</f>
        <v>346</v>
      </c>
      <c r="AK120" s="391">
        <f>Reported!K34</f>
        <v>295</v>
      </c>
      <c r="AL120" s="313">
        <f>Reported!L34</f>
        <v>342</v>
      </c>
      <c r="AM120" s="313">
        <f>Reported!M34</f>
        <v>380</v>
      </c>
      <c r="AN120" s="313">
        <f>Reported!N34</f>
        <v>494</v>
      </c>
      <c r="AO120" s="391">
        <f>Reported!O34</f>
        <v>381</v>
      </c>
      <c r="AP120" s="313">
        <f>Reported!P34</f>
        <v>427</v>
      </c>
      <c r="AQ120" s="313">
        <f>Reported!Q34</f>
        <v>438</v>
      </c>
      <c r="AR120" s="313">
        <f>Reported!R34</f>
        <v>563</v>
      </c>
      <c r="AS120" s="391">
        <f>Reported!S34</f>
        <v>449</v>
      </c>
      <c r="AT120" s="313">
        <f>Reported!T34</f>
        <v>508</v>
      </c>
      <c r="AU120" s="389">
        <f>AU124*AU114</f>
        <v>492.11259999999993</v>
      </c>
      <c r="AV120" s="389">
        <f>AV124*AV114</f>
        <v>636.24</v>
      </c>
      <c r="AW120" s="371">
        <f>J120-SUM(AT120:AV120)</f>
        <v>565.64740000000006</v>
      </c>
      <c r="AX120" s="388">
        <f>AX124*AX114</f>
        <v>607.66200000000015</v>
      </c>
      <c r="AY120" s="388">
        <f>AY124*AY114</f>
        <v>648.06138599999986</v>
      </c>
      <c r="AZ120" s="388">
        <f>AZ124*AZ114</f>
        <v>760.24896000000001</v>
      </c>
      <c r="BA120" s="1523">
        <f>K120-SUM(AX120:AZ120)</f>
        <v>674.04932294999981</v>
      </c>
      <c r="BB120" s="388">
        <f>BB124*BB114</f>
        <v>757.69927200000018</v>
      </c>
      <c r="BC120" s="388">
        <f>BC124*BC114</f>
        <v>783.13102223999999</v>
      </c>
      <c r="BD120" s="388">
        <f>BD124*BD114</f>
        <v>899.81919359999995</v>
      </c>
      <c r="BE120" s="373">
        <f>L120-SUM(BB120:BD120)</f>
        <v>781.94914263507007</v>
      </c>
      <c r="BF120" s="365"/>
      <c r="BG120" s="14"/>
      <c r="BO120" s="313">
        <f>SUM(AW120:AZ120)</f>
        <v>2581.6197459999999</v>
      </c>
      <c r="BP120" s="313">
        <f>SUM(BA120:BD120)</f>
        <v>3114.6988107900002</v>
      </c>
      <c r="BQ120" s="489">
        <f t="shared" ref="BQ120" si="204">L120*0.25+M120*0.75</f>
        <v>3594.2452676182152</v>
      </c>
      <c r="BR120" s="489">
        <f t="shared" ref="BR120" si="205">M120*0.25+N120*0.75</f>
        <v>4176.4989836741115</v>
      </c>
      <c r="CG120"/>
      <c r="CH120"/>
      <c r="CI120"/>
      <c r="CJ120"/>
      <c r="CK120"/>
      <c r="CL120"/>
    </row>
    <row r="121" spans="1:90" s="13" customFormat="1" outlineLevel="1">
      <c r="A121" s="1349"/>
      <c r="B121" s="401" t="s">
        <v>373</v>
      </c>
      <c r="C121" s="314">
        <f t="shared" ref="C121:R121" si="206">C114-C120</f>
        <v>13.730158730158735</v>
      </c>
      <c r="D121" s="314">
        <f t="shared" si="206"/>
        <v>66</v>
      </c>
      <c r="E121" s="314">
        <f t="shared" si="206"/>
        <v>114</v>
      </c>
      <c r="F121" s="314">
        <f t="shared" si="206"/>
        <v>253.1690000000001</v>
      </c>
      <c r="G121" s="314">
        <f t="shared" si="206"/>
        <v>505</v>
      </c>
      <c r="H121" s="314">
        <f t="shared" si="206"/>
        <v>847</v>
      </c>
      <c r="I121" s="314">
        <f t="shared" si="206"/>
        <v>1215</v>
      </c>
      <c r="J121" s="409">
        <f t="shared" si="206"/>
        <v>1565</v>
      </c>
      <c r="K121" s="314">
        <f t="shared" si="206"/>
        <v>2139.4606810499995</v>
      </c>
      <c r="L121" s="314">
        <f t="shared" si="206"/>
        <v>2778.5161376349292</v>
      </c>
      <c r="M121" s="314">
        <f t="shared" si="206"/>
        <v>3473.6084581037608</v>
      </c>
      <c r="N121" s="314">
        <f t="shared" si="206"/>
        <v>4159.5134266677242</v>
      </c>
      <c r="O121" s="314">
        <f t="shared" si="206"/>
        <v>4940.5974926996769</v>
      </c>
      <c r="P121" s="314">
        <f t="shared" si="206"/>
        <v>5791.4956137463687</v>
      </c>
      <c r="Q121" s="314">
        <f t="shared" si="206"/>
        <v>6695.6684188368372</v>
      </c>
      <c r="R121" s="314">
        <f t="shared" si="206"/>
        <v>7644.3955873374525</v>
      </c>
      <c r="T121" s="15">
        <f>(M121/J121)^(1/3)-1</f>
        <v>0.30443419151805684</v>
      </c>
      <c r="V121" s="392">
        <f t="shared" ref="V121:AG121" si="207">V114-V120</f>
        <v>0</v>
      </c>
      <c r="W121" s="392">
        <f t="shared" si="207"/>
        <v>4.40625</v>
      </c>
      <c r="X121" s="392">
        <f t="shared" si="207"/>
        <v>6.65625</v>
      </c>
      <c r="Y121" s="393">
        <f t="shared" si="207"/>
        <v>54.9375</v>
      </c>
      <c r="Z121" s="392">
        <f t="shared" si="207"/>
        <v>17</v>
      </c>
      <c r="AA121" s="392">
        <f t="shared" si="207"/>
        <v>22</v>
      </c>
      <c r="AB121" s="392">
        <f t="shared" si="207"/>
        <v>41</v>
      </c>
      <c r="AC121" s="393">
        <f t="shared" si="207"/>
        <v>34</v>
      </c>
      <c r="AD121" s="392">
        <f t="shared" si="207"/>
        <v>42.221000000000004</v>
      </c>
      <c r="AE121" s="392">
        <f t="shared" si="207"/>
        <v>49.068000000000012</v>
      </c>
      <c r="AF121" s="392">
        <f t="shared" si="207"/>
        <v>90.696000000000026</v>
      </c>
      <c r="AG121" s="393">
        <f t="shared" si="207"/>
        <v>71.184000000000026</v>
      </c>
      <c r="AH121" s="394">
        <f>Reported!H35</f>
        <v>88.134000000000015</v>
      </c>
      <c r="AI121" s="394">
        <f>Reported!I35</f>
        <v>98.658999999999992</v>
      </c>
      <c r="AJ121" s="394">
        <f>Reported!J35</f>
        <v>182.70899999999995</v>
      </c>
      <c r="AK121" s="395">
        <f>Reported!K35</f>
        <v>135.08499999999998</v>
      </c>
      <c r="AL121" s="394">
        <f>Reported!L35</f>
        <v>158.916</v>
      </c>
      <c r="AM121" s="394">
        <f>Reported!M35</f>
        <v>175.66600000000005</v>
      </c>
      <c r="AN121" s="394">
        <f>Reported!N35</f>
        <v>293.04700000000003</v>
      </c>
      <c r="AO121" s="395">
        <f>Reported!O35</f>
        <v>219.09199999999998</v>
      </c>
      <c r="AP121" s="394">
        <f>Reported!P35</f>
        <v>246</v>
      </c>
      <c r="AQ121" s="394">
        <f>Reported!Q35</f>
        <v>275</v>
      </c>
      <c r="AR121" s="394">
        <f>Reported!R35</f>
        <v>401</v>
      </c>
      <c r="AS121" s="395">
        <f>Reported!S35</f>
        <v>293</v>
      </c>
      <c r="AT121" s="394">
        <f>Reported!T35</f>
        <v>329</v>
      </c>
      <c r="AU121" s="392">
        <f t="shared" ref="AU121:BA121" si="208">AU114-AU120</f>
        <v>356.35739999999998</v>
      </c>
      <c r="AV121" s="392">
        <f t="shared" si="208"/>
        <v>520.55999999999995</v>
      </c>
      <c r="AW121" s="393">
        <f t="shared" si="208"/>
        <v>359.08260000000041</v>
      </c>
      <c r="AX121" s="392">
        <f t="shared" si="208"/>
        <v>497.178</v>
      </c>
      <c r="AY121" s="392">
        <f t="shared" si="208"/>
        <v>488.88841400000001</v>
      </c>
      <c r="AZ121" s="392">
        <f t="shared" si="208"/>
        <v>674.18304000000001</v>
      </c>
      <c r="BA121" s="393">
        <f t="shared" si="208"/>
        <v>479.21122704999925</v>
      </c>
      <c r="BB121" s="392">
        <f>BB114-BB120</f>
        <v>645.44752800000003</v>
      </c>
      <c r="BC121" s="392">
        <f>BC114-BC120</f>
        <v>615.31723175999991</v>
      </c>
      <c r="BD121" s="392">
        <f>BD114-BD120</f>
        <v>864.53216639999994</v>
      </c>
      <c r="BE121" s="392">
        <f>BE114-BE120</f>
        <v>653.21921147492912</v>
      </c>
      <c r="BF121" s="1281"/>
      <c r="BG121" s="14"/>
      <c r="BO121" s="313">
        <f>SUM(AW121:AZ121)</f>
        <v>2019.3320540000004</v>
      </c>
      <c r="BP121" s="313">
        <f>SUM(BA121:BD121)</f>
        <v>2604.5081532099994</v>
      </c>
      <c r="BQ121" s="489">
        <f t="shared" ref="BQ121" si="209">L121*0.25+M121*0.75</f>
        <v>3299.8353779865529</v>
      </c>
      <c r="BR121" s="489">
        <f t="shared" ref="BR121" si="210">M121*0.25+N121*0.75</f>
        <v>3988.0371845267337</v>
      </c>
      <c r="CG121"/>
      <c r="CH121"/>
      <c r="CI121"/>
      <c r="CJ121"/>
      <c r="CK121"/>
      <c r="CL121"/>
    </row>
    <row r="122" spans="1:90" s="13" customFormat="1" outlineLevel="1">
      <c r="A122" s="1349"/>
      <c r="B122" s="386" t="s">
        <v>418</v>
      </c>
      <c r="C122" s="314">
        <f t="shared" ref="C122:H122" si="211">C120+C121</f>
        <v>259.44444444444446</v>
      </c>
      <c r="D122" s="314">
        <f t="shared" si="211"/>
        <v>496</v>
      </c>
      <c r="E122" s="314">
        <f t="shared" si="211"/>
        <v>663</v>
      </c>
      <c r="F122" s="314">
        <f t="shared" si="211"/>
        <v>1077.1690000000001</v>
      </c>
      <c r="G122" s="314">
        <f t="shared" si="211"/>
        <v>1678</v>
      </c>
      <c r="H122" s="314">
        <f t="shared" si="211"/>
        <v>2444</v>
      </c>
      <c r="I122" s="314">
        <f>I120+I121</f>
        <v>3092</v>
      </c>
      <c r="J122" s="409">
        <f>J120+J121</f>
        <v>3767</v>
      </c>
      <c r="K122" s="314">
        <f>K120+K121</f>
        <v>4829.4823499999993</v>
      </c>
      <c r="L122" s="314">
        <f t="shared" ref="L122:R122" si="212">L120+L121</f>
        <v>6001.1147681099992</v>
      </c>
      <c r="M122" s="314">
        <f t="shared" si="212"/>
        <v>7191.7359381030246</v>
      </c>
      <c r="N122" s="314">
        <f t="shared" si="212"/>
        <v>8488.802911566785</v>
      </c>
      <c r="O122" s="314">
        <f t="shared" si="212"/>
        <v>9881.1949853993538</v>
      </c>
      <c r="P122" s="314">
        <f t="shared" si="212"/>
        <v>11355.87375244386</v>
      </c>
      <c r="Q122" s="314">
        <f t="shared" si="212"/>
        <v>12876.285420840071</v>
      </c>
      <c r="R122" s="314">
        <f t="shared" si="212"/>
        <v>14423.387900636702</v>
      </c>
      <c r="T122" s="15"/>
      <c r="V122" s="314">
        <f t="shared" ref="V122" si="213">V120+V121</f>
        <v>81.875</v>
      </c>
      <c r="W122" s="314">
        <f t="shared" ref="W122" si="214">W120+W121</f>
        <v>88.125</v>
      </c>
      <c r="X122" s="314">
        <f t="shared" ref="X122" si="215">X120+X121</f>
        <v>133.125</v>
      </c>
      <c r="Y122" s="314">
        <f t="shared" ref="Y122" si="216">Y120+Y121</f>
        <v>192.875</v>
      </c>
      <c r="Z122" s="314">
        <f t="shared" ref="Z122" si="217">Z120+Z121</f>
        <v>131</v>
      </c>
      <c r="AA122" s="314">
        <f t="shared" ref="AA122" si="218">AA120+AA121</f>
        <v>141</v>
      </c>
      <c r="AB122" s="314">
        <f t="shared" ref="AB122" si="219">AB120+AB121</f>
        <v>213</v>
      </c>
      <c r="AC122" s="314">
        <f t="shared" ref="AC122" si="220">AC120+AC121</f>
        <v>178</v>
      </c>
      <c r="AD122" s="314">
        <f t="shared" ref="AD122" si="221">AD120+AD121</f>
        <v>209.221</v>
      </c>
      <c r="AE122" s="314">
        <f t="shared" ref="AE122" si="222">AE120+AE121</f>
        <v>228.06800000000001</v>
      </c>
      <c r="AF122" s="314">
        <f t="shared" ref="AF122" si="223">AF120+AF121</f>
        <v>345.69600000000003</v>
      </c>
      <c r="AG122" s="409">
        <f t="shared" ref="AG122" si="224">AG120+AG121</f>
        <v>294.18400000000003</v>
      </c>
      <c r="AH122" s="314">
        <f t="shared" ref="AH122" si="225">AH120+AH121</f>
        <v>345.13400000000001</v>
      </c>
      <c r="AI122" s="314">
        <f t="shared" ref="AI122" si="226">AI120+AI121</f>
        <v>373.65899999999999</v>
      </c>
      <c r="AJ122" s="314">
        <f t="shared" ref="AJ122" si="227">AJ120+AJ121</f>
        <v>528.70899999999995</v>
      </c>
      <c r="AK122" s="409">
        <f t="shared" ref="AK122" si="228">AK120+AK121</f>
        <v>430.08499999999998</v>
      </c>
      <c r="AL122" s="314">
        <f t="shared" ref="AL122" si="229">AL120+AL121</f>
        <v>500.916</v>
      </c>
      <c r="AM122" s="314">
        <f t="shared" ref="AM122" si="230">AM120+AM121</f>
        <v>555.66600000000005</v>
      </c>
      <c r="AN122" s="314">
        <f t="shared" ref="AN122" si="231">AN120+AN121</f>
        <v>787.04700000000003</v>
      </c>
      <c r="AO122" s="409">
        <f t="shared" ref="AO122" si="232">AO120+AO121</f>
        <v>600.09199999999998</v>
      </c>
      <c r="AP122" s="314">
        <f t="shared" ref="AP122" si="233">AP120+AP121</f>
        <v>673</v>
      </c>
      <c r="AQ122" s="314">
        <f t="shared" ref="AQ122" si="234">AQ120+AQ121</f>
        <v>713</v>
      </c>
      <c r="AR122" s="314">
        <f t="shared" ref="AR122" si="235">AR120+AR121</f>
        <v>964</v>
      </c>
      <c r="AS122" s="409">
        <f t="shared" ref="AS122" si="236">AS120+AS121</f>
        <v>742</v>
      </c>
      <c r="AT122" s="314">
        <f t="shared" ref="AT122" si="237">AT120+AT121</f>
        <v>837</v>
      </c>
      <c r="AU122" s="314">
        <f t="shared" ref="AU122" si="238">AU120+AU121</f>
        <v>848.46999999999991</v>
      </c>
      <c r="AV122" s="314">
        <f t="shared" ref="AV122" si="239">AV120+AV121</f>
        <v>1156.8</v>
      </c>
      <c r="AW122" s="409">
        <f t="shared" ref="AW122" si="240">AW120+AW121</f>
        <v>924.73000000000047</v>
      </c>
      <c r="AX122" s="314">
        <f t="shared" ref="AX122" si="241">AX120+AX121</f>
        <v>1104.8400000000001</v>
      </c>
      <c r="AY122" s="314">
        <f t="shared" ref="AY122" si="242">AY120+AY121</f>
        <v>1136.9497999999999</v>
      </c>
      <c r="AZ122" s="314">
        <f t="shared" ref="AZ122" si="243">AZ120+AZ121</f>
        <v>1434.432</v>
      </c>
      <c r="BA122" s="409">
        <f t="shared" ref="BA122" si="244">BA120+BA121</f>
        <v>1153.2605499999991</v>
      </c>
      <c r="BB122" s="314">
        <f t="shared" ref="BB122" si="245">BB120+BB121</f>
        <v>1403.1468000000002</v>
      </c>
      <c r="BC122" s="314">
        <f t="shared" ref="BC122" si="246">BC120+BC121</f>
        <v>1398.4482539999999</v>
      </c>
      <c r="BD122" s="314">
        <f t="shared" ref="BD122" si="247">BD120+BD121</f>
        <v>1764.3513599999999</v>
      </c>
      <c r="BE122" s="314">
        <f t="shared" ref="BE122" si="248">BE120+BE121</f>
        <v>1435.1683541099992</v>
      </c>
      <c r="BF122" s="1281"/>
      <c r="BG122" s="14"/>
      <c r="BO122" s="313"/>
      <c r="BP122" s="313"/>
      <c r="BQ122" s="489"/>
      <c r="BR122" s="489"/>
      <c r="CG122"/>
      <c r="CH122"/>
      <c r="CI122"/>
      <c r="CJ122"/>
      <c r="CK122"/>
      <c r="CL122"/>
    </row>
    <row r="123" spans="1:90" outlineLevel="1">
      <c r="B123" s="144" t="s">
        <v>43</v>
      </c>
      <c r="C123" s="41"/>
      <c r="D123" s="41"/>
      <c r="E123" s="41"/>
      <c r="F123" s="41"/>
      <c r="G123" s="41"/>
      <c r="H123" s="41"/>
      <c r="I123" s="41"/>
      <c r="J123" s="363"/>
      <c r="K123" s="41"/>
      <c r="L123" s="41"/>
      <c r="M123" s="41"/>
      <c r="N123" s="41"/>
      <c r="O123" s="41"/>
      <c r="P123" s="41"/>
      <c r="Q123" s="41"/>
      <c r="R123" s="41"/>
      <c r="S123" s="41"/>
      <c r="T123" s="41"/>
      <c r="V123" s="41"/>
      <c r="W123" s="41"/>
      <c r="X123" s="41"/>
      <c r="Y123" s="363"/>
      <c r="Z123" s="41"/>
      <c r="AA123" s="41"/>
      <c r="AB123" s="41"/>
      <c r="AC123" s="363"/>
      <c r="AD123" s="41"/>
      <c r="AE123" s="41"/>
      <c r="AF123" s="41"/>
      <c r="AG123" s="363"/>
      <c r="AH123" s="41"/>
      <c r="AI123" s="41"/>
      <c r="AJ123" s="41"/>
      <c r="AK123" s="363"/>
      <c r="AL123" s="41"/>
      <c r="AM123" s="41"/>
      <c r="AN123" s="41"/>
      <c r="AO123" s="363"/>
      <c r="AP123" s="41"/>
      <c r="AQ123" s="41"/>
      <c r="AR123" s="41"/>
      <c r="AS123" s="363"/>
      <c r="AT123" s="41"/>
      <c r="AU123" s="41"/>
      <c r="AV123" s="41"/>
      <c r="AW123" s="363"/>
      <c r="AX123" s="266"/>
      <c r="AY123" s="266"/>
      <c r="AZ123" s="266"/>
      <c r="BA123" s="267"/>
      <c r="BB123" s="266"/>
      <c r="BC123" s="266"/>
      <c r="BD123" s="266"/>
      <c r="BE123" s="266"/>
      <c r="BF123" s="41"/>
      <c r="BG123" s="15"/>
      <c r="BJ123" s="454"/>
      <c r="BK123" s="454"/>
      <c r="BL123" s="454"/>
      <c r="BM123" s="454"/>
      <c r="BN123" s="454"/>
      <c r="BO123" s="454"/>
      <c r="BP123" s="454"/>
      <c r="BQ123" s="454"/>
    </row>
    <row r="124" spans="1:90" outlineLevel="1">
      <c r="B124" s="248" t="s">
        <v>368</v>
      </c>
      <c r="C124" s="6">
        <f>C120/C114</f>
        <v>0.94707861731416332</v>
      </c>
      <c r="D124" s="396">
        <v>0.91</v>
      </c>
      <c r="E124" s="6">
        <f t="shared" ref="E124:J124" si="249">E120/E114</f>
        <v>0.82805429864253388</v>
      </c>
      <c r="F124" s="15">
        <f t="shared" si="249"/>
        <v>0.76496817119690586</v>
      </c>
      <c r="G124" s="15">
        <f t="shared" si="249"/>
        <v>0.69904648390941593</v>
      </c>
      <c r="H124" s="15">
        <f t="shared" si="249"/>
        <v>0.65343698854337151</v>
      </c>
      <c r="I124" s="15">
        <f t="shared" si="249"/>
        <v>0.60705045278137126</v>
      </c>
      <c r="J124" s="1397">
        <f t="shared" si="249"/>
        <v>0.58455003981948506</v>
      </c>
      <c r="K124" s="397">
        <v>0.55700000000000005</v>
      </c>
      <c r="L124" s="397">
        <f>K124-2%</f>
        <v>0.53700000000000003</v>
      </c>
      <c r="M124" s="397">
        <f>L124-2%</f>
        <v>0.51700000000000002</v>
      </c>
      <c r="N124" s="397">
        <v>0.51</v>
      </c>
      <c r="O124" s="397">
        <v>0.5</v>
      </c>
      <c r="P124" s="397">
        <v>0.49</v>
      </c>
      <c r="Q124" s="397">
        <v>0.48</v>
      </c>
      <c r="R124" s="397">
        <v>0.47</v>
      </c>
      <c r="V124" s="378">
        <v>1</v>
      </c>
      <c r="W124" s="378">
        <v>0.95</v>
      </c>
      <c r="X124" s="378">
        <v>0.95</v>
      </c>
      <c r="Y124" s="359">
        <f t="shared" ref="Y124:AT124" si="250">Y120/Y114</f>
        <v>0.71516526247569667</v>
      </c>
      <c r="Z124" s="142">
        <f t="shared" si="250"/>
        <v>0.87022900763358779</v>
      </c>
      <c r="AA124" s="142">
        <f t="shared" si="250"/>
        <v>0.84397163120567376</v>
      </c>
      <c r="AB124" s="142">
        <f t="shared" si="250"/>
        <v>0.80751173708920188</v>
      </c>
      <c r="AC124" s="359">
        <f t="shared" si="250"/>
        <v>0.8089887640449438</v>
      </c>
      <c r="AD124" s="142">
        <f t="shared" si="250"/>
        <v>0.79819903355781685</v>
      </c>
      <c r="AE124" s="142">
        <f t="shared" si="250"/>
        <v>0.78485364014241366</v>
      </c>
      <c r="AF124" s="142">
        <f t="shared" si="250"/>
        <v>0.73764232157733955</v>
      </c>
      <c r="AG124" s="359">
        <f t="shared" si="250"/>
        <v>0.75802898866015822</v>
      </c>
      <c r="AH124" s="142">
        <f t="shared" si="250"/>
        <v>0.74463831439382966</v>
      </c>
      <c r="AI124" s="142">
        <f t="shared" si="250"/>
        <v>0.73596514469074747</v>
      </c>
      <c r="AJ124" s="142">
        <f t="shared" si="250"/>
        <v>0.65442426741364346</v>
      </c>
      <c r="AK124" s="359">
        <f t="shared" si="250"/>
        <v>0.68591092458467517</v>
      </c>
      <c r="AL124" s="142">
        <f t="shared" si="250"/>
        <v>0.6827492034592626</v>
      </c>
      <c r="AM124" s="142">
        <f t="shared" si="250"/>
        <v>0.68386404782729182</v>
      </c>
      <c r="AN124" s="142">
        <f t="shared" si="250"/>
        <v>0.62766264276466333</v>
      </c>
      <c r="AO124" s="359">
        <f t="shared" si="250"/>
        <v>0.63490264826060006</v>
      </c>
      <c r="AP124" s="142">
        <f t="shared" si="250"/>
        <v>0.63447251114413072</v>
      </c>
      <c r="AQ124" s="142">
        <f t="shared" si="250"/>
        <v>0.61430575035063117</v>
      </c>
      <c r="AR124" s="142">
        <f t="shared" si="250"/>
        <v>0.5840248962655602</v>
      </c>
      <c r="AS124" s="359">
        <f t="shared" si="250"/>
        <v>0.60512129380053903</v>
      </c>
      <c r="AT124" s="142">
        <f t="shared" si="250"/>
        <v>0.6069295101553166</v>
      </c>
      <c r="AU124" s="378">
        <v>0.57999999999999996</v>
      </c>
      <c r="AV124" s="378">
        <v>0.55000000000000004</v>
      </c>
      <c r="AW124" s="253">
        <f>AW120/AW114</f>
        <v>0.61168924983508677</v>
      </c>
      <c r="AX124" s="1275">
        <v>0.55000000000000004</v>
      </c>
      <c r="AY124" s="1275">
        <v>0.56999999999999995</v>
      </c>
      <c r="AZ124" s="1275">
        <v>0.53</v>
      </c>
      <c r="BA124" s="359">
        <f>BA120/BA114</f>
        <v>0.58447271342976259</v>
      </c>
      <c r="BB124" s="381">
        <v>0.54</v>
      </c>
      <c r="BC124" s="381">
        <v>0.56000000000000005</v>
      </c>
      <c r="BD124" s="381">
        <v>0.51</v>
      </c>
      <c r="BE124" s="142">
        <f>BE120/BE114</f>
        <v>0.54484837294227095</v>
      </c>
      <c r="BF124" s="252"/>
      <c r="BG124" s="15"/>
    </row>
    <row r="125" spans="1:90" outlineLevel="1">
      <c r="B125" s="248" t="s">
        <v>343</v>
      </c>
      <c r="C125" s="15">
        <f t="shared" ref="C125:R125" si="251">1-C124</f>
        <v>5.2921382685836682E-2</v>
      </c>
      <c r="D125" s="15">
        <f t="shared" si="251"/>
        <v>8.9999999999999969E-2</v>
      </c>
      <c r="E125" s="15">
        <f t="shared" si="251"/>
        <v>0.17194570135746612</v>
      </c>
      <c r="F125" s="15">
        <f t="shared" si="251"/>
        <v>0.23503182880309414</v>
      </c>
      <c r="G125" s="15">
        <f t="shared" si="251"/>
        <v>0.30095351609058407</v>
      </c>
      <c r="H125" s="15">
        <f t="shared" si="251"/>
        <v>0.34656301145662849</v>
      </c>
      <c r="I125" s="15">
        <f t="shared" si="251"/>
        <v>0.39294954721862874</v>
      </c>
      <c r="J125" s="435">
        <f t="shared" si="251"/>
        <v>0.41544996018051494</v>
      </c>
      <c r="K125" s="301">
        <f t="shared" si="251"/>
        <v>0.44299999999999995</v>
      </c>
      <c r="L125" s="15">
        <f t="shared" si="251"/>
        <v>0.46299999999999997</v>
      </c>
      <c r="M125" s="15">
        <f t="shared" si="251"/>
        <v>0.48299999999999998</v>
      </c>
      <c r="N125" s="15">
        <f t="shared" si="251"/>
        <v>0.49</v>
      </c>
      <c r="O125" s="15">
        <f t="shared" si="251"/>
        <v>0.5</v>
      </c>
      <c r="P125" s="15">
        <f t="shared" si="251"/>
        <v>0.51</v>
      </c>
      <c r="Q125" s="15">
        <f t="shared" si="251"/>
        <v>0.52</v>
      </c>
      <c r="R125" s="15">
        <f t="shared" si="251"/>
        <v>0.53</v>
      </c>
      <c r="V125" s="142">
        <f t="shared" ref="V125:BA125" si="252">V121/V114</f>
        <v>0</v>
      </c>
      <c r="W125" s="142">
        <f t="shared" si="252"/>
        <v>0.05</v>
      </c>
      <c r="X125" s="142">
        <f t="shared" si="252"/>
        <v>0.05</v>
      </c>
      <c r="Y125" s="359">
        <f t="shared" si="252"/>
        <v>0.28483473752430333</v>
      </c>
      <c r="Z125" s="142">
        <f t="shared" si="252"/>
        <v>0.12977099236641221</v>
      </c>
      <c r="AA125" s="142">
        <f t="shared" si="252"/>
        <v>0.15602836879432624</v>
      </c>
      <c r="AB125" s="142">
        <f t="shared" si="252"/>
        <v>0.19248826291079812</v>
      </c>
      <c r="AC125" s="359">
        <f t="shared" si="252"/>
        <v>0.19101123595505617</v>
      </c>
      <c r="AD125" s="142">
        <f t="shared" si="252"/>
        <v>0.20180096644218315</v>
      </c>
      <c r="AE125" s="142">
        <f t="shared" si="252"/>
        <v>0.21514635985758637</v>
      </c>
      <c r="AF125" s="142">
        <f t="shared" si="252"/>
        <v>0.26235767842266045</v>
      </c>
      <c r="AG125" s="359">
        <f t="shared" si="252"/>
        <v>0.24197101133984181</v>
      </c>
      <c r="AH125" s="142">
        <f t="shared" si="252"/>
        <v>0.2553616856061704</v>
      </c>
      <c r="AI125" s="142">
        <f t="shared" si="252"/>
        <v>0.26403485530925253</v>
      </c>
      <c r="AJ125" s="142">
        <f t="shared" si="252"/>
        <v>0.34557573258635649</v>
      </c>
      <c r="AK125" s="359">
        <f t="shared" si="252"/>
        <v>0.31408907541532483</v>
      </c>
      <c r="AL125" s="142">
        <f t="shared" si="252"/>
        <v>0.31725079654073735</v>
      </c>
      <c r="AM125" s="142">
        <f t="shared" si="252"/>
        <v>0.31613595217270812</v>
      </c>
      <c r="AN125" s="142">
        <f t="shared" si="252"/>
        <v>0.37233735723533667</v>
      </c>
      <c r="AO125" s="359">
        <f t="shared" si="252"/>
        <v>0.36509735173939994</v>
      </c>
      <c r="AP125" s="142">
        <f t="shared" si="252"/>
        <v>0.36552748885586922</v>
      </c>
      <c r="AQ125" s="142">
        <f t="shared" si="252"/>
        <v>0.38569424964936888</v>
      </c>
      <c r="AR125" s="142">
        <f t="shared" si="252"/>
        <v>0.41597510373443985</v>
      </c>
      <c r="AS125" s="359">
        <f t="shared" si="252"/>
        <v>0.39487870619946092</v>
      </c>
      <c r="AT125" s="142">
        <f t="shared" si="252"/>
        <v>0.3930704898446834</v>
      </c>
      <c r="AU125" s="142">
        <f t="shared" si="252"/>
        <v>0.42000000000000004</v>
      </c>
      <c r="AV125" s="142">
        <f t="shared" si="252"/>
        <v>0.44999999999999996</v>
      </c>
      <c r="AW125" s="359">
        <f t="shared" si="252"/>
        <v>0.38831075016491323</v>
      </c>
      <c r="AX125" s="142">
        <f t="shared" si="252"/>
        <v>0.44999999999999996</v>
      </c>
      <c r="AY125" s="142">
        <f t="shared" si="252"/>
        <v>0.43000000000000005</v>
      </c>
      <c r="AZ125" s="142">
        <f t="shared" si="252"/>
        <v>0.47</v>
      </c>
      <c r="BA125" s="359">
        <f t="shared" si="252"/>
        <v>0.41552728657023746</v>
      </c>
      <c r="BB125" s="142">
        <f>BB121/BB114</f>
        <v>0.45999999999999996</v>
      </c>
      <c r="BC125" s="142">
        <f>BC121/BC114</f>
        <v>0.43999999999999995</v>
      </c>
      <c r="BD125" s="142">
        <f>BD121/BD114</f>
        <v>0.49</v>
      </c>
      <c r="BE125" s="142">
        <f>BE121/BE114</f>
        <v>0.45515162705772899</v>
      </c>
      <c r="BF125" s="141"/>
      <c r="BG125" s="15"/>
    </row>
    <row r="126" spans="1:90" outlineLevel="1">
      <c r="B126" s="248" t="s">
        <v>418</v>
      </c>
      <c r="C126" s="15">
        <f t="shared" ref="C126:H126" si="253">SUM(C124:C125)</f>
        <v>1</v>
      </c>
      <c r="D126" s="15">
        <f t="shared" si="253"/>
        <v>1</v>
      </c>
      <c r="E126" s="15">
        <f t="shared" si="253"/>
        <v>1</v>
      </c>
      <c r="F126" s="15">
        <f t="shared" si="253"/>
        <v>1</v>
      </c>
      <c r="G126" s="15">
        <f t="shared" si="253"/>
        <v>1</v>
      </c>
      <c r="H126" s="15">
        <f t="shared" si="253"/>
        <v>1</v>
      </c>
      <c r="I126" s="15">
        <f>SUM(I124:I125)</f>
        <v>1</v>
      </c>
      <c r="J126" s="435">
        <f t="shared" ref="J126:M126" si="254">SUM(J124:J125)</f>
        <v>1</v>
      </c>
      <c r="K126" s="15">
        <f t="shared" si="254"/>
        <v>1</v>
      </c>
      <c r="L126" s="15">
        <f t="shared" si="254"/>
        <v>1</v>
      </c>
      <c r="M126" s="15">
        <f t="shared" si="254"/>
        <v>1</v>
      </c>
      <c r="N126" s="15"/>
      <c r="O126" s="15"/>
      <c r="P126" s="15"/>
      <c r="Q126" s="15"/>
      <c r="R126" s="15"/>
      <c r="V126" s="142"/>
      <c r="W126" s="142"/>
      <c r="X126" s="142"/>
      <c r="Y126" s="359"/>
      <c r="Z126" s="142"/>
      <c r="AA126" s="142"/>
      <c r="AB126" s="142"/>
      <c r="AC126" s="359"/>
      <c r="AD126" s="142"/>
      <c r="AE126" s="142"/>
      <c r="AF126" s="142"/>
      <c r="AG126" s="359"/>
      <c r="AH126" s="142"/>
      <c r="AI126" s="142"/>
      <c r="AJ126" s="142"/>
      <c r="AK126" s="359"/>
      <c r="AL126" s="142"/>
      <c r="AM126" s="142"/>
      <c r="AN126" s="142"/>
      <c r="AO126" s="359"/>
      <c r="AP126" s="142"/>
      <c r="AQ126" s="142"/>
      <c r="AR126" s="142"/>
      <c r="AS126" s="359"/>
      <c r="AT126" s="142"/>
      <c r="AU126" s="142"/>
      <c r="AV126" s="142"/>
      <c r="AW126" s="359"/>
      <c r="AX126" s="142">
        <f>SUM(AX124+AX125)</f>
        <v>1</v>
      </c>
      <c r="AY126" s="142">
        <f t="shared" ref="AY126:BE126" si="255">SUM(AY124+AY125)</f>
        <v>1</v>
      </c>
      <c r="AZ126" s="142">
        <f t="shared" si="255"/>
        <v>1</v>
      </c>
      <c r="BA126" s="142">
        <f t="shared" si="255"/>
        <v>1</v>
      </c>
      <c r="BB126" s="142">
        <f t="shared" si="255"/>
        <v>1</v>
      </c>
      <c r="BC126" s="142">
        <f t="shared" si="255"/>
        <v>1</v>
      </c>
      <c r="BD126" s="142">
        <f t="shared" si="255"/>
        <v>1</v>
      </c>
      <c r="BE126" s="142">
        <f t="shared" si="255"/>
        <v>1</v>
      </c>
      <c r="BF126" s="141"/>
      <c r="BG126" s="15"/>
    </row>
    <row r="127" spans="1:90" outlineLevel="1">
      <c r="B127" s="144" t="s">
        <v>80</v>
      </c>
      <c r="C127" s="15"/>
      <c r="D127" s="15"/>
      <c r="E127" s="15"/>
      <c r="F127" s="15"/>
      <c r="G127" s="15"/>
      <c r="H127" s="15"/>
      <c r="I127" s="15"/>
      <c r="J127" s="435"/>
      <c r="K127" s="301"/>
      <c r="L127" s="15"/>
      <c r="M127" s="15"/>
      <c r="N127" s="15"/>
      <c r="O127" s="15"/>
      <c r="P127" s="15"/>
      <c r="Q127" s="15"/>
      <c r="R127" s="15"/>
      <c r="V127" s="141"/>
      <c r="W127" s="141"/>
      <c r="X127" s="141"/>
      <c r="Y127" s="398"/>
      <c r="Z127" s="141"/>
      <c r="AA127" s="141"/>
      <c r="AB127" s="141"/>
      <c r="AC127" s="398"/>
      <c r="AD127" s="141"/>
      <c r="AE127" s="141"/>
      <c r="AF127" s="141"/>
      <c r="AG127" s="398"/>
      <c r="AH127" s="141"/>
      <c r="AI127" s="141"/>
      <c r="AJ127" s="141"/>
      <c r="AK127" s="398"/>
      <c r="AL127" s="141"/>
      <c r="AM127" s="141"/>
      <c r="AN127" s="141"/>
      <c r="AO127" s="398"/>
      <c r="AP127" s="141"/>
      <c r="AQ127" s="141"/>
      <c r="AR127" s="141"/>
      <c r="AS127" s="398"/>
      <c r="AT127" s="141"/>
      <c r="AU127" s="141"/>
      <c r="AV127" s="141"/>
      <c r="AW127" s="398"/>
      <c r="AX127" s="225"/>
      <c r="AY127" s="225"/>
      <c r="AZ127" s="225"/>
      <c r="BA127" s="278"/>
      <c r="BB127" s="225"/>
      <c r="BC127" s="225"/>
      <c r="BD127" s="225"/>
      <c r="BE127" s="225"/>
      <c r="BF127" s="141"/>
      <c r="BG127" s="15"/>
    </row>
    <row r="128" spans="1:90" outlineLevel="1">
      <c r="B128" s="248" t="s">
        <v>368</v>
      </c>
      <c r="C128" s="399"/>
      <c r="D128" s="400">
        <v>0.75</v>
      </c>
      <c r="E128" s="15">
        <f t="shared" ref="E128:R128" si="256">E120/D120-1</f>
        <v>0.27674418604651163</v>
      </c>
      <c r="F128" s="15">
        <f t="shared" si="256"/>
        <v>0.50091074681238612</v>
      </c>
      <c r="G128" s="15">
        <f t="shared" si="256"/>
        <v>0.42354368932038833</v>
      </c>
      <c r="H128" s="15">
        <f t="shared" si="256"/>
        <v>0.36146632566069914</v>
      </c>
      <c r="I128" s="15">
        <f t="shared" si="256"/>
        <v>0.17532874139010635</v>
      </c>
      <c r="J128" s="435">
        <f t="shared" si="256"/>
        <v>0.17314864144912101</v>
      </c>
      <c r="K128" s="15">
        <f t="shared" si="256"/>
        <v>0.22162655265667563</v>
      </c>
      <c r="L128" s="15">
        <f t="shared" si="256"/>
        <v>0.19798240574506298</v>
      </c>
      <c r="M128" s="15">
        <f t="shared" si="256"/>
        <v>0.15376685288640601</v>
      </c>
      <c r="N128" s="15">
        <f t="shared" si="256"/>
        <v>0.16437360154738911</v>
      </c>
      <c r="O128" s="15">
        <f t="shared" si="256"/>
        <v>0.14120284862745058</v>
      </c>
      <c r="P128" s="15">
        <f t="shared" si="256"/>
        <v>0.12625611516006408</v>
      </c>
      <c r="Q128" s="15">
        <f t="shared" si="256"/>
        <v>0.11074712177091395</v>
      </c>
      <c r="R128" s="15">
        <f t="shared" si="256"/>
        <v>9.6814818181109263E-2</v>
      </c>
      <c r="W128" s="142"/>
      <c r="X128" s="142"/>
      <c r="Y128" s="359"/>
      <c r="Z128" s="142">
        <f t="shared" ref="Z128:BA128" si="257">Z120/V120-1</f>
        <v>0.39236641221374047</v>
      </c>
      <c r="AA128" s="142">
        <f t="shared" si="257"/>
        <v>0.4214259051885032</v>
      </c>
      <c r="AB128" s="142">
        <f t="shared" si="257"/>
        <v>0.36001976772918209</v>
      </c>
      <c r="AC128" s="359">
        <f t="shared" si="257"/>
        <v>4.3951064793837702E-2</v>
      </c>
      <c r="AD128" s="142">
        <f t="shared" si="257"/>
        <v>0.46491228070175428</v>
      </c>
      <c r="AE128" s="142">
        <f t="shared" si="257"/>
        <v>0.50420168067226889</v>
      </c>
      <c r="AF128" s="142">
        <f t="shared" si="257"/>
        <v>0.48255813953488369</v>
      </c>
      <c r="AG128" s="359">
        <f t="shared" si="257"/>
        <v>0.54861111111111116</v>
      </c>
      <c r="AH128" s="142">
        <f t="shared" si="257"/>
        <v>0.53892215568862278</v>
      </c>
      <c r="AI128" s="142">
        <f t="shared" si="257"/>
        <v>0.53631284916201127</v>
      </c>
      <c r="AJ128" s="142">
        <f t="shared" si="257"/>
        <v>0.35686274509803928</v>
      </c>
      <c r="AK128" s="359">
        <f t="shared" si="257"/>
        <v>0.32286995515695072</v>
      </c>
      <c r="AL128" s="142">
        <f t="shared" si="257"/>
        <v>0.33073929961089488</v>
      </c>
      <c r="AM128" s="142">
        <f t="shared" si="257"/>
        <v>0.38181818181818183</v>
      </c>
      <c r="AN128" s="142">
        <f t="shared" si="257"/>
        <v>0.42774566473988429</v>
      </c>
      <c r="AO128" s="359">
        <f t="shared" si="257"/>
        <v>0.29152542372881363</v>
      </c>
      <c r="AP128" s="142">
        <f t="shared" si="257"/>
        <v>0.24853801169590639</v>
      </c>
      <c r="AQ128" s="142">
        <f t="shared" si="257"/>
        <v>0.15263157894736845</v>
      </c>
      <c r="AR128" s="142">
        <f t="shared" si="257"/>
        <v>0.13967611336032393</v>
      </c>
      <c r="AS128" s="359">
        <f t="shared" si="257"/>
        <v>0.17847769028871396</v>
      </c>
      <c r="AT128" s="142">
        <f t="shared" si="257"/>
        <v>0.18969555035128804</v>
      </c>
      <c r="AU128" s="142">
        <f t="shared" si="257"/>
        <v>0.12354474885844735</v>
      </c>
      <c r="AV128" s="142">
        <f t="shared" si="257"/>
        <v>0.13008880994671412</v>
      </c>
      <c r="AW128" s="359">
        <f t="shared" si="257"/>
        <v>0.25979376391982201</v>
      </c>
      <c r="AX128" s="286">
        <f t="shared" si="257"/>
        <v>0.19618503937007903</v>
      </c>
      <c r="AY128" s="286">
        <f t="shared" si="257"/>
        <v>0.31689655172413778</v>
      </c>
      <c r="AZ128" s="286">
        <f t="shared" si="257"/>
        <v>0.19490909090909092</v>
      </c>
      <c r="BA128" s="287">
        <f t="shared" si="257"/>
        <v>0.19164221907499224</v>
      </c>
      <c r="BB128" s="286">
        <f t="shared" ref="BB128:BE130" si="258">BB120/AX120-1</f>
        <v>0.24690909090909097</v>
      </c>
      <c r="BC128" s="286">
        <f t="shared" si="258"/>
        <v>0.20842105263157928</v>
      </c>
      <c r="BD128" s="286">
        <f t="shared" si="258"/>
        <v>0.18358490566037733</v>
      </c>
      <c r="BE128" s="286">
        <f t="shared" si="258"/>
        <v>0.160077038892114</v>
      </c>
      <c r="BF128" s="142"/>
      <c r="BG128" s="15"/>
    </row>
    <row r="129" spans="1:90" outlineLevel="1">
      <c r="B129" s="248" t="s">
        <v>343</v>
      </c>
      <c r="C129" s="357"/>
      <c r="D129" s="15">
        <f>D121/C121-1</f>
        <v>3.8069364161849695</v>
      </c>
      <c r="E129" s="15">
        <f t="shared" ref="E129:R129" si="259">E121/D121-1</f>
        <v>0.72727272727272729</v>
      </c>
      <c r="F129" s="15">
        <f t="shared" si="259"/>
        <v>1.220780701754387</v>
      </c>
      <c r="G129" s="15">
        <f t="shared" si="259"/>
        <v>0.99471499275187636</v>
      </c>
      <c r="H129" s="15">
        <f t="shared" si="259"/>
        <v>0.67722772277227716</v>
      </c>
      <c r="I129" s="15">
        <f t="shared" si="259"/>
        <v>0.43447461629279815</v>
      </c>
      <c r="J129" s="435">
        <f t="shared" si="259"/>
        <v>0.2880658436213992</v>
      </c>
      <c r="K129" s="15">
        <f t="shared" si="259"/>
        <v>0.36706752782747576</v>
      </c>
      <c r="L129" s="15">
        <f t="shared" si="259"/>
        <v>0.29869932279909706</v>
      </c>
      <c r="M129" s="15">
        <f t="shared" si="259"/>
        <v>0.25016673866090744</v>
      </c>
      <c r="N129" s="15">
        <f t="shared" si="259"/>
        <v>0.1974617971014494</v>
      </c>
      <c r="O129" s="15">
        <f t="shared" si="259"/>
        <v>0.1877825567346938</v>
      </c>
      <c r="P129" s="15">
        <f t="shared" si="259"/>
        <v>0.17222575251353622</v>
      </c>
      <c r="Q129" s="15">
        <f t="shared" si="259"/>
        <v>0.15612077870600038</v>
      </c>
      <c r="R129" s="15">
        <f t="shared" si="259"/>
        <v>0.14169267489883053</v>
      </c>
      <c r="Z129" s="142"/>
      <c r="AA129" s="142">
        <f t="shared" ref="AA129:BA129" si="260">AA121/W121-1</f>
        <v>3.9929078014184398</v>
      </c>
      <c r="AB129" s="142">
        <f t="shared" si="260"/>
        <v>5.15962441314554</v>
      </c>
      <c r="AC129" s="359">
        <f t="shared" si="260"/>
        <v>-0.38111490329920361</v>
      </c>
      <c r="AD129" s="142">
        <f t="shared" si="260"/>
        <v>1.4835882352941177</v>
      </c>
      <c r="AE129" s="142">
        <f t="shared" si="260"/>
        <v>1.230363636363637</v>
      </c>
      <c r="AF129" s="142">
        <f t="shared" si="260"/>
        <v>1.2120975609756104</v>
      </c>
      <c r="AG129" s="359">
        <f t="shared" si="260"/>
        <v>1.0936470588235303</v>
      </c>
      <c r="AH129" s="142">
        <f t="shared" si="260"/>
        <v>1.087444636555269</v>
      </c>
      <c r="AI129" s="142">
        <f t="shared" si="260"/>
        <v>1.0106586777533213</v>
      </c>
      <c r="AJ129" s="142">
        <f t="shared" si="260"/>
        <v>1.0145210373114568</v>
      </c>
      <c r="AK129" s="359">
        <f t="shared" si="260"/>
        <v>0.89768768262530818</v>
      </c>
      <c r="AL129" s="142">
        <f t="shared" si="260"/>
        <v>0.80311797944039731</v>
      </c>
      <c r="AM129" s="142">
        <f t="shared" si="260"/>
        <v>0.78053700118590363</v>
      </c>
      <c r="AN129" s="142">
        <f t="shared" si="260"/>
        <v>0.60390019101412684</v>
      </c>
      <c r="AO129" s="359">
        <f t="shared" si="260"/>
        <v>0.62188251841433195</v>
      </c>
      <c r="AP129" s="142">
        <f t="shared" si="260"/>
        <v>0.54798761609907132</v>
      </c>
      <c r="AQ129" s="142">
        <f t="shared" si="260"/>
        <v>0.56547083670146714</v>
      </c>
      <c r="AR129" s="142">
        <f t="shared" si="260"/>
        <v>0.36838118117571583</v>
      </c>
      <c r="AS129" s="359">
        <f t="shared" si="260"/>
        <v>0.3373377393971484</v>
      </c>
      <c r="AT129" s="142">
        <f t="shared" si="260"/>
        <v>0.33739837398373984</v>
      </c>
      <c r="AU129" s="142">
        <f t="shared" si="260"/>
        <v>0.29584509090909084</v>
      </c>
      <c r="AV129" s="142">
        <f t="shared" si="260"/>
        <v>0.29815461346633398</v>
      </c>
      <c r="AW129" s="359">
        <f t="shared" si="260"/>
        <v>0.22553788395904584</v>
      </c>
      <c r="AX129" s="286">
        <f t="shared" si="260"/>
        <v>0.51117933130699078</v>
      </c>
      <c r="AY129" s="286">
        <f t="shared" si="260"/>
        <v>0.37190476190476196</v>
      </c>
      <c r="AZ129" s="286">
        <f t="shared" si="260"/>
        <v>0.29511111111111132</v>
      </c>
      <c r="BA129" s="287">
        <f t="shared" si="260"/>
        <v>0.33454315817585889</v>
      </c>
      <c r="BB129" s="286">
        <f t="shared" si="258"/>
        <v>0.29822222222222239</v>
      </c>
      <c r="BC129" s="286">
        <f t="shared" si="258"/>
        <v>0.25860465116279041</v>
      </c>
      <c r="BD129" s="286">
        <f t="shared" si="258"/>
        <v>0.28234042553191485</v>
      </c>
      <c r="BE129" s="286">
        <f t="shared" si="258"/>
        <v>0.36311332999461321</v>
      </c>
      <c r="BF129" s="142"/>
      <c r="BG129" s="15"/>
    </row>
    <row r="130" spans="1:90" outlineLevel="1">
      <c r="B130" s="248" t="s">
        <v>418</v>
      </c>
      <c r="C130" s="357"/>
      <c r="D130" s="15">
        <f>D122/C122-1</f>
        <v>0.91177730192719486</v>
      </c>
      <c r="E130" s="15">
        <f t="shared" ref="E130" si="261">E122/D122-1</f>
        <v>0.33669354838709675</v>
      </c>
      <c r="F130" s="15">
        <f t="shared" ref="F130" si="262">F122/E122-1</f>
        <v>0.62468929110105598</v>
      </c>
      <c r="G130" s="15">
        <f t="shared" ref="G130" si="263">G122/F122-1</f>
        <v>0.55778712532573804</v>
      </c>
      <c r="H130" s="15">
        <f t="shared" ref="H130" si="264">H122/G122-1</f>
        <v>0.45649582836710367</v>
      </c>
      <c r="I130" s="15">
        <f t="shared" ref="I130" si="265">I122/H122-1</f>
        <v>0.26513911620294595</v>
      </c>
      <c r="J130" s="435">
        <f t="shared" ref="J130" si="266">J122/I122-1</f>
        <v>0.21830530401034931</v>
      </c>
      <c r="K130" s="15">
        <f t="shared" ref="K130" si="267">K122/J122-1</f>
        <v>0.28204999999999991</v>
      </c>
      <c r="L130" s="15">
        <f t="shared" ref="L130" si="268">L122/K122-1</f>
        <v>0.24259999999999993</v>
      </c>
      <c r="M130" s="15">
        <f t="shared" ref="M130" si="269">M122/L122-1</f>
        <v>0.19840000000000035</v>
      </c>
      <c r="N130" s="15">
        <f t="shared" ref="N130" si="270">N122/M122-1</f>
        <v>0.18035520000000016</v>
      </c>
      <c r="O130" s="15">
        <f t="shared" ref="O130" si="271">O122/N122-1</f>
        <v>0.16402690559999988</v>
      </c>
      <c r="P130" s="15">
        <f t="shared" ref="P130" si="272">P122/O122-1</f>
        <v>0.14924093383680015</v>
      </c>
      <c r="Q130" s="15">
        <f t="shared" ref="Q130" si="273">Q122/P122-1</f>
        <v>0.13388768680780805</v>
      </c>
      <c r="R130" s="15">
        <f t="shared" ref="R130" si="274">R122/Q122-1</f>
        <v>0.12015130367432447</v>
      </c>
      <c r="Z130" s="142"/>
      <c r="AA130" s="142">
        <f t="shared" ref="AA130" si="275">AA122/W122-1</f>
        <v>0.60000000000000009</v>
      </c>
      <c r="AB130" s="142">
        <f t="shared" ref="AB130" si="276">AB122/X122-1</f>
        <v>0.60000000000000009</v>
      </c>
      <c r="AC130" s="359">
        <f t="shared" ref="AC130" si="277">AC122/Y122-1</f>
        <v>-7.71224886584575E-2</v>
      </c>
      <c r="AD130" s="142">
        <f t="shared" ref="AD130" si="278">AD122/Z122-1</f>
        <v>0.59710687022900766</v>
      </c>
      <c r="AE130" s="142">
        <f t="shared" ref="AE130" si="279">AE122/AA122-1</f>
        <v>0.61750354609929081</v>
      </c>
      <c r="AF130" s="142">
        <f t="shared" ref="AF130" si="280">AF122/AB122-1</f>
        <v>0.62298591549295779</v>
      </c>
      <c r="AG130" s="359">
        <f t="shared" ref="AG130" si="281">AG122/AC122-1</f>
        <v>0.65271910112359555</v>
      </c>
      <c r="AH130" s="142">
        <f t="shared" ref="AH130" si="282">AH122/AD122-1</f>
        <v>0.64961452244277584</v>
      </c>
      <c r="AI130" s="142">
        <f t="shared" ref="AI130" si="283">AI122/AE122-1</f>
        <v>0.63836662749706208</v>
      </c>
      <c r="AJ130" s="142">
        <f t="shared" ref="AJ130" si="284">AJ122/AF122-1</f>
        <v>0.52940444783856311</v>
      </c>
      <c r="AK130" s="359">
        <f t="shared" ref="AK130" si="285">AK122/AG122-1</f>
        <v>0.46195918200853869</v>
      </c>
      <c r="AL130" s="142">
        <f t="shared" ref="AL130" si="286">AL122/AH122-1</f>
        <v>0.45136671553657415</v>
      </c>
      <c r="AM130" s="142">
        <f t="shared" ref="AM130" si="287">AM122/AI122-1</f>
        <v>0.48709384759901431</v>
      </c>
      <c r="AN130" s="142">
        <f t="shared" ref="AN130" si="288">AN122/AJ122-1</f>
        <v>0.48862039420550829</v>
      </c>
      <c r="AO130" s="359">
        <f t="shared" ref="AO130" si="289">AO122/AK122-1</f>
        <v>0.39528697815548086</v>
      </c>
      <c r="AP130" s="142">
        <f t="shared" ref="AP130" si="290">AP122/AL122-1</f>
        <v>0.34353863721661915</v>
      </c>
      <c r="AQ130" s="142">
        <f t="shared" ref="AQ130" si="291">AQ122/AM122-1</f>
        <v>0.28314491079173454</v>
      </c>
      <c r="AR130" s="142">
        <f t="shared" ref="AR130" si="292">AR122/AN122-1</f>
        <v>0.22483155389703535</v>
      </c>
      <c r="AS130" s="359">
        <f t="shared" ref="AS130" si="293">AS122/AO122-1</f>
        <v>0.23647707351539426</v>
      </c>
      <c r="AT130" s="142">
        <f t="shared" ref="AT130" si="294">AT122/AP122-1</f>
        <v>0.24368499257057952</v>
      </c>
      <c r="AU130" s="142">
        <f t="shared" ref="AU130" si="295">AU122/AQ122-1</f>
        <v>0.18999999999999995</v>
      </c>
      <c r="AV130" s="142">
        <f t="shared" ref="AV130" si="296">AV122/AR122-1</f>
        <v>0.19999999999999996</v>
      </c>
      <c r="AW130" s="359">
        <f t="shared" ref="AW130" si="297">AW122/AS122-1</f>
        <v>0.24626684636118656</v>
      </c>
      <c r="AX130" s="286">
        <f t="shared" ref="AX130" si="298">AX122/AT122-1</f>
        <v>0.32000000000000028</v>
      </c>
      <c r="AY130" s="286">
        <f t="shared" ref="AY130" si="299">AY122/AU122-1</f>
        <v>0.34000000000000008</v>
      </c>
      <c r="AZ130" s="286">
        <f t="shared" ref="AZ130" si="300">AZ122/AV122-1</f>
        <v>0.24</v>
      </c>
      <c r="BA130" s="287">
        <f t="shared" ref="BA130" si="301">BA122/AW122-1</f>
        <v>0.24713218993652042</v>
      </c>
      <c r="BB130" s="286">
        <f t="shared" si="258"/>
        <v>0.27</v>
      </c>
      <c r="BC130" s="286">
        <f t="shared" si="258"/>
        <v>0.22999999999999998</v>
      </c>
      <c r="BD130" s="286">
        <f t="shared" si="258"/>
        <v>0.22999999999999998</v>
      </c>
      <c r="BE130" s="286">
        <f t="shared" si="258"/>
        <v>0.24444415800922026</v>
      </c>
      <c r="BF130" s="142"/>
      <c r="BG130" s="15"/>
    </row>
    <row r="131" spans="1:90" outlineLevel="1">
      <c r="B131" s="144" t="s">
        <v>81</v>
      </c>
      <c r="C131" s="357"/>
      <c r="D131" s="15"/>
      <c r="E131" s="15"/>
      <c r="F131" s="15"/>
      <c r="G131" s="15"/>
      <c r="H131" s="15"/>
      <c r="I131" s="15"/>
      <c r="J131" s="435"/>
      <c r="K131" s="15"/>
      <c r="L131" s="15"/>
      <c r="M131" s="15"/>
      <c r="N131" s="15"/>
      <c r="O131" s="15"/>
      <c r="P131" s="15"/>
      <c r="Q131" s="15"/>
      <c r="R131" s="15"/>
      <c r="Z131" s="142"/>
      <c r="AA131" s="142"/>
      <c r="AB131" s="142"/>
      <c r="AC131" s="359"/>
      <c r="AD131" s="142"/>
      <c r="AE131" s="142"/>
      <c r="AF131" s="142"/>
      <c r="AG131" s="359"/>
      <c r="AH131" s="142"/>
      <c r="AI131" s="142"/>
      <c r="AJ131" s="142"/>
      <c r="AK131" s="359"/>
      <c r="AL131" s="142"/>
      <c r="AM131" s="142"/>
      <c r="AN131" s="142"/>
      <c r="AO131" s="359"/>
      <c r="AP131" s="142"/>
      <c r="AQ131" s="142"/>
      <c r="AR131" s="142"/>
      <c r="AS131" s="359"/>
      <c r="AT131" s="142"/>
      <c r="AU131" s="142"/>
      <c r="AV131" s="142"/>
      <c r="AW131" s="359"/>
      <c r="AX131" s="286"/>
      <c r="AY131" s="286"/>
      <c r="AZ131" s="286"/>
      <c r="BA131" s="287"/>
      <c r="BB131" s="286"/>
      <c r="BC131" s="286"/>
      <c r="BD131" s="286"/>
      <c r="BE131" s="286"/>
      <c r="BF131" s="142"/>
      <c r="BG131" s="15"/>
    </row>
    <row r="132" spans="1:90" outlineLevel="1">
      <c r="B132" s="248" t="s">
        <v>368</v>
      </c>
      <c r="C132" s="401"/>
      <c r="H132" s="15"/>
      <c r="J132" s="279"/>
      <c r="K132" s="274"/>
      <c r="W132" s="142">
        <f t="shared" ref="W132:BA132" si="302">W120/V120-1</f>
        <v>2.2519083969465559E-2</v>
      </c>
      <c r="X132" s="142">
        <f t="shared" si="302"/>
        <v>0.5106382978723405</v>
      </c>
      <c r="Y132" s="359">
        <f t="shared" si="302"/>
        <v>9.0684457622930648E-2</v>
      </c>
      <c r="Z132" s="142">
        <f t="shared" si="302"/>
        <v>-0.17353874037154504</v>
      </c>
      <c r="AA132" s="142">
        <f t="shared" si="302"/>
        <v>4.3859649122806932E-2</v>
      </c>
      <c r="AB132" s="142">
        <f t="shared" si="302"/>
        <v>0.44537815126050417</v>
      </c>
      <c r="AC132" s="359">
        <f t="shared" si="302"/>
        <v>-0.16279069767441856</v>
      </c>
      <c r="AD132" s="142">
        <f t="shared" si="302"/>
        <v>0.15972222222222232</v>
      </c>
      <c r="AE132" s="142">
        <f t="shared" si="302"/>
        <v>7.1856287425149601E-2</v>
      </c>
      <c r="AF132" s="142">
        <f t="shared" si="302"/>
        <v>0.42458100558659218</v>
      </c>
      <c r="AG132" s="359">
        <f t="shared" si="302"/>
        <v>-0.12549019607843137</v>
      </c>
      <c r="AH132" s="142">
        <f t="shared" si="302"/>
        <v>0.15246636771300448</v>
      </c>
      <c r="AI132" s="142">
        <f t="shared" si="302"/>
        <v>7.0038910505836549E-2</v>
      </c>
      <c r="AJ132" s="142">
        <f t="shared" si="302"/>
        <v>0.25818181818181829</v>
      </c>
      <c r="AK132" s="359">
        <f t="shared" si="302"/>
        <v>-0.14739884393063585</v>
      </c>
      <c r="AL132" s="142">
        <f t="shared" si="302"/>
        <v>0.15932203389830502</v>
      </c>
      <c r="AM132" s="142">
        <f t="shared" si="302"/>
        <v>0.11111111111111116</v>
      </c>
      <c r="AN132" s="142">
        <f t="shared" si="302"/>
        <v>0.30000000000000004</v>
      </c>
      <c r="AO132" s="359">
        <f t="shared" si="302"/>
        <v>-0.22874493927125505</v>
      </c>
      <c r="AP132" s="142">
        <f t="shared" si="302"/>
        <v>0.12073490813648302</v>
      </c>
      <c r="AQ132" s="142">
        <f t="shared" si="302"/>
        <v>2.5761124121779888E-2</v>
      </c>
      <c r="AR132" s="142">
        <f t="shared" si="302"/>
        <v>0.28538812785388123</v>
      </c>
      <c r="AS132" s="359">
        <f t="shared" si="302"/>
        <v>-0.20248667850799285</v>
      </c>
      <c r="AT132" s="142">
        <f t="shared" si="302"/>
        <v>0.1314031180400892</v>
      </c>
      <c r="AU132" s="142">
        <f t="shared" si="302"/>
        <v>-3.1274409448818985E-2</v>
      </c>
      <c r="AV132" s="142">
        <f t="shared" si="302"/>
        <v>0.29287484205850478</v>
      </c>
      <c r="AW132" s="359">
        <f t="shared" si="302"/>
        <v>-0.11095278511253603</v>
      </c>
      <c r="AX132" s="286">
        <f t="shared" si="302"/>
        <v>7.4277014267192021E-2</v>
      </c>
      <c r="AY132" s="286">
        <f t="shared" si="302"/>
        <v>6.6483318028772054E-2</v>
      </c>
      <c r="AZ132" s="286">
        <f t="shared" si="302"/>
        <v>0.17311257301171801</v>
      </c>
      <c r="BA132" s="287">
        <f t="shared" si="302"/>
        <v>-0.11338343304014542</v>
      </c>
      <c r="BB132" s="286">
        <f t="shared" ref="BB132:BE134" si="303">BB120/BA120-1</f>
        <v>0.12410063507504687</v>
      </c>
      <c r="BC132" s="286">
        <f t="shared" si="303"/>
        <v>3.3564438003049535E-2</v>
      </c>
      <c r="BD132" s="286">
        <f t="shared" si="303"/>
        <v>0.14900210570925321</v>
      </c>
      <c r="BE132" s="286">
        <f t="shared" si="303"/>
        <v>-0.13099303927198414</v>
      </c>
      <c r="BF132" s="142"/>
      <c r="BG132" s="15"/>
    </row>
    <row r="133" spans="1:90" outlineLevel="1">
      <c r="B133" s="248" t="s">
        <v>343</v>
      </c>
      <c r="C133" s="357"/>
      <c r="K133" s="274"/>
      <c r="W133" s="142"/>
      <c r="X133" s="142">
        <f t="shared" ref="X133:BA133" si="304">X121/W121-1</f>
        <v>0.5106382978723405</v>
      </c>
      <c r="Y133" s="359">
        <f t="shared" si="304"/>
        <v>7.2535211267605639</v>
      </c>
      <c r="Z133" s="142">
        <f t="shared" si="304"/>
        <v>-0.69055745164960181</v>
      </c>
      <c r="AA133" s="142">
        <f t="shared" si="304"/>
        <v>0.29411764705882359</v>
      </c>
      <c r="AB133" s="142">
        <f t="shared" si="304"/>
        <v>0.86363636363636354</v>
      </c>
      <c r="AC133" s="359">
        <f t="shared" si="304"/>
        <v>-0.17073170731707321</v>
      </c>
      <c r="AD133" s="142">
        <f t="shared" si="304"/>
        <v>0.24179411764705883</v>
      </c>
      <c r="AE133" s="142">
        <f t="shared" si="304"/>
        <v>0.16217048388242827</v>
      </c>
      <c r="AF133" s="142">
        <f t="shared" si="304"/>
        <v>0.84837368549767689</v>
      </c>
      <c r="AG133" s="359">
        <f t="shared" si="304"/>
        <v>-0.21513627943900493</v>
      </c>
      <c r="AH133" s="142">
        <f t="shared" si="304"/>
        <v>0.23811530681051907</v>
      </c>
      <c r="AI133" s="142">
        <f t="shared" si="304"/>
        <v>0.11942042798465935</v>
      </c>
      <c r="AJ133" s="142">
        <f t="shared" si="304"/>
        <v>0.85192430492909876</v>
      </c>
      <c r="AK133" s="359">
        <f t="shared" si="304"/>
        <v>-0.2606549212135143</v>
      </c>
      <c r="AL133" s="142">
        <f t="shared" si="304"/>
        <v>0.17641484990931655</v>
      </c>
      <c r="AM133" s="142">
        <f t="shared" si="304"/>
        <v>0.10540159581162412</v>
      </c>
      <c r="AN133" s="142">
        <f t="shared" si="304"/>
        <v>0.66820557193765406</v>
      </c>
      <c r="AO133" s="359">
        <f t="shared" si="304"/>
        <v>-0.25236566148092299</v>
      </c>
      <c r="AP133" s="142">
        <f t="shared" si="304"/>
        <v>0.12281598597849319</v>
      </c>
      <c r="AQ133" s="142">
        <f t="shared" si="304"/>
        <v>0.11788617886178865</v>
      </c>
      <c r="AR133" s="142">
        <f t="shared" si="304"/>
        <v>0.45818181818181825</v>
      </c>
      <c r="AS133" s="359">
        <f t="shared" si="304"/>
        <v>-0.26932668329177056</v>
      </c>
      <c r="AT133" s="142">
        <f t="shared" si="304"/>
        <v>0.12286689419795227</v>
      </c>
      <c r="AU133" s="142">
        <f t="shared" si="304"/>
        <v>8.3153191489361733E-2</v>
      </c>
      <c r="AV133" s="142">
        <f t="shared" si="304"/>
        <v>0.46078066570246601</v>
      </c>
      <c r="AW133" s="359">
        <f t="shared" si="304"/>
        <v>-0.31019940064545792</v>
      </c>
      <c r="AX133" s="286">
        <f t="shared" si="304"/>
        <v>0.384578367205761</v>
      </c>
      <c r="AY133" s="286">
        <f t="shared" si="304"/>
        <v>-1.6673275969572243E-2</v>
      </c>
      <c r="AZ133" s="286">
        <f t="shared" si="304"/>
        <v>0.3790121031585747</v>
      </c>
      <c r="BA133" s="287">
        <f t="shared" si="304"/>
        <v>-0.28919714881881442</v>
      </c>
      <c r="BB133" s="286">
        <f t="shared" si="303"/>
        <v>0.34689567265221077</v>
      </c>
      <c r="BC133" s="286">
        <f t="shared" si="303"/>
        <v>-4.6681248177311341E-2</v>
      </c>
      <c r="BD133" s="286">
        <f t="shared" si="303"/>
        <v>0.40501861767655578</v>
      </c>
      <c r="BE133" s="286">
        <f t="shared" si="303"/>
        <v>-0.24442463003429882</v>
      </c>
      <c r="BF133" s="142"/>
      <c r="BG133" s="15"/>
    </row>
    <row r="134" spans="1:90" outlineLevel="1">
      <c r="B134" s="248" t="s">
        <v>418</v>
      </c>
      <c r="C134" s="357"/>
      <c r="K134" s="274"/>
      <c r="W134" s="142"/>
      <c r="X134" s="142">
        <f t="shared" ref="X134" si="305">X122/W122-1</f>
        <v>0.5106382978723405</v>
      </c>
      <c r="Y134" s="359">
        <f t="shared" ref="Y134" si="306">Y122/X122-1</f>
        <v>0.4488262910798122</v>
      </c>
      <c r="Z134" s="142">
        <f t="shared" ref="Z134" si="307">Z122/Y122-1</f>
        <v>-0.32080362929358397</v>
      </c>
      <c r="AA134" s="142">
        <f t="shared" ref="AA134" si="308">AA122/Z122-1</f>
        <v>7.6335877862595325E-2</v>
      </c>
      <c r="AB134" s="142">
        <f t="shared" ref="AB134" si="309">AB122/AA122-1</f>
        <v>0.5106382978723405</v>
      </c>
      <c r="AC134" s="359">
        <f t="shared" ref="AC134" si="310">AC122/AB122-1</f>
        <v>-0.16431924882629112</v>
      </c>
      <c r="AD134" s="142">
        <f t="shared" ref="AD134" si="311">AD122/AC122-1</f>
        <v>0.17539887640449447</v>
      </c>
      <c r="AE134" s="142">
        <f t="shared" ref="AE134" si="312">AE122/AD122-1</f>
        <v>9.0081779553677688E-2</v>
      </c>
      <c r="AF134" s="142">
        <f t="shared" ref="AF134" si="313">AF122/AE122-1</f>
        <v>0.51575845800375331</v>
      </c>
      <c r="AG134" s="359">
        <f t="shared" ref="AG134" si="314">AG122/AF122-1</f>
        <v>-0.14900953438859577</v>
      </c>
      <c r="AH134" s="142">
        <f t="shared" ref="AH134" si="315">AH122/AG122-1</f>
        <v>0.17319092812661463</v>
      </c>
      <c r="AI134" s="142">
        <f t="shared" ref="AI134" si="316">AI122/AH122-1</f>
        <v>8.2649058047019386E-2</v>
      </c>
      <c r="AJ134" s="142">
        <f t="shared" ref="AJ134" si="317">AJ122/AI122-1</f>
        <v>0.41495052976109226</v>
      </c>
      <c r="AK134" s="359">
        <f t="shared" ref="AK134" si="318">AK122/AJ122-1</f>
        <v>-0.1865373958075236</v>
      </c>
      <c r="AL134" s="142">
        <f t="shared" ref="AL134" si="319">AL122/AK122-1</f>
        <v>0.16469070067544789</v>
      </c>
      <c r="AM134" s="142">
        <f t="shared" ref="AM134" si="320">AM122/AL122-1</f>
        <v>0.10929976283448739</v>
      </c>
      <c r="AN134" s="142">
        <f t="shared" ref="AN134" si="321">AN122/AM122-1</f>
        <v>0.41640301907980692</v>
      </c>
      <c r="AO134" s="359">
        <f t="shared" ref="AO134" si="322">AO122/AN122-1</f>
        <v>-0.23753981655479284</v>
      </c>
      <c r="AP134" s="142">
        <f t="shared" ref="AP134" si="323">AP122/AO122-1</f>
        <v>0.12149470414536445</v>
      </c>
      <c r="AQ134" s="142">
        <f t="shared" ref="AQ134" si="324">AQ122/AP122-1</f>
        <v>5.9435364041604766E-2</v>
      </c>
      <c r="AR134" s="142">
        <f t="shared" ref="AR134" si="325">AR122/AQ122-1</f>
        <v>0.35203366058906038</v>
      </c>
      <c r="AS134" s="359">
        <f t="shared" ref="AS134" si="326">AS122/AR122-1</f>
        <v>-0.23029045643153523</v>
      </c>
      <c r="AT134" s="142">
        <f t="shared" ref="AT134" si="327">AT122/AS122-1</f>
        <v>0.12803234501347704</v>
      </c>
      <c r="AU134" s="142">
        <f t="shared" ref="AU134" si="328">AU122/AT122-1</f>
        <v>1.3703703703703551E-2</v>
      </c>
      <c r="AV134" s="142">
        <f t="shared" ref="AV134" si="329">AV122/AU122-1</f>
        <v>0.36339528798896836</v>
      </c>
      <c r="AW134" s="359">
        <f t="shared" ref="AW134" si="330">AW122/AV122-1</f>
        <v>-0.20061376210235082</v>
      </c>
      <c r="AX134" s="286">
        <f t="shared" ref="AX134" si="331">AX122/AW122-1</f>
        <v>0.1947703654039552</v>
      </c>
      <c r="AY134" s="286">
        <f t="shared" ref="AY134" si="332">AY122/AX122-1</f>
        <v>2.9062850729517198E-2</v>
      </c>
      <c r="AZ134" s="286">
        <f t="shared" ref="AZ134" si="333">AZ122/AY122-1</f>
        <v>0.2616493709748664</v>
      </c>
      <c r="BA134" s="287">
        <f t="shared" ref="BA134" si="334">BA122/AZ122-1</f>
        <v>-0.19601587945611987</v>
      </c>
      <c r="BB134" s="286">
        <f t="shared" si="303"/>
        <v>0.21667805250079986</v>
      </c>
      <c r="BC134" s="286">
        <f t="shared" si="303"/>
        <v>-3.3485776399164724E-3</v>
      </c>
      <c r="BD134" s="286">
        <f t="shared" si="303"/>
        <v>0.26164937097486618</v>
      </c>
      <c r="BE134" s="286">
        <f t="shared" si="303"/>
        <v>-0.18657451874551834</v>
      </c>
      <c r="BF134" s="142"/>
      <c r="BG134" s="15"/>
    </row>
    <row r="135" spans="1:90" outlineLevel="1">
      <c r="B135" s="248"/>
      <c r="C135" s="357"/>
      <c r="K135" s="274"/>
      <c r="W135" s="142"/>
      <c r="X135" s="142"/>
      <c r="Y135" s="359"/>
      <c r="Z135" s="142"/>
      <c r="AA135" s="142"/>
      <c r="AB135" s="142"/>
      <c r="AC135" s="359"/>
      <c r="AD135" s="142"/>
      <c r="AE135" s="142"/>
      <c r="AF135" s="142"/>
      <c r="AG135" s="359"/>
      <c r="AH135" s="142"/>
      <c r="AI135" s="142"/>
      <c r="AJ135" s="142"/>
      <c r="AK135" s="359"/>
      <c r="AL135" s="142"/>
      <c r="AM135" s="142"/>
      <c r="AN135" s="142"/>
      <c r="AO135" s="359"/>
      <c r="AP135" s="142"/>
      <c r="AQ135" s="142"/>
      <c r="AR135" s="142"/>
      <c r="AS135" s="359"/>
      <c r="AT135" s="142"/>
      <c r="AU135" s="142"/>
      <c r="AV135" s="142"/>
      <c r="AW135" s="359"/>
      <c r="AX135" s="286"/>
      <c r="AY135" s="286"/>
      <c r="AZ135" s="286"/>
      <c r="BA135" s="287"/>
      <c r="BB135" s="286"/>
      <c r="BC135" s="286"/>
      <c r="BD135" s="286"/>
      <c r="BE135" s="286"/>
      <c r="BF135" s="142"/>
      <c r="BG135" s="15"/>
    </row>
    <row r="136" spans="1:90" outlineLevel="1">
      <c r="B136" s="383" t="s">
        <v>648</v>
      </c>
      <c r="C136" s="402"/>
      <c r="D136" s="402"/>
      <c r="G136" s="274"/>
      <c r="H136" s="275"/>
      <c r="I136" s="275"/>
      <c r="J136" s="1398"/>
      <c r="AM136" s="403"/>
      <c r="AN136" s="403"/>
      <c r="AO136" s="404"/>
      <c r="BG136" s="15"/>
      <c r="BJ136" s="454"/>
      <c r="BK136" s="454"/>
      <c r="BL136" s="454"/>
      <c r="BM136" s="454"/>
      <c r="BN136" s="454"/>
      <c r="BO136" s="454"/>
      <c r="BP136" s="454"/>
      <c r="BQ136" s="454"/>
    </row>
    <row r="137" spans="1:90" outlineLevel="1">
      <c r="B137" s="399" t="s">
        <v>1</v>
      </c>
      <c r="C137" s="374"/>
      <c r="E137" s="545">
        <f>SUM(Z137:AC137)</f>
        <v>646.67999999999995</v>
      </c>
      <c r="F137" s="545">
        <f>SUM(AD137:AG137)</f>
        <v>997.71383400000002</v>
      </c>
      <c r="G137" s="545">
        <f>SUM(AH137:AK137)</f>
        <v>1359.2440839999999</v>
      </c>
      <c r="H137" s="307">
        <f>SUM(AL137:AO137)</f>
        <v>1449.3500000000004</v>
      </c>
      <c r="I137" s="454">
        <f t="shared" ref="I137:R137" si="335">I$114*I141</f>
        <v>1088.9760000000003</v>
      </c>
      <c r="J137" s="725">
        <f t="shared" si="335"/>
        <v>786.00000000000011</v>
      </c>
      <c r="K137" s="454">
        <f t="shared" si="335"/>
        <v>772.71717599999999</v>
      </c>
      <c r="L137" s="454">
        <f t="shared" si="335"/>
        <v>780.14491985429993</v>
      </c>
      <c r="M137" s="454">
        <f t="shared" si="335"/>
        <v>791.09095319133257</v>
      </c>
      <c r="N137" s="454">
        <f t="shared" si="335"/>
        <v>763.99226204101035</v>
      </c>
      <c r="O137" s="454">
        <f t="shared" si="335"/>
        <v>691.68364897795425</v>
      </c>
      <c r="P137" s="454">
        <f t="shared" si="335"/>
        <v>567.79368762219224</v>
      </c>
      <c r="Q137" s="454">
        <f t="shared" si="335"/>
        <v>643.8142710420027</v>
      </c>
      <c r="R137" s="454">
        <f t="shared" si="335"/>
        <v>721.16939503183414</v>
      </c>
      <c r="T137" s="15">
        <f>(M137/J137)^(1/3)-1</f>
        <v>2.1543685908247401E-3</v>
      </c>
      <c r="Z137" s="307">
        <f t="shared" ref="Z137:AK137" si="336">Z$114*Z141</f>
        <v>129.166</v>
      </c>
      <c r="AA137" s="307">
        <f t="shared" si="336"/>
        <v>138.60300000000001</v>
      </c>
      <c r="AB137" s="307">
        <f t="shared" si="336"/>
        <v>207.67499999999998</v>
      </c>
      <c r="AC137" s="493">
        <f t="shared" si="336"/>
        <v>171.23599999999999</v>
      </c>
      <c r="AD137" s="307">
        <f t="shared" si="336"/>
        <v>199.596834</v>
      </c>
      <c r="AE137" s="307">
        <f t="shared" si="336"/>
        <v>215.29619199999999</v>
      </c>
      <c r="AF137" s="307">
        <f t="shared" si="336"/>
        <v>320.11449600000003</v>
      </c>
      <c r="AG137" s="493">
        <f t="shared" si="336"/>
        <v>262.70631200000003</v>
      </c>
      <c r="AH137" s="307">
        <f t="shared" si="336"/>
        <v>303.71791999999999</v>
      </c>
      <c r="AI137" s="307">
        <f t="shared" si="336"/>
        <v>318.73112699999996</v>
      </c>
      <c r="AJ137" s="307">
        <f t="shared" si="336"/>
        <v>424.55332699999991</v>
      </c>
      <c r="AK137" s="493">
        <f t="shared" si="336"/>
        <v>312.24170999999996</v>
      </c>
      <c r="AL137" s="489">
        <f>AL114-AL138</f>
        <v>336.488</v>
      </c>
      <c r="AM137" s="489">
        <f>AM114-AM138</f>
        <v>356.61200000000008</v>
      </c>
      <c r="AN137" s="489">
        <f>AN114-AN138</f>
        <v>460.15800000000002</v>
      </c>
      <c r="AO137" s="747">
        <f>AO114-AO138</f>
        <v>296.09199999999998</v>
      </c>
      <c r="AP137" s="307">
        <f>Reported!P36</f>
        <v>302</v>
      </c>
      <c r="AQ137" s="307">
        <f>Reported!Q36</f>
        <v>273</v>
      </c>
      <c r="AR137" s="307">
        <f>Reported!R36</f>
        <v>313</v>
      </c>
      <c r="AS137" s="493">
        <f>Reported!S36</f>
        <v>200.976</v>
      </c>
      <c r="AT137" s="307">
        <f>Reported!T36</f>
        <v>211</v>
      </c>
      <c r="AU137" s="454">
        <f>AU$114*AU141</f>
        <v>195.14809999999997</v>
      </c>
      <c r="AV137" s="454">
        <f>AV$114*AV141</f>
        <v>214.00800000000007</v>
      </c>
      <c r="AW137" s="223">
        <f>J137-SUM(AT137:AV137)</f>
        <v>165.84390000000008</v>
      </c>
      <c r="AX137" s="489">
        <f t="shared" ref="AX137:AZ138" si="337">AX$114*AX141</f>
        <v>198.87120000000007</v>
      </c>
      <c r="AY137" s="489">
        <f t="shared" si="337"/>
        <v>227.38995999999992</v>
      </c>
      <c r="AZ137" s="489">
        <f t="shared" si="337"/>
        <v>215.16480000000004</v>
      </c>
      <c r="BA137" s="1525">
        <f>N137-SUM(AX137:AZ137)</f>
        <v>122.56630204101032</v>
      </c>
      <c r="BB137" s="489">
        <f t="shared" ref="BB137:BD138" si="338">BB$114*BB141</f>
        <v>196.44055200000005</v>
      </c>
      <c r="BC137" s="489">
        <f t="shared" si="338"/>
        <v>195.78275556</v>
      </c>
      <c r="BD137" s="489">
        <f t="shared" si="338"/>
        <v>211.72216319999998</v>
      </c>
      <c r="BE137" s="469">
        <f>L137-SUM(BB137:BD137)</f>
        <v>176.19944909429989</v>
      </c>
      <c r="BF137" s="222"/>
      <c r="BG137" s="15"/>
    </row>
    <row r="138" spans="1:90" outlineLevel="1">
      <c r="B138" s="399" t="s">
        <v>2</v>
      </c>
      <c r="C138" s="374"/>
      <c r="E138" s="545">
        <f>SUM(Z138:AC138)</f>
        <v>16.32</v>
      </c>
      <c r="F138" s="545">
        <f>SUM(AD138:AG138)</f>
        <v>79.455166000000006</v>
      </c>
      <c r="G138" s="545">
        <f>SUM(AH138:AK138)</f>
        <v>318.342916</v>
      </c>
      <c r="H138" s="454">
        <f>SUM(AL138:AO138)</f>
        <v>994.37099999999998</v>
      </c>
      <c r="I138" s="454">
        <f>SUM(AP138:AS138)</f>
        <v>2003.0239999999999</v>
      </c>
      <c r="J138" s="725">
        <f>Reported!E4</f>
        <v>2981</v>
      </c>
      <c r="K138" s="311">
        <f t="shared" ref="K138:R138" si="339">K$114*K142</f>
        <v>4056.7651739999992</v>
      </c>
      <c r="L138" s="311">
        <f t="shared" si="339"/>
        <v>5220.9698482556996</v>
      </c>
      <c r="M138" s="311">
        <f t="shared" si="339"/>
        <v>6400.6449849116916</v>
      </c>
      <c r="N138" s="311">
        <f t="shared" si="339"/>
        <v>7724.8106495257744</v>
      </c>
      <c r="O138" s="311">
        <f t="shared" si="339"/>
        <v>9189.5113364213994</v>
      </c>
      <c r="P138" s="311">
        <f t="shared" si="339"/>
        <v>10788.080064821668</v>
      </c>
      <c r="Q138" s="311">
        <f t="shared" si="339"/>
        <v>12232.471149798068</v>
      </c>
      <c r="R138" s="311">
        <f t="shared" si="339"/>
        <v>13702.218505604867</v>
      </c>
      <c r="T138" s="15">
        <f>(M138/J138)^(1/3)-1</f>
        <v>0.29009171983684179</v>
      </c>
      <c r="Z138" s="489">
        <f t="shared" ref="Z138:AK138" si="340">Z$114*Z142</f>
        <v>1.8340000000000001</v>
      </c>
      <c r="AA138" s="489">
        <f t="shared" si="340"/>
        <v>2.3970000000000002</v>
      </c>
      <c r="AB138" s="489">
        <f t="shared" si="340"/>
        <v>5.3250000000000002</v>
      </c>
      <c r="AC138" s="747">
        <f t="shared" si="340"/>
        <v>6.7640000000000002</v>
      </c>
      <c r="AD138" s="489">
        <f t="shared" si="340"/>
        <v>9.6241660000000007</v>
      </c>
      <c r="AE138" s="489">
        <f t="shared" si="340"/>
        <v>12.771808000000002</v>
      </c>
      <c r="AF138" s="489">
        <f t="shared" si="340"/>
        <v>25.581503999999999</v>
      </c>
      <c r="AG138" s="747">
        <f t="shared" si="340"/>
        <v>31.477688000000001</v>
      </c>
      <c r="AH138" s="489">
        <f t="shared" si="340"/>
        <v>41.416080000000001</v>
      </c>
      <c r="AI138" s="489">
        <f t="shared" si="340"/>
        <v>54.927872999999998</v>
      </c>
      <c r="AJ138" s="489">
        <f t="shared" si="340"/>
        <v>104.15567299999999</v>
      </c>
      <c r="AK138" s="747">
        <f t="shared" si="340"/>
        <v>117.84329000000001</v>
      </c>
      <c r="AL138" s="490">
        <v>164.428</v>
      </c>
      <c r="AM138" s="461">
        <v>199.054</v>
      </c>
      <c r="AN138" s="461">
        <v>326.88900000000001</v>
      </c>
      <c r="AO138" s="492">
        <v>304</v>
      </c>
      <c r="AP138" s="307">
        <f>Reported!P37</f>
        <v>371</v>
      </c>
      <c r="AQ138" s="307">
        <f>Reported!Q37</f>
        <v>440</v>
      </c>
      <c r="AR138" s="307">
        <f>Reported!R37</f>
        <v>651</v>
      </c>
      <c r="AS138" s="493">
        <f>Reported!S37</f>
        <v>541.024</v>
      </c>
      <c r="AT138" s="307">
        <f>Reported!T37</f>
        <v>626</v>
      </c>
      <c r="AU138" s="454">
        <f>AU$114*AU142</f>
        <v>653.32189999999991</v>
      </c>
      <c r="AV138" s="454">
        <f>AV$114*AV142</f>
        <v>942.79199999999992</v>
      </c>
      <c r="AW138" s="223">
        <f>J138-SUM(AT138:AV138)</f>
        <v>758.88610000000017</v>
      </c>
      <c r="AX138" s="311">
        <f t="shared" si="337"/>
        <v>905.9688000000001</v>
      </c>
      <c r="AY138" s="311">
        <f t="shared" si="337"/>
        <v>909.55983999999989</v>
      </c>
      <c r="AZ138" s="311">
        <f t="shared" si="337"/>
        <v>1219.2672</v>
      </c>
      <c r="BA138" s="1525">
        <f>K138-SUM(AX138:AZ138)</f>
        <v>1021.9693339999994</v>
      </c>
      <c r="BB138" s="311">
        <f t="shared" si="338"/>
        <v>1206.7062480000002</v>
      </c>
      <c r="BC138" s="311">
        <f t="shared" si="338"/>
        <v>1202.66549844</v>
      </c>
      <c r="BD138" s="311">
        <f t="shared" si="338"/>
        <v>1552.6291967999998</v>
      </c>
      <c r="BE138" s="469">
        <f>L138-SUM(BB138:BD138)</f>
        <v>1258.9689050156994</v>
      </c>
      <c r="BF138" s="222"/>
      <c r="BG138" s="15"/>
      <c r="BK138" s="360"/>
    </row>
    <row r="139" spans="1:90" s="13" customFormat="1" outlineLevel="1">
      <c r="A139" s="1349"/>
      <c r="B139" s="405" t="s">
        <v>418</v>
      </c>
      <c r="C139" s="406"/>
      <c r="E139" s="407"/>
      <c r="F139" s="407"/>
      <c r="G139" s="407"/>
      <c r="H139" s="389"/>
      <c r="I139" s="389">
        <f>I137+I138</f>
        <v>3092</v>
      </c>
      <c r="J139" s="592">
        <f t="shared" ref="J139:R139" si="341">J137+J138</f>
        <v>3767</v>
      </c>
      <c r="K139" s="389">
        <f t="shared" si="341"/>
        <v>4829.4823499999993</v>
      </c>
      <c r="L139" s="389">
        <f t="shared" si="341"/>
        <v>6001.1147681099992</v>
      </c>
      <c r="M139" s="389">
        <f t="shared" si="341"/>
        <v>7191.7359381030237</v>
      </c>
      <c r="N139" s="389">
        <f t="shared" si="341"/>
        <v>8488.802911566785</v>
      </c>
      <c r="O139" s="389">
        <f t="shared" si="341"/>
        <v>9881.1949853993538</v>
      </c>
      <c r="P139" s="389">
        <f t="shared" si="341"/>
        <v>11355.87375244386</v>
      </c>
      <c r="Q139" s="389">
        <f t="shared" si="341"/>
        <v>12876.285420840071</v>
      </c>
      <c r="R139" s="389">
        <f t="shared" si="341"/>
        <v>14423.387900636702</v>
      </c>
      <c r="T139" s="15"/>
      <c r="V139" s="12"/>
      <c r="W139" s="12"/>
      <c r="X139" s="12"/>
      <c r="Y139" s="408"/>
      <c r="Z139" s="389">
        <f t="shared" ref="Z139" si="342">Z137+Z138</f>
        <v>131</v>
      </c>
      <c r="AA139" s="389">
        <f t="shared" ref="AA139" si="343">AA137+AA138</f>
        <v>141</v>
      </c>
      <c r="AB139" s="389">
        <f t="shared" ref="AB139" si="344">AB137+AB138</f>
        <v>212.99999999999997</v>
      </c>
      <c r="AC139" s="389">
        <f t="shared" ref="AC139" si="345">AC137+AC138</f>
        <v>178</v>
      </c>
      <c r="AD139" s="389">
        <f t="shared" ref="AD139" si="346">AD137+AD138</f>
        <v>209.221</v>
      </c>
      <c r="AE139" s="389">
        <f t="shared" ref="AE139" si="347">AE137+AE138</f>
        <v>228.06799999999998</v>
      </c>
      <c r="AF139" s="389">
        <f t="shared" ref="AF139" si="348">AF137+AF138</f>
        <v>345.69600000000003</v>
      </c>
      <c r="AG139" s="592">
        <f t="shared" ref="AG139" si="349">AG137+AG138</f>
        <v>294.18400000000003</v>
      </c>
      <c r="AH139" s="389">
        <f t="shared" ref="AH139" si="350">AH137+AH138</f>
        <v>345.13400000000001</v>
      </c>
      <c r="AI139" s="389">
        <f t="shared" ref="AI139" si="351">AI137+AI138</f>
        <v>373.65899999999993</v>
      </c>
      <c r="AJ139" s="389">
        <f t="shared" ref="AJ139" si="352">AJ137+AJ138</f>
        <v>528.70899999999995</v>
      </c>
      <c r="AK139" s="592">
        <f t="shared" ref="AK139" si="353">AK137+AK138</f>
        <v>430.08499999999998</v>
      </c>
      <c r="AL139" s="389">
        <f t="shared" ref="AL139" si="354">AL137+AL138</f>
        <v>500.916</v>
      </c>
      <c r="AM139" s="389">
        <f t="shared" ref="AM139" si="355">AM137+AM138</f>
        <v>555.66600000000005</v>
      </c>
      <c r="AN139" s="389">
        <f t="shared" ref="AN139" si="356">AN137+AN138</f>
        <v>787.04700000000003</v>
      </c>
      <c r="AO139" s="592">
        <f t="shared" ref="AO139" si="357">AO137+AO138</f>
        <v>600.09199999999998</v>
      </c>
      <c r="AP139" s="389">
        <f t="shared" ref="AP139" si="358">AP137+AP138</f>
        <v>673</v>
      </c>
      <c r="AQ139" s="389">
        <f t="shared" ref="AQ139" si="359">AQ137+AQ138</f>
        <v>713</v>
      </c>
      <c r="AR139" s="389">
        <f t="shared" ref="AR139" si="360">AR137+AR138</f>
        <v>964</v>
      </c>
      <c r="AS139" s="592">
        <f t="shared" ref="AS139" si="361">AS137+AS138</f>
        <v>742</v>
      </c>
      <c r="AT139" s="389">
        <f t="shared" ref="AT139" si="362">AT137+AT138</f>
        <v>837</v>
      </c>
      <c r="AU139" s="389">
        <f t="shared" ref="AU139" si="363">AU137+AU138</f>
        <v>848.46999999999991</v>
      </c>
      <c r="AV139" s="389">
        <f t="shared" ref="AV139" si="364">AV137+AV138</f>
        <v>1156.8</v>
      </c>
      <c r="AW139" s="592">
        <f t="shared" ref="AW139" si="365">AW137+AW138</f>
        <v>924.73000000000025</v>
      </c>
      <c r="AX139" s="389">
        <f t="shared" ref="AX139" si="366">AX137+AX138</f>
        <v>1104.8400000000001</v>
      </c>
      <c r="AY139" s="389">
        <f t="shared" ref="AY139" si="367">AY137+AY138</f>
        <v>1136.9497999999999</v>
      </c>
      <c r="AZ139" s="389">
        <f t="shared" ref="AZ139" si="368">AZ137+AZ138</f>
        <v>1434.432</v>
      </c>
      <c r="BA139" s="592">
        <f t="shared" ref="BA139" si="369">BA137+BA138</f>
        <v>1144.5356360410096</v>
      </c>
      <c r="BB139" s="389">
        <f t="shared" ref="BB139" si="370">BB137+BB138</f>
        <v>1403.1468000000002</v>
      </c>
      <c r="BC139" s="389">
        <f t="shared" ref="BC139" si="371">BC137+BC138</f>
        <v>1398.4482539999999</v>
      </c>
      <c r="BD139" s="389">
        <f t="shared" ref="BD139" si="372">BD137+BD138</f>
        <v>1764.3513599999999</v>
      </c>
      <c r="BE139" s="389">
        <f t="shared" ref="BE139" si="373">BE137+BE138</f>
        <v>1435.1683541099992</v>
      </c>
      <c r="BF139" s="365"/>
      <c r="BG139" s="14"/>
      <c r="BK139" s="497"/>
      <c r="CG139"/>
      <c r="CH139"/>
      <c r="CI139"/>
      <c r="CJ139"/>
      <c r="CK139"/>
      <c r="CL139"/>
    </row>
    <row r="140" spans="1:90" outlineLevel="1">
      <c r="B140" s="144" t="s">
        <v>43</v>
      </c>
      <c r="C140" s="41"/>
      <c r="D140" s="41"/>
      <c r="E140" s="41"/>
      <c r="F140" s="41"/>
      <c r="G140" s="41"/>
      <c r="H140" s="41"/>
      <c r="I140" s="41"/>
      <c r="J140" s="363"/>
      <c r="K140" s="41"/>
      <c r="L140" s="41"/>
      <c r="M140" s="41"/>
      <c r="N140" s="41"/>
      <c r="O140" s="41"/>
      <c r="P140" s="41"/>
      <c r="Q140" s="41"/>
      <c r="R140" s="41"/>
      <c r="S140" s="41"/>
      <c r="T140" s="41"/>
      <c r="V140" s="41"/>
      <c r="W140" s="41"/>
      <c r="X140" s="41"/>
      <c r="Y140" s="363"/>
      <c r="Z140" s="41"/>
      <c r="AA140" s="41"/>
      <c r="AB140" s="41"/>
      <c r="AC140" s="363"/>
      <c r="AD140" s="41"/>
      <c r="AE140" s="41"/>
      <c r="AF140" s="41"/>
      <c r="AG140" s="363"/>
      <c r="AH140" s="41"/>
      <c r="AI140" s="41"/>
      <c r="AJ140" s="41"/>
      <c r="AK140" s="363"/>
      <c r="AL140" s="41"/>
      <c r="AM140" s="41"/>
      <c r="AN140" s="41"/>
      <c r="AO140" s="363"/>
      <c r="AP140" s="41"/>
      <c r="AQ140" s="41"/>
      <c r="AR140" s="41"/>
      <c r="AS140" s="363"/>
      <c r="AT140" s="41"/>
      <c r="AU140" s="41"/>
      <c r="AV140" s="41"/>
      <c r="AW140" s="363"/>
      <c r="AX140" s="266"/>
      <c r="AY140" s="266"/>
      <c r="AZ140" s="266"/>
      <c r="BA140" s="267"/>
      <c r="BB140" s="266"/>
      <c r="BC140" s="266"/>
      <c r="BD140" s="266"/>
      <c r="BE140" s="266"/>
      <c r="BF140" s="41"/>
      <c r="BG140" s="15"/>
      <c r="BJ140" s="454"/>
      <c r="BK140" s="454"/>
      <c r="BL140" s="454"/>
      <c r="BM140" s="454"/>
      <c r="BN140" s="454"/>
      <c r="BO140" s="454"/>
      <c r="BP140" s="454"/>
      <c r="BQ140" s="454"/>
    </row>
    <row r="141" spans="1:90" outlineLevel="1">
      <c r="B141" s="357" t="s">
        <v>423</v>
      </c>
      <c r="C141" s="374"/>
      <c r="E141" s="411">
        <f>E137/E114</f>
        <v>0.97538461538461529</v>
      </c>
      <c r="F141" s="411">
        <f>F137/F114</f>
        <v>0.92623704729712786</v>
      </c>
      <c r="G141" s="411">
        <f>G137/G114</f>
        <v>0.81003819070321803</v>
      </c>
      <c r="H141" s="412">
        <f t="shared" ref="H141:R141" si="374">1-H142</f>
        <v>0.59313788870703765</v>
      </c>
      <c r="I141" s="412">
        <f t="shared" si="374"/>
        <v>0.35219146183699879</v>
      </c>
      <c r="J141" s="1399">
        <f t="shared" si="374"/>
        <v>0.20865410140695517</v>
      </c>
      <c r="K141" s="332">
        <f t="shared" si="374"/>
        <v>0.16000000000000003</v>
      </c>
      <c r="L141" s="332">
        <f t="shared" si="374"/>
        <v>0.13</v>
      </c>
      <c r="M141" s="332">
        <f t="shared" si="374"/>
        <v>0.10999999999999999</v>
      </c>
      <c r="N141" s="332">
        <f t="shared" si="374"/>
        <v>8.9999999999999969E-2</v>
      </c>
      <c r="O141" s="332">
        <f t="shared" si="374"/>
        <v>6.9999999999999951E-2</v>
      </c>
      <c r="P141" s="332">
        <f t="shared" si="374"/>
        <v>4.9999999999999933E-2</v>
      </c>
      <c r="Q141" s="332">
        <f t="shared" si="374"/>
        <v>4.9999999999999933E-2</v>
      </c>
      <c r="R141" s="332">
        <f t="shared" si="374"/>
        <v>4.9999999999999933E-2</v>
      </c>
      <c r="S141" s="413"/>
      <c r="T141" s="413"/>
      <c r="U141" s="413"/>
      <c r="V141" s="414"/>
      <c r="W141" s="414"/>
      <c r="X141" s="414"/>
      <c r="Y141" s="415"/>
      <c r="Z141" s="416">
        <f t="shared" ref="Z141:BE141" si="375">1-Z142</f>
        <v>0.98599999999999999</v>
      </c>
      <c r="AA141" s="416">
        <f t="shared" si="375"/>
        <v>0.98299999999999998</v>
      </c>
      <c r="AB141" s="416">
        <f t="shared" si="375"/>
        <v>0.97499999999999998</v>
      </c>
      <c r="AC141" s="417">
        <f t="shared" si="375"/>
        <v>0.96199999999999997</v>
      </c>
      <c r="AD141" s="416">
        <f t="shared" si="375"/>
        <v>0.95399999999999996</v>
      </c>
      <c r="AE141" s="416">
        <f t="shared" si="375"/>
        <v>0.94399999999999995</v>
      </c>
      <c r="AF141" s="416">
        <f t="shared" si="375"/>
        <v>0.92600000000000005</v>
      </c>
      <c r="AG141" s="417">
        <f t="shared" si="375"/>
        <v>0.89300000000000002</v>
      </c>
      <c r="AH141" s="416">
        <f t="shared" si="375"/>
        <v>0.88</v>
      </c>
      <c r="AI141" s="416">
        <f t="shared" si="375"/>
        <v>0.85299999999999998</v>
      </c>
      <c r="AJ141" s="416">
        <f t="shared" si="375"/>
        <v>0.80299999999999994</v>
      </c>
      <c r="AK141" s="417">
        <f t="shared" si="375"/>
        <v>0.72599999999999998</v>
      </c>
      <c r="AL141" s="416">
        <f t="shared" si="375"/>
        <v>0.67174536249590755</v>
      </c>
      <c r="AM141" s="252">
        <f t="shared" si="375"/>
        <v>0.64177401532575329</v>
      </c>
      <c r="AN141" s="252">
        <f t="shared" si="375"/>
        <v>0.58466394001882982</v>
      </c>
      <c r="AO141" s="253">
        <f t="shared" si="375"/>
        <v>0.49341101031175216</v>
      </c>
      <c r="AP141" s="252">
        <f t="shared" si="375"/>
        <v>0.44873699851411586</v>
      </c>
      <c r="AQ141" s="252">
        <f t="shared" si="375"/>
        <v>0.38288920056100983</v>
      </c>
      <c r="AR141" s="252">
        <f t="shared" si="375"/>
        <v>0.32468879668049788</v>
      </c>
      <c r="AS141" s="253">
        <f t="shared" si="375"/>
        <v>0.27085714285714291</v>
      </c>
      <c r="AT141" s="252">
        <f t="shared" si="375"/>
        <v>0.25209080047789723</v>
      </c>
      <c r="AU141" s="252">
        <f t="shared" si="375"/>
        <v>0.22999999999999998</v>
      </c>
      <c r="AV141" s="252">
        <f t="shared" si="375"/>
        <v>0.18500000000000005</v>
      </c>
      <c r="AW141" s="253">
        <f t="shared" si="375"/>
        <v>0.17934305148529861</v>
      </c>
      <c r="AX141" s="270">
        <f t="shared" si="375"/>
        <v>0.18000000000000005</v>
      </c>
      <c r="AY141" s="270">
        <f t="shared" si="375"/>
        <v>0.19999999999999996</v>
      </c>
      <c r="AZ141" s="270">
        <f t="shared" si="375"/>
        <v>0.15000000000000002</v>
      </c>
      <c r="BA141" s="535">
        <f t="shared" si="375"/>
        <v>0.11384349876530475</v>
      </c>
      <c r="BB141" s="270">
        <f t="shared" si="375"/>
        <v>0.14000000000000001</v>
      </c>
      <c r="BC141" s="270">
        <f t="shared" si="375"/>
        <v>0.14000000000000001</v>
      </c>
      <c r="BD141" s="270">
        <f t="shared" si="375"/>
        <v>0.12</v>
      </c>
      <c r="BE141" s="270">
        <f t="shared" si="375"/>
        <v>0.12277266885777138</v>
      </c>
      <c r="BF141" s="252"/>
      <c r="BG141" s="15"/>
    </row>
    <row r="142" spans="1:90" outlineLevel="1">
      <c r="B142" s="418" t="s">
        <v>90</v>
      </c>
      <c r="C142" s="374"/>
      <c r="E142" s="411">
        <f t="shared" ref="E142:J142" si="376">E138/E$114</f>
        <v>2.4615384615384615E-2</v>
      </c>
      <c r="F142" s="411">
        <f t="shared" si="376"/>
        <v>7.3762952702872059E-2</v>
      </c>
      <c r="G142" s="411">
        <f t="shared" si="376"/>
        <v>0.18971568295589988</v>
      </c>
      <c r="H142" s="411">
        <f t="shared" si="376"/>
        <v>0.40686211129296235</v>
      </c>
      <c r="I142" s="411">
        <f t="shared" si="376"/>
        <v>0.64780853816300121</v>
      </c>
      <c r="J142" s="523">
        <f t="shared" si="376"/>
        <v>0.79134589859304483</v>
      </c>
      <c r="K142" s="358">
        <f>Scenario!K71</f>
        <v>0.84</v>
      </c>
      <c r="L142" s="358">
        <f>Scenario!L71</f>
        <v>0.87</v>
      </c>
      <c r="M142" s="358">
        <f>Scenario!M71</f>
        <v>0.89</v>
      </c>
      <c r="N142" s="358">
        <f>Scenario!N71</f>
        <v>0.91</v>
      </c>
      <c r="O142" s="358">
        <f>Scenario!O71</f>
        <v>0.93</v>
      </c>
      <c r="P142" s="358">
        <f>Scenario!P71</f>
        <v>0.95000000000000007</v>
      </c>
      <c r="Q142" s="358">
        <f>Scenario!Q71</f>
        <v>0.95000000000000007</v>
      </c>
      <c r="R142" s="358">
        <f>Scenario!R71</f>
        <v>0.95000000000000007</v>
      </c>
      <c r="S142" s="413"/>
      <c r="T142" s="413"/>
      <c r="U142" s="413"/>
      <c r="V142" s="414"/>
      <c r="W142" s="414"/>
      <c r="X142" s="414"/>
      <c r="Y142" s="415"/>
      <c r="Z142" s="419">
        <v>1.4E-2</v>
      </c>
      <c r="AA142" s="419">
        <v>1.7000000000000001E-2</v>
      </c>
      <c r="AB142" s="419">
        <v>2.5000000000000001E-2</v>
      </c>
      <c r="AC142" s="420">
        <v>3.7999999999999999E-2</v>
      </c>
      <c r="AD142" s="419">
        <v>4.5999999999999999E-2</v>
      </c>
      <c r="AE142" s="419">
        <v>5.6000000000000001E-2</v>
      </c>
      <c r="AF142" s="419">
        <v>7.3999999999999996E-2</v>
      </c>
      <c r="AG142" s="420">
        <v>0.107</v>
      </c>
      <c r="AH142" s="419">
        <v>0.12</v>
      </c>
      <c r="AI142" s="419">
        <v>0.14699999999999999</v>
      </c>
      <c r="AJ142" s="419">
        <v>0.19700000000000001</v>
      </c>
      <c r="AK142" s="420">
        <v>0.27400000000000002</v>
      </c>
      <c r="AL142" s="413">
        <f t="shared" ref="AL142:AT142" si="377">AL138/AL$114</f>
        <v>0.32825463750409251</v>
      </c>
      <c r="AM142" s="413">
        <f t="shared" si="377"/>
        <v>0.35822598467424671</v>
      </c>
      <c r="AN142" s="413">
        <f t="shared" si="377"/>
        <v>0.41533605998117012</v>
      </c>
      <c r="AO142" s="421">
        <f t="shared" si="377"/>
        <v>0.50658898968824784</v>
      </c>
      <c r="AP142" s="413">
        <f t="shared" si="377"/>
        <v>0.55126300148588414</v>
      </c>
      <c r="AQ142" s="413">
        <f t="shared" si="377"/>
        <v>0.61711079943899017</v>
      </c>
      <c r="AR142" s="413">
        <f t="shared" si="377"/>
        <v>0.67531120331950212</v>
      </c>
      <c r="AS142" s="421">
        <f t="shared" si="377"/>
        <v>0.72914285714285709</v>
      </c>
      <c r="AT142" s="413">
        <f t="shared" si="377"/>
        <v>0.74790919952210277</v>
      </c>
      <c r="AU142" s="422">
        <v>0.77</v>
      </c>
      <c r="AV142" s="422">
        <v>0.81499999999999995</v>
      </c>
      <c r="AW142" s="421">
        <f>AW138/AW$114</f>
        <v>0.82065694851470139</v>
      </c>
      <c r="AX142" s="1249">
        <v>0.82</v>
      </c>
      <c r="AY142" s="1249">
        <v>0.8</v>
      </c>
      <c r="AZ142" s="1249">
        <v>0.85</v>
      </c>
      <c r="BA142" s="1524">
        <f>BA138/BA$114</f>
        <v>0.88615650123469525</v>
      </c>
      <c r="BB142" s="381">
        <v>0.86</v>
      </c>
      <c r="BC142" s="381">
        <v>0.86</v>
      </c>
      <c r="BD142" s="381">
        <v>0.88</v>
      </c>
      <c r="BE142" s="423">
        <f>BE138/BE$114</f>
        <v>0.87722733114222862</v>
      </c>
      <c r="BF142" s="413"/>
      <c r="BG142" s="15"/>
    </row>
    <row r="143" spans="1:90" outlineLevel="1">
      <c r="B143" s="418" t="s">
        <v>126</v>
      </c>
      <c r="C143" s="374"/>
      <c r="E143" s="411">
        <f>SUM(E141:E142)</f>
        <v>0.99999999999999989</v>
      </c>
      <c r="F143" s="411">
        <f t="shared" ref="F143:M143" si="378">SUM(F141:F142)</f>
        <v>0.99999999999999989</v>
      </c>
      <c r="G143" s="411">
        <f t="shared" si="378"/>
        <v>0.99975387365911794</v>
      </c>
      <c r="H143" s="411">
        <f t="shared" si="378"/>
        <v>1</v>
      </c>
      <c r="I143" s="411">
        <f t="shared" si="378"/>
        <v>1</v>
      </c>
      <c r="J143" s="523">
        <f t="shared" si="378"/>
        <v>1</v>
      </c>
      <c r="K143" s="411">
        <f t="shared" si="378"/>
        <v>1</v>
      </c>
      <c r="L143" s="411">
        <f t="shared" si="378"/>
        <v>1</v>
      </c>
      <c r="M143" s="411">
        <f t="shared" si="378"/>
        <v>1</v>
      </c>
      <c r="N143" s="411">
        <f t="shared" ref="N143" si="379">SUM(N141:N142)</f>
        <v>1</v>
      </c>
      <c r="O143" s="411">
        <f t="shared" ref="O143" si="380">SUM(O141:O142)</f>
        <v>1</v>
      </c>
      <c r="P143" s="411">
        <f t="shared" ref="P143" si="381">SUM(P141:P142)</f>
        <v>1</v>
      </c>
      <c r="Q143" s="411">
        <f t="shared" ref="Q143" si="382">SUM(Q141:Q142)</f>
        <v>1</v>
      </c>
      <c r="R143" s="411">
        <f t="shared" ref="R143" si="383">SUM(R141:R142)</f>
        <v>1</v>
      </c>
      <c r="S143" s="411"/>
      <c r="T143" s="411"/>
      <c r="U143" s="411">
        <f t="shared" ref="U143" si="384">SUM(U141:U142)</f>
        <v>0</v>
      </c>
      <c r="V143" s="411">
        <f t="shared" ref="V143" si="385">SUM(V141:V142)</f>
        <v>0</v>
      </c>
      <c r="W143" s="411">
        <f t="shared" ref="W143" si="386">SUM(W141:W142)</f>
        <v>0</v>
      </c>
      <c r="X143" s="411">
        <f t="shared" ref="X143" si="387">SUM(X141:X142)</f>
        <v>0</v>
      </c>
      <c r="Y143" s="411">
        <f t="shared" ref="Y143" si="388">SUM(Y141:Y142)</f>
        <v>0</v>
      </c>
      <c r="Z143" s="411">
        <f t="shared" ref="Z143" si="389">SUM(Z141:Z142)</f>
        <v>1</v>
      </c>
      <c r="AA143" s="411">
        <f t="shared" ref="AA143" si="390">SUM(AA141:AA142)</f>
        <v>1</v>
      </c>
      <c r="AB143" s="411">
        <f t="shared" ref="AB143" si="391">SUM(AB141:AB142)</f>
        <v>1</v>
      </c>
      <c r="AC143" s="411">
        <f t="shared" ref="AC143" si="392">SUM(AC141:AC142)</f>
        <v>1</v>
      </c>
      <c r="AD143" s="411">
        <f t="shared" ref="AD143" si="393">SUM(AD141:AD142)</f>
        <v>1</v>
      </c>
      <c r="AE143" s="411">
        <f t="shared" ref="AE143" si="394">SUM(AE141:AE142)</f>
        <v>1</v>
      </c>
      <c r="AF143" s="411">
        <f t="shared" ref="AF143" si="395">SUM(AF141:AF142)</f>
        <v>1</v>
      </c>
      <c r="AG143" s="523">
        <f t="shared" ref="AG143" si="396">SUM(AG141:AG142)</f>
        <v>1</v>
      </c>
      <c r="AH143" s="411">
        <f t="shared" ref="AH143" si="397">SUM(AH141:AH142)</f>
        <v>1</v>
      </c>
      <c r="AI143" s="411">
        <f t="shared" ref="AI143" si="398">SUM(AI141:AI142)</f>
        <v>1</v>
      </c>
      <c r="AJ143" s="411">
        <f t="shared" ref="AJ143" si="399">SUM(AJ141:AJ142)</f>
        <v>1</v>
      </c>
      <c r="AK143" s="523">
        <f t="shared" ref="AK143" si="400">SUM(AK141:AK142)</f>
        <v>1</v>
      </c>
      <c r="AL143" s="411">
        <f t="shared" ref="AL143" si="401">SUM(AL141:AL142)</f>
        <v>1</v>
      </c>
      <c r="AM143" s="411">
        <f t="shared" ref="AM143" si="402">SUM(AM141:AM142)</f>
        <v>1</v>
      </c>
      <c r="AN143" s="411">
        <f t="shared" ref="AN143" si="403">SUM(AN141:AN142)</f>
        <v>1</v>
      </c>
      <c r="AO143" s="523">
        <f t="shared" ref="AO143" si="404">SUM(AO141:AO142)</f>
        <v>1</v>
      </c>
      <c r="AP143" s="411">
        <f t="shared" ref="AP143" si="405">SUM(AP141:AP142)</f>
        <v>1</v>
      </c>
      <c r="AQ143" s="411">
        <f t="shared" ref="AQ143" si="406">SUM(AQ141:AQ142)</f>
        <v>1</v>
      </c>
      <c r="AR143" s="411">
        <f t="shared" ref="AR143" si="407">SUM(AR141:AR142)</f>
        <v>1</v>
      </c>
      <c r="AS143" s="523">
        <f t="shared" ref="AS143" si="408">SUM(AS141:AS142)</f>
        <v>1</v>
      </c>
      <c r="AT143" s="411">
        <f t="shared" ref="AT143" si="409">SUM(AT141:AT142)</f>
        <v>1</v>
      </c>
      <c r="AU143" s="411">
        <f t="shared" ref="AU143" si="410">SUM(AU141:AU142)</f>
        <v>1</v>
      </c>
      <c r="AV143" s="411">
        <f t="shared" ref="AV143" si="411">SUM(AV141:AV142)</f>
        <v>1</v>
      </c>
      <c r="AW143" s="411">
        <f t="shared" ref="AW143" si="412">SUM(AW141:AW142)</f>
        <v>1</v>
      </c>
      <c r="AX143" s="411">
        <f t="shared" ref="AX143" si="413">SUM(AX141:AX142)</f>
        <v>1</v>
      </c>
      <c r="AY143" s="411">
        <f t="shared" ref="AY143" si="414">SUM(AY141:AY142)</f>
        <v>1</v>
      </c>
      <c r="AZ143" s="411">
        <f t="shared" ref="AZ143" si="415">SUM(AZ141:AZ142)</f>
        <v>1</v>
      </c>
      <c r="BA143" s="411">
        <f t="shared" ref="BA143" si="416">SUM(BA141:BA142)</f>
        <v>1</v>
      </c>
      <c r="BB143" s="411">
        <f t="shared" ref="BB143" si="417">SUM(BB141:BB142)</f>
        <v>1</v>
      </c>
      <c r="BC143" s="411">
        <f t="shared" ref="BC143" si="418">SUM(BC141:BC142)</f>
        <v>1</v>
      </c>
      <c r="BD143" s="411">
        <f t="shared" ref="BD143" si="419">SUM(BD141:BD142)</f>
        <v>1</v>
      </c>
      <c r="BE143" s="411">
        <f t="shared" ref="BE143" si="420">SUM(BE141:BE142)</f>
        <v>1</v>
      </c>
      <c r="BF143" s="413"/>
      <c r="BG143" s="15"/>
    </row>
    <row r="144" spans="1:90" outlineLevel="1">
      <c r="B144" s="144" t="s">
        <v>80</v>
      </c>
      <c r="C144" s="15"/>
      <c r="D144" s="15"/>
      <c r="E144" s="15"/>
      <c r="F144" s="15"/>
      <c r="G144" s="15"/>
      <c r="H144" s="15"/>
      <c r="I144" s="15"/>
      <c r="J144" s="435"/>
      <c r="K144" s="301"/>
      <c r="L144" s="15"/>
      <c r="M144" s="15"/>
      <c r="N144" s="15"/>
      <c r="O144" s="15"/>
      <c r="P144" s="15"/>
      <c r="Q144" s="15"/>
      <c r="R144" s="15"/>
      <c r="V144" s="141"/>
      <c r="W144" s="141"/>
      <c r="X144" s="141"/>
      <c r="Y144" s="398"/>
      <c r="Z144" s="141"/>
      <c r="AA144" s="141"/>
      <c r="AB144" s="141"/>
      <c r="AC144" s="398"/>
      <c r="AD144" s="141"/>
      <c r="AE144" s="141"/>
      <c r="AF144" s="141"/>
      <c r="AG144" s="398"/>
      <c r="AH144" s="141"/>
      <c r="AI144" s="141"/>
      <c r="AJ144" s="141"/>
      <c r="AK144" s="398"/>
      <c r="AL144" s="141"/>
      <c r="AM144" s="141"/>
      <c r="AN144" s="141"/>
      <c r="AO144" s="398"/>
      <c r="AP144" s="141"/>
      <c r="AQ144" s="141"/>
      <c r="AR144" s="141"/>
      <c r="AS144" s="398"/>
      <c r="AT144" s="141"/>
      <c r="AU144" s="141"/>
      <c r="AV144" s="141"/>
      <c r="AW144" s="398"/>
      <c r="AX144" s="225"/>
      <c r="AY144" s="225"/>
      <c r="AZ144" s="225"/>
      <c r="BA144" s="278"/>
      <c r="BB144" s="225"/>
      <c r="BC144" s="225"/>
      <c r="BD144" s="225"/>
      <c r="BE144" s="225"/>
      <c r="BF144" s="141"/>
      <c r="BG144" s="15"/>
    </row>
    <row r="145" spans="1:90" outlineLevel="1">
      <c r="B145" s="357" t="s">
        <v>423</v>
      </c>
      <c r="C145" s="374"/>
      <c r="F145" s="411">
        <f t="shared" ref="F145:R145" si="421">F137/E137-1</f>
        <v>0.54282463351271115</v>
      </c>
      <c r="G145" s="411">
        <f t="shared" si="421"/>
        <v>0.36235866205299083</v>
      </c>
      <c r="H145" s="411">
        <f t="shared" si="421"/>
        <v>6.6291196011562192E-2</v>
      </c>
      <c r="I145" s="411">
        <f t="shared" si="421"/>
        <v>-0.24864525476937938</v>
      </c>
      <c r="J145" s="523">
        <f t="shared" si="421"/>
        <v>-0.2782210076255125</v>
      </c>
      <c r="K145" s="411">
        <f t="shared" si="421"/>
        <v>-1.6899267175572663E-2</v>
      </c>
      <c r="L145" s="411">
        <f t="shared" si="421"/>
        <v>9.6125000000000238E-3</v>
      </c>
      <c r="M145" s="411">
        <f t="shared" si="421"/>
        <v>1.4030769230769291E-2</v>
      </c>
      <c r="N145" s="411">
        <f t="shared" si="421"/>
        <v>-3.4254836363636354E-2</v>
      </c>
      <c r="O145" s="411">
        <f t="shared" si="421"/>
        <v>-9.4645740088889374E-2</v>
      </c>
      <c r="P145" s="411">
        <f t="shared" si="421"/>
        <v>-0.17911361868800035</v>
      </c>
      <c r="Q145" s="411">
        <f t="shared" si="421"/>
        <v>0.13388768680780805</v>
      </c>
      <c r="R145" s="411">
        <f t="shared" si="421"/>
        <v>0.12015130367432447</v>
      </c>
      <c r="AD145" s="142">
        <f t="shared" ref="AD145:AM147" si="422">AD137/Z137-1</f>
        <v>0.545273787219547</v>
      </c>
      <c r="AE145" s="142">
        <f t="shared" si="422"/>
        <v>0.55332995678304209</v>
      </c>
      <c r="AF145" s="142">
        <f t="shared" si="422"/>
        <v>0.54142046948356826</v>
      </c>
      <c r="AG145" s="359">
        <f t="shared" si="422"/>
        <v>0.53417687869373287</v>
      </c>
      <c r="AH145" s="142">
        <f t="shared" si="422"/>
        <v>0.52165700183400698</v>
      </c>
      <c r="AI145" s="142">
        <f t="shared" si="422"/>
        <v>0.48043086149893433</v>
      </c>
      <c r="AJ145" s="142">
        <f t="shared" si="422"/>
        <v>0.32625461297447722</v>
      </c>
      <c r="AK145" s="359">
        <f t="shared" si="422"/>
        <v>0.18855808078185765</v>
      </c>
      <c r="AL145" s="142">
        <f t="shared" si="422"/>
        <v>0.10789643232114865</v>
      </c>
      <c r="AM145" s="142">
        <f t="shared" si="422"/>
        <v>0.11884899148867922</v>
      </c>
      <c r="AN145" s="142">
        <f t="shared" ref="AN145:AW147" si="423">AN137/AJ137-1</f>
        <v>8.3863841679422624E-2</v>
      </c>
      <c r="AO145" s="359">
        <f t="shared" si="423"/>
        <v>-5.1721821533708523E-2</v>
      </c>
      <c r="AP145" s="142">
        <f t="shared" si="423"/>
        <v>-0.10249399681415083</v>
      </c>
      <c r="AQ145" s="142">
        <f t="shared" si="423"/>
        <v>-0.23446210447208748</v>
      </c>
      <c r="AR145" s="142">
        <f t="shared" si="423"/>
        <v>-0.31979885169876432</v>
      </c>
      <c r="AS145" s="359">
        <f t="shared" si="423"/>
        <v>-0.32123799359658478</v>
      </c>
      <c r="AT145" s="142">
        <f t="shared" si="423"/>
        <v>-0.30132450331125826</v>
      </c>
      <c r="AU145" s="142">
        <f t="shared" si="423"/>
        <v>-0.285171794871795</v>
      </c>
      <c r="AV145" s="142">
        <f t="shared" si="423"/>
        <v>-0.3162683706070285</v>
      </c>
      <c r="AW145" s="359">
        <f t="shared" si="423"/>
        <v>-0.17480743969429147</v>
      </c>
      <c r="AX145" s="286">
        <f t="shared" ref="AX145:BE147" si="424">AX137/AT137-1</f>
        <v>-5.7482464454975957E-2</v>
      </c>
      <c r="AY145" s="286">
        <f t="shared" si="424"/>
        <v>0.16521739130434754</v>
      </c>
      <c r="AZ145" s="286">
        <f t="shared" si="424"/>
        <v>5.4054054054053502E-3</v>
      </c>
      <c r="BA145" s="287">
        <f t="shared" si="424"/>
        <v>-0.26095381234395565</v>
      </c>
      <c r="BB145" s="286">
        <f t="shared" si="424"/>
        <v>-1.2222222222222356E-2</v>
      </c>
      <c r="BC145" s="286">
        <f t="shared" si="424"/>
        <v>-0.13899999999999968</v>
      </c>
      <c r="BD145" s="286">
        <f t="shared" si="424"/>
        <v>-1.6000000000000236E-2</v>
      </c>
      <c r="BE145" s="286">
        <f t="shared" si="424"/>
        <v>0.43758476971381643</v>
      </c>
      <c r="BF145" s="142"/>
      <c r="BG145" s="15"/>
    </row>
    <row r="146" spans="1:90" outlineLevel="1">
      <c r="B146" s="418" t="s">
        <v>90</v>
      </c>
      <c r="C146" s="374"/>
      <c r="F146" s="411">
        <f t="shared" ref="F146:R146" si="425">F138/E138-1</f>
        <v>3.8685763480392161</v>
      </c>
      <c r="G146" s="411">
        <f t="shared" si="425"/>
        <v>3.0065729143401452</v>
      </c>
      <c r="H146" s="411">
        <f t="shared" si="425"/>
        <v>2.1235845059608613</v>
      </c>
      <c r="I146" s="411">
        <f t="shared" si="425"/>
        <v>1.0143628484740606</v>
      </c>
      <c r="J146" s="523">
        <f t="shared" si="425"/>
        <v>0.48824976635327388</v>
      </c>
      <c r="K146" s="411">
        <f t="shared" si="425"/>
        <v>0.36087392619926173</v>
      </c>
      <c r="L146" s="411">
        <f t="shared" si="425"/>
        <v>0.28697857142857153</v>
      </c>
      <c r="M146" s="411">
        <f t="shared" si="425"/>
        <v>0.2259494252873564</v>
      </c>
      <c r="N146" s="411">
        <f t="shared" si="425"/>
        <v>0.20688003595505644</v>
      </c>
      <c r="O146" s="411">
        <f t="shared" si="425"/>
        <v>0.18960991451428555</v>
      </c>
      <c r="P146" s="411">
        <f t="shared" si="425"/>
        <v>0.17395579262898941</v>
      </c>
      <c r="Q146" s="411">
        <f t="shared" si="425"/>
        <v>0.13388768680780783</v>
      </c>
      <c r="R146" s="411">
        <f t="shared" si="425"/>
        <v>0.12015130367432447</v>
      </c>
      <c r="Z146" s="142"/>
      <c r="AA146" s="142"/>
      <c r="AB146" s="142"/>
      <c r="AC146" s="359"/>
      <c r="AD146" s="142">
        <f t="shared" si="422"/>
        <v>4.2476368593238822</v>
      </c>
      <c r="AE146" s="142">
        <f t="shared" si="422"/>
        <v>4.3282469753858992</v>
      </c>
      <c r="AF146" s="142">
        <f t="shared" si="422"/>
        <v>3.8040383098591546</v>
      </c>
      <c r="AG146" s="359">
        <f t="shared" si="422"/>
        <v>3.6537090479006507</v>
      </c>
      <c r="AH146" s="142">
        <f t="shared" si="422"/>
        <v>3.3033422324594151</v>
      </c>
      <c r="AI146" s="142">
        <f t="shared" si="422"/>
        <v>3.3007123971797876</v>
      </c>
      <c r="AJ146" s="142">
        <f t="shared" si="422"/>
        <v>3.0715226516783378</v>
      </c>
      <c r="AK146" s="359">
        <f t="shared" si="422"/>
        <v>2.743708559535885</v>
      </c>
      <c r="AL146" s="142">
        <f t="shared" si="422"/>
        <v>2.9701487924496957</v>
      </c>
      <c r="AM146" s="142">
        <f t="shared" si="422"/>
        <v>2.6239160398583068</v>
      </c>
      <c r="AN146" s="142">
        <f t="shared" si="423"/>
        <v>2.1384656311519397</v>
      </c>
      <c r="AO146" s="359">
        <f t="shared" si="423"/>
        <v>1.5796971554341361</v>
      </c>
      <c r="AP146" s="142">
        <f t="shared" si="423"/>
        <v>1.2563067117522562</v>
      </c>
      <c r="AQ146" s="142">
        <f t="shared" si="423"/>
        <v>1.2104554542988333</v>
      </c>
      <c r="AR146" s="142">
        <f t="shared" si="423"/>
        <v>0.99150170241274549</v>
      </c>
      <c r="AS146" s="359">
        <f t="shared" si="423"/>
        <v>0.77968421052631576</v>
      </c>
      <c r="AT146" s="142">
        <f t="shared" si="423"/>
        <v>0.68733153638814026</v>
      </c>
      <c r="AU146" s="142">
        <f t="shared" si="423"/>
        <v>0.48482249999999971</v>
      </c>
      <c r="AV146" s="142">
        <f t="shared" si="423"/>
        <v>0.44822119815668193</v>
      </c>
      <c r="AW146" s="359">
        <f t="shared" si="423"/>
        <v>0.40268472378304865</v>
      </c>
      <c r="AX146" s="286">
        <f t="shared" si="424"/>
        <v>0.44723450479233251</v>
      </c>
      <c r="AY146" s="286">
        <f t="shared" si="424"/>
        <v>0.39220779220779223</v>
      </c>
      <c r="AZ146" s="286">
        <f t="shared" si="424"/>
        <v>0.29325153374233137</v>
      </c>
      <c r="BA146" s="287">
        <f t="shared" si="424"/>
        <v>0.34667024998876528</v>
      </c>
      <c r="BB146" s="286">
        <f t="shared" si="424"/>
        <v>0.33195121951219519</v>
      </c>
      <c r="BC146" s="286">
        <f t="shared" si="424"/>
        <v>0.32225000000000015</v>
      </c>
      <c r="BD146" s="286">
        <f t="shared" si="424"/>
        <v>0.27341176470588224</v>
      </c>
      <c r="BE146" s="286">
        <f t="shared" si="424"/>
        <v>0.2319047775025509</v>
      </c>
      <c r="BF146" s="142"/>
      <c r="BG146" s="15"/>
    </row>
    <row r="147" spans="1:90" outlineLevel="1">
      <c r="B147" s="418" t="s">
        <v>126</v>
      </c>
      <c r="C147" s="374"/>
      <c r="F147" s="411"/>
      <c r="G147" s="411"/>
      <c r="H147" s="411"/>
      <c r="I147" s="411"/>
      <c r="J147" s="523">
        <f t="shared" ref="J147" si="426">J139/I139-1</f>
        <v>0.21830530401034931</v>
      </c>
      <c r="K147" s="411">
        <f t="shared" ref="K147" si="427">K139/J139-1</f>
        <v>0.28204999999999991</v>
      </c>
      <c r="L147" s="411">
        <f t="shared" ref="L147" si="428">L139/K139-1</f>
        <v>0.24259999999999993</v>
      </c>
      <c r="M147" s="411">
        <f t="shared" ref="M147" si="429">M139/L139-1</f>
        <v>0.19840000000000013</v>
      </c>
      <c r="N147" s="411">
        <f t="shared" ref="N147" si="430">N139/M139-1</f>
        <v>0.18035520000000038</v>
      </c>
      <c r="O147" s="411">
        <f t="shared" ref="O147" si="431">O139/N139-1</f>
        <v>0.16402690559999988</v>
      </c>
      <c r="P147" s="411">
        <f t="shared" ref="P147" si="432">P139/O139-1</f>
        <v>0.14924093383680015</v>
      </c>
      <c r="Q147" s="411">
        <f t="shared" ref="Q147" si="433">Q139/P139-1</f>
        <v>0.13388768680780805</v>
      </c>
      <c r="R147" s="411">
        <f t="shared" ref="R147" si="434">R139/Q139-1</f>
        <v>0.12015130367432447</v>
      </c>
      <c r="Z147" s="142"/>
      <c r="AA147" s="142"/>
      <c r="AB147" s="142"/>
      <c r="AC147" s="359"/>
      <c r="AD147" s="142">
        <f t="shared" si="422"/>
        <v>0.59710687022900766</v>
      </c>
      <c r="AE147" s="142">
        <f t="shared" si="422"/>
        <v>0.61750354609929059</v>
      </c>
      <c r="AF147" s="142">
        <f t="shared" si="422"/>
        <v>0.62298591549295801</v>
      </c>
      <c r="AG147" s="359">
        <f t="shared" si="422"/>
        <v>0.65271910112359555</v>
      </c>
      <c r="AH147" s="142">
        <f t="shared" si="422"/>
        <v>0.64961452244277584</v>
      </c>
      <c r="AI147" s="142">
        <f t="shared" si="422"/>
        <v>0.63836662749706208</v>
      </c>
      <c r="AJ147" s="142">
        <f t="shared" si="422"/>
        <v>0.52940444783856311</v>
      </c>
      <c r="AK147" s="359">
        <f t="shared" si="422"/>
        <v>0.46195918200853869</v>
      </c>
      <c r="AL147" s="142">
        <f t="shared" si="422"/>
        <v>0.45136671553657415</v>
      </c>
      <c r="AM147" s="142">
        <f t="shared" si="422"/>
        <v>0.48709384759901453</v>
      </c>
      <c r="AN147" s="142">
        <f t="shared" si="423"/>
        <v>0.48862039420550829</v>
      </c>
      <c r="AO147" s="359">
        <f t="shared" si="423"/>
        <v>0.39528697815548086</v>
      </c>
      <c r="AP147" s="142">
        <f t="shared" si="423"/>
        <v>0.34353863721661915</v>
      </c>
      <c r="AQ147" s="142">
        <f t="shared" si="423"/>
        <v>0.28314491079173454</v>
      </c>
      <c r="AR147" s="142">
        <f t="shared" si="423"/>
        <v>0.22483155389703535</v>
      </c>
      <c r="AS147" s="359">
        <f t="shared" si="423"/>
        <v>0.23647707351539426</v>
      </c>
      <c r="AT147" s="142">
        <f t="shared" si="423"/>
        <v>0.24368499257057952</v>
      </c>
      <c r="AU147" s="142">
        <f t="shared" si="423"/>
        <v>0.18999999999999995</v>
      </c>
      <c r="AV147" s="142">
        <f t="shared" si="423"/>
        <v>0.19999999999999996</v>
      </c>
      <c r="AW147" s="359">
        <f t="shared" si="423"/>
        <v>0.24626684636118634</v>
      </c>
      <c r="AX147" s="286">
        <f t="shared" si="424"/>
        <v>0.32000000000000028</v>
      </c>
      <c r="AY147" s="286">
        <f t="shared" si="424"/>
        <v>0.34000000000000008</v>
      </c>
      <c r="AZ147" s="286">
        <f t="shared" si="424"/>
        <v>0.24</v>
      </c>
      <c r="BA147" s="287">
        <f t="shared" si="424"/>
        <v>0.23769709649412185</v>
      </c>
      <c r="BB147" s="286">
        <f t="shared" si="424"/>
        <v>0.27</v>
      </c>
      <c r="BC147" s="286">
        <f t="shared" si="424"/>
        <v>0.22999999999999998</v>
      </c>
      <c r="BD147" s="286">
        <f t="shared" si="424"/>
        <v>0.22999999999999998</v>
      </c>
      <c r="BE147" s="286">
        <f t="shared" si="424"/>
        <v>0.25393068500190941</v>
      </c>
      <c r="BF147" s="142"/>
      <c r="BG147" s="15"/>
    </row>
    <row r="148" spans="1:90" outlineLevel="1">
      <c r="B148" s="144" t="s">
        <v>81</v>
      </c>
      <c r="C148" s="348"/>
      <c r="F148" s="41"/>
      <c r="G148" s="425"/>
      <c r="H148" s="425"/>
      <c r="I148" s="425"/>
      <c r="J148" s="430"/>
      <c r="K148" s="425"/>
      <c r="L148" s="425"/>
      <c r="M148" s="425"/>
      <c r="N148" s="425"/>
      <c r="O148" s="425"/>
      <c r="P148" s="425"/>
      <c r="Q148" s="425"/>
      <c r="R148" s="425"/>
      <c r="AD148" s="41"/>
      <c r="AE148" s="41"/>
      <c r="AF148" s="41"/>
      <c r="AG148" s="363"/>
      <c r="AH148" s="41"/>
      <c r="AI148" s="41"/>
      <c r="AJ148" s="41"/>
      <c r="AK148" s="363"/>
      <c r="AL148" s="252"/>
      <c r="AM148" s="252"/>
      <c r="AN148" s="252"/>
      <c r="AO148" s="253"/>
      <c r="AP148" s="252"/>
      <c r="AQ148" s="252"/>
      <c r="AR148" s="252"/>
      <c r="AS148" s="253"/>
      <c r="AT148" s="252"/>
      <c r="AU148" s="252"/>
      <c r="AV148" s="252"/>
      <c r="AW148" s="253"/>
      <c r="AX148" s="270"/>
      <c r="AY148" s="270"/>
      <c r="AZ148" s="270"/>
      <c r="BA148" s="535"/>
      <c r="BB148" s="270"/>
      <c r="BC148" s="270"/>
      <c r="BD148" s="270"/>
      <c r="BE148" s="270"/>
      <c r="BF148" s="252"/>
      <c r="BG148" s="15"/>
    </row>
    <row r="149" spans="1:90" outlineLevel="1">
      <c r="B149" s="357" t="s">
        <v>423</v>
      </c>
      <c r="C149" s="374"/>
      <c r="F149" s="411"/>
      <c r="G149" s="411"/>
      <c r="AA149" s="142">
        <f t="shared" ref="AA149:BA149" si="435">AA137/Z137-1</f>
        <v>7.3061022250437535E-2</v>
      </c>
      <c r="AB149" s="142">
        <f t="shared" si="435"/>
        <v>0.49834419168416244</v>
      </c>
      <c r="AC149" s="359">
        <f t="shared" si="435"/>
        <v>-0.17546165884194054</v>
      </c>
      <c r="AD149" s="142">
        <f t="shared" si="435"/>
        <v>0.16562424957368793</v>
      </c>
      <c r="AE149" s="142">
        <f t="shared" si="435"/>
        <v>7.8655345805735521E-2</v>
      </c>
      <c r="AF149" s="142">
        <f t="shared" si="435"/>
        <v>0.48685628401639369</v>
      </c>
      <c r="AG149" s="359">
        <f t="shared" si="435"/>
        <v>-0.17933640843306264</v>
      </c>
      <c r="AH149" s="142">
        <f t="shared" si="435"/>
        <v>0.15611200084145671</v>
      </c>
      <c r="AI149" s="142">
        <f t="shared" si="435"/>
        <v>4.9431416493303848E-2</v>
      </c>
      <c r="AJ149" s="142">
        <f t="shared" si="435"/>
        <v>0.33201087385481487</v>
      </c>
      <c r="AK149" s="359">
        <f t="shared" si="435"/>
        <v>-0.26454065922324044</v>
      </c>
      <c r="AL149" s="142">
        <f t="shared" si="435"/>
        <v>7.7652309808321496E-2</v>
      </c>
      <c r="AM149" s="142">
        <f t="shared" si="435"/>
        <v>5.980599605335124E-2</v>
      </c>
      <c r="AN149" s="142">
        <f t="shared" si="435"/>
        <v>0.29036039168620209</v>
      </c>
      <c r="AO149" s="359">
        <f t="shared" si="435"/>
        <v>-0.35654275270667901</v>
      </c>
      <c r="AP149" s="142">
        <f t="shared" si="435"/>
        <v>1.9953257771233357E-2</v>
      </c>
      <c r="AQ149" s="142">
        <f t="shared" si="435"/>
        <v>-9.6026490066225212E-2</v>
      </c>
      <c r="AR149" s="142">
        <f t="shared" si="435"/>
        <v>0.14652014652014644</v>
      </c>
      <c r="AS149" s="359">
        <f t="shared" si="435"/>
        <v>-0.35790415335463255</v>
      </c>
      <c r="AT149" s="142">
        <f t="shared" si="435"/>
        <v>4.9876602181355034E-2</v>
      </c>
      <c r="AU149" s="142">
        <f t="shared" si="435"/>
        <v>-7.5127488151658928E-2</v>
      </c>
      <c r="AV149" s="142">
        <f t="shared" si="435"/>
        <v>9.6644035991127142E-2</v>
      </c>
      <c r="AW149" s="359">
        <f t="shared" si="435"/>
        <v>-0.22505747448693492</v>
      </c>
      <c r="AX149" s="286">
        <f t="shared" si="435"/>
        <v>0.19914690862913842</v>
      </c>
      <c r="AY149" s="286">
        <f t="shared" si="435"/>
        <v>0.14340316747724069</v>
      </c>
      <c r="AZ149" s="286">
        <f t="shared" si="435"/>
        <v>-5.376297176884981E-2</v>
      </c>
      <c r="BA149" s="287">
        <f t="shared" si="435"/>
        <v>-0.43036081161504902</v>
      </c>
      <c r="BB149" s="286">
        <f t="shared" ref="BB149:BE151" si="436">BB137/BA137-1</f>
        <v>0.60272888003320557</v>
      </c>
      <c r="BC149" s="286">
        <f t="shared" si="436"/>
        <v>-3.3485776399164724E-3</v>
      </c>
      <c r="BD149" s="286">
        <f t="shared" si="436"/>
        <v>8.1413746549885202E-2</v>
      </c>
      <c r="BE149" s="286">
        <f t="shared" si="436"/>
        <v>-0.16777985624558411</v>
      </c>
      <c r="BF149" s="142"/>
      <c r="BG149" s="15"/>
    </row>
    <row r="150" spans="1:90" outlineLevel="1">
      <c r="B150" s="418" t="s">
        <v>90</v>
      </c>
      <c r="C150" s="374"/>
      <c r="Z150" s="142"/>
      <c r="AA150" s="142">
        <f t="shared" ref="AA150:BA150" si="437">AA138/Z138-1</f>
        <v>0.30697928026172305</v>
      </c>
      <c r="AB150" s="142">
        <f t="shared" si="437"/>
        <v>1.2215269086357945</v>
      </c>
      <c r="AC150" s="359">
        <f t="shared" si="437"/>
        <v>0.27023474178403761</v>
      </c>
      <c r="AD150" s="142">
        <f t="shared" si="437"/>
        <v>0.42285127143701962</v>
      </c>
      <c r="AE150" s="142">
        <f t="shared" si="437"/>
        <v>0.32705607945665127</v>
      </c>
      <c r="AF150" s="142">
        <f t="shared" si="437"/>
        <v>1.0029665337906737</v>
      </c>
      <c r="AG150" s="359">
        <f t="shared" si="437"/>
        <v>0.23048621378946299</v>
      </c>
      <c r="AH150" s="142">
        <f t="shared" si="437"/>
        <v>0.31572814369339963</v>
      </c>
      <c r="AI150" s="142">
        <f t="shared" si="437"/>
        <v>0.32624509610759866</v>
      </c>
      <c r="AJ150" s="142">
        <f t="shared" si="437"/>
        <v>0.8962262201560216</v>
      </c>
      <c r="AK150" s="359">
        <f t="shared" si="437"/>
        <v>0.13141499263319067</v>
      </c>
      <c r="AL150" s="142">
        <f t="shared" si="437"/>
        <v>0.39531067063725045</v>
      </c>
      <c r="AM150" s="142">
        <f t="shared" si="437"/>
        <v>0.21058457197071068</v>
      </c>
      <c r="AN150" s="142">
        <f t="shared" si="437"/>
        <v>0.64221266590975312</v>
      </c>
      <c r="AO150" s="359">
        <f t="shared" si="437"/>
        <v>-7.0020710394048113E-2</v>
      </c>
      <c r="AP150" s="142">
        <f t="shared" si="437"/>
        <v>0.22039473684210531</v>
      </c>
      <c r="AQ150" s="142">
        <f t="shared" si="437"/>
        <v>0.18598382749326148</v>
      </c>
      <c r="AR150" s="142">
        <f t="shared" si="437"/>
        <v>0.4795454545454545</v>
      </c>
      <c r="AS150" s="359">
        <f t="shared" si="437"/>
        <v>-0.16893394777265747</v>
      </c>
      <c r="AT150" s="142">
        <f t="shared" si="437"/>
        <v>0.15706512095581715</v>
      </c>
      <c r="AU150" s="142">
        <f t="shared" si="437"/>
        <v>4.3645207667731389E-2</v>
      </c>
      <c r="AV150" s="142">
        <f t="shared" si="437"/>
        <v>0.44307423339092122</v>
      </c>
      <c r="AW150" s="359">
        <f t="shared" si="437"/>
        <v>-0.19506518935247619</v>
      </c>
      <c r="AX150" s="286">
        <f t="shared" si="437"/>
        <v>0.19381393334256614</v>
      </c>
      <c r="AY150" s="286">
        <f t="shared" si="437"/>
        <v>3.9637568092849573E-3</v>
      </c>
      <c r="AZ150" s="286">
        <f t="shared" si="437"/>
        <v>0.34050245666079548</v>
      </c>
      <c r="BA150" s="287">
        <f t="shared" si="437"/>
        <v>-0.16181675845950794</v>
      </c>
      <c r="BB150" s="286">
        <f t="shared" si="436"/>
        <v>0.1807656138535374</v>
      </c>
      <c r="BC150" s="286">
        <f t="shared" si="436"/>
        <v>-3.3485776399163614E-3</v>
      </c>
      <c r="BD150" s="286">
        <f t="shared" si="436"/>
        <v>0.29099005402079325</v>
      </c>
      <c r="BE150" s="286">
        <f t="shared" si="436"/>
        <v>-0.18913742726823646</v>
      </c>
      <c r="BF150" s="142"/>
      <c r="BG150" s="15"/>
    </row>
    <row r="151" spans="1:90" outlineLevel="1">
      <c r="B151" s="418" t="s">
        <v>126</v>
      </c>
      <c r="C151" s="374"/>
      <c r="Z151" s="142"/>
      <c r="AA151" s="142">
        <f t="shared" ref="AA151" si="438">AA139/Z139-1</f>
        <v>7.6335877862595325E-2</v>
      </c>
      <c r="AB151" s="142">
        <f t="shared" ref="AB151" si="439">AB139/AA139-1</f>
        <v>0.51063829787234027</v>
      </c>
      <c r="AC151" s="359">
        <f t="shared" ref="AC151" si="440">AC139/AB139-1</f>
        <v>-0.16431924882629101</v>
      </c>
      <c r="AD151" s="142">
        <f t="shared" ref="AD151" si="441">AD139/AC139-1</f>
        <v>0.17539887640449447</v>
      </c>
      <c r="AE151" s="142">
        <f t="shared" ref="AE151" si="442">AE139/AD139-1</f>
        <v>9.0081779553677688E-2</v>
      </c>
      <c r="AF151" s="142">
        <f t="shared" ref="AF151" si="443">AF139/AE139-1</f>
        <v>0.51575845800375353</v>
      </c>
      <c r="AG151" s="359">
        <f t="shared" ref="AG151" si="444">AG139/AF139-1</f>
        <v>-0.14900953438859577</v>
      </c>
      <c r="AH151" s="142">
        <f t="shared" ref="AH151" si="445">AH139/AG139-1</f>
        <v>0.17319092812661463</v>
      </c>
      <c r="AI151" s="142">
        <f t="shared" ref="AI151" si="446">AI139/AH139-1</f>
        <v>8.2649058047019164E-2</v>
      </c>
      <c r="AJ151" s="142">
        <f t="shared" ref="AJ151" si="447">AJ139/AI139-1</f>
        <v>0.41495052976109248</v>
      </c>
      <c r="AK151" s="359">
        <f t="shared" ref="AK151" si="448">AK139/AJ139-1</f>
        <v>-0.1865373958075236</v>
      </c>
      <c r="AL151" s="142">
        <f t="shared" ref="AL151" si="449">AL139/AK139-1</f>
        <v>0.16469070067544789</v>
      </c>
      <c r="AM151" s="142">
        <f t="shared" ref="AM151" si="450">AM139/AL139-1</f>
        <v>0.10929976283448739</v>
      </c>
      <c r="AN151" s="142">
        <f t="shared" ref="AN151" si="451">AN139/AM139-1</f>
        <v>0.41640301907980692</v>
      </c>
      <c r="AO151" s="359">
        <f t="shared" ref="AO151" si="452">AO139/AN139-1</f>
        <v>-0.23753981655479284</v>
      </c>
      <c r="AP151" s="142">
        <f t="shared" ref="AP151" si="453">AP139/AO139-1</f>
        <v>0.12149470414536445</v>
      </c>
      <c r="AQ151" s="142">
        <f t="shared" ref="AQ151" si="454">AQ139/AP139-1</f>
        <v>5.9435364041604766E-2</v>
      </c>
      <c r="AR151" s="142">
        <f t="shared" ref="AR151" si="455">AR139/AQ139-1</f>
        <v>0.35203366058906038</v>
      </c>
      <c r="AS151" s="359">
        <f t="shared" ref="AS151" si="456">AS139/AR139-1</f>
        <v>-0.23029045643153523</v>
      </c>
      <c r="AT151" s="142">
        <f t="shared" ref="AT151" si="457">AT139/AS139-1</f>
        <v>0.12803234501347704</v>
      </c>
      <c r="AU151" s="142">
        <f t="shared" ref="AU151" si="458">AU139/AT139-1</f>
        <v>1.3703703703703551E-2</v>
      </c>
      <c r="AV151" s="142">
        <f t="shared" ref="AV151" si="459">AV139/AU139-1</f>
        <v>0.36339528798896836</v>
      </c>
      <c r="AW151" s="359">
        <f t="shared" ref="AW151" si="460">AW139/AV139-1</f>
        <v>-0.20061376210235105</v>
      </c>
      <c r="AX151" s="286">
        <f t="shared" ref="AX151" si="461">AX139/AW139-1</f>
        <v>0.19477036540395565</v>
      </c>
      <c r="AY151" s="286">
        <f t="shared" ref="AY151:AZ151" si="462">AY139/AX139-1</f>
        <v>2.9062850729517198E-2</v>
      </c>
      <c r="AZ151" s="286">
        <f t="shared" si="462"/>
        <v>0.2616493709748664</v>
      </c>
      <c r="BA151" s="287">
        <f t="shared" ref="BA151" si="463">BA139/AZ139-1</f>
        <v>-0.20209836643283918</v>
      </c>
      <c r="BB151" s="286">
        <f t="shared" si="436"/>
        <v>0.22595291558901209</v>
      </c>
      <c r="BC151" s="286">
        <f t="shared" si="436"/>
        <v>-3.3485776399164724E-3</v>
      </c>
      <c r="BD151" s="286">
        <f t="shared" si="436"/>
        <v>0.26164937097486618</v>
      </c>
      <c r="BE151" s="286">
        <f t="shared" si="436"/>
        <v>-0.18657451874551834</v>
      </c>
      <c r="BF151" s="142"/>
      <c r="BG151" s="15"/>
    </row>
    <row r="152" spans="1:90" outlineLevel="1">
      <c r="B152" s="418"/>
      <c r="C152" s="374"/>
      <c r="Z152" s="142"/>
      <c r="AA152" s="142"/>
      <c r="AB152" s="142"/>
      <c r="AC152" s="359"/>
      <c r="AD152" s="142"/>
      <c r="AE152" s="142"/>
      <c r="AF152" s="142"/>
      <c r="AG152" s="359"/>
      <c r="AH152" s="142"/>
      <c r="AI152" s="142"/>
      <c r="AJ152" s="142"/>
      <c r="AK152" s="359"/>
      <c r="AL152" s="142"/>
      <c r="AM152" s="142"/>
      <c r="AN152" s="142"/>
      <c r="AO152" s="359"/>
      <c r="AP152" s="142"/>
      <c r="AQ152" s="142"/>
      <c r="AR152" s="142"/>
      <c r="AS152" s="359"/>
      <c r="AT152" s="142"/>
      <c r="AU152" s="142"/>
      <c r="AV152" s="142"/>
      <c r="AW152" s="359"/>
      <c r="AX152" s="286"/>
      <c r="AY152" s="286"/>
      <c r="AZ152" s="286"/>
      <c r="BA152" s="287"/>
      <c r="BB152" s="286"/>
      <c r="BC152" s="286"/>
      <c r="BD152" s="286"/>
      <c r="BE152" s="286"/>
      <c r="BF152" s="142"/>
      <c r="BG152" s="15"/>
    </row>
    <row r="153" spans="1:90" outlineLevel="1">
      <c r="B153" s="405" t="s">
        <v>575</v>
      </c>
      <c r="C153" s="348"/>
      <c r="F153" s="41"/>
      <c r="G153" s="41">
        <f>AK153</f>
        <v>163</v>
      </c>
      <c r="H153" s="41">
        <f>AO153</f>
        <v>289</v>
      </c>
      <c r="I153" s="41">
        <f>AS153</f>
        <v>410</v>
      </c>
      <c r="J153" s="363">
        <f>AW153</f>
        <v>507</v>
      </c>
      <c r="K153" s="356">
        <f>K106*K154</f>
        <v>589.60980000000006</v>
      </c>
      <c r="L153" s="356">
        <f t="shared" ref="L153:R153" si="464">L106*L154</f>
        <v>664.64646600000003</v>
      </c>
      <c r="M153" s="356">
        <f t="shared" si="464"/>
        <v>764.06878860000018</v>
      </c>
      <c r="N153" s="356">
        <f t="shared" si="464"/>
        <v>830.94831741138012</v>
      </c>
      <c r="O153" s="356">
        <f t="shared" si="464"/>
        <v>897.86902130203259</v>
      </c>
      <c r="P153" s="356">
        <f t="shared" si="464"/>
        <v>964.50390857949606</v>
      </c>
      <c r="Q153" s="356">
        <f t="shared" si="464"/>
        <v>1030.573356126715</v>
      </c>
      <c r="R153" s="356">
        <f t="shared" si="464"/>
        <v>1095.8440192825717</v>
      </c>
      <c r="AD153" s="41"/>
      <c r="AE153" s="41"/>
      <c r="AF153" s="41"/>
      <c r="AG153" s="363"/>
      <c r="AH153" s="41"/>
      <c r="AI153" s="41"/>
      <c r="AJ153" s="41"/>
      <c r="AK153" s="310">
        <f>Reported!K7</f>
        <v>163</v>
      </c>
      <c r="AL153" s="41">
        <v>188</v>
      </c>
      <c r="AM153" s="426">
        <f>Reported!M7</f>
        <v>217</v>
      </c>
      <c r="AN153" s="426">
        <f>Reported!N7</f>
        <v>265</v>
      </c>
      <c r="AO153" s="427">
        <f>Reported!O7</f>
        <v>289</v>
      </c>
      <c r="AP153" s="426">
        <f>Reported!P7</f>
        <v>307</v>
      </c>
      <c r="AQ153" s="426">
        <f>Reported!Q7</f>
        <v>346</v>
      </c>
      <c r="AR153" s="426">
        <f>Reported!R7</f>
        <v>393</v>
      </c>
      <c r="AS153" s="427">
        <f>Reported!S7</f>
        <v>410</v>
      </c>
      <c r="AT153" s="426">
        <f>Reported!T7</f>
        <v>427</v>
      </c>
      <c r="AU153" s="426">
        <f>Reported!U7</f>
        <v>450</v>
      </c>
      <c r="AV153" s="426">
        <f>Reported!V7</f>
        <v>493</v>
      </c>
      <c r="AW153" s="427">
        <f>Reported!W7</f>
        <v>507</v>
      </c>
      <c r="AX153" s="426">
        <f>Reported!X7</f>
        <v>529</v>
      </c>
      <c r="AY153" s="426">
        <f>Reported!Y7</f>
        <v>549</v>
      </c>
      <c r="AZ153" s="426">
        <f>Reported!Z7</f>
        <v>580</v>
      </c>
      <c r="BA153" s="1522">
        <f>K153</f>
        <v>589.60980000000006</v>
      </c>
      <c r="BB153" s="356">
        <f>BB154*BB106</f>
        <v>622.57251539999993</v>
      </c>
      <c r="BC153" s="356">
        <f>BC154*BC106</f>
        <v>638.38894442759988</v>
      </c>
      <c r="BD153" s="356">
        <f>BD154*BD106</f>
        <v>654.34866803828982</v>
      </c>
      <c r="BE153" s="356">
        <f>L153</f>
        <v>664.64646600000003</v>
      </c>
      <c r="BF153" s="41"/>
      <c r="BG153" s="15"/>
      <c r="BJ153" s="489">
        <f t="shared" ref="BJ153" si="465">E153*0.25+F153*0.75</f>
        <v>0</v>
      </c>
      <c r="BK153" s="489">
        <f t="shared" ref="BK153" si="466">F153*0.25+G153*0.75</f>
        <v>122.25</v>
      </c>
      <c r="BL153" s="489">
        <f t="shared" ref="BL153" si="467">G153*0.25+H153*0.75</f>
        <v>257.5</v>
      </c>
      <c r="BM153" s="489">
        <f t="shared" ref="BM153" si="468">H153*0.25+I153*0.75</f>
        <v>379.75</v>
      </c>
      <c r="BN153" s="489">
        <f t="shared" ref="BN153" si="469">I153*0.25+J153*0.75</f>
        <v>482.75</v>
      </c>
      <c r="BO153" s="489">
        <f t="shared" ref="BO153" si="470">J153*0.25+K153*0.75</f>
        <v>568.95735000000002</v>
      </c>
      <c r="BP153" s="489">
        <f t="shared" ref="BP153" si="471">K153*0.25+L153*0.75</f>
        <v>645.88729950000004</v>
      </c>
      <c r="BQ153" s="489">
        <f t="shared" ref="BQ153" si="472">L153*0.25+M153*0.75</f>
        <v>739.2132079500002</v>
      </c>
    </row>
    <row r="154" spans="1:90" outlineLevel="1">
      <c r="B154" s="357" t="s">
        <v>649</v>
      </c>
      <c r="C154" s="348"/>
      <c r="F154" s="41"/>
      <c r="G154" s="425">
        <f>G153/G106</f>
        <v>0.63921568627450975</v>
      </c>
      <c r="H154" s="425">
        <f>H153/H106</f>
        <v>0.82571428571428573</v>
      </c>
      <c r="I154" s="425">
        <f>I153/I106</f>
        <v>0.96926713947990539</v>
      </c>
      <c r="J154" s="430">
        <f>J153/J106</f>
        <v>1.1167400881057268</v>
      </c>
      <c r="K154" s="428">
        <v>1.17</v>
      </c>
      <c r="L154" s="428">
        <v>1.21</v>
      </c>
      <c r="M154" s="428">
        <v>1.3</v>
      </c>
      <c r="N154" s="428">
        <f>M154+3%</f>
        <v>1.33</v>
      </c>
      <c r="O154" s="428">
        <f>N154+3%</f>
        <v>1.36</v>
      </c>
      <c r="P154" s="428">
        <f>O154+3%</f>
        <v>1.3900000000000001</v>
      </c>
      <c r="Q154" s="428">
        <f>P154+3%</f>
        <v>1.4200000000000002</v>
      </c>
      <c r="R154" s="428">
        <f>Q154+3%</f>
        <v>1.4500000000000002</v>
      </c>
      <c r="S154" s="411"/>
      <c r="T154" s="411"/>
      <c r="U154" s="411"/>
      <c r="V154" s="224"/>
      <c r="W154" s="224"/>
      <c r="X154" s="224"/>
      <c r="Y154" s="429"/>
      <c r="Z154" s="224"/>
      <c r="AA154" s="224"/>
      <c r="AB154" s="224"/>
      <c r="AC154" s="429"/>
      <c r="AD154" s="425"/>
      <c r="AE154" s="425"/>
      <c r="AF154" s="425"/>
      <c r="AG154" s="430"/>
      <c r="AH154" s="425"/>
      <c r="AI154" s="425"/>
      <c r="AJ154" s="425"/>
      <c r="AK154" s="431">
        <f t="shared" ref="AK154:AX154" si="473">AK153/AK106</f>
        <v>0.63921568627450975</v>
      </c>
      <c r="AL154" s="375">
        <f t="shared" si="473"/>
        <v>0.6738351254480287</v>
      </c>
      <c r="AM154" s="375">
        <f t="shared" si="473"/>
        <v>0.70684039087947881</v>
      </c>
      <c r="AN154" s="375">
        <f t="shared" si="473"/>
        <v>0.79341317365269459</v>
      </c>
      <c r="AO154" s="431">
        <f t="shared" si="473"/>
        <v>0.82571428571428573</v>
      </c>
      <c r="AP154" s="375">
        <f t="shared" si="473"/>
        <v>0.8365122615803815</v>
      </c>
      <c r="AQ154" s="375">
        <f t="shared" si="473"/>
        <v>0.89637305699481862</v>
      </c>
      <c r="AR154" s="375">
        <f t="shared" si="473"/>
        <v>0.96560196560196565</v>
      </c>
      <c r="AS154" s="431">
        <f t="shared" si="473"/>
        <v>0.96926713947990539</v>
      </c>
      <c r="AT154" s="375">
        <f t="shared" si="473"/>
        <v>0.9838709677419355</v>
      </c>
      <c r="AU154" s="375">
        <f t="shared" si="473"/>
        <v>1.0250569476082005</v>
      </c>
      <c r="AV154" s="375">
        <f t="shared" si="473"/>
        <v>1.1128668171557563</v>
      </c>
      <c r="AW154" s="431">
        <f t="shared" si="473"/>
        <v>1.1167400881057268</v>
      </c>
      <c r="AX154" s="375">
        <f t="shared" si="473"/>
        <v>1.1351931330472103</v>
      </c>
      <c r="AY154" s="375">
        <f>AY153/AY106</f>
        <v>1.125</v>
      </c>
      <c r="AZ154" s="375">
        <f>AZ153/AZ106</f>
        <v>1.1262135922330097</v>
      </c>
      <c r="BA154" s="435">
        <f>BA153/BA106</f>
        <v>1.17</v>
      </c>
      <c r="BB154" s="432">
        <v>1.21</v>
      </c>
      <c r="BC154" s="432">
        <v>1.22</v>
      </c>
      <c r="BD154" s="432">
        <v>1.22</v>
      </c>
      <c r="BE154" s="15">
        <f>BE153/BE106</f>
        <v>1.21</v>
      </c>
      <c r="BF154" s="436"/>
      <c r="BG154" s="15"/>
    </row>
    <row r="155" spans="1:90" outlineLevel="1">
      <c r="B155" s="357" t="s">
        <v>80</v>
      </c>
      <c r="C155" s="348"/>
      <c r="F155" s="41"/>
      <c r="G155" s="425"/>
      <c r="H155" s="425">
        <f t="shared" ref="H155:M155" si="474">H153/G153-1</f>
        <v>0.77300613496932513</v>
      </c>
      <c r="I155" s="425">
        <f t="shared" si="474"/>
        <v>0.41868512110726641</v>
      </c>
      <c r="J155" s="435">
        <f t="shared" si="474"/>
        <v>0.23658536585365852</v>
      </c>
      <c r="K155" s="425">
        <f t="shared" si="474"/>
        <v>0.1629384615384617</v>
      </c>
      <c r="L155" s="425">
        <f t="shared" si="474"/>
        <v>0.12726495726495712</v>
      </c>
      <c r="M155" s="425">
        <f t="shared" si="474"/>
        <v>0.14958677685950428</v>
      </c>
      <c r="N155" s="425"/>
      <c r="O155" s="425"/>
      <c r="P155" s="425"/>
      <c r="Q155" s="425"/>
      <c r="R155" s="425"/>
      <c r="AD155" s="41"/>
      <c r="AE155" s="41"/>
      <c r="AF155" s="41"/>
      <c r="AG155" s="363"/>
      <c r="AH155" s="41"/>
      <c r="AI155" s="41"/>
      <c r="AJ155" s="41"/>
      <c r="AK155" s="363"/>
      <c r="AL155" s="41"/>
      <c r="AO155" s="359">
        <f t="shared" ref="AO155:BA155" si="475">AO153/AK153-1</f>
        <v>0.77300613496932513</v>
      </c>
      <c r="AP155" s="142">
        <f t="shared" si="475"/>
        <v>0.63297872340425543</v>
      </c>
      <c r="AQ155" s="142">
        <f t="shared" si="475"/>
        <v>0.59447004608294929</v>
      </c>
      <c r="AR155" s="142">
        <f t="shared" si="475"/>
        <v>0.48301886792452819</v>
      </c>
      <c r="AS155" s="359">
        <f t="shared" si="475"/>
        <v>0.41868512110726641</v>
      </c>
      <c r="AT155" s="142">
        <f t="shared" si="475"/>
        <v>0.39087947882736152</v>
      </c>
      <c r="AU155" s="142">
        <f t="shared" si="475"/>
        <v>0.300578034682081</v>
      </c>
      <c r="AV155" s="142">
        <f t="shared" si="475"/>
        <v>0.25445292620865145</v>
      </c>
      <c r="AW155" s="359">
        <f t="shared" si="475"/>
        <v>0.23658536585365852</v>
      </c>
      <c r="AX155" s="286">
        <f t="shared" si="475"/>
        <v>0.23887587822014056</v>
      </c>
      <c r="AY155" s="286">
        <f t="shared" si="475"/>
        <v>0.21999999999999997</v>
      </c>
      <c r="AZ155" s="286">
        <f t="shared" si="475"/>
        <v>0.17647058823529416</v>
      </c>
      <c r="BA155" s="287">
        <f t="shared" si="475"/>
        <v>0.1629384615384617</v>
      </c>
      <c r="BB155" s="286">
        <f>BB153/AX153-1</f>
        <v>0.17688566238185244</v>
      </c>
      <c r="BC155" s="286">
        <f>BC153/AY153-1</f>
        <v>0.16282139239999971</v>
      </c>
      <c r="BD155" s="286">
        <f>BD153/AZ153-1</f>
        <v>0.12818735868670661</v>
      </c>
      <c r="BE155" s="286">
        <f>BE153/BA153-1</f>
        <v>0.12726495726495712</v>
      </c>
      <c r="BF155" s="142"/>
      <c r="BG155" s="15"/>
    </row>
    <row r="156" spans="1:90" outlineLevel="1">
      <c r="B156" s="433"/>
      <c r="C156" s="348"/>
      <c r="F156" s="41"/>
      <c r="G156" s="425"/>
      <c r="H156" s="425"/>
      <c r="I156" s="425"/>
      <c r="J156" s="430"/>
      <c r="K156" s="425"/>
      <c r="L156" s="425"/>
      <c r="M156" s="425"/>
      <c r="N156" s="425"/>
      <c r="O156" s="425"/>
      <c r="P156" s="425"/>
      <c r="Q156" s="425"/>
      <c r="R156" s="425"/>
      <c r="AD156" s="41"/>
      <c r="AE156" s="41"/>
      <c r="AF156" s="41"/>
      <c r="AG156" s="363"/>
      <c r="AH156" s="41"/>
      <c r="AI156" s="41"/>
      <c r="AJ156" s="41"/>
      <c r="AK156" s="363"/>
      <c r="AL156" s="252"/>
      <c r="AM156" s="252"/>
      <c r="AN156" s="252"/>
      <c r="AO156" s="253"/>
      <c r="AP156" s="252"/>
      <c r="AQ156" s="252"/>
      <c r="AR156" s="252"/>
      <c r="AS156" s="253"/>
      <c r="AT156" s="252"/>
      <c r="AU156" s="252"/>
      <c r="AV156" s="252"/>
      <c r="AW156" s="253"/>
      <c r="AX156" s="270"/>
      <c r="AY156" s="270"/>
      <c r="AZ156" s="270"/>
      <c r="BA156" s="535"/>
      <c r="BB156" s="270"/>
      <c r="BC156" s="270"/>
      <c r="BD156" s="270"/>
      <c r="BE156" s="270"/>
      <c r="BF156" s="252"/>
      <c r="BG156" s="15"/>
    </row>
    <row r="157" spans="1:90" s="1561" customFormat="1" outlineLevel="1">
      <c r="A157" s="1556"/>
      <c r="B157" s="1557" t="s">
        <v>880</v>
      </c>
      <c r="C157" s="1558"/>
      <c r="D157" s="1558"/>
      <c r="E157" s="1558">
        <f t="shared" ref="E157:F157" si="476">E162/E106</f>
        <v>109.1219512195122</v>
      </c>
      <c r="F157" s="1558">
        <f t="shared" si="476"/>
        <v>156.80232558139534</v>
      </c>
      <c r="G157" s="1558">
        <f t="shared" ref="G157:M157" si="477">G162/G106</f>
        <v>167.96862745098039</v>
      </c>
      <c r="H157" s="1558">
        <f t="shared" si="477"/>
        <v>170.66285714285715</v>
      </c>
      <c r="I157" s="1558">
        <f t="shared" si="477"/>
        <v>189.20330969267138</v>
      </c>
      <c r="J157" s="1559">
        <f t="shared" si="477"/>
        <v>251.34140969162996</v>
      </c>
      <c r="K157" s="1558">
        <f t="shared" si="477"/>
        <v>350.48582867841401</v>
      </c>
      <c r="L157" s="1558">
        <f t="shared" si="477"/>
        <v>435.58492256167392</v>
      </c>
      <c r="M157" s="1558">
        <f t="shared" si="477"/>
        <v>533.00648944070463</v>
      </c>
      <c r="N157" s="1560"/>
      <c r="O157" s="1560"/>
      <c r="P157" s="1560"/>
      <c r="Q157" s="1560"/>
      <c r="R157" s="1560"/>
      <c r="V157" s="1371"/>
      <c r="W157" s="1371"/>
      <c r="X157" s="1371"/>
      <c r="Y157" s="1562"/>
      <c r="Z157" s="1563">
        <f t="shared" ref="Z157:BA157" si="478">SUM(W162:Z162)/Z106</f>
        <v>77.862244897959187</v>
      </c>
      <c r="AA157" s="1563">
        <f t="shared" si="478"/>
        <v>91.235294117647058</v>
      </c>
      <c r="AB157" s="1563">
        <f t="shared" si="478"/>
        <v>109.82017543859649</v>
      </c>
      <c r="AC157" s="1563">
        <f t="shared" si="478"/>
        <v>109.1219512195122</v>
      </c>
      <c r="AD157" s="1563">
        <f t="shared" si="478"/>
        <v>118.71428571428571</v>
      </c>
      <c r="AE157" s="1563">
        <f t="shared" si="478"/>
        <v>128.66206896551725</v>
      </c>
      <c r="AF157" s="1563">
        <f t="shared" si="478"/>
        <v>146.45625000000001</v>
      </c>
      <c r="AG157" s="1564">
        <f t="shared" si="478"/>
        <v>156.80232558139534</v>
      </c>
      <c r="AH157" s="1563">
        <f t="shared" si="478"/>
        <v>165.45405405405404</v>
      </c>
      <c r="AI157" s="1563">
        <f t="shared" si="478"/>
        <v>166.60396039603961</v>
      </c>
      <c r="AJ157" s="1563">
        <f t="shared" si="478"/>
        <v>174.09090909090909</v>
      </c>
      <c r="AK157" s="1564">
        <f t="shared" si="478"/>
        <v>167.96862745098039</v>
      </c>
      <c r="AL157" s="1563">
        <f t="shared" si="478"/>
        <v>167.7562724014337</v>
      </c>
      <c r="AM157" s="1563">
        <f t="shared" si="478"/>
        <v>165.88925081433226</v>
      </c>
      <c r="AN157" s="1563">
        <f t="shared" si="478"/>
        <v>167.82634730538922</v>
      </c>
      <c r="AO157" s="1564">
        <f t="shared" si="478"/>
        <v>170.66285714285715</v>
      </c>
      <c r="AP157" s="1563">
        <f t="shared" si="478"/>
        <v>171.13079019073569</v>
      </c>
      <c r="AQ157" s="1563">
        <f t="shared" si="478"/>
        <v>174.36010362694302</v>
      </c>
      <c r="AR157" s="1563">
        <f t="shared" si="478"/>
        <v>183.64127764127764</v>
      </c>
      <c r="AS157" s="1564">
        <f t="shared" si="478"/>
        <v>189.20330969267138</v>
      </c>
      <c r="AT157" s="1563">
        <f t="shared" si="478"/>
        <v>202.08294930875576</v>
      </c>
      <c r="AU157" s="1563">
        <f t="shared" si="478"/>
        <v>215.36674259681092</v>
      </c>
      <c r="AV157" s="1563">
        <f t="shared" si="478"/>
        <v>240.70880361173815</v>
      </c>
      <c r="AW157" s="1563">
        <f t="shared" si="478"/>
        <v>251.34140969162996</v>
      </c>
      <c r="AX157" s="1563">
        <f t="shared" si="478"/>
        <v>273.47210300429185</v>
      </c>
      <c r="AY157" s="1563">
        <f t="shared" si="478"/>
        <v>292.79918032786884</v>
      </c>
      <c r="AZ157" s="1563">
        <f t="shared" si="478"/>
        <v>314.93009708737861</v>
      </c>
      <c r="BA157" s="1563">
        <f t="shared" si="478"/>
        <v>350.48582867841401</v>
      </c>
      <c r="BB157" s="1563">
        <f t="shared" ref="BB157:BE157" si="479">SUM(AY162:BB162)/BB106</f>
        <v>372.4457728577749</v>
      </c>
      <c r="BC157" s="1563">
        <f t="shared" si="479"/>
        <v>394.10415868185629</v>
      </c>
      <c r="BD157" s="1563">
        <f t="shared" si="479"/>
        <v>421.37967632858226</v>
      </c>
      <c r="BE157" s="1563">
        <f t="shared" si="479"/>
        <v>435.58492256167398</v>
      </c>
      <c r="BF157" s="1565"/>
      <c r="BG157" s="1566"/>
      <c r="CG157"/>
      <c r="CH157"/>
      <c r="CI157"/>
      <c r="CJ157"/>
      <c r="CK157"/>
      <c r="CL157"/>
    </row>
    <row r="158" spans="1:90" s="1570" customFormat="1" outlineLevel="1">
      <c r="A158" s="1567"/>
      <c r="B158" s="1568" t="s">
        <v>40</v>
      </c>
      <c r="C158" s="1569"/>
      <c r="F158" s="1571">
        <f>F157/E157-1</f>
        <v>0.43694576415672959</v>
      </c>
      <c r="G158" s="1571">
        <f t="shared" ref="G158:M158" si="480">G157/F157-1</f>
        <v>7.1212603691829024E-2</v>
      </c>
      <c r="H158" s="1571">
        <f t="shared" si="480"/>
        <v>1.6040076845082574E-2</v>
      </c>
      <c r="I158" s="1571">
        <f t="shared" si="480"/>
        <v>0.10863788911194971</v>
      </c>
      <c r="J158" s="1572">
        <f t="shared" si="480"/>
        <v>0.32841973060561869</v>
      </c>
      <c r="K158" s="1571">
        <f t="shared" si="480"/>
        <v>0.39446113996266696</v>
      </c>
      <c r="L158" s="1571">
        <f t="shared" si="480"/>
        <v>0.2428032374494149</v>
      </c>
      <c r="M158" s="1571">
        <f t="shared" si="480"/>
        <v>0.22365688487584623</v>
      </c>
      <c r="N158" s="1573"/>
      <c r="O158" s="1573"/>
      <c r="P158" s="1573"/>
      <c r="Q158" s="1573"/>
      <c r="R158" s="1573"/>
      <c r="V158" s="1574"/>
      <c r="W158" s="1574"/>
      <c r="X158" s="1574"/>
      <c r="Y158" s="1575"/>
      <c r="Z158" s="1574"/>
      <c r="AA158" s="1574"/>
      <c r="AB158" s="1574"/>
      <c r="AC158" s="1575"/>
      <c r="AD158" s="1571">
        <f>AD157/Z157-1</f>
        <v>0.52467072931000569</v>
      </c>
      <c r="AE158" s="1571">
        <f t="shared" ref="AE158:BA158" si="481">AE157/AA157-1</f>
        <v>0.41022254830031812</v>
      </c>
      <c r="AF158" s="1571">
        <f t="shared" si="481"/>
        <v>0.33360058309037899</v>
      </c>
      <c r="AG158" s="1572">
        <f t="shared" si="481"/>
        <v>0.43694576415672959</v>
      </c>
      <c r="AH158" s="1571">
        <f t="shared" si="481"/>
        <v>0.39371646014245298</v>
      </c>
      <c r="AI158" s="1571">
        <f t="shared" si="481"/>
        <v>0.29489570419306088</v>
      </c>
      <c r="AJ158" s="1571">
        <f t="shared" si="481"/>
        <v>0.18868883431679473</v>
      </c>
      <c r="AK158" s="1572">
        <f t="shared" si="481"/>
        <v>7.1212603691829024E-2</v>
      </c>
      <c r="AL158" s="1571">
        <f t="shared" si="481"/>
        <v>1.3914547821400225E-2</v>
      </c>
      <c r="AM158" s="1571">
        <f t="shared" si="481"/>
        <v>-4.289871501303999E-3</v>
      </c>
      <c r="AN158" s="1571">
        <f t="shared" si="481"/>
        <v>-3.5984428010819136E-2</v>
      </c>
      <c r="AO158" s="1572">
        <f t="shared" si="481"/>
        <v>1.6040076845082574E-2</v>
      </c>
      <c r="AP158" s="1571">
        <f t="shared" si="481"/>
        <v>2.0115598308162896E-2</v>
      </c>
      <c r="AQ158" s="1571">
        <f t="shared" si="481"/>
        <v>5.1063301395529059E-2</v>
      </c>
      <c r="AR158" s="1571">
        <f t="shared" si="481"/>
        <v>9.4233894676325258E-2</v>
      </c>
      <c r="AS158" s="1572">
        <f t="shared" si="481"/>
        <v>0.10863788911194971</v>
      </c>
      <c r="AT158" s="1571">
        <f t="shared" si="481"/>
        <v>0.18086844035209548</v>
      </c>
      <c r="AU158" s="1571">
        <f t="shared" si="481"/>
        <v>0.23518361205843741</v>
      </c>
      <c r="AV158" s="1571">
        <f t="shared" si="481"/>
        <v>0.31075543964541263</v>
      </c>
      <c r="AW158" s="1571">
        <f t="shared" si="481"/>
        <v>0.32841973060561869</v>
      </c>
      <c r="AX158" s="1571">
        <f t="shared" si="481"/>
        <v>0.35326658651672282</v>
      </c>
      <c r="AY158" s="1571">
        <f t="shared" si="481"/>
        <v>0.35953758132479874</v>
      </c>
      <c r="AZ158" s="1571">
        <f t="shared" si="481"/>
        <v>0.30834474004265733</v>
      </c>
      <c r="BA158" s="1571">
        <f t="shared" si="481"/>
        <v>0.39446113996266696</v>
      </c>
      <c r="BB158" s="1571">
        <f t="shared" ref="BB158" si="482">BB157/AX157-1</f>
        <v>0.36191505007708136</v>
      </c>
      <c r="BC158" s="1571">
        <f t="shared" ref="BC158" si="483">BC157/AY157-1</f>
        <v>0.34598791649808858</v>
      </c>
      <c r="BD158" s="1571">
        <f t="shared" ref="BD158" si="484">BD157/AZ157-1</f>
        <v>0.33801018138850281</v>
      </c>
      <c r="BE158" s="1571">
        <f t="shared" ref="BE158" si="485">BE157/BA157-1</f>
        <v>0.24280323744941512</v>
      </c>
      <c r="BF158" s="1576"/>
      <c r="BG158" s="1577"/>
      <c r="CG158"/>
      <c r="CH158"/>
      <c r="CI158"/>
      <c r="CJ158"/>
      <c r="CK158"/>
      <c r="CL158"/>
    </row>
    <row r="159" spans="1:90" s="1561" customFormat="1" outlineLevel="1">
      <c r="A159" s="1556"/>
      <c r="B159" s="1578" t="s">
        <v>881</v>
      </c>
      <c r="C159" s="1579"/>
      <c r="E159" s="1580"/>
      <c r="F159" s="1580"/>
      <c r="G159" s="1580">
        <f t="shared" ref="G159:J159" si="486">G201/G153</f>
        <v>17.822085889570552</v>
      </c>
      <c r="H159" s="1580">
        <f t="shared" si="486"/>
        <v>61.730103806228371</v>
      </c>
      <c r="I159" s="1580">
        <f t="shared" si="486"/>
        <v>122.77317073170731</v>
      </c>
      <c r="J159" s="1580">
        <f t="shared" si="486"/>
        <v>178.95660749506902</v>
      </c>
      <c r="K159" s="1580">
        <f>K201/K153</f>
        <v>249.75937614368004</v>
      </c>
      <c r="L159" s="1580">
        <f t="shared" ref="L159:M159" si="487">L201/L153</f>
        <v>314.21034281137361</v>
      </c>
      <c r="M159" s="1580">
        <f t="shared" si="487"/>
        <v>368.5903462332767</v>
      </c>
      <c r="N159" s="1580">
        <f>N201/N153</f>
        <v>418.33706374371809</v>
      </c>
      <c r="O159" s="1580">
        <f>O201/O153</f>
        <v>470.80087568049322</v>
      </c>
      <c r="P159" s="1580">
        <f>P201/P153</f>
        <v>544.71474348982645</v>
      </c>
      <c r="Q159" s="1580">
        <f>Q201/Q153</f>
        <v>578.04846346320494</v>
      </c>
      <c r="R159" s="1580">
        <f>R201/R153</f>
        <v>608.93524030894878</v>
      </c>
      <c r="V159" s="1371"/>
      <c r="W159" s="1371"/>
      <c r="X159" s="1371"/>
      <c r="Y159" s="1562"/>
      <c r="Z159" s="1371"/>
      <c r="AA159" s="1371"/>
      <c r="AB159" s="1371"/>
      <c r="AC159" s="1562"/>
      <c r="AD159" s="1563"/>
      <c r="AE159" s="1563"/>
      <c r="AF159" s="1563"/>
      <c r="AG159" s="1564"/>
      <c r="AH159" s="1563"/>
      <c r="AI159" s="1563"/>
      <c r="AJ159" s="1563"/>
      <c r="AK159" s="1563">
        <f t="shared" ref="AK159:AV159" si="488">SUM(AH201:AK201)/AK153</f>
        <v>17.822085889570552</v>
      </c>
      <c r="AL159" s="1563">
        <f t="shared" si="488"/>
        <v>27.228723404255319</v>
      </c>
      <c r="AM159" s="1563">
        <f t="shared" si="488"/>
        <v>39.198156682027651</v>
      </c>
      <c r="AN159" s="1563">
        <f t="shared" si="488"/>
        <v>51.905660377358494</v>
      </c>
      <c r="AO159" s="1563">
        <f t="shared" si="488"/>
        <v>61.730103806228371</v>
      </c>
      <c r="AP159" s="1563">
        <f t="shared" si="488"/>
        <v>76.133550488599354</v>
      </c>
      <c r="AQ159" s="1563">
        <f t="shared" si="488"/>
        <v>87.20809248554913</v>
      </c>
      <c r="AR159" s="1563">
        <f t="shared" si="488"/>
        <v>108.14249363867684</v>
      </c>
      <c r="AS159" s="1563">
        <f t="shared" si="488"/>
        <v>122.77317073170731</v>
      </c>
      <c r="AT159" s="1563">
        <f t="shared" si="488"/>
        <v>140.19672131147541</v>
      </c>
      <c r="AU159" s="1563">
        <f t="shared" si="488"/>
        <v>151.23111111111112</v>
      </c>
      <c r="AV159" s="1563">
        <f t="shared" si="488"/>
        <v>165.83975659229208</v>
      </c>
      <c r="AW159" s="1563">
        <f>SUM(AT201:AW201)/AW153</f>
        <v>178.95660749506902</v>
      </c>
      <c r="AX159" s="1563">
        <f t="shared" ref="AX159:BE159" si="489">SUM(AU201:AX201)/AX153</f>
        <v>196</v>
      </c>
      <c r="AY159" s="1563">
        <f t="shared" si="489"/>
        <v>213</v>
      </c>
      <c r="AZ159" s="1563">
        <f t="shared" si="489"/>
        <v>229</v>
      </c>
      <c r="BA159" s="1563">
        <f t="shared" si="489"/>
        <v>249.75937614368004</v>
      </c>
      <c r="BB159" s="1563">
        <f t="shared" si="489"/>
        <v>259.31389998556949</v>
      </c>
      <c r="BC159" s="1563">
        <f t="shared" si="489"/>
        <v>276.29341480766141</v>
      </c>
      <c r="BD159" s="1563">
        <f t="shared" si="489"/>
        <v>304.8368770768061</v>
      </c>
      <c r="BE159" s="1563">
        <f t="shared" si="489"/>
        <v>314.21034281137361</v>
      </c>
      <c r="BF159" s="1565"/>
      <c r="BG159" s="1566"/>
      <c r="CG159"/>
      <c r="CH159"/>
      <c r="CI159"/>
      <c r="CJ159"/>
      <c r="CK159"/>
      <c r="CL159"/>
    </row>
    <row r="160" spans="1:90" s="1570" customFormat="1" outlineLevel="1">
      <c r="A160" s="1567"/>
      <c r="B160" s="1568" t="str">
        <f>B158</f>
        <v>% YoY</v>
      </c>
      <c r="C160" s="1569"/>
      <c r="F160" s="1571"/>
      <c r="G160" s="1571"/>
      <c r="H160" s="1571">
        <f t="shared" ref="H160:M160" si="490">H159/G159-1</f>
        <v>2.4636856868899226</v>
      </c>
      <c r="I160" s="1571">
        <f t="shared" si="490"/>
        <v>0.98887031062014663</v>
      </c>
      <c r="J160" s="1572">
        <f t="shared" si="490"/>
        <v>0.4576198238468383</v>
      </c>
      <c r="K160" s="1571">
        <f t="shared" si="490"/>
        <v>0.39564210363432339</v>
      </c>
      <c r="L160" s="1571">
        <f t="shared" si="490"/>
        <v>0.25805224077200051</v>
      </c>
      <c r="M160" s="1571">
        <f t="shared" si="490"/>
        <v>0.17306878868258146</v>
      </c>
      <c r="N160" s="1573"/>
      <c r="O160" s="1573"/>
      <c r="P160" s="1573"/>
      <c r="Q160" s="1573"/>
      <c r="R160" s="1573"/>
      <c r="V160" s="1574"/>
      <c r="W160" s="1574"/>
      <c r="X160" s="1574"/>
      <c r="Y160" s="1575"/>
      <c r="Z160" s="1574"/>
      <c r="AA160" s="1574"/>
      <c r="AB160" s="1574"/>
      <c r="AC160" s="1575"/>
      <c r="AD160" s="1581"/>
      <c r="AE160" s="1581"/>
      <c r="AF160" s="1581"/>
      <c r="AG160" s="1582"/>
      <c r="AH160" s="1581"/>
      <c r="AI160" s="1581"/>
      <c r="AJ160" s="1581"/>
      <c r="AK160" s="1582"/>
      <c r="AL160" s="1581"/>
      <c r="AM160" s="1581"/>
      <c r="AN160" s="1581"/>
      <c r="AO160" s="1582">
        <f t="shared" ref="AO160" si="491">AO159/AK159-1</f>
        <v>2.4636856868899226</v>
      </c>
      <c r="AP160" s="1581">
        <f t="shared" ref="AP160" si="492">AP159/AL159-1</f>
        <v>1.7960749153851685</v>
      </c>
      <c r="AQ160" s="1581">
        <f t="shared" ref="AQ160" si="493">AQ159/AM159-1</f>
        <v>1.2248008546160545</v>
      </c>
      <c r="AR160" s="1581">
        <f t="shared" ref="AR160" si="494">AR159/AN159-1</f>
        <v>1.0834431707923926</v>
      </c>
      <c r="AS160" s="1582">
        <f t="shared" ref="AS160" si="495">AS159/AO159-1</f>
        <v>0.98887031062014663</v>
      </c>
      <c r="AT160" s="1581">
        <f t="shared" ref="AT160:AW160" si="496">AT159/AP159-1</f>
        <v>0.84145781211752668</v>
      </c>
      <c r="AU160" s="1581">
        <f t="shared" si="496"/>
        <v>0.73414079818534006</v>
      </c>
      <c r="AV160" s="1581">
        <f t="shared" si="496"/>
        <v>0.53352998448872446</v>
      </c>
      <c r="AW160" s="1581">
        <f t="shared" si="496"/>
        <v>0.4576198238468383</v>
      </c>
      <c r="AX160" s="1581">
        <f>AX159/AT159-1</f>
        <v>0.39803554724041157</v>
      </c>
      <c r="AY160" s="1581">
        <f t="shared" ref="AY160:BA160" si="497">AY159/AU159-1</f>
        <v>0.40844035618773322</v>
      </c>
      <c r="AZ160" s="1581">
        <f t="shared" si="497"/>
        <v>0.38085103780623553</v>
      </c>
      <c r="BA160" s="1581">
        <f t="shared" si="497"/>
        <v>0.39564210363432339</v>
      </c>
      <c r="BB160" s="1581">
        <f t="shared" ref="BB160" si="498">BB159/AX159-1</f>
        <v>0.32303010196719129</v>
      </c>
      <c r="BC160" s="1581">
        <f t="shared" ref="BC160" si="499">BC159/AY159-1</f>
        <v>0.29715218219559336</v>
      </c>
      <c r="BD160" s="1581">
        <f t="shared" ref="BD160" si="500">BD159/AZ159-1</f>
        <v>0.33116540208212264</v>
      </c>
      <c r="BE160" s="1581">
        <f t="shared" ref="BE160" si="501">BE159/BA159-1</f>
        <v>0.25805224077200051</v>
      </c>
      <c r="BF160" s="1576"/>
      <c r="BG160" s="1577"/>
      <c r="CG160"/>
      <c r="CH160"/>
      <c r="CI160"/>
      <c r="CJ160"/>
      <c r="CK160"/>
      <c r="CL160"/>
    </row>
    <row r="161" spans="1:90" outlineLevel="1">
      <c r="B161" s="433"/>
      <c r="C161" s="348"/>
      <c r="F161" s="41"/>
      <c r="G161" s="425"/>
      <c r="H161" s="425"/>
      <c r="I161" s="425"/>
      <c r="J161" s="430"/>
      <c r="K161" s="425"/>
      <c r="L161" s="425"/>
      <c r="M161" s="425"/>
      <c r="N161" s="425"/>
      <c r="O161" s="425"/>
      <c r="P161" s="425"/>
      <c r="Q161" s="425"/>
      <c r="R161" s="425"/>
      <c r="AD161" s="41"/>
      <c r="AE161" s="41"/>
      <c r="AF161" s="41"/>
      <c r="AG161" s="363"/>
      <c r="AH161" s="41"/>
      <c r="AI161" s="41"/>
      <c r="AJ161" s="41"/>
      <c r="AK161" s="363"/>
      <c r="AL161" s="252"/>
      <c r="AM161" s="252"/>
      <c r="AN161" s="252"/>
      <c r="AO161" s="253"/>
      <c r="AP161" s="252"/>
      <c r="AQ161" s="252"/>
      <c r="AR161" s="252"/>
      <c r="AS161" s="253"/>
      <c r="AT161" s="252"/>
      <c r="AU161" s="252"/>
      <c r="AV161" s="252"/>
      <c r="AW161" s="253"/>
      <c r="AX161" s="270"/>
      <c r="AY161" s="270"/>
      <c r="AZ161" s="270"/>
      <c r="BA161" s="535"/>
      <c r="BB161" s="270"/>
      <c r="BC161" s="270"/>
      <c r="BD161" s="270"/>
      <c r="BE161" s="270"/>
      <c r="BF161" s="252"/>
      <c r="BG161" s="15"/>
    </row>
    <row r="162" spans="1:90" s="226" customFormat="1" outlineLevel="1">
      <c r="A162" s="1349"/>
      <c r="B162" s="226" t="s">
        <v>634</v>
      </c>
      <c r="C162" s="438">
        <v>2335</v>
      </c>
      <c r="D162" s="438">
        <v>5952</v>
      </c>
      <c r="E162" s="410">
        <v>13422</v>
      </c>
      <c r="F162" s="410">
        <v>26970</v>
      </c>
      <c r="G162" s="439">
        <v>42832</v>
      </c>
      <c r="H162" s="440">
        <f>SUM(AL162:AO162)</f>
        <v>59732</v>
      </c>
      <c r="I162" s="440">
        <f>SUM(AP162:AS162)</f>
        <v>80033</v>
      </c>
      <c r="J162" s="566">
        <f>SUM(AT162:AW162)</f>
        <v>114109</v>
      </c>
      <c r="K162" s="441">
        <f>K202</f>
        <v>176623.82850419998</v>
      </c>
      <c r="L162" s="441">
        <f t="shared" ref="L162:R162" si="502">L202</f>
        <v>239264.44580454568</v>
      </c>
      <c r="M162" s="441">
        <f t="shared" si="502"/>
        <v>313272.01746376767</v>
      </c>
      <c r="N162" s="441">
        <f t="shared" si="502"/>
        <v>378176.16971030022</v>
      </c>
      <c r="O162" s="441">
        <f t="shared" si="502"/>
        <v>450384.86743450252</v>
      </c>
      <c r="P162" s="441">
        <f t="shared" si="502"/>
        <v>548091.24666170287</v>
      </c>
      <c r="Q162" s="441">
        <f t="shared" si="502"/>
        <v>621473.91583684599</v>
      </c>
      <c r="R162" s="441">
        <f t="shared" si="502"/>
        <v>696144.81702423049</v>
      </c>
      <c r="T162" s="15">
        <f>(M162/J162)^(1/3)-1</f>
        <v>0.40023383665429124</v>
      </c>
      <c r="V162" s="442">
        <f>V114*V207*1000</f>
        <v>982.5</v>
      </c>
      <c r="W162" s="442">
        <f>W114*W207*1000</f>
        <v>1057.5</v>
      </c>
      <c r="X162" s="442">
        <f>X114*X207*1000</f>
        <v>1597.5000000000002</v>
      </c>
      <c r="Y162" s="368">
        <f>D162-SUM(V162:X162)</f>
        <v>2314.5</v>
      </c>
      <c r="Z162" s="364">
        <f>Z563-Y224</f>
        <v>2661</v>
      </c>
      <c r="AA162" s="364">
        <f>AA563-Z224</f>
        <v>2733</v>
      </c>
      <c r="AB162" s="364">
        <f>AB563-AA224</f>
        <v>4811</v>
      </c>
      <c r="AC162" s="368">
        <f>E162-SUM(Z162:AB162)</f>
        <v>3217</v>
      </c>
      <c r="AD162" s="443">
        <v>5028</v>
      </c>
      <c r="AE162" s="443">
        <v>5600</v>
      </c>
      <c r="AF162" s="443">
        <v>9588</v>
      </c>
      <c r="AG162" s="444">
        <f>F162-SUM(AD162:AF162)</f>
        <v>6754</v>
      </c>
      <c r="AH162" s="443">
        <v>8667</v>
      </c>
      <c r="AI162" s="443">
        <v>8645</v>
      </c>
      <c r="AJ162" s="443">
        <v>16149</v>
      </c>
      <c r="AK162" s="445">
        <f>G162-SUM(AH162:AJ162)</f>
        <v>9371</v>
      </c>
      <c r="AL162" s="443">
        <v>12639</v>
      </c>
      <c r="AM162" s="443">
        <v>12769</v>
      </c>
      <c r="AN162" s="443">
        <v>21275</v>
      </c>
      <c r="AO162" s="444">
        <v>13049</v>
      </c>
      <c r="AP162" s="446">
        <f>Reported!P128</f>
        <v>15712</v>
      </c>
      <c r="AQ162" s="446">
        <f>Reported!Q128</f>
        <v>17267</v>
      </c>
      <c r="AR162" s="446">
        <f>Reported!R128</f>
        <v>28714</v>
      </c>
      <c r="AS162" s="447">
        <f>Reported!S128</f>
        <v>18340</v>
      </c>
      <c r="AT162" s="446">
        <f>Reported!T128</f>
        <v>23383</v>
      </c>
      <c r="AU162" s="446">
        <f>Reported!U128</f>
        <v>24109</v>
      </c>
      <c r="AV162" s="446">
        <f>Reported!V128</f>
        <v>40802</v>
      </c>
      <c r="AW162" s="447">
        <f>Reported!W128</f>
        <v>25815</v>
      </c>
      <c r="AX162" s="446">
        <f>Reported!X128</f>
        <v>36712</v>
      </c>
      <c r="AY162" s="446">
        <f>Reported!Y128</f>
        <v>39557</v>
      </c>
      <c r="AZ162" s="446">
        <f>Reported!Z128</f>
        <v>60105</v>
      </c>
      <c r="BA162" s="566">
        <f t="shared" ref="BA162:BE162" si="503">BA202</f>
        <v>40249.82850419997</v>
      </c>
      <c r="BB162" s="440">
        <f t="shared" si="503"/>
        <v>51719.991048000011</v>
      </c>
      <c r="BC162" s="440">
        <f t="shared" si="503"/>
        <v>54147.916394879998</v>
      </c>
      <c r="BD162" s="440">
        <f t="shared" si="503"/>
        <v>79889.829580799982</v>
      </c>
      <c r="BE162" s="440">
        <f t="shared" si="503"/>
        <v>53506.708780865716</v>
      </c>
      <c r="BF162" s="365"/>
      <c r="BG162" s="302"/>
      <c r="BI162" s="440"/>
      <c r="BJ162" s="314"/>
      <c r="BK162" s="314"/>
      <c r="BL162" s="314"/>
      <c r="BM162" s="314"/>
      <c r="BN162" s="314"/>
      <c r="BO162" s="314"/>
      <c r="BP162" s="314"/>
      <c r="BQ162" s="314"/>
      <c r="BR162" s="314"/>
      <c r="BS162" s="314"/>
      <c r="BT162" s="314"/>
      <c r="BU162" s="314"/>
      <c r="BV162" s="314"/>
      <c r="BW162" s="314"/>
      <c r="CG162"/>
      <c r="CH162"/>
      <c r="CI162"/>
      <c r="CJ162"/>
      <c r="CK162"/>
      <c r="CL162"/>
    </row>
    <row r="163" spans="1:90" outlineLevel="1">
      <c r="B163" s="448" t="s">
        <v>80</v>
      </c>
      <c r="C163" s="15"/>
      <c r="D163" s="15">
        <f t="shared" ref="D163:R163" si="504">D162/C162-1</f>
        <v>1.5490364025695933</v>
      </c>
      <c r="E163" s="15">
        <f t="shared" si="504"/>
        <v>1.255040322580645</v>
      </c>
      <c r="F163" s="15">
        <f t="shared" si="504"/>
        <v>1.009387572641931</v>
      </c>
      <c r="G163" s="15">
        <f t="shared" si="504"/>
        <v>0.58813496477567662</v>
      </c>
      <c r="H163" s="15">
        <f t="shared" si="504"/>
        <v>0.39456481135599542</v>
      </c>
      <c r="I163" s="15">
        <f t="shared" si="504"/>
        <v>0.33986807741244229</v>
      </c>
      <c r="J163" s="435">
        <f t="shared" si="504"/>
        <v>0.42577436807316982</v>
      </c>
      <c r="K163" s="15">
        <f t="shared" si="504"/>
        <v>0.54785186535856045</v>
      </c>
      <c r="L163" s="15">
        <f t="shared" si="504"/>
        <v>0.35465552881986229</v>
      </c>
      <c r="M163" s="15">
        <f t="shared" si="504"/>
        <v>0.30931286681715564</v>
      </c>
      <c r="N163" s="15">
        <f t="shared" si="504"/>
        <v>0.20718145454545489</v>
      </c>
      <c r="O163" s="15">
        <f t="shared" si="504"/>
        <v>0.19093931217167226</v>
      </c>
      <c r="P163" s="15">
        <f t="shared" si="504"/>
        <v>0.21693974707400532</v>
      </c>
      <c r="Q163" s="15">
        <f t="shared" si="504"/>
        <v>0.13388768680780805</v>
      </c>
      <c r="R163" s="15">
        <f t="shared" si="504"/>
        <v>0.12015130367432447</v>
      </c>
      <c r="Z163" s="224">
        <f t="shared" ref="Z163:AW163" si="505">Z162/V162-1</f>
        <v>1.7083969465648856</v>
      </c>
      <c r="AA163" s="224">
        <f t="shared" si="505"/>
        <v>1.5843971631205673</v>
      </c>
      <c r="AB163" s="224">
        <f t="shared" si="505"/>
        <v>2.0115805946791858</v>
      </c>
      <c r="AC163" s="429">
        <f t="shared" si="505"/>
        <v>0.38993303089220133</v>
      </c>
      <c r="AD163" s="224">
        <f t="shared" si="505"/>
        <v>0.88951521984216453</v>
      </c>
      <c r="AE163" s="224">
        <f t="shared" si="505"/>
        <v>1.0490303695572631</v>
      </c>
      <c r="AF163" s="224">
        <f t="shared" si="505"/>
        <v>0.99293286219081267</v>
      </c>
      <c r="AG163" s="429">
        <f t="shared" si="505"/>
        <v>1.0994715573515697</v>
      </c>
      <c r="AH163" s="224">
        <f t="shared" si="505"/>
        <v>0.72374701670644392</v>
      </c>
      <c r="AI163" s="224">
        <f t="shared" si="505"/>
        <v>0.54374999999999996</v>
      </c>
      <c r="AJ163" s="224">
        <f t="shared" si="505"/>
        <v>0.68429286608260331</v>
      </c>
      <c r="AK163" s="429">
        <f t="shared" si="505"/>
        <v>0.38747408942848671</v>
      </c>
      <c r="AL163" s="224">
        <f t="shared" si="505"/>
        <v>0.45829006576670128</v>
      </c>
      <c r="AM163" s="224">
        <f t="shared" si="505"/>
        <v>0.4770387507229612</v>
      </c>
      <c r="AN163" s="224">
        <f t="shared" si="505"/>
        <v>0.31741903523437975</v>
      </c>
      <c r="AO163" s="429">
        <f t="shared" si="505"/>
        <v>0.39248746131682855</v>
      </c>
      <c r="AP163" s="224">
        <f t="shared" si="505"/>
        <v>0.24313632407627184</v>
      </c>
      <c r="AQ163" s="224">
        <f t="shared" si="505"/>
        <v>0.3522593781815333</v>
      </c>
      <c r="AR163" s="224">
        <f t="shared" si="505"/>
        <v>0.34965922444183306</v>
      </c>
      <c r="AS163" s="429">
        <f t="shared" si="505"/>
        <v>0.40547168365391983</v>
      </c>
      <c r="AT163" s="414">
        <f t="shared" si="505"/>
        <v>0.48822556008146645</v>
      </c>
      <c r="AU163" s="414">
        <f t="shared" si="505"/>
        <v>0.39624717669543053</v>
      </c>
      <c r="AV163" s="414">
        <f t="shared" si="505"/>
        <v>0.42097931322699722</v>
      </c>
      <c r="AW163" s="429">
        <f t="shared" si="505"/>
        <v>0.4075790621592148</v>
      </c>
      <c r="AX163" s="414">
        <f t="shared" ref="AX163:BE163" si="506">AX162/AT162-1</f>
        <v>0.57002950861737167</v>
      </c>
      <c r="AY163" s="414">
        <f t="shared" si="506"/>
        <v>0.640756563938778</v>
      </c>
      <c r="AZ163" s="414">
        <f t="shared" si="506"/>
        <v>0.47308955443360623</v>
      </c>
      <c r="BA163" s="429">
        <f t="shared" si="506"/>
        <v>0.55916438133643109</v>
      </c>
      <c r="BB163" s="414">
        <f t="shared" si="506"/>
        <v>0.40880341708433243</v>
      </c>
      <c r="BC163" s="414">
        <f t="shared" si="506"/>
        <v>0.3688580123588745</v>
      </c>
      <c r="BD163" s="414">
        <f t="shared" si="506"/>
        <v>0.3291711102370849</v>
      </c>
      <c r="BE163" s="224">
        <f t="shared" si="506"/>
        <v>0.32936488848101364</v>
      </c>
      <c r="BF163" s="414"/>
      <c r="BG163" s="15"/>
      <c r="BJ163" s="454"/>
      <c r="BK163" s="454"/>
      <c r="BL163" s="454"/>
      <c r="BM163" s="454"/>
      <c r="BN163" s="454"/>
      <c r="BO163" s="454"/>
      <c r="BP163" s="454"/>
      <c r="BQ163" s="454"/>
    </row>
    <row r="164" spans="1:90" outlineLevel="1">
      <c r="B164" s="448" t="s">
        <v>81</v>
      </c>
      <c r="C164" s="374"/>
      <c r="V164" s="142"/>
      <c r="W164" s="142">
        <f t="shared" ref="W164:BA164" si="507">W162/V162-1</f>
        <v>7.6335877862595325E-2</v>
      </c>
      <c r="X164" s="142">
        <f t="shared" si="507"/>
        <v>0.51063829787234072</v>
      </c>
      <c r="Y164" s="359">
        <f t="shared" si="507"/>
        <v>0.44882629107981198</v>
      </c>
      <c r="Z164" s="142">
        <f t="shared" si="507"/>
        <v>0.14970836033700574</v>
      </c>
      <c r="AA164" s="142">
        <f t="shared" si="507"/>
        <v>2.7057497181510737E-2</v>
      </c>
      <c r="AB164" s="142">
        <f t="shared" si="507"/>
        <v>0.76033662641785593</v>
      </c>
      <c r="AC164" s="359">
        <f t="shared" si="507"/>
        <v>-0.33132404905425072</v>
      </c>
      <c r="AD164" s="142">
        <f t="shared" si="507"/>
        <v>0.56294684488654023</v>
      </c>
      <c r="AE164" s="142">
        <f t="shared" si="507"/>
        <v>0.11376292760540974</v>
      </c>
      <c r="AF164" s="142">
        <f t="shared" si="507"/>
        <v>0.71214285714285719</v>
      </c>
      <c r="AG164" s="359">
        <f t="shared" si="507"/>
        <v>-0.29557780559032121</v>
      </c>
      <c r="AH164" s="142">
        <f t="shared" si="507"/>
        <v>0.28323956174119047</v>
      </c>
      <c r="AI164" s="142">
        <f t="shared" si="507"/>
        <v>-2.5383639090804655E-3</v>
      </c>
      <c r="AJ164" s="142">
        <f t="shared" si="507"/>
        <v>0.86801619433198374</v>
      </c>
      <c r="AK164" s="359">
        <f t="shared" si="507"/>
        <v>-0.41971639110780856</v>
      </c>
      <c r="AL164" s="142">
        <f t="shared" si="507"/>
        <v>0.34873546046313098</v>
      </c>
      <c r="AM164" s="142">
        <f t="shared" si="507"/>
        <v>1.0285623862647419E-2</v>
      </c>
      <c r="AN164" s="142">
        <f t="shared" si="507"/>
        <v>0.66614456887775075</v>
      </c>
      <c r="AO164" s="359">
        <f t="shared" si="507"/>
        <v>-0.38665099882491183</v>
      </c>
      <c r="AP164" s="142">
        <f t="shared" si="507"/>
        <v>0.20407694076174421</v>
      </c>
      <c r="AQ164" s="142">
        <f t="shared" si="507"/>
        <v>9.8968940936863481E-2</v>
      </c>
      <c r="AR164" s="142">
        <f t="shared" si="507"/>
        <v>0.6629408698673771</v>
      </c>
      <c r="AS164" s="359">
        <f t="shared" si="507"/>
        <v>-0.36128717698683566</v>
      </c>
      <c r="AT164" s="142">
        <f t="shared" si="507"/>
        <v>0.27497273718647763</v>
      </c>
      <c r="AU164" s="142">
        <f t="shared" si="507"/>
        <v>3.1048197408373612E-2</v>
      </c>
      <c r="AV164" s="142">
        <f t="shared" si="507"/>
        <v>0.69239703015471399</v>
      </c>
      <c r="AW164" s="359">
        <f t="shared" si="507"/>
        <v>-0.3673104259595118</v>
      </c>
      <c r="AX164" s="286">
        <f t="shared" si="507"/>
        <v>0.42211892310672083</v>
      </c>
      <c r="AY164" s="286">
        <f t="shared" si="507"/>
        <v>7.7495096971017752E-2</v>
      </c>
      <c r="AZ164" s="286">
        <f t="shared" si="507"/>
        <v>0.51945294132517628</v>
      </c>
      <c r="BA164" s="287">
        <f t="shared" si="507"/>
        <v>-0.33034142743199446</v>
      </c>
      <c r="BB164" s="286">
        <f>BB162/BA162-1</f>
        <v>0.28497419666280455</v>
      </c>
      <c r="BC164" s="286">
        <f>BC162/BB162-1</f>
        <v>4.6943653656604356E-2</v>
      </c>
      <c r="BD164" s="286">
        <f>BD162/BC162-1</f>
        <v>0.47539988423920287</v>
      </c>
      <c r="BE164" s="286">
        <f>BE162/BD162-1</f>
        <v>-0.33024379872096954</v>
      </c>
      <c r="BF164" s="142"/>
      <c r="BG164" s="15"/>
      <c r="BJ164" s="454"/>
      <c r="BK164" s="454"/>
      <c r="BL164" s="454"/>
      <c r="BM164" s="454"/>
      <c r="BN164" s="454"/>
      <c r="BO164" s="454"/>
      <c r="BP164" s="454"/>
      <c r="BQ164" s="454"/>
    </row>
    <row r="165" spans="1:90" outlineLevel="1">
      <c r="B165" s="448" t="s">
        <v>359</v>
      </c>
      <c r="C165" s="15">
        <f t="shared" ref="C165:R165" si="508">C162/C19</f>
        <v>0.35007496251874065</v>
      </c>
      <c r="D165" s="15">
        <f t="shared" si="508"/>
        <v>0.50004200621692008</v>
      </c>
      <c r="E165" s="15">
        <f t="shared" si="508"/>
        <v>0.67026217228464424</v>
      </c>
      <c r="F165" s="15">
        <f t="shared" si="508"/>
        <v>0.78135411536344412</v>
      </c>
      <c r="G165" s="15">
        <f t="shared" si="508"/>
        <v>0.81578546396465035</v>
      </c>
      <c r="H165" s="15">
        <f t="shared" si="508"/>
        <v>0.78384336780221509</v>
      </c>
      <c r="I165" s="15">
        <f t="shared" si="508"/>
        <v>0.79128560552880578</v>
      </c>
      <c r="J165" s="435">
        <f t="shared" si="508"/>
        <v>0.72096314595666977</v>
      </c>
      <c r="K165" s="15">
        <f t="shared" si="508"/>
        <v>0.7112042554142165</v>
      </c>
      <c r="L165" s="15">
        <f t="shared" si="508"/>
        <v>0.70742931331775949</v>
      </c>
      <c r="M165" s="15">
        <f t="shared" si="508"/>
        <v>0.71204871440282269</v>
      </c>
      <c r="N165" s="15">
        <f t="shared" si="508"/>
        <v>0.70375048468527324</v>
      </c>
      <c r="O165" s="15">
        <f t="shared" si="508"/>
        <v>0.69633684868455903</v>
      </c>
      <c r="P165" s="15">
        <f t="shared" si="508"/>
        <v>0.69717149798997047</v>
      </c>
      <c r="Q165" s="15">
        <f t="shared" si="508"/>
        <v>0.68650346152197372</v>
      </c>
      <c r="R165" s="15">
        <f t="shared" si="508"/>
        <v>0.67638249369242665</v>
      </c>
      <c r="V165" s="142"/>
      <c r="W165" s="142"/>
      <c r="X165" s="142"/>
      <c r="Y165" s="359"/>
      <c r="Z165" s="142">
        <f t="shared" ref="Z165:BE165" si="509">Z162/Z562</f>
        <v>0.64854984157933215</v>
      </c>
      <c r="AA165" s="142">
        <f t="shared" si="509"/>
        <v>0.62798713235294112</v>
      </c>
      <c r="AB165" s="142">
        <f t="shared" si="509"/>
        <v>0.74186584425597535</v>
      </c>
      <c r="AC165" s="359">
        <f t="shared" si="509"/>
        <v>0.63264503441494591</v>
      </c>
      <c r="AD165" s="142">
        <f t="shared" si="509"/>
        <v>0.74017370822905937</v>
      </c>
      <c r="AE165" s="142">
        <f t="shared" si="509"/>
        <v>0.75097224084752578</v>
      </c>
      <c r="AF165" s="142">
        <f t="shared" si="509"/>
        <v>0.82705080652117657</v>
      </c>
      <c r="AG165" s="359">
        <f t="shared" si="509"/>
        <v>0.77864883560064557</v>
      </c>
      <c r="AH165" s="142">
        <f t="shared" si="509"/>
        <v>0.80413805900909263</v>
      </c>
      <c r="AI165" s="142">
        <f t="shared" si="509"/>
        <v>0.78949771689497716</v>
      </c>
      <c r="AJ165" s="142">
        <f t="shared" si="509"/>
        <v>0.86150973592958124</v>
      </c>
      <c r="AK165" s="359">
        <f t="shared" si="509"/>
        <v>0.77890449671681494</v>
      </c>
      <c r="AL165" s="142">
        <f t="shared" si="509"/>
        <v>0.8014076469469279</v>
      </c>
      <c r="AM165" s="142">
        <f t="shared" si="509"/>
        <v>0.75874977717036074</v>
      </c>
      <c r="AN165" s="142">
        <f t="shared" si="509"/>
        <v>0.81267428091218152</v>
      </c>
      <c r="AO165" s="359">
        <f t="shared" si="509"/>
        <v>0.74886657101865139</v>
      </c>
      <c r="AP165" s="142">
        <f t="shared" si="509"/>
        <v>0.77609286243516917</v>
      </c>
      <c r="AQ165" s="142">
        <f t="shared" si="509"/>
        <v>0.77881015741283655</v>
      </c>
      <c r="AR165" s="142">
        <f t="shared" si="509"/>
        <v>0.83125379961207768</v>
      </c>
      <c r="AS165" s="359">
        <f t="shared" si="509"/>
        <v>0.75835262983790941</v>
      </c>
      <c r="AT165" s="142">
        <f t="shared" si="509"/>
        <v>0.72721900852149035</v>
      </c>
      <c r="AU165" s="142">
        <f t="shared" si="509"/>
        <v>0.70305027411641197</v>
      </c>
      <c r="AV165" s="142">
        <f t="shared" si="509"/>
        <v>0.76626352163461542</v>
      </c>
      <c r="AW165" s="359">
        <f t="shared" si="509"/>
        <v>0.66914642681251457</v>
      </c>
      <c r="AX165" s="286">
        <f t="shared" si="509"/>
        <v>0.73154790371433132</v>
      </c>
      <c r="AY165" s="286">
        <f t="shared" si="509"/>
        <v>0.71762635608287073</v>
      </c>
      <c r="AZ165" s="286">
        <f t="shared" si="509"/>
        <v>0.72391241508888571</v>
      </c>
      <c r="BA165" s="287">
        <f t="shared" si="509"/>
        <v>0.67071053409393988</v>
      </c>
      <c r="BB165" s="286">
        <f t="shared" si="509"/>
        <v>0.7066178578732919</v>
      </c>
      <c r="BC165" s="286">
        <f t="shared" si="509"/>
        <v>0.69597876887965349</v>
      </c>
      <c r="BD165" s="286">
        <f t="shared" si="509"/>
        <v>0.74046414507714242</v>
      </c>
      <c r="BE165" s="286">
        <f t="shared" si="509"/>
        <v>0.67447949890597103</v>
      </c>
      <c r="BF165" s="142"/>
      <c r="BG165" s="15"/>
      <c r="BJ165" s="454"/>
      <c r="BK165" s="454"/>
      <c r="BL165" s="454"/>
      <c r="BM165" s="454"/>
      <c r="BN165" s="454"/>
      <c r="BO165" s="454"/>
      <c r="BP165" s="454"/>
      <c r="BQ165" s="454"/>
    </row>
    <row r="166" spans="1:90" outlineLevel="1">
      <c r="B166" s="448" t="s">
        <v>591</v>
      </c>
      <c r="C166" s="15"/>
      <c r="D166" s="15"/>
      <c r="E166" s="15"/>
      <c r="F166" s="15"/>
      <c r="G166" s="15"/>
      <c r="H166" s="15"/>
      <c r="I166" s="15"/>
      <c r="J166" s="435"/>
      <c r="K166" s="15"/>
      <c r="L166" s="485"/>
      <c r="M166" s="15"/>
      <c r="N166" s="15"/>
      <c r="O166" s="15"/>
      <c r="P166" s="15"/>
      <c r="Q166" s="15"/>
      <c r="R166" s="15"/>
      <c r="V166" s="142"/>
      <c r="W166" s="142"/>
      <c r="X166" s="142"/>
      <c r="Y166" s="359"/>
      <c r="Z166" s="142"/>
      <c r="AA166" s="142"/>
      <c r="AB166" s="142"/>
      <c r="AC166" s="359"/>
      <c r="AD166" s="142"/>
      <c r="AE166" s="142"/>
      <c r="AF166" s="142"/>
      <c r="AG166" s="359"/>
      <c r="AH166" s="142">
        <f>AH162/SUM($AH$162:$AK$162)</f>
        <v>0.20234871124392978</v>
      </c>
      <c r="AI166" s="142">
        <f>AI162/SUM($AH$162:$AK$162)</f>
        <v>0.20183507657825925</v>
      </c>
      <c r="AJ166" s="142">
        <f>AJ162/SUM($AH$162:$AK$162)</f>
        <v>0.37703119163242438</v>
      </c>
      <c r="AK166" s="359">
        <f>AK162/SUM($AH$162:$AK$162)</f>
        <v>0.21878502054538662</v>
      </c>
      <c r="AL166" s="142">
        <f>AL162/SUM($AL$162:$AO$162)</f>
        <v>0.2115951248911806</v>
      </c>
      <c r="AM166" s="142">
        <f>AM162/SUM($AL$162:$AO$162)</f>
        <v>0.21377151275698117</v>
      </c>
      <c r="AN166" s="142">
        <f>AN162/SUM($AL$162:$AO$162)</f>
        <v>0.356174244960825</v>
      </c>
      <c r="AO166" s="359">
        <f>AO162/SUM($AL$162:$AO$162)</f>
        <v>0.2184591173910132</v>
      </c>
      <c r="AP166" s="252">
        <f>AP162/SUM($AP$162:$AS$162)</f>
        <v>0.19631901840490798</v>
      </c>
      <c r="AQ166" s="252">
        <f>AQ162/SUM($AP$162:$AS$162)</f>
        <v>0.21574850374220633</v>
      </c>
      <c r="AR166" s="252">
        <f>AR162/SUM($AP$162:$AS$162)</f>
        <v>0.35877700448564964</v>
      </c>
      <c r="AS166" s="417">
        <f>AS162/SUM($AP$162:$AS$162)</f>
        <v>0.22915547336723602</v>
      </c>
      <c r="AT166" s="416">
        <f>AT162/SUM($AT$162:$AW$162)</f>
        <v>0.20491810461926754</v>
      </c>
      <c r="AU166" s="416">
        <f>AU162/SUM($AT$162:$AW$162)</f>
        <v>0.21128044238403632</v>
      </c>
      <c r="AV166" s="416">
        <f>AV162/SUM($AT$162:$AW$162)</f>
        <v>0.3575703932205172</v>
      </c>
      <c r="AW166" s="417">
        <f>AW162/SUM($AT$162:$AW$162)</f>
        <v>0.22623105977617891</v>
      </c>
      <c r="AX166" s="416">
        <f t="shared" ref="AX166:BE166" si="510">AX162/SUM($AX$162:$BA$162)</f>
        <v>0.20785417409931761</v>
      </c>
      <c r="AY166" s="416">
        <f t="shared" si="510"/>
        <v>0.22396185347697503</v>
      </c>
      <c r="AZ166" s="416">
        <f t="shared" ref="AZ166" si="511">AZ162/SUM($AX$162:$BA$162)</f>
        <v>0.34029949701022788</v>
      </c>
      <c r="BA166" s="417">
        <f t="shared" si="510"/>
        <v>0.22788447541347945</v>
      </c>
      <c r="BB166" s="416">
        <f t="shared" si="510"/>
        <v>0.2928256707263604</v>
      </c>
      <c r="BC166" s="416">
        <f t="shared" si="510"/>
        <v>0.30657197759470151</v>
      </c>
      <c r="BD166" s="416">
        <f t="shared" si="510"/>
        <v>0.45231626025420607</v>
      </c>
      <c r="BE166" s="416">
        <f t="shared" si="510"/>
        <v>0.30294162024459437</v>
      </c>
      <c r="BF166" s="252"/>
      <c r="BG166" s="15"/>
      <c r="BJ166" s="454"/>
      <c r="BK166" s="454"/>
      <c r="BL166" s="454"/>
      <c r="BM166" s="454"/>
      <c r="BN166" s="454"/>
      <c r="BO166" s="454"/>
      <c r="BP166" s="454"/>
      <c r="BQ166" s="454"/>
    </row>
    <row r="167" spans="1:90" outlineLevel="1">
      <c r="B167" s="448"/>
      <c r="C167" s="449"/>
      <c r="D167" s="449"/>
      <c r="E167" s="15"/>
      <c r="F167" s="41"/>
      <c r="G167" s="15"/>
      <c r="H167" s="15"/>
      <c r="I167" s="15"/>
      <c r="J167" s="1360"/>
      <c r="K167" s="15"/>
      <c r="L167" s="15"/>
      <c r="M167" s="15"/>
      <c r="N167" s="15"/>
      <c r="O167" s="15"/>
      <c r="P167" s="15"/>
      <c r="Q167" s="15"/>
      <c r="R167" s="15"/>
      <c r="V167" s="142"/>
      <c r="W167" s="142"/>
      <c r="X167" s="142"/>
      <c r="Y167" s="359"/>
      <c r="Z167" s="142"/>
      <c r="AA167" s="142"/>
      <c r="AB167" s="142"/>
      <c r="AC167" s="359"/>
      <c r="AD167" s="41"/>
      <c r="AE167" s="142"/>
      <c r="AF167" s="142"/>
      <c r="AH167" s="142"/>
      <c r="AI167" s="142"/>
      <c r="AJ167" s="266"/>
      <c r="AK167" s="267"/>
      <c r="AL167" s="266"/>
      <c r="AM167" s="266"/>
      <c r="AN167" s="266"/>
      <c r="AO167" s="267"/>
      <c r="AP167" s="266"/>
      <c r="AQ167" s="266"/>
      <c r="AR167" s="266"/>
      <c r="AS167" s="267"/>
      <c r="AT167" s="266"/>
      <c r="AU167" s="266"/>
      <c r="AV167" s="266"/>
      <c r="AW167" s="267"/>
      <c r="AX167" s="266"/>
      <c r="AY167" s="266"/>
      <c r="AZ167" s="286"/>
      <c r="BA167" s="267"/>
      <c r="BB167" s="286"/>
      <c r="BC167" s="286"/>
      <c r="BD167" s="266"/>
      <c r="BE167" s="286"/>
      <c r="BF167" s="142"/>
      <c r="BG167" s="15"/>
      <c r="BR167" s="360"/>
    </row>
    <row r="168" spans="1:90" outlineLevel="1">
      <c r="B168" s="383" t="s">
        <v>651</v>
      </c>
      <c r="C168" s="449"/>
      <c r="D168" s="485"/>
      <c r="E168" s="485"/>
      <c r="F168" s="485"/>
      <c r="G168" s="485"/>
      <c r="H168" s="485"/>
      <c r="I168" s="485"/>
      <c r="J168" s="488"/>
      <c r="K168" s="485"/>
      <c r="L168" s="485"/>
      <c r="N168" s="15"/>
      <c r="O168" s="15"/>
      <c r="P168" s="15"/>
      <c r="Q168" s="15"/>
      <c r="R168" s="15"/>
      <c r="V168" s="141"/>
      <c r="W168" s="141"/>
      <c r="X168" s="141"/>
      <c r="Y168" s="398"/>
      <c r="Z168" s="141"/>
      <c r="AA168" s="141"/>
      <c r="AB168" s="141"/>
      <c r="AC168" s="398"/>
      <c r="AD168" s="141"/>
      <c r="AE168" s="141"/>
      <c r="AF168" s="141"/>
      <c r="AG168" s="398"/>
      <c r="AH168" s="360"/>
      <c r="AI168" s="360"/>
      <c r="AJ168" s="360"/>
      <c r="AK168" s="451"/>
      <c r="AL168" s="360"/>
      <c r="AM168" s="360"/>
      <c r="AN168" s="360"/>
      <c r="AO168" s="451"/>
      <c r="AP168" s="360"/>
      <c r="AQ168" s="360"/>
      <c r="AR168" s="360"/>
      <c r="AS168" s="451"/>
      <c r="AT168" s="360"/>
      <c r="AU168" s="360"/>
      <c r="AV168" s="360"/>
      <c r="AW168" s="451"/>
      <c r="AX168" s="452"/>
      <c r="AY168" s="452"/>
      <c r="AZ168" s="286">
        <f>AZ171/AZ19</f>
        <v>6.1232355350002411E-2</v>
      </c>
      <c r="BA168" s="335"/>
      <c r="BB168" s="452"/>
      <c r="BC168" s="452"/>
      <c r="BD168" s="360"/>
      <c r="BE168" s="452"/>
      <c r="BF168" s="360"/>
      <c r="BG168" s="15"/>
      <c r="BN168" s="360">
        <f>BN169+BN170</f>
        <v>104646</v>
      </c>
      <c r="BO168" s="360">
        <f t="shared" ref="BO168:BV168" si="512">BO169+BO170</f>
        <v>152265</v>
      </c>
      <c r="BP168" s="360">
        <f t="shared" si="512"/>
        <v>203858.82152787998</v>
      </c>
      <c r="BQ168" s="360">
        <f t="shared" si="512"/>
        <v>261998.89924896217</v>
      </c>
      <c r="BR168" s="360">
        <f t="shared" si="512"/>
        <v>314804.25525116705</v>
      </c>
      <c r="BS168" s="360">
        <f t="shared" si="512"/>
        <v>367585.59631748009</v>
      </c>
      <c r="BT168" s="360">
        <f t="shared" si="512"/>
        <v>438346.01292499609</v>
      </c>
      <c r="BU168" s="360">
        <f t="shared" si="512"/>
        <v>494742.64674210409</v>
      </c>
      <c r="BV168" s="360">
        <f t="shared" si="512"/>
        <v>544158.6852872778</v>
      </c>
    </row>
    <row r="169" spans="1:90" outlineLevel="1">
      <c r="A169" s="1348" t="s">
        <v>806</v>
      </c>
      <c r="B169" s="453" t="s">
        <v>847</v>
      </c>
      <c r="C169" s="454">
        <f t="shared" ref="C169:J169" si="513">C162-C170</f>
        <v>2061.3829533601552</v>
      </c>
      <c r="D169" s="454">
        <f t="shared" si="513"/>
        <v>4956.9401877514529</v>
      </c>
      <c r="E169" s="454">
        <f t="shared" si="513"/>
        <v>10507</v>
      </c>
      <c r="F169" s="454">
        <f t="shared" si="513"/>
        <v>20809</v>
      </c>
      <c r="G169" s="454">
        <f t="shared" si="513"/>
        <v>30809</v>
      </c>
      <c r="H169" s="454">
        <f t="shared" si="513"/>
        <v>38531</v>
      </c>
      <c r="I169" s="454">
        <f t="shared" si="513"/>
        <v>54204</v>
      </c>
      <c r="J169" s="725">
        <f t="shared" si="513"/>
        <v>79987.199999999997</v>
      </c>
      <c r="K169" s="455">
        <f>K162-K170-K171</f>
        <v>115603.47779351998</v>
      </c>
      <c r="L169" s="455">
        <f t="shared" ref="L169:R169" si="514">L162-L170-L171</f>
        <v>154303.47237657724</v>
      </c>
      <c r="M169" s="455">
        <f t="shared" si="514"/>
        <v>198323.31701900193</v>
      </c>
      <c r="N169" s="455">
        <f t="shared" si="514"/>
        <v>231563.00156694255</v>
      </c>
      <c r="O169" s="455">
        <f t="shared" si="514"/>
        <v>267403.1159644475</v>
      </c>
      <c r="P169" s="455">
        <f t="shared" si="514"/>
        <v>324244.66535164823</v>
      </c>
      <c r="Q169" s="455">
        <f t="shared" si="514"/>
        <v>353173.46720028651</v>
      </c>
      <c r="R169" s="455">
        <f t="shared" si="514"/>
        <v>380665.86826309783</v>
      </c>
      <c r="S169" s="456"/>
      <c r="T169" s="15">
        <f t="shared" ref="T169:T174" si="515">(M169/J169)^(1/3)-1</f>
        <v>0.35347766792504087</v>
      </c>
      <c r="V169" s="456"/>
      <c r="W169" s="456"/>
      <c r="X169" s="456"/>
      <c r="Y169" s="457"/>
      <c r="Z169" s="456"/>
      <c r="AA169" s="456"/>
      <c r="AB169" s="456"/>
      <c r="AC169" s="457"/>
      <c r="AD169" s="458">
        <f t="shared" ref="AD169:AO169" si="516">AD174-AD170</f>
        <v>4141.3590000000004</v>
      </c>
      <c r="AE169" s="458">
        <f t="shared" si="516"/>
        <v>4471.4359999999997</v>
      </c>
      <c r="AF169" s="458">
        <f t="shared" si="516"/>
        <v>6957.8159999999989</v>
      </c>
      <c r="AG169" s="459">
        <f t="shared" si="516"/>
        <v>5238.389000000001</v>
      </c>
      <c r="AH169" s="458">
        <f t="shared" si="516"/>
        <v>6787</v>
      </c>
      <c r="AI169" s="458">
        <f t="shared" si="516"/>
        <v>6498</v>
      </c>
      <c r="AJ169" s="458">
        <f t="shared" si="516"/>
        <v>11304.3</v>
      </c>
      <c r="AK169" s="459">
        <f t="shared" si="516"/>
        <v>6219.7000000000007</v>
      </c>
      <c r="AL169" s="458">
        <f t="shared" si="516"/>
        <v>8613</v>
      </c>
      <c r="AM169" s="458">
        <f t="shared" si="516"/>
        <v>8492</v>
      </c>
      <c r="AN169" s="458">
        <f t="shared" si="516"/>
        <v>13403.25</v>
      </c>
      <c r="AO169" s="459">
        <f t="shared" si="516"/>
        <v>7959.8899999999994</v>
      </c>
      <c r="AP169" s="463">
        <f>Reported!P72</f>
        <v>10684.16</v>
      </c>
      <c r="AQ169" s="463">
        <f>Reported!Q72</f>
        <v>11741.56</v>
      </c>
      <c r="AR169" s="463">
        <f>Reported!R72</f>
        <v>19525.52</v>
      </c>
      <c r="AS169" s="467">
        <f>Reported!S72</f>
        <v>12175.223880597016</v>
      </c>
      <c r="AT169" s="463">
        <f>Reported!T72</f>
        <v>15882</v>
      </c>
      <c r="AU169" s="463">
        <f>Reported!U72</f>
        <v>16645</v>
      </c>
      <c r="AV169" s="463">
        <f>Reported!V72</f>
        <v>27918</v>
      </c>
      <c r="AW169" s="467">
        <f>Reported!W72</f>
        <v>17554.2</v>
      </c>
      <c r="AX169" s="463">
        <f>Reported!X72</f>
        <v>26220</v>
      </c>
      <c r="AY169" s="463">
        <f>Reported!Y72</f>
        <v>26272</v>
      </c>
      <c r="AZ169" s="463">
        <f>Reported!Z72</f>
        <v>38800</v>
      </c>
      <c r="BA169" s="459">
        <f>BA174-BA170-BA171</f>
        <v>24311.477793519975</v>
      </c>
      <c r="BB169" s="458">
        <f t="shared" ref="BB169:BE169" si="517">BB174-BB170-BB171</f>
        <v>34819.535544000006</v>
      </c>
      <c r="BC169" s="458">
        <f t="shared" si="517"/>
        <v>35207.955912040001</v>
      </c>
      <c r="BD169" s="458">
        <f t="shared" si="517"/>
        <v>52004.821420799984</v>
      </c>
      <c r="BE169" s="458">
        <f t="shared" si="517"/>
        <v>32271.159499737267</v>
      </c>
      <c r="BF169" s="222"/>
      <c r="BG169" s="15"/>
      <c r="BJ169" s="313">
        <f>SUM(AC169:AF169)</f>
        <v>15570.610999999999</v>
      </c>
      <c r="BK169" s="313">
        <f>SUM(AG169:AJ169)</f>
        <v>29827.689000000002</v>
      </c>
      <c r="BL169" s="313">
        <f>SUM(AK169:AN169)</f>
        <v>36727.949999999997</v>
      </c>
      <c r="BM169" s="313">
        <f>SUM(AO169:AR169)</f>
        <v>49911.130000000005</v>
      </c>
      <c r="BN169" s="313">
        <f>SUM(AS169:AV169)</f>
        <v>72620.223880597012</v>
      </c>
      <c r="BO169" s="313">
        <f>SUM(AW169:AZ169)</f>
        <v>108846.2</v>
      </c>
      <c r="BP169" s="313">
        <f>SUM(BA169:BD169)</f>
        <v>146343.79067035997</v>
      </c>
      <c r="BQ169" s="489">
        <f t="shared" ref="BQ169" si="518">L169*0.25+M169*0.75</f>
        <v>187318.35585839575</v>
      </c>
      <c r="BR169" s="489">
        <f t="shared" ref="BR169:BR170" si="519">M169*0.25+N169*0.75</f>
        <v>223253.08042995739</v>
      </c>
      <c r="BS169" s="489">
        <f t="shared" ref="BS169:BS170" si="520">N169*0.25+O169*0.75</f>
        <v>258443.08736507126</v>
      </c>
      <c r="BT169" s="489">
        <f t="shared" ref="BT169:BT170" si="521">O169*0.25+P169*0.75</f>
        <v>310034.27800484805</v>
      </c>
      <c r="BU169" s="489">
        <f t="shared" ref="BU169:BU170" si="522">P169*0.25+Q169*0.75</f>
        <v>345941.26673812699</v>
      </c>
      <c r="BV169" s="489">
        <f t="shared" ref="BV169:BV170" si="523">Q169*0.25+R169*0.75</f>
        <v>373792.76799739496</v>
      </c>
      <c r="BW169" s="489"/>
    </row>
    <row r="170" spans="1:90" outlineLevel="1">
      <c r="B170" s="453" t="s">
        <v>650</v>
      </c>
      <c r="C170" s="455">
        <f>C$162*C182</f>
        <v>273.617046639845</v>
      </c>
      <c r="D170" s="455">
        <f>D$162*D182</f>
        <v>995.05981224854702</v>
      </c>
      <c r="E170" s="460">
        <v>2915</v>
      </c>
      <c r="F170" s="460">
        <v>6161</v>
      </c>
      <c r="G170" s="460">
        <v>12023</v>
      </c>
      <c r="H170" s="461">
        <v>21201</v>
      </c>
      <c r="I170" s="460">
        <v>25829</v>
      </c>
      <c r="J170" s="725">
        <f>SUM(AT170:AW170)</f>
        <v>34121.800000000003</v>
      </c>
      <c r="K170" s="462">
        <f t="shared" ref="K170:R170" si="524">K121*K178*1000</f>
        <v>46212.350710679995</v>
      </c>
      <c r="L170" s="462">
        <f t="shared" si="524"/>
        <v>61127.355027968442</v>
      </c>
      <c r="M170" s="462">
        <f t="shared" si="524"/>
        <v>79198.272844765757</v>
      </c>
      <c r="N170" s="462">
        <f t="shared" si="524"/>
        <v>95668.808813357653</v>
      </c>
      <c r="O170" s="462">
        <f t="shared" si="524"/>
        <v>113633.74233209257</v>
      </c>
      <c r="P170" s="462">
        <f t="shared" si="524"/>
        <v>133204.39911616649</v>
      </c>
      <c r="Q170" s="462">
        <f t="shared" si="524"/>
        <v>154000.37363324725</v>
      </c>
      <c r="R170" s="462">
        <f t="shared" si="524"/>
        <v>175821.09850876138</v>
      </c>
      <c r="T170" s="15">
        <f t="shared" si="515"/>
        <v>0.32402014362523501</v>
      </c>
      <c r="V170" s="456"/>
      <c r="W170" s="456"/>
      <c r="X170" s="456"/>
      <c r="Y170" s="457"/>
      <c r="Z170" s="456"/>
      <c r="AA170" s="456"/>
      <c r="AB170" s="456"/>
      <c r="AC170" s="457"/>
      <c r="AD170" s="463">
        <f>AD178*AD121*1000</f>
        <v>886.64100000000008</v>
      </c>
      <c r="AE170" s="463">
        <f>AE178*AE121*1000</f>
        <v>1128.5640000000003</v>
      </c>
      <c r="AF170" s="463">
        <f>AF178*AF121*1000</f>
        <v>2630.1840000000007</v>
      </c>
      <c r="AG170" s="457">
        <f>F170-SUM(AD170:AF170)</f>
        <v>1515.610999999999</v>
      </c>
      <c r="AH170" s="464">
        <v>1880</v>
      </c>
      <c r="AI170" s="465">
        <f>4027-AH170</f>
        <v>2147</v>
      </c>
      <c r="AJ170" s="465">
        <f>AJ174*AJ182</f>
        <v>4844.7</v>
      </c>
      <c r="AK170" s="459">
        <f>G170-SUM(AH170:AJ170)</f>
        <v>3151.2999999999993</v>
      </c>
      <c r="AL170" s="464">
        <v>4026</v>
      </c>
      <c r="AM170" s="465">
        <f>8303-AL170</f>
        <v>4277</v>
      </c>
      <c r="AN170" s="465">
        <f>AN174*AN182</f>
        <v>7871.75</v>
      </c>
      <c r="AO170" s="466">
        <f>AO174*AO182</f>
        <v>5089.1100000000006</v>
      </c>
      <c r="AP170" s="463">
        <f>Reported!P71</f>
        <v>5027.84</v>
      </c>
      <c r="AQ170" s="463">
        <f>Reported!Q71</f>
        <v>5525.4400000000005</v>
      </c>
      <c r="AR170" s="463">
        <f>Reported!R71</f>
        <v>9188.48</v>
      </c>
      <c r="AS170" s="467">
        <f>Reported!S71</f>
        <v>6164.7761194029845</v>
      </c>
      <c r="AT170" s="463">
        <f>Reported!T71</f>
        <v>6926</v>
      </c>
      <c r="AU170" s="463">
        <f>Reported!U71</f>
        <v>6864</v>
      </c>
      <c r="AV170" s="463">
        <f>Reported!V71</f>
        <v>12071</v>
      </c>
      <c r="AW170" s="467">
        <f>Reported!W71</f>
        <v>8260.7999999999993</v>
      </c>
      <c r="AX170" s="463">
        <f>Reported!X71</f>
        <v>8878</v>
      </c>
      <c r="AY170" s="463">
        <f>Reported!Y71</f>
        <v>10059</v>
      </c>
      <c r="AZ170" s="463">
        <f>Reported!Z71</f>
        <v>16221</v>
      </c>
      <c r="BA170" s="1525">
        <f>K170-SUM(AX170:AZ170)</f>
        <v>11054.350710679995</v>
      </c>
      <c r="BB170" s="468">
        <f>BB121*BB178*1000</f>
        <v>11618.055504</v>
      </c>
      <c r="BC170" s="468">
        <f>BC121*BC178*1000</f>
        <v>13229.320482839998</v>
      </c>
      <c r="BD170" s="468">
        <f>BD121*BD178*1000</f>
        <v>21613.30416</v>
      </c>
      <c r="BE170" s="469">
        <f>L170-SUM(BB170:BD170)</f>
        <v>14666.674881128449</v>
      </c>
      <c r="BF170" s="222"/>
      <c r="BG170" s="222"/>
      <c r="BH170" s="15"/>
      <c r="BN170" s="313">
        <f>SUM(AS170:AV170)</f>
        <v>32025.776119402984</v>
      </c>
      <c r="BO170" s="313">
        <f>SUM(AW170:AZ170)</f>
        <v>43418.8</v>
      </c>
      <c r="BP170" s="313">
        <f>SUM(BA170:BD170)</f>
        <v>57515.030857519989</v>
      </c>
      <c r="BQ170" s="489">
        <f t="shared" ref="BQ170" si="525">L170*0.25+M170*0.75</f>
        <v>74680.543390566425</v>
      </c>
      <c r="BR170" s="489">
        <f t="shared" si="519"/>
        <v>91551.174821209672</v>
      </c>
      <c r="BS170" s="489">
        <f t="shared" si="520"/>
        <v>109142.50895240884</v>
      </c>
      <c r="BT170" s="489">
        <f t="shared" si="521"/>
        <v>128311.73492014801</v>
      </c>
      <c r="BU170" s="489">
        <f t="shared" si="522"/>
        <v>148801.38000397707</v>
      </c>
      <c r="BV170" s="489">
        <f t="shared" si="523"/>
        <v>170365.91728988284</v>
      </c>
    </row>
    <row r="171" spans="1:90" s="225" customFormat="1" outlineLevel="1">
      <c r="A171" s="1348"/>
      <c r="B171" s="453" t="s">
        <v>849</v>
      </c>
      <c r="I171" s="583"/>
      <c r="J171" s="593"/>
      <c r="K171" s="583">
        <f>SUM(AX171:BA171)</f>
        <v>14808</v>
      </c>
      <c r="L171" s="583">
        <f>SUM(BB171:BE171)</f>
        <v>23833.618400000003</v>
      </c>
      <c r="M171" s="462">
        <f t="shared" ref="M171:R171" si="526">L171*(1+M189)</f>
        <v>35750.427600000003</v>
      </c>
      <c r="N171" s="462">
        <f t="shared" si="526"/>
        <v>50944.359330000007</v>
      </c>
      <c r="O171" s="462">
        <f t="shared" si="526"/>
        <v>69348.009137962508</v>
      </c>
      <c r="P171" s="462">
        <f t="shared" si="526"/>
        <v>90642.182193888118</v>
      </c>
      <c r="Q171" s="462">
        <f t="shared" si="526"/>
        <v>114300.07500331227</v>
      </c>
      <c r="R171" s="462">
        <f t="shared" si="526"/>
        <v>139657.85025237131</v>
      </c>
      <c r="T171" s="15"/>
      <c r="V171" s="218"/>
      <c r="W171" s="218"/>
      <c r="X171" s="218"/>
      <c r="Y171" s="277"/>
      <c r="Z171" s="218"/>
      <c r="AA171" s="218"/>
      <c r="AB171" s="218"/>
      <c r="AC171" s="277"/>
      <c r="AD171" s="218"/>
      <c r="AE171" s="218"/>
      <c r="AF171" s="218"/>
      <c r="AG171" s="277"/>
      <c r="AH171" s="218"/>
      <c r="AI171" s="218"/>
      <c r="AJ171" s="218"/>
      <c r="AK171" s="277"/>
      <c r="AL171" s="218"/>
      <c r="AM171" s="218"/>
      <c r="AN171" s="218"/>
      <c r="AO171" s="277"/>
      <c r="AP171" s="584"/>
      <c r="AQ171" s="301"/>
      <c r="AR171" s="301"/>
      <c r="AS171" s="335"/>
      <c r="AT171" s="463">
        <f>Reported!T73</f>
        <v>575</v>
      </c>
      <c r="AU171" s="463">
        <f>Reported!U73</f>
        <v>600</v>
      </c>
      <c r="AV171" s="463">
        <f>Reported!V73</f>
        <v>813</v>
      </c>
      <c r="AW171" s="467">
        <f>Reported!W73</f>
        <v>0</v>
      </c>
      <c r="AX171" s="463">
        <f>Reported!X73</f>
        <v>1614</v>
      </c>
      <c r="AY171" s="463">
        <f>Reported!Y73</f>
        <v>3226</v>
      </c>
      <c r="AZ171" s="463">
        <f>Reported!Z73</f>
        <v>5084</v>
      </c>
      <c r="BA171" s="747">
        <f t="shared" ref="BA171:BE171" si="527">BA172+BA173</f>
        <v>4884</v>
      </c>
      <c r="BB171" s="489">
        <f t="shared" si="527"/>
        <v>5282.4</v>
      </c>
      <c r="BC171" s="489">
        <f t="shared" si="527"/>
        <v>5710.64</v>
      </c>
      <c r="BD171" s="489">
        <f t="shared" si="527"/>
        <v>6271.7040000000006</v>
      </c>
      <c r="BE171" s="489">
        <f t="shared" si="527"/>
        <v>6568.8744000000006</v>
      </c>
      <c r="BF171" s="1347"/>
      <c r="BG171" s="583"/>
      <c r="CG171"/>
      <c r="CH171"/>
      <c r="CI171"/>
      <c r="CJ171"/>
      <c r="CK171"/>
      <c r="CL171"/>
    </row>
    <row r="172" spans="1:90" s="225" customFormat="1" outlineLevel="1">
      <c r="A172" s="1348"/>
      <c r="B172" s="1256" t="s">
        <v>274</v>
      </c>
      <c r="I172" s="583"/>
      <c r="J172" s="593"/>
      <c r="K172" s="583">
        <f>SUM(AX172:BA172)</f>
        <v>6317</v>
      </c>
      <c r="L172" s="583">
        <f>SUM(BB172:BE172)</f>
        <v>8600</v>
      </c>
      <c r="M172" s="1247"/>
      <c r="N172" s="583"/>
      <c r="O172" s="583"/>
      <c r="P172" s="583"/>
      <c r="Q172" s="583"/>
      <c r="R172" s="583"/>
      <c r="T172" s="15"/>
      <c r="V172" s="218"/>
      <c r="W172" s="218"/>
      <c r="X172" s="218"/>
      <c r="Y172" s="277"/>
      <c r="Z172" s="218"/>
      <c r="AA172" s="218"/>
      <c r="AB172" s="218"/>
      <c r="AC172" s="277"/>
      <c r="AD172" s="218"/>
      <c r="AE172" s="218"/>
      <c r="AF172" s="218"/>
      <c r="AG172" s="277"/>
      <c r="AH172" s="218"/>
      <c r="AI172" s="218"/>
      <c r="AJ172" s="218"/>
      <c r="AK172" s="277"/>
      <c r="AL172" s="218"/>
      <c r="AM172" s="218"/>
      <c r="AN172" s="218"/>
      <c r="AO172" s="277"/>
      <c r="AP172" s="584"/>
      <c r="AQ172" s="301"/>
      <c r="AR172" s="301"/>
      <c r="AS172" s="335"/>
      <c r="AT172" s="463"/>
      <c r="AU172" s="463"/>
      <c r="AV172" s="463"/>
      <c r="AW172" s="467"/>
      <c r="AX172" s="1257">
        <v>667</v>
      </c>
      <c r="AY172" s="679">
        <v>1650</v>
      </c>
      <c r="AZ172" s="679">
        <v>2100</v>
      </c>
      <c r="BA172" s="1526">
        <v>1900</v>
      </c>
      <c r="BB172" s="679">
        <v>2000</v>
      </c>
      <c r="BC172" s="679">
        <v>2100</v>
      </c>
      <c r="BD172" s="679">
        <v>2300</v>
      </c>
      <c r="BE172" s="679">
        <v>2200</v>
      </c>
      <c r="BF172" s="583"/>
      <c r="BG172" s="301"/>
      <c r="CG172"/>
      <c r="CH172"/>
      <c r="CI172"/>
      <c r="CJ172"/>
      <c r="CK172"/>
      <c r="CL172"/>
    </row>
    <row r="173" spans="1:90" s="225" customFormat="1" outlineLevel="1">
      <c r="A173" s="1348"/>
      <c r="B173" s="1256" t="s">
        <v>850</v>
      </c>
      <c r="I173" s="583"/>
      <c r="J173" s="593"/>
      <c r="K173" s="583">
        <f>SUM(AX173:BA173)</f>
        <v>8491</v>
      </c>
      <c r="L173" s="583">
        <f>SUM(BB173:BE173)</f>
        <v>15233.618400000003</v>
      </c>
      <c r="M173" s="1247"/>
      <c r="N173" s="583"/>
      <c r="O173" s="583"/>
      <c r="P173" s="583"/>
      <c r="Q173" s="583"/>
      <c r="R173" s="583"/>
      <c r="T173" s="15"/>
      <c r="V173" s="218"/>
      <c r="W173" s="218"/>
      <c r="X173" s="218"/>
      <c r="Y173" s="277"/>
      <c r="Z173" s="218"/>
      <c r="AA173" s="218"/>
      <c r="AB173" s="218"/>
      <c r="AC173" s="277"/>
      <c r="AD173" s="218"/>
      <c r="AE173" s="218"/>
      <c r="AF173" s="218"/>
      <c r="AG173" s="277"/>
      <c r="AH173" s="218"/>
      <c r="AI173" s="218"/>
      <c r="AJ173" s="218"/>
      <c r="AK173" s="277"/>
      <c r="AL173" s="218"/>
      <c r="AM173" s="218"/>
      <c r="AN173" s="218"/>
      <c r="AO173" s="277"/>
      <c r="AP173" s="584"/>
      <c r="AQ173" s="301"/>
      <c r="AR173" s="301"/>
      <c r="AS173" s="335"/>
      <c r="AT173" s="458">
        <f>AT171</f>
        <v>575</v>
      </c>
      <c r="AU173" s="1257">
        <f>AT173*1.12</f>
        <v>644.00000000000011</v>
      </c>
      <c r="AV173" s="1257">
        <f>AU173*1.12</f>
        <v>721.2800000000002</v>
      </c>
      <c r="AW173" s="1490">
        <f>AV173*1.12</f>
        <v>807.83360000000027</v>
      </c>
      <c r="AX173" s="458">
        <f>AX171-AX172</f>
        <v>947</v>
      </c>
      <c r="AY173" s="458">
        <f>AY171-AY172</f>
        <v>1576</v>
      </c>
      <c r="AZ173" s="458">
        <f>AZ171-AZ172</f>
        <v>2984</v>
      </c>
      <c r="BA173" s="1527">
        <f>AZ173</f>
        <v>2984</v>
      </c>
      <c r="BB173" s="679">
        <f>BA173*1.1</f>
        <v>3282.4</v>
      </c>
      <c r="BC173" s="679">
        <f t="shared" ref="BC173:BE173" si="528">BB173*1.1</f>
        <v>3610.6400000000003</v>
      </c>
      <c r="BD173" s="679">
        <f t="shared" si="528"/>
        <v>3971.7040000000006</v>
      </c>
      <c r="BE173" s="679">
        <f t="shared" si="528"/>
        <v>4368.8744000000006</v>
      </c>
      <c r="BF173" s="583"/>
      <c r="BG173" s="301"/>
      <c r="CG173"/>
      <c r="CH173"/>
      <c r="CI173"/>
      <c r="CJ173"/>
      <c r="CK173"/>
      <c r="CL173"/>
    </row>
    <row r="174" spans="1:90" outlineLevel="1">
      <c r="B174" s="453" t="s">
        <v>126</v>
      </c>
      <c r="C174" s="314">
        <f t="shared" ref="C174:H174" si="529">C169+C170+C171</f>
        <v>2335</v>
      </c>
      <c r="D174" s="314">
        <f t="shared" si="529"/>
        <v>5952</v>
      </c>
      <c r="E174" s="314">
        <f t="shared" si="529"/>
        <v>13422</v>
      </c>
      <c r="F174" s="314">
        <f t="shared" si="529"/>
        <v>26970</v>
      </c>
      <c r="G174" s="314">
        <f t="shared" si="529"/>
        <v>42832</v>
      </c>
      <c r="H174" s="314">
        <f t="shared" si="529"/>
        <v>59732</v>
      </c>
      <c r="I174" s="314">
        <f>I169+I170+I171</f>
        <v>80033</v>
      </c>
      <c r="J174" s="409">
        <f>J169+J170+J171</f>
        <v>114109</v>
      </c>
      <c r="K174" s="314">
        <f>K169+K170+K171</f>
        <v>176623.82850419998</v>
      </c>
      <c r="L174" s="314">
        <f t="shared" ref="L174:R174" si="530">L169+L170+L171</f>
        <v>239264.44580454568</v>
      </c>
      <c r="M174" s="314">
        <f t="shared" si="530"/>
        <v>313272.01746376767</v>
      </c>
      <c r="N174" s="314">
        <f t="shared" si="530"/>
        <v>378176.16971030022</v>
      </c>
      <c r="O174" s="314">
        <f t="shared" si="530"/>
        <v>450384.86743450258</v>
      </c>
      <c r="P174" s="314">
        <f t="shared" si="530"/>
        <v>548091.24666170287</v>
      </c>
      <c r="Q174" s="314">
        <f t="shared" si="530"/>
        <v>621473.91583684611</v>
      </c>
      <c r="R174" s="314">
        <f t="shared" si="530"/>
        <v>696144.81702423049</v>
      </c>
      <c r="T174" s="14">
        <f t="shared" si="515"/>
        <v>0.40023383665429124</v>
      </c>
      <c r="V174" s="456"/>
      <c r="W174" s="456"/>
      <c r="X174" s="456"/>
      <c r="Y174" s="457"/>
      <c r="Z174" s="456"/>
      <c r="AA174" s="456"/>
      <c r="AB174" s="456"/>
      <c r="AC174" s="457"/>
      <c r="AD174" s="470">
        <f t="shared" ref="AD174:BE174" si="531">AD162</f>
        <v>5028</v>
      </c>
      <c r="AE174" s="470">
        <f t="shared" si="531"/>
        <v>5600</v>
      </c>
      <c r="AF174" s="470">
        <f t="shared" si="531"/>
        <v>9588</v>
      </c>
      <c r="AG174" s="471">
        <f t="shared" si="531"/>
        <v>6754</v>
      </c>
      <c r="AH174" s="470">
        <f t="shared" si="531"/>
        <v>8667</v>
      </c>
      <c r="AI174" s="470">
        <f t="shared" si="531"/>
        <v>8645</v>
      </c>
      <c r="AJ174" s="470">
        <f t="shared" si="531"/>
        <v>16149</v>
      </c>
      <c r="AK174" s="471">
        <f t="shared" si="531"/>
        <v>9371</v>
      </c>
      <c r="AL174" s="470">
        <f t="shared" si="531"/>
        <v>12639</v>
      </c>
      <c r="AM174" s="470">
        <f t="shared" si="531"/>
        <v>12769</v>
      </c>
      <c r="AN174" s="470">
        <f t="shared" si="531"/>
        <v>21275</v>
      </c>
      <c r="AO174" s="471">
        <f t="shared" si="531"/>
        <v>13049</v>
      </c>
      <c r="AP174" s="470">
        <f t="shared" si="531"/>
        <v>15712</v>
      </c>
      <c r="AQ174" s="470">
        <f t="shared" si="531"/>
        <v>17267</v>
      </c>
      <c r="AR174" s="470">
        <f t="shared" si="531"/>
        <v>28714</v>
      </c>
      <c r="AS174" s="471">
        <f t="shared" si="531"/>
        <v>18340</v>
      </c>
      <c r="AT174" s="470">
        <f t="shared" si="531"/>
        <v>23383</v>
      </c>
      <c r="AU174" s="470">
        <f t="shared" si="531"/>
        <v>24109</v>
      </c>
      <c r="AV174" s="470">
        <f t="shared" si="531"/>
        <v>40802</v>
      </c>
      <c r="AW174" s="471">
        <f t="shared" si="531"/>
        <v>25815</v>
      </c>
      <c r="AX174" s="472">
        <f t="shared" si="531"/>
        <v>36712</v>
      </c>
      <c r="AY174" s="472">
        <f t="shared" si="531"/>
        <v>39557</v>
      </c>
      <c r="AZ174" s="472">
        <f t="shared" si="531"/>
        <v>60105</v>
      </c>
      <c r="BA174" s="1528">
        <f t="shared" si="531"/>
        <v>40249.82850419997</v>
      </c>
      <c r="BB174" s="472">
        <f t="shared" si="531"/>
        <v>51719.991048000011</v>
      </c>
      <c r="BC174" s="472">
        <f t="shared" si="531"/>
        <v>54147.916394879998</v>
      </c>
      <c r="BD174" s="472">
        <f t="shared" si="531"/>
        <v>79889.829580799982</v>
      </c>
      <c r="BE174" s="472">
        <f t="shared" si="531"/>
        <v>53506.708780865716</v>
      </c>
      <c r="BF174" s="1347"/>
      <c r="BG174" s="15"/>
    </row>
    <row r="175" spans="1:90" outlineLevel="1">
      <c r="B175" s="357"/>
      <c r="C175" s="375"/>
      <c r="D175" s="473"/>
      <c r="E175" s="473"/>
      <c r="F175" s="473"/>
      <c r="G175" s="473"/>
      <c r="H175" s="473"/>
      <c r="I175" s="473"/>
      <c r="J175" s="474"/>
      <c r="K175" s="473"/>
      <c r="L175" s="473"/>
      <c r="M175" s="473"/>
      <c r="N175" s="473"/>
      <c r="O175" s="473"/>
      <c r="P175" s="473"/>
      <c r="Q175" s="473"/>
      <c r="R175" s="473"/>
      <c r="V175" s="142"/>
      <c r="W175" s="142"/>
      <c r="X175" s="142"/>
      <c r="Y175" s="359"/>
      <c r="Z175" s="142"/>
      <c r="AA175" s="142"/>
      <c r="AB175" s="142"/>
      <c r="AC175" s="359"/>
      <c r="AD175" s="473"/>
      <c r="AE175" s="473"/>
      <c r="AF175" s="473"/>
      <c r="AG175" s="474"/>
      <c r="AH175" s="473"/>
      <c r="AI175" s="473"/>
      <c r="AJ175" s="473"/>
      <c r="AK175" s="474"/>
      <c r="AL175" s="473"/>
      <c r="AM175" s="473"/>
      <c r="AN175" s="473"/>
      <c r="AO175" s="474"/>
      <c r="AP175" s="473"/>
      <c r="AQ175" s="473"/>
      <c r="AR175" s="473"/>
      <c r="AS175" s="474"/>
      <c r="AT175" s="473"/>
      <c r="AU175" s="473"/>
      <c r="AV175" s="473"/>
      <c r="AW175" s="474"/>
      <c r="AX175" s="473"/>
      <c r="AY175" s="15"/>
      <c r="AZ175" s="375"/>
      <c r="BA175" s="474"/>
      <c r="BB175" s="473"/>
      <c r="BC175" s="473"/>
      <c r="BD175" s="473"/>
      <c r="BE175" s="473"/>
      <c r="BF175" s="473"/>
      <c r="BG175" s="15"/>
    </row>
    <row r="176" spans="1:90" outlineLevel="1">
      <c r="B176" s="144" t="s">
        <v>652</v>
      </c>
      <c r="C176" s="375"/>
      <c r="D176" s="375"/>
      <c r="E176" s="375"/>
      <c r="F176" s="375"/>
      <c r="G176" s="375"/>
      <c r="H176" s="473"/>
      <c r="I176" s="473"/>
      <c r="J176" s="474"/>
      <c r="K176" s="375"/>
      <c r="L176" s="375"/>
      <c r="M176" s="375"/>
      <c r="N176" s="375"/>
      <c r="O176" s="375"/>
      <c r="P176" s="375"/>
      <c r="Q176" s="375"/>
      <c r="R176" s="375"/>
      <c r="V176" s="142"/>
      <c r="W176" s="142"/>
      <c r="X176" s="142"/>
      <c r="Y176" s="359"/>
      <c r="Z176" s="142"/>
      <c r="AA176" s="142"/>
      <c r="AB176" s="142"/>
      <c r="AC176" s="359"/>
      <c r="AD176" s="142"/>
      <c r="AE176" s="142"/>
      <c r="AF176" s="142"/>
      <c r="AG176" s="359"/>
      <c r="AH176" s="142"/>
      <c r="AI176" s="142"/>
      <c r="AJ176" s="142"/>
      <c r="AK176" s="359"/>
      <c r="AL176" s="142"/>
      <c r="AM176" s="142"/>
      <c r="AN176" s="142"/>
      <c r="AO176" s="359"/>
      <c r="AP176" s="436"/>
      <c r="AQ176" s="436"/>
      <c r="AR176" s="436"/>
      <c r="AS176" s="437"/>
      <c r="AT176" s="436"/>
      <c r="AU176" s="436"/>
      <c r="AV176" s="436"/>
      <c r="AW176" s="437"/>
      <c r="AX176" s="362"/>
      <c r="AY176" s="362"/>
      <c r="AZ176" s="380"/>
      <c r="BA176" s="379"/>
      <c r="BB176" s="362"/>
      <c r="BC176" s="362"/>
      <c r="BD176" s="362"/>
      <c r="BE176" s="362"/>
      <c r="BF176" s="436"/>
      <c r="BG176" s="15"/>
    </row>
    <row r="177" spans="1:90" outlineLevel="1">
      <c r="B177" s="401" t="s">
        <v>796</v>
      </c>
      <c r="C177" s="375"/>
      <c r="D177" s="473">
        <f t="shared" ref="D177:R177" si="532">D169/(D114*1000)</f>
        <v>9.9938310236924455E-3</v>
      </c>
      <c r="E177" s="473">
        <f t="shared" si="532"/>
        <v>1.5847662141779788E-2</v>
      </c>
      <c r="F177" s="473">
        <f t="shared" si="532"/>
        <v>1.9318231401015067E-2</v>
      </c>
      <c r="G177" s="473">
        <f t="shared" si="532"/>
        <v>1.8360548271752087E-2</v>
      </c>
      <c r="H177" s="473">
        <f t="shared" si="532"/>
        <v>1.5765548281505729E-2</v>
      </c>
      <c r="I177" s="473">
        <f t="shared" si="532"/>
        <v>1.7530401034928849E-2</v>
      </c>
      <c r="J177" s="474">
        <f t="shared" si="532"/>
        <v>2.1233660737987787E-2</v>
      </c>
      <c r="K177" s="473">
        <f t="shared" si="532"/>
        <v>2.3937032877554672E-2</v>
      </c>
      <c r="L177" s="473">
        <f t="shared" si="532"/>
        <v>2.5712468156174558E-2</v>
      </c>
      <c r="M177" s="473">
        <f t="shared" si="532"/>
        <v>2.7576557138068943E-2</v>
      </c>
      <c r="N177" s="473">
        <f t="shared" si="532"/>
        <v>2.7278640342964778E-2</v>
      </c>
      <c r="O177" s="473">
        <f t="shared" si="532"/>
        <v>2.7061819583518748E-2</v>
      </c>
      <c r="P177" s="473">
        <f t="shared" si="532"/>
        <v>2.855303540882256E-2</v>
      </c>
      <c r="Q177" s="473">
        <f t="shared" si="532"/>
        <v>2.7428210517039382E-2</v>
      </c>
      <c r="R177" s="473">
        <f t="shared" si="532"/>
        <v>2.6392264486368961E-2</v>
      </c>
      <c r="V177" s="142"/>
      <c r="W177" s="142"/>
      <c r="X177" s="142"/>
      <c r="Y177" s="359"/>
      <c r="Z177" s="142"/>
      <c r="AA177" s="142"/>
      <c r="AB177" s="142"/>
      <c r="AC177" s="359"/>
      <c r="AD177" s="473">
        <f t="shared" ref="AD177:BE177" si="533">AD169/(AD114*1000)</f>
        <v>1.9794184140215373E-2</v>
      </c>
      <c r="AE177" s="473">
        <f t="shared" si="533"/>
        <v>1.9605714085272813E-2</v>
      </c>
      <c r="AF177" s="473">
        <f t="shared" si="533"/>
        <v>2.0126978617050817E-2</v>
      </c>
      <c r="AG177" s="474">
        <f t="shared" si="533"/>
        <v>1.7806505452369947E-2</v>
      </c>
      <c r="AH177" s="473">
        <f t="shared" si="533"/>
        <v>1.9664825835762342E-2</v>
      </c>
      <c r="AI177" s="473">
        <f t="shared" si="533"/>
        <v>1.7390187309819918E-2</v>
      </c>
      <c r="AJ177" s="473">
        <f t="shared" si="533"/>
        <v>2.1380948688219794E-2</v>
      </c>
      <c r="AK177" s="474">
        <f t="shared" si="533"/>
        <v>1.4461559924201032E-2</v>
      </c>
      <c r="AL177" s="473">
        <f t="shared" si="533"/>
        <v>1.7194499676592482E-2</v>
      </c>
      <c r="AM177" s="473">
        <f t="shared" si="533"/>
        <v>1.5282561826708851E-2</v>
      </c>
      <c r="AN177" s="473">
        <f t="shared" si="533"/>
        <v>1.7029796187521203E-2</v>
      </c>
      <c r="AO177" s="474">
        <f t="shared" si="533"/>
        <v>1.3264449451084166E-2</v>
      </c>
      <c r="AP177" s="473">
        <f t="shared" si="533"/>
        <v>1.5875423476968797E-2</v>
      </c>
      <c r="AQ177" s="473">
        <f t="shared" si="533"/>
        <v>1.646782608695652E-2</v>
      </c>
      <c r="AR177" s="473">
        <f t="shared" si="533"/>
        <v>2.0254688796680499E-2</v>
      </c>
      <c r="AS177" s="474">
        <f t="shared" si="533"/>
        <v>1.6408657521020237E-2</v>
      </c>
      <c r="AT177" s="473">
        <f t="shared" si="533"/>
        <v>1.8974910394265233E-2</v>
      </c>
      <c r="AU177" s="473">
        <f t="shared" si="533"/>
        <v>1.9617664737704342E-2</v>
      </c>
      <c r="AV177" s="473">
        <f t="shared" si="533"/>
        <v>2.4133817427385892E-2</v>
      </c>
      <c r="AW177" s="474">
        <f t="shared" si="533"/>
        <v>1.8983054513209252E-2</v>
      </c>
      <c r="AX177" s="473">
        <f t="shared" si="533"/>
        <v>2.3731943086781792E-2</v>
      </c>
      <c r="AY177" s="473">
        <f t="shared" si="533"/>
        <v>2.3107440627545741E-2</v>
      </c>
      <c r="AZ177" s="473">
        <f t="shared" si="533"/>
        <v>2.7049034042743052E-2</v>
      </c>
      <c r="BA177" s="474">
        <f t="shared" si="533"/>
        <v>2.108064634095044E-2</v>
      </c>
      <c r="BB177" s="473">
        <f t="shared" si="533"/>
        <v>2.4815319069964738E-2</v>
      </c>
      <c r="BC177" s="473">
        <f t="shared" si="533"/>
        <v>2.5176445257330201E-2</v>
      </c>
      <c r="BD177" s="473">
        <f t="shared" si="533"/>
        <v>2.9475320279062776E-2</v>
      </c>
      <c r="BE177" s="473">
        <f t="shared" si="533"/>
        <v>2.2485974838645187E-2</v>
      </c>
      <c r="BF177" s="473"/>
      <c r="BG177" s="15"/>
    </row>
    <row r="178" spans="1:90" outlineLevel="1">
      <c r="B178" s="476" t="s">
        <v>653</v>
      </c>
      <c r="C178" s="375"/>
      <c r="D178" s="473">
        <f t="shared" ref="D178:J178" si="534">D170/(D121*1000)</f>
        <v>1.5076663821947682E-2</v>
      </c>
      <c r="E178" s="473">
        <f t="shared" si="534"/>
        <v>2.557017543859649E-2</v>
      </c>
      <c r="F178" s="473">
        <f t="shared" si="534"/>
        <v>2.4335522911572892E-2</v>
      </c>
      <c r="G178" s="473">
        <f t="shared" si="534"/>
        <v>2.3807920792079208E-2</v>
      </c>
      <c r="H178" s="473">
        <f t="shared" si="534"/>
        <v>2.5030696576151121E-2</v>
      </c>
      <c r="I178" s="473">
        <f t="shared" si="534"/>
        <v>2.1258436213991771E-2</v>
      </c>
      <c r="J178" s="474">
        <f t="shared" si="534"/>
        <v>2.180306709265176E-2</v>
      </c>
      <c r="K178" s="477">
        <v>2.1600000000000001E-2</v>
      </c>
      <c r="L178" s="477">
        <v>2.1999999999999999E-2</v>
      </c>
      <c r="M178" s="477">
        <v>2.2800000000000001E-2</v>
      </c>
      <c r="N178" s="477">
        <v>2.3E-2</v>
      </c>
      <c r="O178" s="477">
        <f>N178</f>
        <v>2.3E-2</v>
      </c>
      <c r="P178" s="477">
        <f>O178</f>
        <v>2.3E-2</v>
      </c>
      <c r="Q178" s="477">
        <f>P178</f>
        <v>2.3E-2</v>
      </c>
      <c r="R178" s="477">
        <f>Q178</f>
        <v>2.3E-2</v>
      </c>
      <c r="V178" s="142"/>
      <c r="W178" s="436"/>
      <c r="X178" s="436"/>
      <c r="Y178" s="437"/>
      <c r="Z178" s="436"/>
      <c r="AA178" s="436"/>
      <c r="AB178" s="436"/>
      <c r="AC178" s="437"/>
      <c r="AD178" s="478">
        <v>2.1000000000000001E-2</v>
      </c>
      <c r="AE178" s="478">
        <v>2.3E-2</v>
      </c>
      <c r="AF178" s="478">
        <v>2.9000000000000001E-2</v>
      </c>
      <c r="AG178" s="479">
        <f t="shared" ref="AG178:BA178" si="535">AG170/(AG121*1000)</f>
        <v>2.129145594515619E-2</v>
      </c>
      <c r="AH178" s="362">
        <f t="shared" si="535"/>
        <v>2.1331154832414274E-2</v>
      </c>
      <c r="AI178" s="362">
        <f t="shared" si="535"/>
        <v>2.1761826087837909E-2</v>
      </c>
      <c r="AJ178" s="362">
        <f t="shared" si="535"/>
        <v>2.651593517560712E-2</v>
      </c>
      <c r="AK178" s="479">
        <f t="shared" si="535"/>
        <v>2.3328274789947069E-2</v>
      </c>
      <c r="AL178" s="362">
        <f t="shared" si="535"/>
        <v>2.5334138790304311E-2</v>
      </c>
      <c r="AM178" s="362">
        <f t="shared" si="535"/>
        <v>2.4347340976626088E-2</v>
      </c>
      <c r="AN178" s="362">
        <f t="shared" si="535"/>
        <v>2.6861732077107084E-2</v>
      </c>
      <c r="AO178" s="479">
        <f t="shared" si="535"/>
        <v>2.3228187245540693E-2</v>
      </c>
      <c r="AP178" s="362">
        <f t="shared" si="535"/>
        <v>2.0438373983739839E-2</v>
      </c>
      <c r="AQ178" s="362">
        <f t="shared" si="535"/>
        <v>2.0092509090909094E-2</v>
      </c>
      <c r="AR178" s="362">
        <f t="shared" si="535"/>
        <v>2.2913915211970073E-2</v>
      </c>
      <c r="AS178" s="479">
        <f t="shared" si="535"/>
        <v>2.1040191533798581E-2</v>
      </c>
      <c r="AT178" s="362">
        <f t="shared" si="535"/>
        <v>2.1051671732522797E-2</v>
      </c>
      <c r="AU178" s="362">
        <f t="shared" si="535"/>
        <v>1.9261561567123345E-2</v>
      </c>
      <c r="AV178" s="362">
        <f t="shared" si="535"/>
        <v>2.3188489319194715E-2</v>
      </c>
      <c r="AW178" s="479">
        <f t="shared" si="535"/>
        <v>2.3005291818651168E-2</v>
      </c>
      <c r="AX178" s="362">
        <f t="shared" si="535"/>
        <v>1.7856783687130163E-2</v>
      </c>
      <c r="AY178" s="362">
        <f t="shared" si="535"/>
        <v>2.0575247258774271E-2</v>
      </c>
      <c r="AZ178" s="362">
        <f t="shared" si="535"/>
        <v>2.4060231476603147E-2</v>
      </c>
      <c r="BA178" s="479">
        <f t="shared" si="535"/>
        <v>2.3067804105362962E-2</v>
      </c>
      <c r="BB178" s="361">
        <v>1.7999999999999999E-2</v>
      </c>
      <c r="BC178" s="361">
        <v>2.1499999999999998E-2</v>
      </c>
      <c r="BD178" s="361">
        <v>2.5000000000000001E-2</v>
      </c>
      <c r="BE178" s="362">
        <f>BE170/(BE121*1000)</f>
        <v>2.2452914157273469E-2</v>
      </c>
      <c r="BF178" s="436"/>
      <c r="BG178" s="15"/>
    </row>
    <row r="179" spans="1:90" outlineLevel="1">
      <c r="B179" s="401" t="s">
        <v>238</v>
      </c>
      <c r="C179" s="375"/>
      <c r="D179" s="473">
        <f t="shared" ref="D179:R179" si="536">D174/(D114*1000)</f>
        <v>1.2E-2</v>
      </c>
      <c r="E179" s="473">
        <f t="shared" si="536"/>
        <v>2.0244343891402714E-2</v>
      </c>
      <c r="F179" s="473">
        <f t="shared" si="536"/>
        <v>2.5037853855801644E-2</v>
      </c>
      <c r="G179" s="473">
        <f t="shared" si="536"/>
        <v>2.5525625744934447E-2</v>
      </c>
      <c r="H179" s="473">
        <f t="shared" si="536"/>
        <v>2.4440261865793782E-2</v>
      </c>
      <c r="I179" s="473">
        <f t="shared" si="536"/>
        <v>2.5883893919793014E-2</v>
      </c>
      <c r="J179" s="474">
        <f t="shared" si="536"/>
        <v>3.0291744093443058E-2</v>
      </c>
      <c r="K179" s="473">
        <f t="shared" si="536"/>
        <v>3.6572E-2</v>
      </c>
      <c r="L179" s="473">
        <f t="shared" si="536"/>
        <v>3.9870000000000003E-2</v>
      </c>
      <c r="M179" s="473">
        <f t="shared" si="536"/>
        <v>4.3559999999999988E-2</v>
      </c>
      <c r="N179" s="473">
        <f t="shared" si="536"/>
        <v>4.4549999999999999E-2</v>
      </c>
      <c r="O179" s="473">
        <f t="shared" si="536"/>
        <v>4.5580000000000002E-2</v>
      </c>
      <c r="P179" s="473">
        <f t="shared" si="536"/>
        <v>4.8265000000000002E-2</v>
      </c>
      <c r="Q179" s="473">
        <f t="shared" si="536"/>
        <v>4.8265000000000002E-2</v>
      </c>
      <c r="R179" s="473">
        <f t="shared" si="536"/>
        <v>4.8265000000000002E-2</v>
      </c>
      <c r="V179" s="142"/>
      <c r="W179" s="142"/>
      <c r="X179" s="142"/>
      <c r="Y179" s="359"/>
      <c r="Z179" s="142"/>
      <c r="AA179" s="142"/>
      <c r="AB179" s="142"/>
      <c r="AC179" s="359"/>
      <c r="AD179" s="473">
        <f t="shared" ref="AD179:BE179" si="537">AD174/(AD114*1000)</f>
        <v>2.4032004435501218E-2</v>
      </c>
      <c r="AE179" s="473">
        <f t="shared" si="537"/>
        <v>2.4554080361997299E-2</v>
      </c>
      <c r="AF179" s="473">
        <f t="shared" si="537"/>
        <v>2.7735351291307969E-2</v>
      </c>
      <c r="AG179" s="474">
        <f t="shared" si="537"/>
        <v>2.2958420580317079E-2</v>
      </c>
      <c r="AH179" s="473">
        <f t="shared" si="537"/>
        <v>2.5111985489693858E-2</v>
      </c>
      <c r="AI179" s="473">
        <f t="shared" si="537"/>
        <v>2.3136067912187315E-2</v>
      </c>
      <c r="AJ179" s="473">
        <f t="shared" si="537"/>
        <v>3.0544212411742565E-2</v>
      </c>
      <c r="AK179" s="474">
        <f t="shared" si="537"/>
        <v>2.1788716184010137E-2</v>
      </c>
      <c r="AL179" s="473">
        <f t="shared" si="537"/>
        <v>2.5231775387490118E-2</v>
      </c>
      <c r="AM179" s="473">
        <f t="shared" si="537"/>
        <v>2.2979631649228133E-2</v>
      </c>
      <c r="AN179" s="473">
        <f t="shared" si="537"/>
        <v>2.7031422519874924E-2</v>
      </c>
      <c r="AO179" s="474">
        <f t="shared" si="537"/>
        <v>2.1744999100137979E-2</v>
      </c>
      <c r="AP179" s="473">
        <f t="shared" si="537"/>
        <v>2.3346210995542349E-2</v>
      </c>
      <c r="AQ179" s="473">
        <f t="shared" si="537"/>
        <v>2.4217391304347826E-2</v>
      </c>
      <c r="AR179" s="473">
        <f t="shared" si="537"/>
        <v>2.9786307053941908E-2</v>
      </c>
      <c r="AS179" s="474">
        <f t="shared" si="537"/>
        <v>2.4716981132075471E-2</v>
      </c>
      <c r="AT179" s="473">
        <f t="shared" si="537"/>
        <v>2.793667861409797E-2</v>
      </c>
      <c r="AU179" s="473">
        <f t="shared" si="537"/>
        <v>2.8414675828255569E-2</v>
      </c>
      <c r="AV179" s="473">
        <f t="shared" si="537"/>
        <v>3.5271438450899029E-2</v>
      </c>
      <c r="AW179" s="474">
        <f t="shared" si="537"/>
        <v>2.791625663707243E-2</v>
      </c>
      <c r="AX179" s="473">
        <f t="shared" si="537"/>
        <v>3.322834075522247E-2</v>
      </c>
      <c r="AY179" s="473">
        <f t="shared" si="537"/>
        <v>3.479221334134542E-2</v>
      </c>
      <c r="AZ179" s="473">
        <f t="shared" si="537"/>
        <v>4.1901602864409047E-2</v>
      </c>
      <c r="BA179" s="1529">
        <f t="shared" si="537"/>
        <v>3.4900897723589001E-2</v>
      </c>
      <c r="BB179" s="504">
        <f t="shared" si="537"/>
        <v>3.6859999999999997E-2</v>
      </c>
      <c r="BC179" s="504">
        <f t="shared" si="537"/>
        <v>3.8719999999999997E-2</v>
      </c>
      <c r="BD179" s="504">
        <f t="shared" si="537"/>
        <v>4.5279999999999994E-2</v>
      </c>
      <c r="BE179" s="504">
        <f t="shared" si="537"/>
        <v>3.7282531089564884E-2</v>
      </c>
      <c r="BF179" s="473"/>
      <c r="BG179" s="15"/>
    </row>
    <row r="180" spans="1:90" outlineLevel="1">
      <c r="B180" s="144" t="s">
        <v>43</v>
      </c>
      <c r="C180" s="449"/>
      <c r="D180" s="449"/>
      <c r="E180" s="15"/>
      <c r="F180" s="15"/>
      <c r="G180" s="15"/>
      <c r="H180" s="15"/>
      <c r="I180" s="15"/>
      <c r="J180" s="435"/>
      <c r="K180" s="15"/>
      <c r="L180" s="15"/>
      <c r="M180" s="15"/>
      <c r="N180" s="15"/>
      <c r="O180" s="15"/>
      <c r="P180" s="15"/>
      <c r="Q180" s="15"/>
      <c r="R180" s="15"/>
      <c r="V180" s="142"/>
      <c r="W180" s="142"/>
      <c r="X180" s="142"/>
      <c r="Y180" s="359"/>
      <c r="Z180" s="142"/>
      <c r="AA180" s="142"/>
      <c r="AB180" s="142"/>
      <c r="AC180" s="359"/>
      <c r="AD180" s="142"/>
      <c r="AE180" s="142"/>
      <c r="AF180" s="142"/>
      <c r="AG180" s="359"/>
      <c r="AH180" s="142"/>
      <c r="AI180" s="142"/>
      <c r="AJ180" s="142"/>
      <c r="AK180" s="359"/>
      <c r="AL180" s="142"/>
      <c r="AM180" s="142"/>
      <c r="AN180" s="142"/>
      <c r="AO180" s="359"/>
      <c r="AP180" s="142"/>
      <c r="AQ180" s="142"/>
      <c r="AR180" s="142"/>
      <c r="AS180" s="359"/>
      <c r="AT180" s="142"/>
      <c r="AU180" s="142"/>
      <c r="AV180" s="142"/>
      <c r="AW180" s="359"/>
      <c r="AX180" s="286"/>
      <c r="AY180" s="286"/>
      <c r="AZ180" s="286"/>
      <c r="BA180" s="287"/>
      <c r="BB180" s="286"/>
      <c r="BC180" s="286"/>
      <c r="BD180" s="286"/>
      <c r="BE180" s="286"/>
      <c r="BF180" s="142"/>
      <c r="BG180" s="15"/>
    </row>
    <row r="181" spans="1:90" outlineLevel="1">
      <c r="B181" s="476" t="s">
        <v>797</v>
      </c>
      <c r="C181" s="375">
        <f>1-SUM(C182:C182)</f>
        <v>0.8828192519743705</v>
      </c>
      <c r="D181" s="375">
        <f>1-SUM(D182:D182)</f>
        <v>0.83281925197437046</v>
      </c>
      <c r="E181" s="375">
        <f t="shared" ref="E181:R181" si="538">E169/E$162</f>
        <v>0.78281925197437041</v>
      </c>
      <c r="F181" s="375">
        <f t="shared" si="538"/>
        <v>0.77156099369670006</v>
      </c>
      <c r="G181" s="375">
        <f t="shared" si="538"/>
        <v>0.71929865521105718</v>
      </c>
      <c r="H181" s="375">
        <f t="shared" si="538"/>
        <v>0.64506462197816916</v>
      </c>
      <c r="I181" s="375">
        <f t="shared" si="538"/>
        <v>0.67727062586682996</v>
      </c>
      <c r="J181" s="431">
        <f t="shared" si="538"/>
        <v>0.70097187776599568</v>
      </c>
      <c r="K181" s="375">
        <f t="shared" si="538"/>
        <v>0.65451801590163705</v>
      </c>
      <c r="L181" s="375">
        <f t="shared" si="538"/>
        <v>0.64490765377914616</v>
      </c>
      <c r="M181" s="375">
        <f t="shared" si="538"/>
        <v>0.63307064136981073</v>
      </c>
      <c r="N181" s="375">
        <f t="shared" si="538"/>
        <v>0.61231515921357527</v>
      </c>
      <c r="O181" s="375">
        <f t="shared" si="538"/>
        <v>0.59372135988413233</v>
      </c>
      <c r="P181" s="375">
        <f t="shared" si="538"/>
        <v>0.59158884095768283</v>
      </c>
      <c r="Q181" s="375">
        <f t="shared" si="538"/>
        <v>0.56828365310347839</v>
      </c>
      <c r="R181" s="375">
        <f t="shared" si="538"/>
        <v>0.5468199417045263</v>
      </c>
      <c r="V181" s="142"/>
      <c r="W181" s="142"/>
      <c r="X181" s="142"/>
      <c r="Y181" s="359"/>
      <c r="Z181" s="142"/>
      <c r="AA181" s="142"/>
      <c r="AB181" s="142"/>
      <c r="AC181" s="359"/>
      <c r="AD181" s="142">
        <f t="shared" ref="AD181:BA181" si="539">AD169/AD$174</f>
        <v>0.82365930787589503</v>
      </c>
      <c r="AE181" s="142">
        <f t="shared" si="539"/>
        <v>0.79847071428571426</v>
      </c>
      <c r="AF181" s="142">
        <f t="shared" si="539"/>
        <v>0.72567959949937411</v>
      </c>
      <c r="AG181" s="359">
        <f t="shared" si="539"/>
        <v>0.77559801599052425</v>
      </c>
      <c r="AH181" s="142">
        <f t="shared" si="539"/>
        <v>0.78308526595130956</v>
      </c>
      <c r="AI181" s="142">
        <f t="shared" si="539"/>
        <v>0.75164835164835164</v>
      </c>
      <c r="AJ181" s="142">
        <f t="shared" si="539"/>
        <v>0.7</v>
      </c>
      <c r="AK181" s="359">
        <f t="shared" si="539"/>
        <v>0.66371785295059238</v>
      </c>
      <c r="AL181" s="142">
        <f t="shared" si="539"/>
        <v>0.68146214099216706</v>
      </c>
      <c r="AM181" s="142">
        <f t="shared" si="539"/>
        <v>0.66504816352102747</v>
      </c>
      <c r="AN181" s="142">
        <f t="shared" si="539"/>
        <v>0.63</v>
      </c>
      <c r="AO181" s="359">
        <f t="shared" si="539"/>
        <v>0.61</v>
      </c>
      <c r="AP181" s="142">
        <f t="shared" si="539"/>
        <v>0.67999999999999994</v>
      </c>
      <c r="AQ181" s="142">
        <f t="shared" si="539"/>
        <v>0.67999999999999994</v>
      </c>
      <c r="AR181" s="142">
        <f t="shared" si="539"/>
        <v>0.68</v>
      </c>
      <c r="AS181" s="359">
        <f t="shared" si="539"/>
        <v>0.66386171649929204</v>
      </c>
      <c r="AT181" s="142">
        <f t="shared" si="539"/>
        <v>0.67921139289227217</v>
      </c>
      <c r="AU181" s="142">
        <f t="shared" si="539"/>
        <v>0.69040607242108754</v>
      </c>
      <c r="AV181" s="142">
        <f t="shared" si="539"/>
        <v>0.68423116513896376</v>
      </c>
      <c r="AW181" s="359">
        <f t="shared" si="539"/>
        <v>0.68</v>
      </c>
      <c r="AX181" s="286">
        <f t="shared" si="539"/>
        <v>0.71420788842885163</v>
      </c>
      <c r="AY181" s="286">
        <f t="shared" si="539"/>
        <v>0.66415552241069853</v>
      </c>
      <c r="AZ181" s="286">
        <f t="shared" si="539"/>
        <v>0.64553697695699197</v>
      </c>
      <c r="BA181" s="287">
        <f t="shared" si="539"/>
        <v>0.60401444421019412</v>
      </c>
      <c r="BB181" s="286">
        <f t="shared" ref="BB181:BE181" si="540">BB169/BB$174</f>
        <v>0.67323166223452902</v>
      </c>
      <c r="BC181" s="286">
        <f t="shared" si="540"/>
        <v>0.65021811098476767</v>
      </c>
      <c r="BD181" s="286">
        <f t="shared" si="540"/>
        <v>0.65095671994396598</v>
      </c>
      <c r="BE181" s="287">
        <f t="shared" si="540"/>
        <v>0.60312361262776093</v>
      </c>
      <c r="BF181" s="142"/>
      <c r="BG181" s="15"/>
    </row>
    <row r="182" spans="1:90" outlineLevel="1">
      <c r="B182" s="476" t="s">
        <v>371</v>
      </c>
      <c r="C182" s="480">
        <f>D182-5%</f>
        <v>0.11718074802562954</v>
      </c>
      <c r="D182" s="480">
        <f>E182-5%</f>
        <v>0.16718074802562954</v>
      </c>
      <c r="E182" s="375">
        <f t="shared" ref="E182:R182" si="541">E170/E$162</f>
        <v>0.21718074802562956</v>
      </c>
      <c r="F182" s="375">
        <f t="shared" si="541"/>
        <v>0.22843900630329997</v>
      </c>
      <c r="G182" s="375">
        <f t="shared" si="541"/>
        <v>0.28070134478894282</v>
      </c>
      <c r="H182" s="375">
        <f t="shared" si="541"/>
        <v>0.35493537802183084</v>
      </c>
      <c r="I182" s="375">
        <f t="shared" si="541"/>
        <v>0.32272937413317004</v>
      </c>
      <c r="J182" s="431">
        <f t="shared" si="541"/>
        <v>0.29902812223400438</v>
      </c>
      <c r="K182" s="375">
        <f t="shared" si="541"/>
        <v>0.26164278683145575</v>
      </c>
      <c r="L182" s="375">
        <f t="shared" si="541"/>
        <v>0.255480311010785</v>
      </c>
      <c r="M182" s="375">
        <f t="shared" si="541"/>
        <v>0.252809917355372</v>
      </c>
      <c r="N182" s="375">
        <f t="shared" si="541"/>
        <v>0.25297418630751961</v>
      </c>
      <c r="O182" s="375">
        <f t="shared" si="541"/>
        <v>0.25230364194822291</v>
      </c>
      <c r="P182" s="375">
        <f t="shared" si="541"/>
        <v>0.24303325391070138</v>
      </c>
      <c r="Q182" s="375">
        <f t="shared" si="541"/>
        <v>0.24779861183051902</v>
      </c>
      <c r="R182" s="375">
        <f t="shared" si="541"/>
        <v>0.25256396975033663</v>
      </c>
      <c r="V182" s="142"/>
      <c r="W182" s="142"/>
      <c r="X182" s="142"/>
      <c r="Y182" s="359"/>
      <c r="Z182" s="142"/>
      <c r="AA182" s="142"/>
      <c r="AB182" s="142"/>
      <c r="AC182" s="359"/>
      <c r="AD182" s="142">
        <f t="shared" ref="AD182:AI182" si="542">AD170/AD$174</f>
        <v>0.17634069212410503</v>
      </c>
      <c r="AE182" s="142">
        <f t="shared" si="542"/>
        <v>0.20152928571428577</v>
      </c>
      <c r="AF182" s="142">
        <f t="shared" si="542"/>
        <v>0.27432040050062584</v>
      </c>
      <c r="AG182" s="359">
        <f t="shared" si="542"/>
        <v>0.22440198400947572</v>
      </c>
      <c r="AH182" s="142">
        <f t="shared" si="542"/>
        <v>0.21691473404869044</v>
      </c>
      <c r="AI182" s="252">
        <f t="shared" si="542"/>
        <v>0.24835164835164836</v>
      </c>
      <c r="AJ182" s="481">
        <v>0.3</v>
      </c>
      <c r="AK182" s="359">
        <f>AK170/AK$174</f>
        <v>0.33628214704940768</v>
      </c>
      <c r="AL182" s="142">
        <f>AL170/AL$174</f>
        <v>0.31853785900783288</v>
      </c>
      <c r="AM182" s="252">
        <f>AM170/AM$174</f>
        <v>0.33495183647897253</v>
      </c>
      <c r="AN182" s="481">
        <v>0.37</v>
      </c>
      <c r="AO182" s="482">
        <v>0.39</v>
      </c>
      <c r="AP182" s="483">
        <f>Reported!P91</f>
        <v>0.32</v>
      </c>
      <c r="AQ182" s="483">
        <f>Reported!Q91</f>
        <v>0.32</v>
      </c>
      <c r="AR182" s="483">
        <f>Reported!R91</f>
        <v>0.32</v>
      </c>
      <c r="AS182" s="484">
        <f>Reported!S91</f>
        <v>0.33613828350070801</v>
      </c>
      <c r="AT182" s="483">
        <f>Reported!T91</f>
        <v>0.3</v>
      </c>
      <c r="AU182" s="142">
        <f t="shared" ref="AU182:BA183" si="543">AU170/AU$174</f>
        <v>0.28470695590858186</v>
      </c>
      <c r="AV182" s="142">
        <f t="shared" si="543"/>
        <v>0.29584334101269544</v>
      </c>
      <c r="AW182" s="359">
        <f t="shared" si="543"/>
        <v>0.31999999999999995</v>
      </c>
      <c r="AX182" s="286">
        <f t="shared" si="543"/>
        <v>0.24182828502941817</v>
      </c>
      <c r="AY182" s="286">
        <f t="shared" si="543"/>
        <v>0.25429127588037514</v>
      </c>
      <c r="AZ182" s="286">
        <f t="shared" si="543"/>
        <v>0.26987771400049915</v>
      </c>
      <c r="BA182" s="287">
        <f t="shared" si="543"/>
        <v>0.2746434238726384</v>
      </c>
      <c r="BB182" s="286">
        <f t="shared" ref="BB182:BE182" si="544">BB170/BB$174</f>
        <v>0.22463374932175795</v>
      </c>
      <c r="BC182" s="286">
        <f t="shared" si="544"/>
        <v>0.2443181818181818</v>
      </c>
      <c r="BD182" s="286">
        <f t="shared" si="544"/>
        <v>0.27053886925795056</v>
      </c>
      <c r="BE182" s="287">
        <f t="shared" si="544"/>
        <v>0.27410908305340076</v>
      </c>
      <c r="BF182" s="142"/>
      <c r="BG182" s="15"/>
    </row>
    <row r="183" spans="1:90" outlineLevel="1">
      <c r="B183" s="401" t="s">
        <v>799</v>
      </c>
      <c r="C183" s="375">
        <v>0</v>
      </c>
      <c r="D183" s="375">
        <v>0</v>
      </c>
      <c r="E183" s="375">
        <v>0</v>
      </c>
      <c r="F183" s="375">
        <v>0</v>
      </c>
      <c r="G183" s="375">
        <v>0</v>
      </c>
      <c r="H183" s="375">
        <v>0</v>
      </c>
      <c r="I183" s="375">
        <v>0</v>
      </c>
      <c r="J183" s="431">
        <v>0</v>
      </c>
      <c r="K183" s="375">
        <f>K171/K174</f>
        <v>8.3839197266907153E-2</v>
      </c>
      <c r="L183" s="375">
        <f>L171/L174</f>
        <v>9.9612035210068797E-2</v>
      </c>
      <c r="M183" s="375">
        <f>M171/M174</f>
        <v>0.11411944127481739</v>
      </c>
      <c r="N183" s="375">
        <f t="shared" ref="N183:R183" si="545">N171/N174</f>
        <v>0.13471065447890504</v>
      </c>
      <c r="O183" s="375">
        <f t="shared" si="545"/>
        <v>0.15397499816764487</v>
      </c>
      <c r="P183" s="375">
        <f t="shared" si="545"/>
        <v>0.16537790513161577</v>
      </c>
      <c r="Q183" s="375">
        <f t="shared" si="545"/>
        <v>0.18391773506600262</v>
      </c>
      <c r="R183" s="375">
        <f t="shared" si="545"/>
        <v>0.20061608854513713</v>
      </c>
      <c r="V183" s="142"/>
      <c r="W183" s="142"/>
      <c r="X183" s="142"/>
      <c r="Y183" s="359"/>
      <c r="Z183" s="142"/>
      <c r="AA183" s="142"/>
      <c r="AB183" s="142"/>
      <c r="AC183" s="359"/>
      <c r="AD183" s="286">
        <f t="shared" ref="AD183:AW183" si="546">AD171/AD$174</f>
        <v>0</v>
      </c>
      <c r="AE183" s="286">
        <f t="shared" si="546"/>
        <v>0</v>
      </c>
      <c r="AF183" s="286">
        <f t="shared" si="546"/>
        <v>0</v>
      </c>
      <c r="AG183" s="286">
        <f t="shared" si="546"/>
        <v>0</v>
      </c>
      <c r="AH183" s="286">
        <f t="shared" si="546"/>
        <v>0</v>
      </c>
      <c r="AI183" s="286">
        <f t="shared" si="546"/>
        <v>0</v>
      </c>
      <c r="AJ183" s="286">
        <f t="shared" si="546"/>
        <v>0</v>
      </c>
      <c r="AK183" s="286">
        <f t="shared" si="546"/>
        <v>0</v>
      </c>
      <c r="AL183" s="286">
        <f t="shared" si="546"/>
        <v>0</v>
      </c>
      <c r="AM183" s="286">
        <f t="shared" si="546"/>
        <v>0</v>
      </c>
      <c r="AN183" s="286">
        <f t="shared" si="546"/>
        <v>0</v>
      </c>
      <c r="AO183" s="286">
        <f t="shared" si="546"/>
        <v>0</v>
      </c>
      <c r="AP183" s="286">
        <f t="shared" si="546"/>
        <v>0</v>
      </c>
      <c r="AQ183" s="286">
        <f t="shared" si="546"/>
        <v>0</v>
      </c>
      <c r="AR183" s="286">
        <f t="shared" si="546"/>
        <v>0</v>
      </c>
      <c r="AS183" s="286">
        <f t="shared" si="546"/>
        <v>0</v>
      </c>
      <c r="AT183" s="286">
        <f t="shared" si="546"/>
        <v>2.4590514476328956E-2</v>
      </c>
      <c r="AU183" s="286">
        <f t="shared" si="546"/>
        <v>2.4886971670330583E-2</v>
      </c>
      <c r="AV183" s="286">
        <f t="shared" si="546"/>
        <v>1.9925493848340768E-2</v>
      </c>
      <c r="AW183" s="286">
        <f t="shared" si="546"/>
        <v>0</v>
      </c>
      <c r="AX183" s="286">
        <f t="shared" si="543"/>
        <v>4.3963826541730228E-2</v>
      </c>
      <c r="AY183" s="286">
        <f t="shared" si="543"/>
        <v>8.1553201708926354E-2</v>
      </c>
      <c r="AZ183" s="286">
        <f t="shared" si="543"/>
        <v>8.4585309042508938E-2</v>
      </c>
      <c r="BA183" s="287">
        <f t="shared" si="543"/>
        <v>0.12134213191716747</v>
      </c>
      <c r="BB183" s="286">
        <f t="shared" ref="BB183:BE183" si="547">BB171/BB$174</f>
        <v>0.10213458844371295</v>
      </c>
      <c r="BC183" s="286">
        <f t="shared" si="547"/>
        <v>0.10546370719705062</v>
      </c>
      <c r="BD183" s="286">
        <f t="shared" si="547"/>
        <v>7.8504410798083443E-2</v>
      </c>
      <c r="BE183" s="287">
        <f t="shared" si="547"/>
        <v>0.12276730431883834</v>
      </c>
      <c r="BF183" s="142"/>
      <c r="BG183" s="15"/>
    </row>
    <row r="184" spans="1:90" outlineLevel="1">
      <c r="B184" s="401" t="s">
        <v>126</v>
      </c>
      <c r="C184" s="375">
        <f t="shared" ref="C184:H184" si="548">SUM(C181:C183)</f>
        <v>1</v>
      </c>
      <c r="D184" s="375">
        <f t="shared" si="548"/>
        <v>1</v>
      </c>
      <c r="E184" s="375">
        <f t="shared" si="548"/>
        <v>1</v>
      </c>
      <c r="F184" s="375">
        <f t="shared" si="548"/>
        <v>1</v>
      </c>
      <c r="G184" s="375">
        <f t="shared" si="548"/>
        <v>1</v>
      </c>
      <c r="H184" s="375">
        <f t="shared" si="548"/>
        <v>1</v>
      </c>
      <c r="I184" s="375">
        <f>SUM(I181:I183)</f>
        <v>1</v>
      </c>
      <c r="J184" s="431">
        <f>SUM(J181:J183)</f>
        <v>1</v>
      </c>
      <c r="K184" s="375">
        <f>SUM(K181:K183)</f>
        <v>0.99999999999999989</v>
      </c>
      <c r="L184" s="375">
        <f>SUM(L181:L183)</f>
        <v>0.99999999999999989</v>
      </c>
      <c r="M184" s="375">
        <f>SUM(M181:M183)</f>
        <v>1.0000000000000002</v>
      </c>
      <c r="N184" s="375">
        <f t="shared" ref="N184:R184" si="549">SUM(N181:N183)</f>
        <v>0.99999999999999989</v>
      </c>
      <c r="O184" s="375">
        <f t="shared" si="549"/>
        <v>1</v>
      </c>
      <c r="P184" s="375">
        <f t="shared" si="549"/>
        <v>1</v>
      </c>
      <c r="Q184" s="375">
        <f t="shared" si="549"/>
        <v>1</v>
      </c>
      <c r="R184" s="375">
        <f t="shared" si="549"/>
        <v>1</v>
      </c>
      <c r="V184" s="142"/>
      <c r="W184" s="142"/>
      <c r="X184" s="142"/>
      <c r="Y184" s="359"/>
      <c r="Z184" s="142"/>
      <c r="AA184" s="142"/>
      <c r="AB184" s="142"/>
      <c r="AC184" s="359"/>
      <c r="AD184" s="286">
        <f t="shared" ref="AD184:AW184" si="550">SUM(AD181:AD183)</f>
        <v>1</v>
      </c>
      <c r="AE184" s="286">
        <f t="shared" si="550"/>
        <v>1</v>
      </c>
      <c r="AF184" s="286">
        <f t="shared" si="550"/>
        <v>1</v>
      </c>
      <c r="AG184" s="286">
        <f t="shared" si="550"/>
        <v>1</v>
      </c>
      <c r="AH184" s="286">
        <f t="shared" si="550"/>
        <v>1</v>
      </c>
      <c r="AI184" s="286">
        <f t="shared" si="550"/>
        <v>1</v>
      </c>
      <c r="AJ184" s="286">
        <f t="shared" si="550"/>
        <v>1</v>
      </c>
      <c r="AK184" s="286">
        <f t="shared" si="550"/>
        <v>1</v>
      </c>
      <c r="AL184" s="286">
        <f t="shared" si="550"/>
        <v>1</v>
      </c>
      <c r="AM184" s="286">
        <f t="shared" si="550"/>
        <v>1</v>
      </c>
      <c r="AN184" s="286">
        <f t="shared" si="550"/>
        <v>1</v>
      </c>
      <c r="AO184" s="286">
        <f t="shared" si="550"/>
        <v>1</v>
      </c>
      <c r="AP184" s="286">
        <f t="shared" si="550"/>
        <v>1</v>
      </c>
      <c r="AQ184" s="286">
        <f t="shared" si="550"/>
        <v>1</v>
      </c>
      <c r="AR184" s="286">
        <f t="shared" si="550"/>
        <v>1</v>
      </c>
      <c r="AS184" s="286">
        <f t="shared" si="550"/>
        <v>1</v>
      </c>
      <c r="AT184" s="286">
        <f t="shared" si="550"/>
        <v>1.0038019073686011</v>
      </c>
      <c r="AU184" s="286">
        <f t="shared" si="550"/>
        <v>1</v>
      </c>
      <c r="AV184" s="286">
        <f t="shared" si="550"/>
        <v>0.99999999999999989</v>
      </c>
      <c r="AW184" s="286">
        <f t="shared" si="550"/>
        <v>1</v>
      </c>
      <c r="AX184" s="286">
        <f t="shared" ref="AX184:BE184" si="551">SUM(AX181:AX183)</f>
        <v>1</v>
      </c>
      <c r="AY184" s="286">
        <f t="shared" si="551"/>
        <v>1</v>
      </c>
      <c r="AZ184" s="286">
        <f t="shared" si="551"/>
        <v>1</v>
      </c>
      <c r="BA184" s="287">
        <f t="shared" si="551"/>
        <v>1</v>
      </c>
      <c r="BB184" s="286">
        <f t="shared" si="551"/>
        <v>0.99999999999999989</v>
      </c>
      <c r="BC184" s="286">
        <f t="shared" si="551"/>
        <v>1</v>
      </c>
      <c r="BD184" s="286">
        <f t="shared" si="551"/>
        <v>1</v>
      </c>
      <c r="BE184" s="287">
        <f t="shared" si="551"/>
        <v>1</v>
      </c>
      <c r="BF184" s="142"/>
      <c r="BG184" s="15"/>
    </row>
    <row r="185" spans="1:90" outlineLevel="1">
      <c r="B185" s="144" t="s">
        <v>80</v>
      </c>
      <c r="C185" s="449"/>
      <c r="D185" s="449"/>
      <c r="E185" s="15"/>
      <c r="F185" s="15"/>
      <c r="G185" s="15"/>
      <c r="H185" s="15"/>
      <c r="I185" s="15"/>
      <c r="J185" s="435"/>
      <c r="K185" s="15"/>
      <c r="L185" s="15"/>
      <c r="M185" s="15"/>
      <c r="N185" s="15"/>
      <c r="O185" s="15"/>
      <c r="P185" s="15"/>
      <c r="Q185" s="15"/>
      <c r="R185" s="15"/>
      <c r="V185" s="142"/>
      <c r="W185" s="142"/>
      <c r="X185" s="142"/>
      <c r="Y185" s="359"/>
      <c r="Z185" s="142"/>
      <c r="AA185" s="142"/>
      <c r="AB185" s="142"/>
      <c r="AC185" s="359"/>
      <c r="AD185" s="142"/>
      <c r="AE185" s="142"/>
      <c r="AF185" s="142"/>
      <c r="AG185" s="359"/>
      <c r="AH185" s="142"/>
      <c r="AI185" s="142"/>
      <c r="AJ185" s="142"/>
      <c r="AK185" s="359"/>
      <c r="AL185" s="142"/>
      <c r="AM185" s="142"/>
      <c r="AN185" s="142"/>
      <c r="AO185" s="359"/>
      <c r="AP185" s="142"/>
      <c r="AQ185" s="142"/>
      <c r="AR185" s="142"/>
      <c r="AS185" s="359"/>
      <c r="AT185" s="142"/>
      <c r="AU185" s="142"/>
      <c r="AV185" s="142"/>
      <c r="AW185" s="359"/>
      <c r="AX185" s="286"/>
      <c r="AY185" s="286"/>
      <c r="AZ185" s="286"/>
      <c r="BA185" s="287"/>
      <c r="BB185" s="286"/>
      <c r="BC185" s="286"/>
      <c r="BD185" s="286"/>
      <c r="BE185" s="286"/>
      <c r="BF185" s="142"/>
      <c r="BG185" s="15"/>
    </row>
    <row r="186" spans="1:90" outlineLevel="1">
      <c r="B186" s="476" t="s">
        <v>797</v>
      </c>
      <c r="C186" s="449"/>
      <c r="D186" s="449"/>
      <c r="E186" s="15">
        <f t="shared" ref="E186:R186" si="552">E169/D169-1</f>
        <v>1.1196543839610342</v>
      </c>
      <c r="F186" s="15">
        <f t="shared" si="552"/>
        <v>0.98048919767773857</v>
      </c>
      <c r="G186" s="15">
        <f t="shared" si="552"/>
        <v>0.480561295593253</v>
      </c>
      <c r="H186" s="15">
        <f t="shared" si="552"/>
        <v>0.25064104644746665</v>
      </c>
      <c r="I186" s="375">
        <f t="shared" si="552"/>
        <v>0.40676338532610101</v>
      </c>
      <c r="J186" s="431">
        <f t="shared" si="552"/>
        <v>0.47566969227363298</v>
      </c>
      <c r="K186" s="375">
        <f t="shared" si="552"/>
        <v>0.44527471637361971</v>
      </c>
      <c r="L186" s="375">
        <f t="shared" si="552"/>
        <v>0.33476496833581026</v>
      </c>
      <c r="M186" s="375">
        <f t="shared" si="552"/>
        <v>0.28528097238793415</v>
      </c>
      <c r="N186" s="375">
        <f t="shared" si="552"/>
        <v>0.16760351252473171</v>
      </c>
      <c r="O186" s="375">
        <f t="shared" si="552"/>
        <v>0.15477478766029873</v>
      </c>
      <c r="P186" s="375">
        <f t="shared" si="552"/>
        <v>0.21256876226811849</v>
      </c>
      <c r="Q186" s="375">
        <f t="shared" si="552"/>
        <v>8.9219052585690406E-2</v>
      </c>
      <c r="R186" s="375">
        <f t="shared" si="552"/>
        <v>7.7843902829824563E-2</v>
      </c>
      <c r="V186" s="142"/>
      <c r="W186" s="142"/>
      <c r="X186" s="142"/>
      <c r="Y186" s="359"/>
      <c r="Z186" s="142"/>
      <c r="AA186" s="142"/>
      <c r="AB186" s="142"/>
      <c r="AC186" s="359"/>
      <c r="AD186" s="142"/>
      <c r="AE186" s="142"/>
      <c r="AF186" s="142"/>
      <c r="AG186" s="359"/>
      <c r="AH186" s="142">
        <f t="shared" ref="AH186:BE186" si="553">AH169/AD169-1</f>
        <v>0.63883401559729536</v>
      </c>
      <c r="AI186" s="142">
        <f t="shared" si="553"/>
        <v>0.45322442275814767</v>
      </c>
      <c r="AJ186" s="142">
        <f t="shared" si="553"/>
        <v>0.62469085126712187</v>
      </c>
      <c r="AK186" s="359">
        <f t="shared" si="553"/>
        <v>0.18733068506367112</v>
      </c>
      <c r="AL186" s="542">
        <f t="shared" si="553"/>
        <v>0.26904376012965958</v>
      </c>
      <c r="AM186" s="542">
        <f t="shared" si="553"/>
        <v>0.30686365035395502</v>
      </c>
      <c r="AN186" s="542">
        <f t="shared" si="553"/>
        <v>0.18567713171094202</v>
      </c>
      <c r="AO186" s="603">
        <f t="shared" si="553"/>
        <v>0.27978680643760923</v>
      </c>
      <c r="AP186" s="542">
        <f t="shared" si="553"/>
        <v>0.24046905840009281</v>
      </c>
      <c r="AQ186" s="542">
        <f t="shared" si="553"/>
        <v>0.38266132830899657</v>
      </c>
      <c r="AR186" s="542">
        <f t="shared" si="553"/>
        <v>0.45677503590547075</v>
      </c>
      <c r="AS186" s="603">
        <f t="shared" si="553"/>
        <v>0.52957187606826439</v>
      </c>
      <c r="AT186" s="542">
        <f t="shared" si="553"/>
        <v>0.48649964058943329</v>
      </c>
      <c r="AU186" s="542">
        <f t="shared" si="553"/>
        <v>0.41761401381077135</v>
      </c>
      <c r="AV186" s="542">
        <f t="shared" si="553"/>
        <v>0.42982107518775425</v>
      </c>
      <c r="AW186" s="603">
        <f t="shared" si="553"/>
        <v>0.44179689606982619</v>
      </c>
      <c r="AX186" s="380">
        <f t="shared" si="553"/>
        <v>0.65092557612391388</v>
      </c>
      <c r="AY186" s="380">
        <f t="shared" si="553"/>
        <v>0.578371883448483</v>
      </c>
      <c r="AZ186" s="380">
        <f t="shared" si="553"/>
        <v>0.38978436850777287</v>
      </c>
      <c r="BA186" s="379">
        <f t="shared" si="553"/>
        <v>0.38493795180184653</v>
      </c>
      <c r="BB186" s="380">
        <f t="shared" si="553"/>
        <v>0.32797618398169348</v>
      </c>
      <c r="BC186" s="380">
        <f t="shared" si="553"/>
        <v>0.34013230481272849</v>
      </c>
      <c r="BD186" s="380">
        <f t="shared" si="553"/>
        <v>0.34033044898969034</v>
      </c>
      <c r="BE186" s="380">
        <f t="shared" si="553"/>
        <v>0.32740427273980366</v>
      </c>
      <c r="BF186" s="252"/>
      <c r="BG186" s="15"/>
    </row>
    <row r="187" spans="1:90" outlineLevel="1">
      <c r="B187" s="476" t="s">
        <v>371</v>
      </c>
      <c r="C187" s="449"/>
      <c r="D187" s="449"/>
      <c r="E187" s="15">
        <f t="shared" ref="E187:R187" si="554">E170/D170-1</f>
        <v>1.9294721423960879</v>
      </c>
      <c r="F187" s="15">
        <f t="shared" si="554"/>
        <v>1.1135506003430531</v>
      </c>
      <c r="G187" s="15">
        <f t="shared" si="554"/>
        <v>0.95146891738354156</v>
      </c>
      <c r="H187" s="15">
        <f t="shared" si="554"/>
        <v>0.76337020710305259</v>
      </c>
      <c r="I187" s="375">
        <f t="shared" si="554"/>
        <v>0.21829159001933873</v>
      </c>
      <c r="J187" s="431">
        <f t="shared" si="554"/>
        <v>0.32106546904642075</v>
      </c>
      <c r="K187" s="375">
        <f t="shared" si="554"/>
        <v>0.35433507935337505</v>
      </c>
      <c r="L187" s="375">
        <f t="shared" si="554"/>
        <v>0.32274931025833942</v>
      </c>
      <c r="M187" s="375">
        <f t="shared" si="554"/>
        <v>0.29562734733948615</v>
      </c>
      <c r="N187" s="375">
        <f t="shared" si="554"/>
        <v>0.20796584795321627</v>
      </c>
      <c r="O187" s="375">
        <f t="shared" si="554"/>
        <v>0.18778255673469402</v>
      </c>
      <c r="P187" s="375">
        <f t="shared" si="554"/>
        <v>0.17222575251353622</v>
      </c>
      <c r="Q187" s="375">
        <f t="shared" si="554"/>
        <v>0.15612077870600016</v>
      </c>
      <c r="R187" s="375">
        <f t="shared" si="554"/>
        <v>0.14169267489883053</v>
      </c>
      <c r="V187" s="142"/>
      <c r="W187" s="142"/>
      <c r="X187" s="142"/>
      <c r="Y187" s="359"/>
      <c r="Z187" s="142"/>
      <c r="AA187" s="142"/>
      <c r="AB187" s="142"/>
      <c r="AC187" s="359"/>
      <c r="AD187" s="142"/>
      <c r="AE187" s="142"/>
      <c r="AF187" s="142"/>
      <c r="AG187" s="359"/>
      <c r="AH187" s="142">
        <f t="shared" ref="AH187:AT187" si="555">AH170/AD170-1</f>
        <v>1.120362130783485</v>
      </c>
      <c r="AI187" s="142">
        <f t="shared" si="555"/>
        <v>0.90241758553347395</v>
      </c>
      <c r="AJ187" s="142">
        <f t="shared" si="555"/>
        <v>0.84196238742232432</v>
      </c>
      <c r="AK187" s="359">
        <f t="shared" si="555"/>
        <v>1.0792274534824577</v>
      </c>
      <c r="AL187" s="542">
        <f t="shared" si="555"/>
        <v>1.1414893617021278</v>
      </c>
      <c r="AM187" s="542">
        <f t="shared" si="555"/>
        <v>0.99208197484862604</v>
      </c>
      <c r="AN187" s="542">
        <f t="shared" si="555"/>
        <v>0.62481681012240187</v>
      </c>
      <c r="AO187" s="603">
        <f t="shared" si="555"/>
        <v>0.6149239996192053</v>
      </c>
      <c r="AP187" s="542">
        <f t="shared" si="555"/>
        <v>0.24884252359662207</v>
      </c>
      <c r="AQ187" s="542">
        <f t="shared" si="555"/>
        <v>0.2918961889174656</v>
      </c>
      <c r="AR187" s="542">
        <f t="shared" si="555"/>
        <v>0.16727284276050436</v>
      </c>
      <c r="AS187" s="603">
        <f t="shared" si="555"/>
        <v>0.21136625449302215</v>
      </c>
      <c r="AT187" s="542">
        <f t="shared" si="555"/>
        <v>0.37752991344195519</v>
      </c>
      <c r="AU187" s="380">
        <v>0.22</v>
      </c>
      <c r="AV187" s="542">
        <f t="shared" ref="AV187:BE187" si="556">AV170/AR170-1</f>
        <v>0.31371021104687613</v>
      </c>
      <c r="AW187" s="603">
        <f t="shared" si="556"/>
        <v>0.34000000000000008</v>
      </c>
      <c r="AX187" s="542">
        <f t="shared" si="556"/>
        <v>0.2818365578977764</v>
      </c>
      <c r="AY187" s="542">
        <f t="shared" si="556"/>
        <v>0.46547202797202791</v>
      </c>
      <c r="AZ187" s="542">
        <f t="shared" si="556"/>
        <v>0.34379918813685695</v>
      </c>
      <c r="BA187" s="603">
        <f t="shared" si="556"/>
        <v>0.33816951272031726</v>
      </c>
      <c r="BB187" s="542">
        <f t="shared" si="556"/>
        <v>0.30863432124352341</v>
      </c>
      <c r="BC187" s="542">
        <f t="shared" si="556"/>
        <v>0.31517253035490578</v>
      </c>
      <c r="BD187" s="542">
        <f t="shared" si="556"/>
        <v>0.33242735712964677</v>
      </c>
      <c r="BE187" s="542">
        <f t="shared" si="556"/>
        <v>0.32677850241882234</v>
      </c>
      <c r="BF187" s="252"/>
      <c r="BG187" s="15"/>
    </row>
    <row r="188" spans="1:90" outlineLevel="1">
      <c r="B188" s="1295" t="s">
        <v>804</v>
      </c>
      <c r="C188" s="449"/>
      <c r="D188" s="449"/>
      <c r="E188" s="15"/>
      <c r="F188" s="15"/>
      <c r="G188" s="15"/>
      <c r="H188" s="15"/>
      <c r="I188" s="375"/>
      <c r="J188" s="431"/>
      <c r="K188" s="375"/>
      <c r="L188" s="375"/>
      <c r="M188" s="375"/>
      <c r="N188" s="375"/>
      <c r="O188" s="375"/>
      <c r="P188" s="375"/>
      <c r="Q188" s="375"/>
      <c r="R188" s="375"/>
      <c r="V188" s="142"/>
      <c r="W188" s="142"/>
      <c r="X188" s="142"/>
      <c r="Y188" s="359"/>
      <c r="Z188" s="142"/>
      <c r="AA188" s="142"/>
      <c r="AB188" s="142"/>
      <c r="AC188" s="359"/>
      <c r="AD188" s="142"/>
      <c r="AE188" s="142"/>
      <c r="AF188" s="142"/>
      <c r="AG188" s="359"/>
      <c r="AH188" s="142"/>
      <c r="AI188" s="142"/>
      <c r="AJ188" s="142"/>
      <c r="AK188" s="359"/>
      <c r="AL188" s="542">
        <f t="shared" ref="AL188:BE188" si="557">(AL169+AL170)/(AH169+AH170)-1</f>
        <v>0.45829006576670128</v>
      </c>
      <c r="AM188" s="542">
        <f t="shared" si="557"/>
        <v>0.4770387507229612</v>
      </c>
      <c r="AN188" s="542">
        <f t="shared" si="557"/>
        <v>0.31741903523437975</v>
      </c>
      <c r="AO188" s="603">
        <f t="shared" si="557"/>
        <v>0.39248746131682855</v>
      </c>
      <c r="AP188" s="542">
        <f t="shared" si="557"/>
        <v>0.24313632407627184</v>
      </c>
      <c r="AQ188" s="542">
        <f t="shared" si="557"/>
        <v>0.3522593781815333</v>
      </c>
      <c r="AR188" s="542">
        <f t="shared" si="557"/>
        <v>0.34965922444183306</v>
      </c>
      <c r="AS188" s="603">
        <f t="shared" si="557"/>
        <v>0.40547168365391983</v>
      </c>
      <c r="AT188" s="542">
        <f t="shared" si="557"/>
        <v>0.45162932790224031</v>
      </c>
      <c r="AU188" s="542">
        <f t="shared" si="557"/>
        <v>0.36149881276423246</v>
      </c>
      <c r="AV188" s="542">
        <f t="shared" si="557"/>
        <v>0.39266559866267325</v>
      </c>
      <c r="AW188" s="603">
        <f t="shared" si="557"/>
        <v>0.4075790621592148</v>
      </c>
      <c r="AX188" s="542">
        <f t="shared" si="557"/>
        <v>0.53884601894072248</v>
      </c>
      <c r="AY188" s="542">
        <f t="shared" si="557"/>
        <v>0.54540814156280581</v>
      </c>
      <c r="AZ188" s="542">
        <f t="shared" si="557"/>
        <v>0.37590337342769264</v>
      </c>
      <c r="BA188" s="603">
        <f t="shared" si="557"/>
        <v>0.36997205129575716</v>
      </c>
      <c r="BB188" s="542">
        <f t="shared" si="557"/>
        <v>0.32308368134936472</v>
      </c>
      <c r="BC188" s="542">
        <f t="shared" si="557"/>
        <v>0.33322166730560676</v>
      </c>
      <c r="BD188" s="542">
        <f t="shared" si="557"/>
        <v>0.33800050127769365</v>
      </c>
      <c r="BE188" s="542">
        <f t="shared" si="557"/>
        <v>0.32720867476048188</v>
      </c>
      <c r="BF188" s="252"/>
      <c r="BG188" s="15"/>
    </row>
    <row r="189" spans="1:90" s="225" customFormat="1" outlineLevel="1">
      <c r="A189" s="1348"/>
      <c r="B189" s="401" t="s">
        <v>799</v>
      </c>
      <c r="I189" s="583"/>
      <c r="J189" s="593"/>
      <c r="K189" s="583"/>
      <c r="L189" s="301">
        <f>L171/K171-1</f>
        <v>0.60950961642355495</v>
      </c>
      <c r="M189" s="334">
        <v>0.5</v>
      </c>
      <c r="N189" s="334">
        <f t="shared" ref="N189:R189" si="558">M189*0.85</f>
        <v>0.42499999999999999</v>
      </c>
      <c r="O189" s="334">
        <f t="shared" si="558"/>
        <v>0.36124999999999996</v>
      </c>
      <c r="P189" s="334">
        <f t="shared" si="558"/>
        <v>0.30706249999999996</v>
      </c>
      <c r="Q189" s="334">
        <f t="shared" si="558"/>
        <v>0.26100312499999995</v>
      </c>
      <c r="R189" s="334">
        <f t="shared" si="558"/>
        <v>0.22185265624999995</v>
      </c>
      <c r="V189" s="218"/>
      <c r="W189" s="218"/>
      <c r="X189" s="218"/>
      <c r="Y189" s="277"/>
      <c r="Z189" s="218"/>
      <c r="AA189" s="218"/>
      <c r="AB189" s="218"/>
      <c r="AC189" s="277"/>
      <c r="AD189" s="218"/>
      <c r="AE189" s="218"/>
      <c r="AF189" s="218"/>
      <c r="AG189" s="277"/>
      <c r="AH189" s="218"/>
      <c r="AI189" s="218"/>
      <c r="AJ189" s="218"/>
      <c r="AK189" s="277"/>
      <c r="AL189" s="218"/>
      <c r="AM189" s="218"/>
      <c r="AN189" s="218"/>
      <c r="AO189" s="277"/>
      <c r="AP189" s="584"/>
      <c r="AQ189" s="301"/>
      <c r="AR189" s="301"/>
      <c r="AS189" s="335"/>
      <c r="AT189" s="301"/>
      <c r="AU189" s="301"/>
      <c r="AV189" s="301"/>
      <c r="AW189" s="335"/>
      <c r="AX189" s="301"/>
      <c r="AY189" s="301"/>
      <c r="AZ189" s="301"/>
      <c r="BA189" s="335"/>
      <c r="BB189" s="301"/>
      <c r="BC189" s="301"/>
      <c r="BD189" s="301"/>
      <c r="BE189" s="301"/>
      <c r="BF189" s="583"/>
      <c r="BG189" s="301"/>
      <c r="CG189"/>
      <c r="CH189"/>
      <c r="CI189"/>
      <c r="CJ189"/>
      <c r="CK189"/>
      <c r="CL189"/>
    </row>
    <row r="190" spans="1:90" s="225" customFormat="1" outlineLevel="1">
      <c r="A190" s="1348"/>
      <c r="B190" s="401" t="s">
        <v>126</v>
      </c>
      <c r="I190" s="301">
        <f t="shared" ref="I190:R190" si="559">I174/H174-1</f>
        <v>0.33986807741244229</v>
      </c>
      <c r="J190" s="335">
        <f t="shared" si="559"/>
        <v>0.42577436807316982</v>
      </c>
      <c r="K190" s="301">
        <f t="shared" si="559"/>
        <v>0.54785186535856045</v>
      </c>
      <c r="L190" s="301">
        <f t="shared" si="559"/>
        <v>0.35465552881986229</v>
      </c>
      <c r="M190" s="301">
        <f t="shared" si="559"/>
        <v>0.30931286681715564</v>
      </c>
      <c r="N190" s="301">
        <f t="shared" si="559"/>
        <v>0.20718145454545489</v>
      </c>
      <c r="O190" s="301">
        <f t="shared" si="559"/>
        <v>0.19093931217167226</v>
      </c>
      <c r="P190" s="301">
        <f t="shared" si="559"/>
        <v>0.2169397470740051</v>
      </c>
      <c r="Q190" s="301">
        <f t="shared" si="559"/>
        <v>0.13388768680780827</v>
      </c>
      <c r="R190" s="301">
        <f t="shared" si="559"/>
        <v>0.12015130367432425</v>
      </c>
      <c r="V190" s="218"/>
      <c r="W190" s="218"/>
      <c r="X190" s="218"/>
      <c r="Y190" s="277"/>
      <c r="Z190" s="218"/>
      <c r="AA190" s="218"/>
      <c r="AB190" s="218"/>
      <c r="AC190" s="277"/>
      <c r="AD190" s="218"/>
      <c r="AE190" s="218"/>
      <c r="AF190" s="218"/>
      <c r="AG190" s="277"/>
      <c r="AH190" s="301">
        <f t="shared" ref="AH190:BE190" si="560">AH174/AD174-1</f>
        <v>0.72374701670644392</v>
      </c>
      <c r="AI190" s="301">
        <f t="shared" si="560"/>
        <v>0.54374999999999996</v>
      </c>
      <c r="AJ190" s="301">
        <f t="shared" si="560"/>
        <v>0.68429286608260331</v>
      </c>
      <c r="AK190" s="335">
        <f t="shared" si="560"/>
        <v>0.38747408942848671</v>
      </c>
      <c r="AL190" s="301">
        <f t="shared" si="560"/>
        <v>0.45829006576670128</v>
      </c>
      <c r="AM190" s="301">
        <f t="shared" si="560"/>
        <v>0.4770387507229612</v>
      </c>
      <c r="AN190" s="301">
        <f t="shared" si="560"/>
        <v>0.31741903523437975</v>
      </c>
      <c r="AO190" s="335">
        <f t="shared" si="560"/>
        <v>0.39248746131682855</v>
      </c>
      <c r="AP190" s="301">
        <f t="shared" si="560"/>
        <v>0.24313632407627184</v>
      </c>
      <c r="AQ190" s="301">
        <f t="shared" si="560"/>
        <v>0.3522593781815333</v>
      </c>
      <c r="AR190" s="301">
        <f t="shared" si="560"/>
        <v>0.34965922444183306</v>
      </c>
      <c r="AS190" s="335">
        <f t="shared" si="560"/>
        <v>0.40547168365391983</v>
      </c>
      <c r="AT190" s="301">
        <f t="shared" si="560"/>
        <v>0.48822556008146645</v>
      </c>
      <c r="AU190" s="301">
        <f t="shared" si="560"/>
        <v>0.39624717669543053</v>
      </c>
      <c r="AV190" s="301">
        <f t="shared" si="560"/>
        <v>0.42097931322699722</v>
      </c>
      <c r="AW190" s="335">
        <f t="shared" si="560"/>
        <v>0.4075790621592148</v>
      </c>
      <c r="AX190" s="301">
        <f t="shared" si="560"/>
        <v>0.57002950861737167</v>
      </c>
      <c r="AY190" s="301">
        <f t="shared" si="560"/>
        <v>0.640756563938778</v>
      </c>
      <c r="AZ190" s="301">
        <f t="shared" si="560"/>
        <v>0.47308955443360623</v>
      </c>
      <c r="BA190" s="335">
        <f t="shared" si="560"/>
        <v>0.55916438133643109</v>
      </c>
      <c r="BB190" s="301">
        <f t="shared" si="560"/>
        <v>0.40880341708433243</v>
      </c>
      <c r="BC190" s="301">
        <f t="shared" si="560"/>
        <v>0.3688580123588745</v>
      </c>
      <c r="BD190" s="301">
        <f t="shared" si="560"/>
        <v>0.3291711102370849</v>
      </c>
      <c r="BE190" s="301">
        <f t="shared" si="560"/>
        <v>0.32936488848101364</v>
      </c>
      <c r="BF190" s="583"/>
      <c r="BG190" s="301"/>
      <c r="CG190"/>
      <c r="CH190"/>
      <c r="CI190"/>
      <c r="CJ190"/>
      <c r="CK190"/>
      <c r="CL190"/>
    </row>
    <row r="191" spans="1:90" outlineLevel="1">
      <c r="B191" s="144" t="s">
        <v>81</v>
      </c>
      <c r="C191" s="449"/>
      <c r="D191" s="449"/>
      <c r="E191" s="485"/>
      <c r="F191" s="485"/>
      <c r="G191" s="485"/>
      <c r="H191" s="485"/>
      <c r="I191" s="485"/>
      <c r="J191" s="488"/>
      <c r="K191" s="485"/>
      <c r="L191" s="485"/>
      <c r="M191" s="485"/>
      <c r="N191" s="485"/>
      <c r="O191" s="485"/>
      <c r="P191" s="485"/>
      <c r="Q191" s="485"/>
      <c r="R191" s="485"/>
      <c r="V191" s="486"/>
      <c r="W191" s="486"/>
      <c r="X191" s="486"/>
      <c r="Y191" s="487"/>
      <c r="Z191" s="486"/>
      <c r="AA191" s="486"/>
      <c r="AB191" s="486"/>
      <c r="AC191" s="487"/>
      <c r="AD191" s="485"/>
      <c r="AE191" s="485"/>
      <c r="AF191" s="485"/>
      <c r="AG191" s="488"/>
      <c r="AH191" s="485"/>
      <c r="AI191" s="485"/>
      <c r="AJ191" s="485"/>
      <c r="AK191" s="488"/>
      <c r="AL191" s="485"/>
      <c r="AM191" s="485"/>
      <c r="AN191" s="485"/>
      <c r="AO191" s="488"/>
      <c r="AP191" s="485"/>
      <c r="AQ191" s="485"/>
      <c r="AR191" s="485"/>
      <c r="AS191" s="488"/>
      <c r="AT191" s="485"/>
      <c r="AU191" s="485"/>
      <c r="AV191" s="485"/>
      <c r="AW191" s="488"/>
      <c r="AX191" s="489"/>
      <c r="AY191" s="489"/>
      <c r="AZ191" s="489"/>
      <c r="BA191" s="747"/>
      <c r="BB191" s="489"/>
      <c r="BC191" s="489"/>
      <c r="BD191" s="489"/>
      <c r="BE191" s="489"/>
      <c r="BF191" s="485"/>
      <c r="BG191" s="15"/>
    </row>
    <row r="192" spans="1:90" outlineLevel="1">
      <c r="B192" s="476" t="s">
        <v>797</v>
      </c>
      <c r="C192" s="449"/>
      <c r="D192" s="449"/>
      <c r="E192" s="15"/>
      <c r="F192" s="41"/>
      <c r="G192" s="15"/>
      <c r="H192" s="15"/>
      <c r="I192" s="15"/>
      <c r="J192" s="435"/>
      <c r="K192" s="15"/>
      <c r="L192" s="15"/>
      <c r="M192" s="15"/>
      <c r="N192" s="15"/>
      <c r="O192" s="15"/>
      <c r="P192" s="15"/>
      <c r="Q192" s="15"/>
      <c r="R192" s="15"/>
      <c r="V192" s="142"/>
      <c r="W192" s="142"/>
      <c r="X192" s="142"/>
      <c r="Y192" s="359"/>
      <c r="Z192" s="142"/>
      <c r="AA192" s="142"/>
      <c r="AB192" s="142"/>
      <c r="AC192" s="359"/>
      <c r="AD192" s="142"/>
      <c r="AE192" s="142">
        <f t="shared" ref="AE192:BE192" si="561">AE169/AD169-1</f>
        <v>7.9702580722897709E-2</v>
      </c>
      <c r="AF192" s="142">
        <f t="shared" si="561"/>
        <v>0.55605850111686705</v>
      </c>
      <c r="AG192" s="359">
        <f t="shared" si="561"/>
        <v>-0.24712165426622346</v>
      </c>
      <c r="AH192" s="142">
        <f t="shared" si="561"/>
        <v>0.29562733886315029</v>
      </c>
      <c r="AI192" s="142">
        <f t="shared" si="561"/>
        <v>-4.2581405628407287E-2</v>
      </c>
      <c r="AJ192" s="142">
        <f t="shared" si="561"/>
        <v>0.73965835641735911</v>
      </c>
      <c r="AK192" s="359">
        <f t="shared" si="561"/>
        <v>-0.44979344143379063</v>
      </c>
      <c r="AL192" s="142">
        <f t="shared" si="561"/>
        <v>0.38479347878515036</v>
      </c>
      <c r="AM192" s="142">
        <f t="shared" si="561"/>
        <v>-1.4048531289910571E-2</v>
      </c>
      <c r="AN192" s="142">
        <f t="shared" si="561"/>
        <v>0.57833843617522374</v>
      </c>
      <c r="AO192" s="359">
        <f t="shared" si="561"/>
        <v>-0.4061223956876131</v>
      </c>
      <c r="AP192" s="142">
        <f t="shared" si="561"/>
        <v>0.3422497044557149</v>
      </c>
      <c r="AQ192" s="142">
        <f t="shared" si="561"/>
        <v>9.8968940936863481E-2</v>
      </c>
      <c r="AR192" s="142">
        <f t="shared" si="561"/>
        <v>0.6629408698673771</v>
      </c>
      <c r="AS192" s="359">
        <f t="shared" si="561"/>
        <v>-0.3764456014181945</v>
      </c>
      <c r="AT192" s="142">
        <f t="shared" si="561"/>
        <v>0.30445239904871646</v>
      </c>
      <c r="AU192" s="142">
        <f t="shared" si="561"/>
        <v>4.8041808336481528E-2</v>
      </c>
      <c r="AV192" s="142">
        <f t="shared" si="561"/>
        <v>0.67726043857014129</v>
      </c>
      <c r="AW192" s="359">
        <f t="shared" si="561"/>
        <v>-0.3712228669675478</v>
      </c>
      <c r="AX192" s="286">
        <f t="shared" si="561"/>
        <v>0.4936596370099462</v>
      </c>
      <c r="AY192" s="286">
        <f t="shared" si="561"/>
        <v>1.9832189168573766E-3</v>
      </c>
      <c r="AZ192" s="286">
        <f t="shared" si="561"/>
        <v>0.47685749086479912</v>
      </c>
      <c r="BA192" s="287">
        <f t="shared" si="561"/>
        <v>-0.37341552078556761</v>
      </c>
      <c r="BB192" s="286">
        <f t="shared" si="561"/>
        <v>0.43222620359511299</v>
      </c>
      <c r="BC192" s="286">
        <f t="shared" si="561"/>
        <v>1.1155242652480579E-2</v>
      </c>
      <c r="BD192" s="286">
        <f t="shared" si="561"/>
        <v>0.47707585043345246</v>
      </c>
      <c r="BE192" s="286">
        <f t="shared" si="561"/>
        <v>-0.37945831524709339</v>
      </c>
      <c r="BF192" s="142"/>
      <c r="BG192" s="15"/>
    </row>
    <row r="193" spans="1:90" outlineLevel="1">
      <c r="B193" s="476" t="s">
        <v>371</v>
      </c>
      <c r="C193" s="449"/>
      <c r="D193" s="449"/>
      <c r="E193" s="15"/>
      <c r="F193" s="41"/>
      <c r="G193" s="15"/>
      <c r="H193" s="15"/>
      <c r="I193" s="15"/>
      <c r="J193" s="435"/>
      <c r="K193" s="15"/>
      <c r="L193" s="15"/>
      <c r="M193" s="15"/>
      <c r="N193" s="15"/>
      <c r="O193" s="15"/>
      <c r="P193" s="15"/>
      <c r="Q193" s="15"/>
      <c r="R193" s="15"/>
      <c r="V193" s="142"/>
      <c r="W193" s="142"/>
      <c r="X193" s="142"/>
      <c r="Y193" s="359"/>
      <c r="Z193" s="142"/>
      <c r="AA193" s="142"/>
      <c r="AB193" s="142"/>
      <c r="AC193" s="359"/>
      <c r="AD193" s="142"/>
      <c r="AE193" s="142">
        <f t="shared" ref="AE193:BE193" si="562">AE170/AD170-1</f>
        <v>0.27285338710932638</v>
      </c>
      <c r="AF193" s="142">
        <f t="shared" si="562"/>
        <v>1.3305581251927228</v>
      </c>
      <c r="AG193" s="359">
        <f t="shared" si="562"/>
        <v>-0.42376236795600664</v>
      </c>
      <c r="AH193" s="142">
        <f t="shared" si="562"/>
        <v>0.24042382906959725</v>
      </c>
      <c r="AI193" s="142">
        <f t="shared" si="562"/>
        <v>0.14202127659574471</v>
      </c>
      <c r="AJ193" s="142">
        <f t="shared" si="562"/>
        <v>1.2564974382859804</v>
      </c>
      <c r="AK193" s="359">
        <f t="shared" si="562"/>
        <v>-0.34953660701385036</v>
      </c>
      <c r="AL193" s="142">
        <f t="shared" si="562"/>
        <v>0.27756798781455294</v>
      </c>
      <c r="AM193" s="142">
        <f t="shared" si="562"/>
        <v>6.2344759066070621E-2</v>
      </c>
      <c r="AN193" s="142">
        <f t="shared" si="562"/>
        <v>0.84048398410100544</v>
      </c>
      <c r="AO193" s="359">
        <f t="shared" si="562"/>
        <v>-0.35349699876139351</v>
      </c>
      <c r="AP193" s="142">
        <f t="shared" si="562"/>
        <v>-1.20394332211331E-2</v>
      </c>
      <c r="AQ193" s="142">
        <f t="shared" si="562"/>
        <v>9.8968940936863703E-2</v>
      </c>
      <c r="AR193" s="142">
        <f t="shared" si="562"/>
        <v>0.66294086986737688</v>
      </c>
      <c r="AS193" s="359">
        <f t="shared" si="562"/>
        <v>-0.32907552507019822</v>
      </c>
      <c r="AT193" s="142">
        <f t="shared" si="562"/>
        <v>0.12347956614371491</v>
      </c>
      <c r="AU193" s="142">
        <f t="shared" si="562"/>
        <v>-8.9517759168351585E-3</v>
      </c>
      <c r="AV193" s="142">
        <f t="shared" si="562"/>
        <v>0.75859557109557119</v>
      </c>
      <c r="AW193" s="359">
        <f t="shared" si="562"/>
        <v>-0.31564907629856687</v>
      </c>
      <c r="AX193" s="286">
        <f t="shared" si="562"/>
        <v>7.4714313383691833E-2</v>
      </c>
      <c r="AY193" s="286">
        <f t="shared" si="562"/>
        <v>0.13302545618382511</v>
      </c>
      <c r="AZ193" s="286">
        <f t="shared" si="562"/>
        <v>0.61258574410975242</v>
      </c>
      <c r="BA193" s="287">
        <f t="shared" si="562"/>
        <v>-0.31851607726527376</v>
      </c>
      <c r="BB193" s="286">
        <f t="shared" si="562"/>
        <v>5.0993930631799911E-2</v>
      </c>
      <c r="BC193" s="286">
        <f t="shared" si="562"/>
        <v>0.13868628689932261</v>
      </c>
      <c r="BD193" s="286">
        <f t="shared" si="562"/>
        <v>0.63374257869366968</v>
      </c>
      <c r="BE193" s="286">
        <f t="shared" si="562"/>
        <v>-0.32140524315239871</v>
      </c>
      <c r="BF193" s="142"/>
      <c r="BG193" s="15"/>
    </row>
    <row r="194" spans="1:90" outlineLevel="1">
      <c r="B194" s="1295" t="s">
        <v>804</v>
      </c>
      <c r="C194" s="449"/>
      <c r="D194" s="449"/>
      <c r="E194" s="15"/>
      <c r="F194" s="41"/>
      <c r="G194" s="15"/>
      <c r="H194" s="15"/>
      <c r="I194" s="15"/>
      <c r="J194" s="435"/>
      <c r="K194" s="15"/>
      <c r="L194" s="15"/>
      <c r="M194" s="15"/>
      <c r="N194" s="15"/>
      <c r="O194" s="15"/>
      <c r="P194" s="15"/>
      <c r="Q194" s="15"/>
      <c r="R194" s="15"/>
      <c r="V194" s="142"/>
      <c r="W194" s="142"/>
      <c r="X194" s="142"/>
      <c r="Y194" s="359"/>
      <c r="Z194" s="142"/>
      <c r="AA194" s="142"/>
      <c r="AB194" s="142"/>
      <c r="AC194" s="359"/>
      <c r="AD194" s="142"/>
      <c r="AE194" s="142"/>
      <c r="AF194" s="142"/>
      <c r="AG194" s="359"/>
      <c r="AH194" s="142"/>
      <c r="AI194" s="142"/>
      <c r="AJ194" s="142"/>
      <c r="AK194" s="359"/>
      <c r="AL194" s="142"/>
      <c r="AM194" s="142"/>
      <c r="AN194" s="142"/>
      <c r="AO194" s="359"/>
      <c r="AP194" s="142"/>
      <c r="AQ194" s="142"/>
      <c r="AR194" s="142"/>
      <c r="AS194" s="359"/>
      <c r="AT194" s="286">
        <f t="shared" ref="AT194:BE194" si="563">(AT169+AT170)/(AS169+AS170)-1</f>
        <v>0.24362050163576887</v>
      </c>
      <c r="AU194" s="286">
        <f t="shared" si="563"/>
        <v>3.0734829884251136E-2</v>
      </c>
      <c r="AV194" s="286">
        <f t="shared" si="563"/>
        <v>0.70100812454804551</v>
      </c>
      <c r="AW194" s="287">
        <f t="shared" si="563"/>
        <v>-0.35444747305509017</v>
      </c>
      <c r="AX194" s="286">
        <f t="shared" si="563"/>
        <v>0.35959713344954491</v>
      </c>
      <c r="AY194" s="286">
        <f t="shared" si="563"/>
        <v>3.5130206849393053E-2</v>
      </c>
      <c r="AZ194" s="286">
        <f t="shared" si="563"/>
        <v>0.51443670694448262</v>
      </c>
      <c r="BA194" s="287">
        <f t="shared" si="563"/>
        <v>-0.35723035742352971</v>
      </c>
      <c r="BB194" s="286">
        <f t="shared" si="563"/>
        <v>0.31306385321879771</v>
      </c>
      <c r="BC194" s="286">
        <f t="shared" si="563"/>
        <v>4.3061780375580394E-2</v>
      </c>
      <c r="BD194" s="286">
        <f t="shared" si="563"/>
        <v>0.51986509275698456</v>
      </c>
      <c r="BE194" s="286">
        <f t="shared" si="563"/>
        <v>-0.36241470411592003</v>
      </c>
      <c r="BF194" s="142"/>
      <c r="BG194" s="15"/>
    </row>
    <row r="195" spans="1:90" outlineLevel="1">
      <c r="B195" s="401" t="s">
        <v>799</v>
      </c>
      <c r="C195" s="449"/>
      <c r="D195" s="449"/>
      <c r="E195" s="15"/>
      <c r="F195" s="41"/>
      <c r="G195" s="15"/>
      <c r="H195" s="15"/>
      <c r="I195" s="15"/>
      <c r="J195" s="435"/>
      <c r="K195" s="15"/>
      <c r="L195" s="15"/>
      <c r="M195" s="15"/>
      <c r="N195" s="15"/>
      <c r="O195" s="15"/>
      <c r="P195" s="15"/>
      <c r="Q195" s="15"/>
      <c r="R195" s="15"/>
      <c r="V195" s="142"/>
      <c r="W195" s="142"/>
      <c r="X195" s="142"/>
      <c r="Y195" s="359"/>
      <c r="Z195" s="142"/>
      <c r="AA195" s="142"/>
      <c r="AB195" s="142"/>
      <c r="AC195" s="359"/>
      <c r="AD195" s="142"/>
      <c r="AE195" s="142"/>
      <c r="AF195" s="142"/>
      <c r="AG195" s="359"/>
      <c r="AH195" s="142"/>
      <c r="AI195" s="142"/>
      <c r="AJ195" s="142"/>
      <c r="AK195" s="359"/>
      <c r="AL195" s="142"/>
      <c r="AM195" s="142"/>
      <c r="AN195" s="142"/>
      <c r="AO195" s="359"/>
      <c r="AP195" s="142"/>
      <c r="AQ195" s="142"/>
      <c r="AR195" s="142"/>
      <c r="AS195" s="359"/>
      <c r="AT195" s="142"/>
      <c r="AU195" s="142"/>
      <c r="AV195" s="142"/>
      <c r="AW195" s="359"/>
      <c r="AX195" s="286"/>
      <c r="AY195" s="286"/>
      <c r="AZ195" s="286"/>
      <c r="BA195" s="287"/>
      <c r="BB195" s="286">
        <f>BB171/BA171-1</f>
        <v>8.1572481572481426E-2</v>
      </c>
      <c r="BC195" s="286">
        <f>BC171/BB171-1</f>
        <v>8.106921096471309E-2</v>
      </c>
      <c r="BD195" s="286">
        <f>BD171/BC171-1</f>
        <v>9.8248882787218328E-2</v>
      </c>
      <c r="BE195" s="286">
        <f>BE171/BD171-1</f>
        <v>4.7382720868204276E-2</v>
      </c>
      <c r="BF195" s="142"/>
      <c r="BG195" s="15"/>
    </row>
    <row r="196" spans="1:90" outlineLevel="1">
      <c r="B196" s="401" t="s">
        <v>885</v>
      </c>
      <c r="C196" s="449"/>
      <c r="D196" s="449"/>
      <c r="E196" s="15"/>
      <c r="F196" s="41"/>
      <c r="G196" s="15"/>
      <c r="H196" s="15"/>
      <c r="I196" s="15"/>
      <c r="J196" s="435"/>
      <c r="K196" s="15"/>
      <c r="L196" s="15"/>
      <c r="M196" s="15"/>
      <c r="N196" s="15"/>
      <c r="O196" s="15"/>
      <c r="P196" s="15"/>
      <c r="Q196" s="15"/>
      <c r="R196" s="15"/>
      <c r="V196" s="142"/>
      <c r="W196" s="142"/>
      <c r="X196" s="142"/>
      <c r="Y196" s="359"/>
      <c r="Z196" s="142"/>
      <c r="AA196" s="142"/>
      <c r="AB196" s="142"/>
      <c r="AC196" s="359"/>
      <c r="AD196" s="142"/>
      <c r="AE196" s="142"/>
      <c r="AF196" s="142"/>
      <c r="AG196" s="359"/>
      <c r="AH196" s="142"/>
      <c r="AI196" s="142"/>
      <c r="AJ196" s="142"/>
      <c r="AK196" s="359"/>
      <c r="AL196" s="142"/>
      <c r="AM196" s="142"/>
      <c r="AN196" s="142"/>
      <c r="AO196" s="359"/>
      <c r="AP196" s="142"/>
      <c r="AQ196" s="142"/>
      <c r="AR196" s="142"/>
      <c r="AS196" s="359"/>
      <c r="AT196" s="142"/>
      <c r="AU196" s="142"/>
      <c r="AV196" s="142"/>
      <c r="AW196" s="359"/>
      <c r="AX196" s="286"/>
      <c r="AY196" s="286"/>
      <c r="AZ196" s="286"/>
      <c r="BA196" s="287"/>
      <c r="BB196" s="286">
        <f>BB279/BA279-1</f>
        <v>0.34615384615384626</v>
      </c>
      <c r="BC196" s="286">
        <f>BC279/BB279-1</f>
        <v>-5.7142857142857162E-2</v>
      </c>
      <c r="BD196" s="286">
        <f>BD279/BC279-1</f>
        <v>0.33333333333333326</v>
      </c>
      <c r="BE196" s="286">
        <f>BE279/BD279-1</f>
        <v>-0.22727272727272729</v>
      </c>
      <c r="BF196" s="142"/>
      <c r="BG196" s="15"/>
    </row>
    <row r="197" spans="1:90" outlineLevel="1">
      <c r="B197" s="401" t="s">
        <v>126</v>
      </c>
      <c r="C197" s="449"/>
      <c r="D197" s="449"/>
      <c r="E197" s="15"/>
      <c r="F197" s="41"/>
      <c r="G197" s="15"/>
      <c r="H197" s="15"/>
      <c r="I197" s="15"/>
      <c r="J197" s="435"/>
      <c r="K197" s="15"/>
      <c r="L197" s="15"/>
      <c r="M197" s="15"/>
      <c r="N197" s="15"/>
      <c r="O197" s="15"/>
      <c r="P197" s="15"/>
      <c r="Q197" s="15"/>
      <c r="R197" s="15"/>
      <c r="V197" s="142"/>
      <c r="W197" s="142"/>
      <c r="X197" s="142"/>
      <c r="Y197" s="359"/>
      <c r="Z197" s="142"/>
      <c r="AA197" s="142"/>
      <c r="AB197" s="142"/>
      <c r="AC197" s="359"/>
      <c r="AD197" s="142"/>
      <c r="AE197" s="142">
        <f t="shared" ref="AE197:BE197" si="564">AE174/AD174-1</f>
        <v>0.11376292760540974</v>
      </c>
      <c r="AF197" s="142">
        <f t="shared" si="564"/>
        <v>0.71214285714285719</v>
      </c>
      <c r="AG197" s="359">
        <f t="shared" si="564"/>
        <v>-0.29557780559032121</v>
      </c>
      <c r="AH197" s="142">
        <f t="shared" si="564"/>
        <v>0.28323956174119047</v>
      </c>
      <c r="AI197" s="142">
        <f t="shared" si="564"/>
        <v>-2.5383639090804655E-3</v>
      </c>
      <c r="AJ197" s="142">
        <f t="shared" si="564"/>
        <v>0.86801619433198374</v>
      </c>
      <c r="AK197" s="359">
        <f t="shared" si="564"/>
        <v>-0.41971639110780856</v>
      </c>
      <c r="AL197" s="142">
        <f t="shared" si="564"/>
        <v>0.34873546046313098</v>
      </c>
      <c r="AM197" s="142">
        <f t="shared" si="564"/>
        <v>1.0285623862647419E-2</v>
      </c>
      <c r="AN197" s="142">
        <f t="shared" si="564"/>
        <v>0.66614456887775075</v>
      </c>
      <c r="AO197" s="359">
        <f t="shared" si="564"/>
        <v>-0.38665099882491183</v>
      </c>
      <c r="AP197" s="142">
        <f t="shared" si="564"/>
        <v>0.20407694076174421</v>
      </c>
      <c r="AQ197" s="142">
        <f t="shared" si="564"/>
        <v>9.8968940936863481E-2</v>
      </c>
      <c r="AR197" s="142">
        <f t="shared" si="564"/>
        <v>0.6629408698673771</v>
      </c>
      <c r="AS197" s="359">
        <f t="shared" si="564"/>
        <v>-0.36128717698683566</v>
      </c>
      <c r="AT197" s="142">
        <f t="shared" si="564"/>
        <v>0.27497273718647763</v>
      </c>
      <c r="AU197" s="142">
        <f t="shared" si="564"/>
        <v>3.1048197408373612E-2</v>
      </c>
      <c r="AV197" s="142">
        <f t="shared" si="564"/>
        <v>0.69239703015471399</v>
      </c>
      <c r="AW197" s="359">
        <f t="shared" si="564"/>
        <v>-0.3673104259595118</v>
      </c>
      <c r="AX197" s="142">
        <f t="shared" si="564"/>
        <v>0.42211892310672083</v>
      </c>
      <c r="AY197" s="142">
        <f t="shared" si="564"/>
        <v>7.7495096971017752E-2</v>
      </c>
      <c r="AZ197" s="142">
        <f t="shared" si="564"/>
        <v>0.51945294132517628</v>
      </c>
      <c r="BA197" s="359">
        <f t="shared" si="564"/>
        <v>-0.33034142743199446</v>
      </c>
      <c r="BB197" s="142">
        <f t="shared" si="564"/>
        <v>0.28497419666280455</v>
      </c>
      <c r="BC197" s="142">
        <f t="shared" si="564"/>
        <v>4.6943653656604356E-2</v>
      </c>
      <c r="BD197" s="142">
        <f t="shared" si="564"/>
        <v>0.47539988423920287</v>
      </c>
      <c r="BE197" s="142">
        <f t="shared" si="564"/>
        <v>-0.33024379872096954</v>
      </c>
      <c r="BF197" s="142"/>
      <c r="BG197" s="15"/>
    </row>
    <row r="198" spans="1:90" outlineLevel="1">
      <c r="B198" s="401"/>
      <c r="C198" s="449"/>
      <c r="D198" s="449"/>
      <c r="E198" s="485"/>
      <c r="F198" s="485"/>
      <c r="G198" s="485"/>
      <c r="H198" s="485"/>
      <c r="I198" s="485"/>
      <c r="J198" s="488"/>
      <c r="K198" s="485"/>
      <c r="L198" s="485"/>
      <c r="M198" s="485"/>
      <c r="N198" s="485"/>
      <c r="O198" s="485"/>
      <c r="P198" s="485"/>
      <c r="Q198" s="485"/>
      <c r="R198" s="485"/>
      <c r="V198" s="486"/>
      <c r="W198" s="486"/>
      <c r="X198" s="486"/>
      <c r="Y198" s="487"/>
      <c r="Z198" s="486"/>
      <c r="AA198" s="486"/>
      <c r="AB198" s="486"/>
      <c r="AC198" s="487"/>
      <c r="AD198" s="485"/>
      <c r="AE198" s="485"/>
      <c r="AF198" s="485"/>
      <c r="AG198" s="488"/>
      <c r="AH198" s="485"/>
      <c r="AI198" s="485"/>
      <c r="AJ198" s="485"/>
      <c r="AK198" s="488"/>
      <c r="AL198" s="485"/>
      <c r="AM198" s="485"/>
      <c r="AN198" s="485"/>
      <c r="AO198" s="488"/>
      <c r="AP198" s="485"/>
      <c r="AQ198" s="485"/>
      <c r="AR198" s="485"/>
      <c r="AS198" s="488"/>
      <c r="AT198" s="485"/>
      <c r="AU198" s="485"/>
      <c r="AV198" s="485"/>
      <c r="AW198" s="488"/>
      <c r="AX198" s="489"/>
      <c r="AY198" s="489"/>
      <c r="AZ198" s="489"/>
      <c r="BA198" s="747"/>
      <c r="BB198" s="489"/>
      <c r="BC198" s="489"/>
      <c r="BD198" s="489"/>
      <c r="BE198" s="489"/>
      <c r="BF198" s="485"/>
      <c r="BG198" s="15"/>
    </row>
    <row r="199" spans="1:90" outlineLevel="1">
      <c r="B199" s="383" t="s">
        <v>648</v>
      </c>
      <c r="C199" s="348"/>
      <c r="F199" s="41"/>
      <c r="G199" s="41"/>
      <c r="AD199" s="41"/>
      <c r="AE199" s="41"/>
      <c r="AF199" s="41"/>
      <c r="AG199" s="363"/>
      <c r="AH199" s="41"/>
      <c r="AI199" s="41"/>
      <c r="AJ199" s="41"/>
      <c r="AK199" s="363"/>
      <c r="AL199" s="41"/>
      <c r="BG199" s="15"/>
    </row>
    <row r="200" spans="1:90" outlineLevel="1">
      <c r="B200" s="405" t="s">
        <v>377</v>
      </c>
      <c r="C200" s="449"/>
      <c r="D200" s="449"/>
      <c r="E200" s="360">
        <f>SUM(Z200:AC200)</f>
        <v>13353.973383316599</v>
      </c>
      <c r="F200" s="490">
        <v>26581</v>
      </c>
      <c r="G200" s="490">
        <v>39927</v>
      </c>
      <c r="H200" s="454">
        <f>SUM(AL200:AO200)</f>
        <v>41892</v>
      </c>
      <c r="I200" s="454">
        <f>SUM(AP200:AS200)</f>
        <v>29696</v>
      </c>
      <c r="J200" s="725">
        <f>SUM(AT200:AW200)</f>
        <v>23378</v>
      </c>
      <c r="K200" s="311">
        <f t="shared" ref="K200:R201" si="565">K137*K205*1000</f>
        <v>29363.252688</v>
      </c>
      <c r="L200" s="311">
        <f t="shared" si="565"/>
        <v>30425.651874317697</v>
      </c>
      <c r="M200" s="311">
        <f t="shared" si="565"/>
        <v>31643.638127653303</v>
      </c>
      <c r="N200" s="311">
        <f t="shared" si="565"/>
        <v>30559.690481640417</v>
      </c>
      <c r="O200" s="311">
        <f t="shared" si="565"/>
        <v>27667.345959118167</v>
      </c>
      <c r="P200" s="311">
        <f t="shared" si="565"/>
        <v>22711.747504887691</v>
      </c>
      <c r="Q200" s="311">
        <f t="shared" si="565"/>
        <v>25752.570841680106</v>
      </c>
      <c r="R200" s="311">
        <f t="shared" si="565"/>
        <v>28846.775801273368</v>
      </c>
      <c r="T200" s="15">
        <f>(M200/J200)^(1/3)-1</f>
        <v>0.1061813999341652</v>
      </c>
      <c r="V200" s="142"/>
      <c r="W200" s="142"/>
      <c r="X200" s="142"/>
      <c r="Y200" s="359"/>
      <c r="Z200" s="41">
        <f>Z162-Z201</f>
        <v>2653.729997402123</v>
      </c>
      <c r="AA200" s="41">
        <f>AA162-AA201</f>
        <v>2723.2585572371258</v>
      </c>
      <c r="AB200" s="41">
        <f>AB162-AB201</f>
        <v>4788.8266227733393</v>
      </c>
      <c r="AC200" s="363">
        <f>AC162-AC201</f>
        <v>3188.1582059040129</v>
      </c>
      <c r="AD200" s="490">
        <v>4986</v>
      </c>
      <c r="AE200" s="490">
        <v>5540</v>
      </c>
      <c r="AF200" s="490">
        <v>9448</v>
      </c>
      <c r="AG200" s="491">
        <v>6607</v>
      </c>
      <c r="AH200" s="490">
        <v>8427</v>
      </c>
      <c r="AI200" s="490">
        <v>8313</v>
      </c>
      <c r="AJ200" s="490">
        <v>14978</v>
      </c>
      <c r="AK200" s="491">
        <v>8209</v>
      </c>
      <c r="AL200" s="490">
        <f>12639-2454</f>
        <v>10185</v>
      </c>
      <c r="AM200" s="490">
        <f>AM162-AM201</f>
        <v>9050</v>
      </c>
      <c r="AN200" s="461">
        <f>AN162-AN201</f>
        <v>14855</v>
      </c>
      <c r="AO200" s="492">
        <f>AO162-AO201</f>
        <v>7802</v>
      </c>
      <c r="AP200" s="307">
        <f>Reported!P69</f>
        <v>7725</v>
      </c>
      <c r="AQ200" s="307">
        <f>Reported!Q69</f>
        <v>6747</v>
      </c>
      <c r="AR200" s="307">
        <f>Reported!R69</f>
        <v>9968</v>
      </c>
      <c r="AS200" s="493">
        <f>Reported!S69</f>
        <v>5256</v>
      </c>
      <c r="AT200" s="307">
        <f>Reported!T69</f>
        <v>5869</v>
      </c>
      <c r="AU200" s="307">
        <f>Reported!U69</f>
        <v>5399</v>
      </c>
      <c r="AV200" s="307">
        <f>Reported!V69</f>
        <v>8351</v>
      </c>
      <c r="AW200" s="493">
        <f>Reported!W69</f>
        <v>3759</v>
      </c>
      <c r="AX200" s="307">
        <f>Reported!X69</f>
        <v>6245</v>
      </c>
      <c r="AY200" s="307">
        <f>Reported!Y69</f>
        <v>7594</v>
      </c>
      <c r="AZ200" s="307">
        <f>Reported!Z69</f>
        <v>11771</v>
      </c>
      <c r="BA200" s="1525">
        <f>K200-SUM(AX200:AZ200)</f>
        <v>3753.2526880000005</v>
      </c>
      <c r="BB200" s="311">
        <f>BB205*BB137*1000</f>
        <v>7071.8598720000009</v>
      </c>
      <c r="BC200" s="311">
        <f>BC205*BC137*1000</f>
        <v>7243.9619557199994</v>
      </c>
      <c r="BD200" s="311">
        <f>BD205*BD137*1000</f>
        <v>8468.8865279999991</v>
      </c>
      <c r="BE200" s="469">
        <f>L200-SUM(BB200:BD200)</f>
        <v>7640.9435185976981</v>
      </c>
      <c r="BF200" s="222"/>
      <c r="BG200" s="15"/>
    </row>
    <row r="201" spans="1:90" outlineLevel="1">
      <c r="B201" s="405" t="s">
        <v>378</v>
      </c>
      <c r="C201" s="449"/>
      <c r="D201" s="449"/>
      <c r="E201" s="494">
        <f>SUM(Z201:AC201)</f>
        <v>68.026616683398856</v>
      </c>
      <c r="F201" s="490">
        <f>F162-F200</f>
        <v>389</v>
      </c>
      <c r="G201" s="490">
        <f>G162-G200</f>
        <v>2905</v>
      </c>
      <c r="H201" s="454">
        <f>SUM(AL201:AO201)</f>
        <v>17840</v>
      </c>
      <c r="I201" s="454">
        <f>SUM(AP201:AS201)</f>
        <v>50337</v>
      </c>
      <c r="J201" s="725">
        <f>SUM(AT201:AW201)</f>
        <v>90731</v>
      </c>
      <c r="K201" s="311">
        <f t="shared" si="565"/>
        <v>147260.57581619997</v>
      </c>
      <c r="L201" s="311">
        <f t="shared" si="565"/>
        <v>208838.79393022798</v>
      </c>
      <c r="M201" s="311">
        <f t="shared" si="565"/>
        <v>281628.37933611439</v>
      </c>
      <c r="N201" s="311">
        <f t="shared" si="565"/>
        <v>347616.47922865982</v>
      </c>
      <c r="O201" s="311">
        <f t="shared" si="565"/>
        <v>422717.52147538436</v>
      </c>
      <c r="P201" s="311">
        <f t="shared" si="565"/>
        <v>525379.49915681523</v>
      </c>
      <c r="Q201" s="311">
        <f t="shared" si="565"/>
        <v>595721.34499516594</v>
      </c>
      <c r="R201" s="311">
        <f t="shared" si="565"/>
        <v>667298.04122295708</v>
      </c>
      <c r="T201" s="15">
        <f>(M201/J201)^(1/3)-1</f>
        <v>0.45872549291850251</v>
      </c>
      <c r="V201" s="142"/>
      <c r="W201" s="142"/>
      <c r="X201" s="142"/>
      <c r="Y201" s="359"/>
      <c r="Z201" s="403">
        <f>Z138*Z206*1000</f>
        <v>7.2700025978770508</v>
      </c>
      <c r="AA201" s="403">
        <f>AA138*AA206*1000</f>
        <v>9.7414427628742057</v>
      </c>
      <c r="AB201" s="403">
        <f>AB138*AB206*1000</f>
        <v>22.17337722666047</v>
      </c>
      <c r="AC201" s="404">
        <f>AC138*AC206*1000</f>
        <v>28.841794095987122</v>
      </c>
      <c r="AD201" s="490">
        <f t="shared" ref="AD201:AK201" si="566">AD162-AD200</f>
        <v>42</v>
      </c>
      <c r="AE201" s="490">
        <f t="shared" si="566"/>
        <v>60</v>
      </c>
      <c r="AF201" s="490">
        <f t="shared" si="566"/>
        <v>140</v>
      </c>
      <c r="AG201" s="491">
        <f t="shared" si="566"/>
        <v>147</v>
      </c>
      <c r="AH201" s="490">
        <f t="shared" si="566"/>
        <v>240</v>
      </c>
      <c r="AI201" s="490">
        <f t="shared" si="566"/>
        <v>332</v>
      </c>
      <c r="AJ201" s="490">
        <f t="shared" si="566"/>
        <v>1171</v>
      </c>
      <c r="AK201" s="491">
        <f t="shared" si="566"/>
        <v>1162</v>
      </c>
      <c r="AL201" s="490">
        <f>2454</f>
        <v>2454</v>
      </c>
      <c r="AM201" s="461">
        <v>3719</v>
      </c>
      <c r="AN201" s="461">
        <v>6420</v>
      </c>
      <c r="AO201" s="492">
        <v>5247</v>
      </c>
      <c r="AP201" s="307">
        <f>Reported!P70</f>
        <v>7987</v>
      </c>
      <c r="AQ201" s="307">
        <f>Reported!Q70</f>
        <v>10520</v>
      </c>
      <c r="AR201" s="307">
        <f>Reported!R70</f>
        <v>18746</v>
      </c>
      <c r="AS201" s="493">
        <f>Reported!S70</f>
        <v>13084</v>
      </c>
      <c r="AT201" s="307">
        <f>Reported!T70</f>
        <v>17514</v>
      </c>
      <c r="AU201" s="307">
        <f>Reported!U70</f>
        <v>18710</v>
      </c>
      <c r="AV201" s="307">
        <f>Reported!V70</f>
        <v>32451</v>
      </c>
      <c r="AW201" s="493">
        <f>Reported!W70</f>
        <v>22056</v>
      </c>
      <c r="AX201" s="307">
        <f>Reported!X70</f>
        <v>30467</v>
      </c>
      <c r="AY201" s="307">
        <f>Reported!Y70</f>
        <v>31963</v>
      </c>
      <c r="AZ201" s="307">
        <f>Reported!Z70</f>
        <v>48334</v>
      </c>
      <c r="BA201" s="1525">
        <f>K201-SUM(AX201:AZ201)</f>
        <v>36496.575816199969</v>
      </c>
      <c r="BB201" s="311">
        <f>BB138*BB206*1000</f>
        <v>44648.13117600001</v>
      </c>
      <c r="BC201" s="311">
        <f>BC138*BC206*1000</f>
        <v>46903.954439159999</v>
      </c>
      <c r="BD201" s="311">
        <f>BD138*BD206*1000</f>
        <v>71420.943052799979</v>
      </c>
      <c r="BE201" s="469">
        <f>L201-SUM(BB201:BD201)</f>
        <v>45865.765262268018</v>
      </c>
      <c r="BF201" s="222"/>
      <c r="BG201" s="15"/>
    </row>
    <row r="202" spans="1:90" s="13" customFormat="1" outlineLevel="1">
      <c r="A202" s="1349"/>
      <c r="B202" s="495" t="s">
        <v>126</v>
      </c>
      <c r="C202" s="496"/>
      <c r="E202" s="497">
        <f t="shared" ref="E202:R202" si="567">E200+E201</f>
        <v>13421.999999999998</v>
      </c>
      <c r="F202" s="497">
        <f t="shared" si="567"/>
        <v>26970</v>
      </c>
      <c r="G202" s="497">
        <f t="shared" si="567"/>
        <v>42832</v>
      </c>
      <c r="H202" s="497">
        <f t="shared" si="567"/>
        <v>59732</v>
      </c>
      <c r="I202" s="497">
        <f t="shared" si="567"/>
        <v>80033</v>
      </c>
      <c r="J202" s="546">
        <f t="shared" si="567"/>
        <v>114109</v>
      </c>
      <c r="K202" s="497">
        <f t="shared" si="567"/>
        <v>176623.82850419998</v>
      </c>
      <c r="L202" s="497">
        <f t="shared" si="567"/>
        <v>239264.44580454568</v>
      </c>
      <c r="M202" s="497">
        <f t="shared" si="567"/>
        <v>313272.01746376767</v>
      </c>
      <c r="N202" s="497">
        <f t="shared" si="567"/>
        <v>378176.16971030022</v>
      </c>
      <c r="O202" s="497">
        <f t="shared" si="567"/>
        <v>450384.86743450252</v>
      </c>
      <c r="P202" s="497">
        <f t="shared" si="567"/>
        <v>548091.24666170287</v>
      </c>
      <c r="Q202" s="497">
        <f t="shared" si="567"/>
        <v>621473.91583684599</v>
      </c>
      <c r="R202" s="497">
        <f t="shared" si="567"/>
        <v>696144.81702423049</v>
      </c>
      <c r="T202" s="14">
        <f>(M202/J202)^(1/3)-1</f>
        <v>0.40023383665429124</v>
      </c>
      <c r="V202" s="12"/>
      <c r="W202" s="12"/>
      <c r="X202" s="12"/>
      <c r="Y202" s="408"/>
      <c r="Z202" s="497">
        <f t="shared" ref="Z202:BE202" si="568">Z200+Z201</f>
        <v>2661</v>
      </c>
      <c r="AA202" s="497">
        <f t="shared" si="568"/>
        <v>2733</v>
      </c>
      <c r="AB202" s="497">
        <f t="shared" si="568"/>
        <v>4811</v>
      </c>
      <c r="AC202" s="497">
        <f t="shared" si="568"/>
        <v>3217</v>
      </c>
      <c r="AD202" s="497">
        <f t="shared" si="568"/>
        <v>5028</v>
      </c>
      <c r="AE202" s="497">
        <f t="shared" si="568"/>
        <v>5600</v>
      </c>
      <c r="AF202" s="497">
        <f t="shared" si="568"/>
        <v>9588</v>
      </c>
      <c r="AG202" s="546">
        <f t="shared" si="568"/>
        <v>6754</v>
      </c>
      <c r="AH202" s="497">
        <f t="shared" si="568"/>
        <v>8667</v>
      </c>
      <c r="AI202" s="497">
        <f t="shared" si="568"/>
        <v>8645</v>
      </c>
      <c r="AJ202" s="497">
        <f t="shared" si="568"/>
        <v>16149</v>
      </c>
      <c r="AK202" s="546">
        <f t="shared" si="568"/>
        <v>9371</v>
      </c>
      <c r="AL202" s="497">
        <f t="shared" si="568"/>
        <v>12639</v>
      </c>
      <c r="AM202" s="497">
        <f t="shared" si="568"/>
        <v>12769</v>
      </c>
      <c r="AN202" s="497">
        <f t="shared" si="568"/>
        <v>21275</v>
      </c>
      <c r="AO202" s="546">
        <f t="shared" si="568"/>
        <v>13049</v>
      </c>
      <c r="AP202" s="497">
        <f t="shared" si="568"/>
        <v>15712</v>
      </c>
      <c r="AQ202" s="497">
        <f t="shared" si="568"/>
        <v>17267</v>
      </c>
      <c r="AR202" s="497">
        <f t="shared" si="568"/>
        <v>28714</v>
      </c>
      <c r="AS202" s="546">
        <f t="shared" si="568"/>
        <v>18340</v>
      </c>
      <c r="AT202" s="497">
        <f t="shared" si="568"/>
        <v>23383</v>
      </c>
      <c r="AU202" s="497">
        <f t="shared" si="568"/>
        <v>24109</v>
      </c>
      <c r="AV202" s="497">
        <f t="shared" si="568"/>
        <v>40802</v>
      </c>
      <c r="AW202" s="546">
        <f t="shared" si="568"/>
        <v>25815</v>
      </c>
      <c r="AX202" s="497">
        <f t="shared" si="568"/>
        <v>36712</v>
      </c>
      <c r="AY202" s="497">
        <f t="shared" si="568"/>
        <v>39557</v>
      </c>
      <c r="AZ202" s="497">
        <f t="shared" si="568"/>
        <v>60105</v>
      </c>
      <c r="BA202" s="546">
        <f t="shared" si="568"/>
        <v>40249.82850419997</v>
      </c>
      <c r="BB202" s="497">
        <f t="shared" si="568"/>
        <v>51719.991048000011</v>
      </c>
      <c r="BC202" s="497">
        <f t="shared" si="568"/>
        <v>54147.916394879998</v>
      </c>
      <c r="BD202" s="497">
        <f t="shared" si="568"/>
        <v>79889.829580799982</v>
      </c>
      <c r="BE202" s="497">
        <f t="shared" si="568"/>
        <v>53506.708780865716</v>
      </c>
      <c r="BF202" s="12"/>
      <c r="BG202" s="14"/>
      <c r="CG202"/>
      <c r="CH202"/>
      <c r="CI202"/>
      <c r="CJ202"/>
      <c r="CK202"/>
      <c r="CL202"/>
    </row>
    <row r="203" spans="1:90" outlineLevel="1">
      <c r="B203" s="448"/>
      <c r="C203" s="449"/>
      <c r="D203" s="449"/>
      <c r="E203" s="494"/>
      <c r="F203" s="490"/>
      <c r="G203" s="490"/>
      <c r="H203" s="454"/>
      <c r="I203" s="454"/>
      <c r="J203" s="725"/>
      <c r="K203" s="454"/>
      <c r="L203" s="454"/>
      <c r="M203" s="454"/>
      <c r="N203" s="454"/>
      <c r="O203" s="454"/>
      <c r="P203" s="454"/>
      <c r="Q203" s="454"/>
      <c r="R203" s="454"/>
      <c r="V203" s="142"/>
      <c r="W203" s="142"/>
      <c r="X203" s="142"/>
      <c r="Y203" s="359"/>
      <c r="Z203" s="403"/>
      <c r="AA203" s="403"/>
      <c r="AB203" s="403"/>
      <c r="AC203" s="404"/>
      <c r="AD203" s="490"/>
      <c r="AE203" s="490"/>
      <c r="AF203" s="490"/>
      <c r="AG203" s="491"/>
      <c r="AH203" s="490"/>
      <c r="AI203" s="490"/>
      <c r="AJ203" s="490"/>
      <c r="AK203" s="491"/>
      <c r="AL203" s="490"/>
      <c r="AM203" s="461"/>
      <c r="AN203" s="461"/>
      <c r="AO203" s="492"/>
      <c r="AP203" s="307"/>
      <c r="AQ203" s="307"/>
      <c r="AR203" s="307"/>
      <c r="AS203" s="493"/>
      <c r="AT203" s="307"/>
      <c r="AU203" s="307"/>
      <c r="AV203" s="307"/>
      <c r="AW203" s="493"/>
      <c r="AX203" s="489"/>
      <c r="AY203" s="489"/>
      <c r="AZ203" s="489"/>
      <c r="BA203" s="1530"/>
      <c r="BB203" s="489"/>
      <c r="BC203" s="489"/>
      <c r="BD203" s="489"/>
      <c r="BE203" s="498"/>
      <c r="BF203" s="222"/>
      <c r="BG203" s="15"/>
    </row>
    <row r="204" spans="1:90" outlineLevel="1">
      <c r="B204" s="144" t="s">
        <v>652</v>
      </c>
      <c r="C204" s="449"/>
      <c r="D204" s="449"/>
      <c r="E204" s="494"/>
      <c r="F204" s="490"/>
      <c r="G204" s="490"/>
      <c r="H204" s="454"/>
      <c r="I204" s="454"/>
      <c r="J204" s="725"/>
      <c r="K204" s="454"/>
      <c r="L204" s="454"/>
      <c r="M204" s="454"/>
      <c r="N204" s="454"/>
      <c r="O204" s="454"/>
      <c r="P204" s="454"/>
      <c r="Q204" s="454"/>
      <c r="R204" s="454"/>
      <c r="V204" s="142"/>
      <c r="W204" s="142"/>
      <c r="X204" s="142"/>
      <c r="Y204" s="359"/>
      <c r="Z204" s="403"/>
      <c r="AA204" s="403"/>
      <c r="AB204" s="403"/>
      <c r="AC204" s="404"/>
      <c r="AD204" s="490"/>
      <c r="AE204" s="490"/>
      <c r="AF204" s="490"/>
      <c r="AG204" s="491"/>
      <c r="AH204" s="490"/>
      <c r="AI204" s="490"/>
      <c r="AJ204" s="490"/>
      <c r="AK204" s="491"/>
      <c r="AL204" s="490"/>
      <c r="AM204" s="461"/>
      <c r="AN204" s="461"/>
      <c r="AO204" s="492"/>
      <c r="AP204" s="307"/>
      <c r="AQ204" s="307"/>
      <c r="AR204" s="307"/>
      <c r="AS204" s="493"/>
      <c r="AT204" s="307"/>
      <c r="AU204" s="307"/>
      <c r="AV204" s="307"/>
      <c r="AW204" s="493"/>
      <c r="AX204" s="489"/>
      <c r="AY204" s="489"/>
      <c r="AZ204" s="489"/>
      <c r="BA204" s="1530"/>
      <c r="BB204" s="489"/>
      <c r="BC204" s="489"/>
      <c r="BD204" s="489"/>
      <c r="BE204" s="498"/>
      <c r="BF204" s="222"/>
      <c r="BG204" s="15"/>
    </row>
    <row r="205" spans="1:90" outlineLevel="1">
      <c r="B205" s="399" t="s">
        <v>423</v>
      </c>
      <c r="C205" s="374"/>
      <c r="E205" s="499">
        <f t="shared" ref="E205:J206" si="569">E200/1000/E137</f>
        <v>2.0650048529901342E-2</v>
      </c>
      <c r="F205" s="499">
        <f t="shared" si="569"/>
        <v>2.6641907823842001E-2</v>
      </c>
      <c r="G205" s="499">
        <f t="shared" si="569"/>
        <v>2.93744151399963E-2</v>
      </c>
      <c r="H205" s="499">
        <f t="shared" si="569"/>
        <v>2.8903991444440606E-2</v>
      </c>
      <c r="I205" s="499">
        <f t="shared" si="569"/>
        <v>2.7269655162280887E-2</v>
      </c>
      <c r="J205" s="501">
        <f t="shared" si="569"/>
        <v>2.974300254452926E-2</v>
      </c>
      <c r="K205" s="500">
        <f>Scenario!K74</f>
        <v>3.7999999999999999E-2</v>
      </c>
      <c r="L205" s="500">
        <f>Scenario!L74</f>
        <v>3.9E-2</v>
      </c>
      <c r="M205" s="500">
        <f>Scenario!M74</f>
        <v>0.04</v>
      </c>
      <c r="N205" s="500">
        <f>Scenario!N74</f>
        <v>0.04</v>
      </c>
      <c r="O205" s="500">
        <f>Scenario!O74</f>
        <v>0.04</v>
      </c>
      <c r="P205" s="500">
        <f>Scenario!P74</f>
        <v>0.04</v>
      </c>
      <c r="Q205" s="500">
        <f>Scenario!Q74</f>
        <v>0.04</v>
      </c>
      <c r="R205" s="500">
        <f>Scenario!R74</f>
        <v>0.04</v>
      </c>
      <c r="Z205" s="499">
        <f t="shared" ref="Z205:AC206" si="570">AA205-0.01%</f>
        <v>2.4580356151340559E-2</v>
      </c>
      <c r="AA205" s="499">
        <f t="shared" si="570"/>
        <v>2.4680356151340559E-2</v>
      </c>
      <c r="AB205" s="499">
        <f t="shared" si="570"/>
        <v>2.4780356151340558E-2</v>
      </c>
      <c r="AC205" s="501">
        <f t="shared" si="570"/>
        <v>2.4880356151340557E-2</v>
      </c>
      <c r="AD205" s="499">
        <f t="shared" ref="AD205:AO205" si="571">AD200/1000/AD137</f>
        <v>2.4980356151340557E-2</v>
      </c>
      <c r="AE205" s="499">
        <f t="shared" si="571"/>
        <v>2.5731992510113696E-2</v>
      </c>
      <c r="AF205" s="499">
        <f t="shared" si="571"/>
        <v>2.9514439733463366E-2</v>
      </c>
      <c r="AG205" s="501">
        <f t="shared" si="571"/>
        <v>2.5149757345761831E-2</v>
      </c>
      <c r="AH205" s="499">
        <f t="shared" si="571"/>
        <v>2.7746140234333225E-2</v>
      </c>
      <c r="AI205" s="499">
        <f t="shared" si="571"/>
        <v>2.608154427289432E-2</v>
      </c>
      <c r="AJ205" s="499">
        <f t="shared" si="571"/>
        <v>3.5279431457617583E-2</v>
      </c>
      <c r="AK205" s="501">
        <f t="shared" si="571"/>
        <v>2.6290529859063355E-2</v>
      </c>
      <c r="AL205" s="499">
        <f t="shared" si="571"/>
        <v>3.02685385511519E-2</v>
      </c>
      <c r="AM205" s="436">
        <f t="shared" si="571"/>
        <v>2.5377721445156078E-2</v>
      </c>
      <c r="AN205" s="436">
        <f t="shared" si="571"/>
        <v>3.2282389961708804E-2</v>
      </c>
      <c r="AO205" s="437">
        <f t="shared" si="571"/>
        <v>2.634991826864623E-2</v>
      </c>
      <c r="AP205" s="502">
        <f>Reported!P30</f>
        <v>2.55794701986755E-2</v>
      </c>
      <c r="AQ205" s="502">
        <f>Reported!Q30</f>
        <v>2.4714285714285716E-2</v>
      </c>
      <c r="AR205" s="502">
        <f>Reported!R30</f>
        <v>3.1846645367412142E-2</v>
      </c>
      <c r="AS205" s="503">
        <f>Reported!S30</f>
        <v>2.6152376403152617E-2</v>
      </c>
      <c r="AT205" s="502">
        <f>Reported!T30</f>
        <v>2.7815165876777251E-2</v>
      </c>
      <c r="AU205" s="436">
        <f t="shared" ref="AU205:BA206" si="572">AU200/AU137/1000</f>
        <v>2.7666167387742954E-2</v>
      </c>
      <c r="AV205" s="436">
        <f t="shared" si="572"/>
        <v>3.9021905723150521E-2</v>
      </c>
      <c r="AW205" s="474">
        <f t="shared" si="572"/>
        <v>2.2665892444642212E-2</v>
      </c>
      <c r="AX205" s="473">
        <f t="shared" si="572"/>
        <v>3.1402234209880552E-2</v>
      </c>
      <c r="AY205" s="473">
        <f t="shared" si="572"/>
        <v>3.3396373349113578E-2</v>
      </c>
      <c r="AZ205" s="473">
        <f t="shared" si="572"/>
        <v>5.4706903731465362E-2</v>
      </c>
      <c r="BA205" s="1529">
        <f t="shared" si="572"/>
        <v>3.0622223445594152E-2</v>
      </c>
      <c r="BB205" s="361">
        <v>3.5999999999999997E-2</v>
      </c>
      <c r="BC205" s="361">
        <v>3.6999999999999998E-2</v>
      </c>
      <c r="BD205" s="361">
        <v>0.04</v>
      </c>
      <c r="BE205" s="504">
        <f>BE200/BE137/1000</f>
        <v>4.3365308789974452E-2</v>
      </c>
      <c r="BF205" s="473"/>
      <c r="BG205" s="15"/>
    </row>
    <row r="206" spans="1:90" outlineLevel="1">
      <c r="B206" s="399" t="s">
        <v>90</v>
      </c>
      <c r="C206" s="374"/>
      <c r="E206" s="499">
        <f t="shared" si="569"/>
        <v>4.1682975908945369E-3</v>
      </c>
      <c r="F206" s="499">
        <f t="shared" si="569"/>
        <v>4.8958427699968554E-3</v>
      </c>
      <c r="G206" s="499">
        <f t="shared" si="569"/>
        <v>9.1253797524428019E-3</v>
      </c>
      <c r="H206" s="499">
        <f t="shared" si="569"/>
        <v>1.7940989831762993E-2</v>
      </c>
      <c r="I206" s="499">
        <f t="shared" si="569"/>
        <v>2.5130502679947923E-2</v>
      </c>
      <c r="J206" s="501">
        <f t="shared" si="569"/>
        <v>3.043643072794364E-2</v>
      </c>
      <c r="K206" s="500">
        <f>Scenario!K75</f>
        <v>3.6299999999999999E-2</v>
      </c>
      <c r="L206" s="500">
        <f>Scenario!L75</f>
        <v>0.04</v>
      </c>
      <c r="M206" s="500">
        <f>Scenario!M75</f>
        <v>4.3999999999999997E-2</v>
      </c>
      <c r="N206" s="500">
        <f>Scenario!N75</f>
        <v>4.4999999999999998E-2</v>
      </c>
      <c r="O206" s="500">
        <f>Scenario!O75</f>
        <v>4.5999999999999999E-2</v>
      </c>
      <c r="P206" s="500">
        <f>Scenario!P75</f>
        <v>4.87E-2</v>
      </c>
      <c r="Q206" s="500">
        <f>Scenario!Q75</f>
        <v>4.87E-2</v>
      </c>
      <c r="R206" s="500">
        <f>Scenario!R75</f>
        <v>4.87E-2</v>
      </c>
      <c r="Z206" s="378">
        <f t="shared" si="570"/>
        <v>3.9640145026592424E-3</v>
      </c>
      <c r="AA206" s="378">
        <f t="shared" si="570"/>
        <v>4.0640145026592427E-3</v>
      </c>
      <c r="AB206" s="378">
        <f t="shared" si="570"/>
        <v>4.164014502659243E-3</v>
      </c>
      <c r="AC206" s="253">
        <f t="shared" si="570"/>
        <v>4.2640145026592432E-3</v>
      </c>
      <c r="AD206" s="499">
        <f t="shared" ref="AD206:AN206" si="573">AD201/1000/AD138</f>
        <v>4.3640145026592435E-3</v>
      </c>
      <c r="AE206" s="499">
        <f t="shared" si="573"/>
        <v>4.6978470080351964E-3</v>
      </c>
      <c r="AF206" s="499">
        <f t="shared" si="573"/>
        <v>5.4727040286607085E-3</v>
      </c>
      <c r="AG206" s="501">
        <f t="shared" si="573"/>
        <v>4.6699744911379761E-3</v>
      </c>
      <c r="AH206" s="499">
        <f t="shared" si="573"/>
        <v>5.7948506956718255E-3</v>
      </c>
      <c r="AI206" s="499">
        <f t="shared" si="573"/>
        <v>6.044290118424939E-3</v>
      </c>
      <c r="AJ206" s="499">
        <f t="shared" si="573"/>
        <v>1.1242786554698755E-2</v>
      </c>
      <c r="AK206" s="501">
        <f t="shared" si="573"/>
        <v>9.8605529428107425E-3</v>
      </c>
      <c r="AL206" s="499">
        <f t="shared" si="573"/>
        <v>1.4924465419514926E-2</v>
      </c>
      <c r="AM206" s="436">
        <f t="shared" si="573"/>
        <v>1.8683372351221274E-2</v>
      </c>
      <c r="AN206" s="436">
        <f t="shared" si="573"/>
        <v>1.9639694208125693E-2</v>
      </c>
      <c r="AO206" s="437">
        <v>1.7299999999999999E-2</v>
      </c>
      <c r="AP206" s="502">
        <f>Reported!P31</f>
        <v>2.1600000000000001E-2</v>
      </c>
      <c r="AQ206" s="502">
        <f>Reported!Q31</f>
        <v>2.3900000000000001E-2</v>
      </c>
      <c r="AR206" s="502">
        <f>Reported!R31</f>
        <v>2.8799999999999999E-2</v>
      </c>
      <c r="AS206" s="503">
        <f>Reported!S31</f>
        <v>2.4199999999999999E-2</v>
      </c>
      <c r="AT206" s="502">
        <f>Reported!T31</f>
        <v>2.8000000000000001E-2</v>
      </c>
      <c r="AU206" s="436">
        <f t="shared" si="572"/>
        <v>2.863825627152557E-2</v>
      </c>
      <c r="AV206" s="436">
        <f t="shared" si="572"/>
        <v>3.4420105389099613E-2</v>
      </c>
      <c r="AW206" s="474">
        <f t="shared" si="572"/>
        <v>2.9063649999650797E-2</v>
      </c>
      <c r="AX206" s="473">
        <f t="shared" si="572"/>
        <v>3.3629193411517037E-2</v>
      </c>
      <c r="AY206" s="473">
        <f t="shared" si="572"/>
        <v>3.5141173339403378E-2</v>
      </c>
      <c r="AZ206" s="473">
        <f t="shared" si="572"/>
        <v>3.9641843887869697E-2</v>
      </c>
      <c r="BA206" s="1529">
        <f t="shared" si="572"/>
        <v>3.5712006810764037E-2</v>
      </c>
      <c r="BB206" s="361">
        <v>3.6999999999999998E-2</v>
      </c>
      <c r="BC206" s="361">
        <v>3.9E-2</v>
      </c>
      <c r="BD206" s="361">
        <v>4.5999999999999999E-2</v>
      </c>
      <c r="BE206" s="504">
        <f>BE201/BE138/1000</f>
        <v>3.6431213733349573E-2</v>
      </c>
      <c r="BF206" s="473"/>
      <c r="BG206" s="15"/>
    </row>
    <row r="207" spans="1:90" s="13" customFormat="1" outlineLevel="1">
      <c r="A207" s="1349"/>
      <c r="B207" s="399" t="s">
        <v>238</v>
      </c>
      <c r="C207" s="505">
        <v>8.9999999999999993E-3</v>
      </c>
      <c r="D207" s="505">
        <v>1.2E-2</v>
      </c>
      <c r="E207" s="506">
        <f t="shared" ref="E207:R207" si="574">E162/E114/1000</f>
        <v>2.0244343891402714E-2</v>
      </c>
      <c r="F207" s="506">
        <f t="shared" si="574"/>
        <v>2.503785385580164E-2</v>
      </c>
      <c r="G207" s="506">
        <f t="shared" si="574"/>
        <v>2.5525625744934444E-2</v>
      </c>
      <c r="H207" s="506">
        <f t="shared" si="574"/>
        <v>2.4440261865793778E-2</v>
      </c>
      <c r="I207" s="506">
        <f t="shared" si="574"/>
        <v>2.5883893919793014E-2</v>
      </c>
      <c r="J207" s="1400">
        <f t="shared" si="574"/>
        <v>3.0291744093443058E-2</v>
      </c>
      <c r="K207" s="506">
        <f t="shared" si="574"/>
        <v>3.6572E-2</v>
      </c>
      <c r="L207" s="506">
        <f t="shared" si="574"/>
        <v>3.9870000000000003E-2</v>
      </c>
      <c r="M207" s="506">
        <f t="shared" si="574"/>
        <v>4.3559999999999988E-2</v>
      </c>
      <c r="N207" s="506">
        <f t="shared" si="574"/>
        <v>4.4549999999999999E-2</v>
      </c>
      <c r="O207" s="506">
        <f t="shared" si="574"/>
        <v>4.5579999999999996E-2</v>
      </c>
      <c r="P207" s="506">
        <f t="shared" si="574"/>
        <v>4.8264999999999995E-2</v>
      </c>
      <c r="Q207" s="506">
        <f t="shared" si="574"/>
        <v>4.8264999999999995E-2</v>
      </c>
      <c r="R207" s="506">
        <f t="shared" si="574"/>
        <v>4.8265000000000002E-2</v>
      </c>
      <c r="V207" s="507">
        <f>$D207</f>
        <v>1.2E-2</v>
      </c>
      <c r="W207" s="507">
        <f>$D207</f>
        <v>1.2E-2</v>
      </c>
      <c r="X207" s="507">
        <f>$D207</f>
        <v>1.2E-2</v>
      </c>
      <c r="Y207" s="508">
        <f t="shared" ref="Y207:AO207" si="575">Y162/Y114/1000</f>
        <v>1.2E-2</v>
      </c>
      <c r="Z207" s="509">
        <f t="shared" si="575"/>
        <v>2.0312977099236639E-2</v>
      </c>
      <c r="AA207" s="509">
        <f t="shared" si="575"/>
        <v>1.9382978723404255E-2</v>
      </c>
      <c r="AB207" s="509">
        <f t="shared" si="575"/>
        <v>2.2586854460093897E-2</v>
      </c>
      <c r="AC207" s="508">
        <f t="shared" si="575"/>
        <v>1.8073033707865168E-2</v>
      </c>
      <c r="AD207" s="509">
        <f t="shared" si="575"/>
        <v>2.4032004435501214E-2</v>
      </c>
      <c r="AE207" s="509">
        <f t="shared" si="575"/>
        <v>2.4554080361997296E-2</v>
      </c>
      <c r="AF207" s="509">
        <f t="shared" si="575"/>
        <v>2.7735351291307969E-2</v>
      </c>
      <c r="AG207" s="508">
        <f t="shared" si="575"/>
        <v>2.2958420580317079E-2</v>
      </c>
      <c r="AH207" s="509">
        <f t="shared" si="575"/>
        <v>2.5111985489693858E-2</v>
      </c>
      <c r="AI207" s="509">
        <f t="shared" si="575"/>
        <v>2.3136067912187315E-2</v>
      </c>
      <c r="AJ207" s="509">
        <f t="shared" si="575"/>
        <v>3.0544212411742568E-2</v>
      </c>
      <c r="AK207" s="508">
        <f t="shared" si="575"/>
        <v>2.1788716184010137E-2</v>
      </c>
      <c r="AL207" s="509">
        <f t="shared" si="575"/>
        <v>2.5231775387490118E-2</v>
      </c>
      <c r="AM207" s="509">
        <f t="shared" si="575"/>
        <v>2.2979631649228133E-2</v>
      </c>
      <c r="AN207" s="509">
        <f t="shared" si="575"/>
        <v>2.7031422519874924E-2</v>
      </c>
      <c r="AO207" s="508">
        <f t="shared" si="575"/>
        <v>2.1744999100137979E-2</v>
      </c>
      <c r="AP207" s="510">
        <f>Reported!P29</f>
        <v>2.3346210995542346E-2</v>
      </c>
      <c r="AQ207" s="510">
        <f>Reported!Q29</f>
        <v>2.4217391304347826E-2</v>
      </c>
      <c r="AR207" s="510">
        <f>Reported!R29</f>
        <v>2.98E-2</v>
      </c>
      <c r="AS207" s="511">
        <f>Reported!S29</f>
        <v>2.47E-2</v>
      </c>
      <c r="AT207" s="510">
        <f>Reported!T29</f>
        <v>2.7900000000000001E-2</v>
      </c>
      <c r="AU207" s="512">
        <f t="shared" ref="AU207:BE207" si="576">AU162/AU114/1000</f>
        <v>2.8414675828255569E-2</v>
      </c>
      <c r="AV207" s="512">
        <f t="shared" si="576"/>
        <v>3.5271438450899036E-2</v>
      </c>
      <c r="AW207" s="513">
        <f t="shared" si="576"/>
        <v>2.791625663707243E-2</v>
      </c>
      <c r="AX207" s="512">
        <f t="shared" si="576"/>
        <v>3.322834075522247E-2</v>
      </c>
      <c r="AY207" s="512">
        <f t="shared" si="576"/>
        <v>3.479221334134542E-2</v>
      </c>
      <c r="AZ207" s="512">
        <f t="shared" si="576"/>
        <v>4.1901602864409047E-2</v>
      </c>
      <c r="BA207" s="513">
        <f t="shared" si="576"/>
        <v>3.4900897723589001E-2</v>
      </c>
      <c r="BB207" s="512">
        <f t="shared" si="576"/>
        <v>3.6859999999999997E-2</v>
      </c>
      <c r="BC207" s="512">
        <f t="shared" si="576"/>
        <v>3.8719999999999997E-2</v>
      </c>
      <c r="BD207" s="512">
        <f t="shared" si="576"/>
        <v>4.5279999999999994E-2</v>
      </c>
      <c r="BE207" s="512">
        <f t="shared" si="576"/>
        <v>3.7282531089564891E-2</v>
      </c>
      <c r="BF207" s="509"/>
      <c r="BG207" s="14"/>
      <c r="CG207"/>
      <c r="CH207"/>
      <c r="CI207"/>
      <c r="CJ207"/>
      <c r="CK207"/>
      <c r="CL207"/>
    </row>
    <row r="208" spans="1:90" outlineLevel="1">
      <c r="B208" s="144" t="s">
        <v>43</v>
      </c>
      <c r="C208" s="449"/>
      <c r="D208" s="449"/>
      <c r="E208" s="494"/>
      <c r="F208" s="490"/>
      <c r="G208" s="490"/>
      <c r="H208" s="454"/>
      <c r="I208" s="454"/>
      <c r="J208" s="725"/>
      <c r="K208" s="454"/>
      <c r="L208" s="454"/>
      <c r="M208" s="454"/>
      <c r="N208" s="454"/>
      <c r="O208" s="454"/>
      <c r="P208" s="454"/>
      <c r="Q208" s="454"/>
      <c r="R208" s="454"/>
      <c r="V208" s="142"/>
      <c r="W208" s="142"/>
      <c r="X208" s="142"/>
      <c r="Y208" s="359"/>
      <c r="Z208" s="403"/>
      <c r="AA208" s="403"/>
      <c r="AB208" s="403"/>
      <c r="AC208" s="404"/>
      <c r="AD208" s="490"/>
      <c r="AE208" s="490"/>
      <c r="AF208" s="490"/>
      <c r="AG208" s="491"/>
      <c r="AH208" s="490"/>
      <c r="AI208" s="490"/>
      <c r="AJ208" s="490"/>
      <c r="AK208" s="491"/>
      <c r="AL208" s="490"/>
      <c r="AM208" s="461"/>
      <c r="AN208" s="461"/>
      <c r="AO208" s="492"/>
      <c r="AP208" s="307"/>
      <c r="AQ208" s="307"/>
      <c r="AR208" s="307"/>
      <c r="AS208" s="493"/>
      <c r="AT208" s="307"/>
      <c r="AU208" s="307"/>
      <c r="AV208" s="307"/>
      <c r="AW208" s="493"/>
      <c r="AX208" s="489"/>
      <c r="AY208" s="489"/>
      <c r="AZ208" s="489"/>
      <c r="BA208" s="1530"/>
      <c r="BB208" s="489"/>
      <c r="BC208" s="489"/>
      <c r="BD208" s="489"/>
      <c r="BE208" s="498"/>
      <c r="BF208" s="222"/>
      <c r="BG208" s="15"/>
    </row>
    <row r="209" spans="1:90" outlineLevel="1">
      <c r="B209" s="399" t="s">
        <v>377</v>
      </c>
      <c r="C209" s="449"/>
      <c r="D209" s="449"/>
      <c r="E209" s="15"/>
      <c r="F209" s="425">
        <f t="shared" ref="F209:R209" si="577">F200/F$162</f>
        <v>0.98557656655543191</v>
      </c>
      <c r="G209" s="425">
        <f t="shared" si="577"/>
        <v>0.93217687710123276</v>
      </c>
      <c r="H209" s="425">
        <f t="shared" si="577"/>
        <v>0.70133261903167476</v>
      </c>
      <c r="I209" s="425">
        <f t="shared" si="577"/>
        <v>0.37104694313595643</v>
      </c>
      <c r="J209" s="430">
        <f t="shared" si="577"/>
        <v>0.20487428686606665</v>
      </c>
      <c r="K209" s="425">
        <f t="shared" si="577"/>
        <v>0.16624740238433777</v>
      </c>
      <c r="L209" s="425">
        <f t="shared" si="577"/>
        <v>0.12716328066215199</v>
      </c>
      <c r="M209" s="425">
        <f t="shared" si="577"/>
        <v>0.10101010101010102</v>
      </c>
      <c r="N209" s="425">
        <f t="shared" si="577"/>
        <v>8.0808080808080787E-2</v>
      </c>
      <c r="O209" s="425">
        <f t="shared" si="577"/>
        <v>6.1430451952610744E-2</v>
      </c>
      <c r="P209" s="425">
        <f t="shared" si="577"/>
        <v>4.1437894954936237E-2</v>
      </c>
      <c r="Q209" s="425">
        <f t="shared" si="577"/>
        <v>4.1437894954936237E-2</v>
      </c>
      <c r="R209" s="425">
        <f t="shared" si="577"/>
        <v>4.1437894954936237E-2</v>
      </c>
      <c r="V209" s="142"/>
      <c r="W209" s="142"/>
      <c r="X209" s="142"/>
      <c r="Y209" s="359"/>
      <c r="Z209" s="425">
        <f t="shared" ref="Z209:BE209" si="578">Z200/Z$162</f>
        <v>0.99726794340553293</v>
      </c>
      <c r="AA209" s="425">
        <f t="shared" si="578"/>
        <v>0.99643562284563703</v>
      </c>
      <c r="AB209" s="425">
        <f t="shared" si="578"/>
        <v>0.99539110845423806</v>
      </c>
      <c r="AC209" s="430">
        <f t="shared" si="578"/>
        <v>0.99103456820143387</v>
      </c>
      <c r="AD209" s="425">
        <f t="shared" si="578"/>
        <v>0.99164677804295942</v>
      </c>
      <c r="AE209" s="425">
        <f t="shared" si="578"/>
        <v>0.98928571428571432</v>
      </c>
      <c r="AF209" s="425">
        <f t="shared" si="578"/>
        <v>0.98539841468502298</v>
      </c>
      <c r="AG209" s="430">
        <f t="shared" si="578"/>
        <v>0.97823511992893097</v>
      </c>
      <c r="AH209" s="425">
        <f t="shared" si="578"/>
        <v>0.97230875735548628</v>
      </c>
      <c r="AI209" s="425">
        <f t="shared" si="578"/>
        <v>0.96159629843840366</v>
      </c>
      <c r="AJ209" s="425">
        <f t="shared" si="578"/>
        <v>0.92748777014056594</v>
      </c>
      <c r="AK209" s="430">
        <f t="shared" si="578"/>
        <v>0.87600042684878887</v>
      </c>
      <c r="AL209" s="425">
        <f t="shared" si="578"/>
        <v>0.80583906954664131</v>
      </c>
      <c r="AM209" s="425">
        <f t="shared" si="578"/>
        <v>0.70874774845328525</v>
      </c>
      <c r="AN209" s="425">
        <f t="shared" si="578"/>
        <v>0.69823736780258516</v>
      </c>
      <c r="AO209" s="430">
        <f t="shared" si="578"/>
        <v>0.5979002222392521</v>
      </c>
      <c r="AP209" s="425">
        <f t="shared" si="578"/>
        <v>0.49166242362525459</v>
      </c>
      <c r="AQ209" s="425">
        <f t="shared" si="578"/>
        <v>0.39074535240632419</v>
      </c>
      <c r="AR209" s="425">
        <f t="shared" si="578"/>
        <v>0.34714773281326183</v>
      </c>
      <c r="AS209" s="430">
        <f t="shared" si="578"/>
        <v>0.28658669574700107</v>
      </c>
      <c r="AT209" s="425">
        <f t="shared" si="578"/>
        <v>0.25099431210708634</v>
      </c>
      <c r="AU209" s="425">
        <f t="shared" si="578"/>
        <v>0.22394126674685802</v>
      </c>
      <c r="AV209" s="425">
        <f t="shared" si="578"/>
        <v>0.20467133964021372</v>
      </c>
      <c r="AW209" s="430">
        <f t="shared" si="578"/>
        <v>0.14561301568855317</v>
      </c>
      <c r="AX209" s="514">
        <f t="shared" si="578"/>
        <v>0.17010786663761168</v>
      </c>
      <c r="AY209" s="514">
        <f t="shared" si="578"/>
        <v>0.19197613570290972</v>
      </c>
      <c r="AZ209" s="514">
        <f t="shared" si="578"/>
        <v>0.19584061226187505</v>
      </c>
      <c r="BA209" s="1531">
        <f t="shared" si="578"/>
        <v>9.324891129929555E-2</v>
      </c>
      <c r="BB209" s="514">
        <f t="shared" si="578"/>
        <v>0.13673358654367879</v>
      </c>
      <c r="BC209" s="514">
        <f t="shared" si="578"/>
        <v>0.13378099173553717</v>
      </c>
      <c r="BD209" s="514">
        <f t="shared" si="578"/>
        <v>0.1060070671378092</v>
      </c>
      <c r="BE209" s="514">
        <f t="shared" si="578"/>
        <v>0.14280346694263768</v>
      </c>
      <c r="BF209" s="425"/>
      <c r="BG209" s="15"/>
    </row>
    <row r="210" spans="1:90" outlineLevel="1">
      <c r="B210" s="399" t="s">
        <v>378</v>
      </c>
      <c r="C210" s="449"/>
      <c r="D210" s="449"/>
      <c r="E210" s="425">
        <f>E201/E$162</f>
        <v>5.0682921087318476E-3</v>
      </c>
      <c r="F210" s="425">
        <f t="shared" ref="F210:R210" si="579">F201/F$162</f>
        <v>1.4423433444568038E-2</v>
      </c>
      <c r="G210" s="425">
        <f t="shared" si="579"/>
        <v>6.7823122898767282E-2</v>
      </c>
      <c r="H210" s="425">
        <f t="shared" si="579"/>
        <v>0.29866738096832518</v>
      </c>
      <c r="I210" s="425">
        <f t="shared" si="579"/>
        <v>0.62895305686404357</v>
      </c>
      <c r="J210" s="430">
        <f t="shared" si="579"/>
        <v>0.79512571313393332</v>
      </c>
      <c r="K210" s="425">
        <f t="shared" si="579"/>
        <v>0.83375259761566223</v>
      </c>
      <c r="L210" s="425">
        <f t="shared" si="579"/>
        <v>0.87283671933784801</v>
      </c>
      <c r="M210" s="425">
        <f t="shared" si="579"/>
        <v>0.89898989898989912</v>
      </c>
      <c r="N210" s="425">
        <f t="shared" si="579"/>
        <v>0.91919191919191923</v>
      </c>
      <c r="O210" s="425">
        <f t="shared" si="579"/>
        <v>0.93856954804738923</v>
      </c>
      <c r="P210" s="425">
        <f t="shared" si="579"/>
        <v>0.95856210504506389</v>
      </c>
      <c r="Q210" s="425">
        <f t="shared" si="579"/>
        <v>0.95856210504506389</v>
      </c>
      <c r="R210" s="425">
        <f t="shared" si="579"/>
        <v>0.95856210504506367</v>
      </c>
      <c r="V210" s="142"/>
      <c r="W210" s="142"/>
      <c r="X210" s="142"/>
      <c r="Y210" s="359"/>
      <c r="Z210" s="142"/>
      <c r="AA210" s="142"/>
      <c r="AB210" s="142"/>
      <c r="AC210" s="359"/>
      <c r="AD210" s="425">
        <f t="shared" ref="AD210:BE210" si="580">AD201/AD$162</f>
        <v>8.3532219570405727E-3</v>
      </c>
      <c r="AE210" s="425">
        <f t="shared" si="580"/>
        <v>1.0714285714285714E-2</v>
      </c>
      <c r="AF210" s="425">
        <f t="shared" si="580"/>
        <v>1.4601585314977055E-2</v>
      </c>
      <c r="AG210" s="430">
        <f t="shared" si="580"/>
        <v>2.1764880071068995E-2</v>
      </c>
      <c r="AH210" s="425">
        <f t="shared" si="580"/>
        <v>2.7691242644513673E-2</v>
      </c>
      <c r="AI210" s="425">
        <f t="shared" si="580"/>
        <v>3.8403701561596296E-2</v>
      </c>
      <c r="AJ210" s="425">
        <f t="shared" si="580"/>
        <v>7.2512229859434021E-2</v>
      </c>
      <c r="AK210" s="430">
        <f t="shared" si="580"/>
        <v>0.12399957315121118</v>
      </c>
      <c r="AL210" s="425">
        <f t="shared" si="580"/>
        <v>0.19416093045335867</v>
      </c>
      <c r="AM210" s="425">
        <f t="shared" si="580"/>
        <v>0.29125225154671469</v>
      </c>
      <c r="AN210" s="425">
        <f t="shared" si="580"/>
        <v>0.30176263219741478</v>
      </c>
      <c r="AO210" s="430">
        <f t="shared" si="580"/>
        <v>0.40209977776074796</v>
      </c>
      <c r="AP210" s="425">
        <f t="shared" si="580"/>
        <v>0.50833757637474541</v>
      </c>
      <c r="AQ210" s="425">
        <f t="shared" si="580"/>
        <v>0.60925464759367576</v>
      </c>
      <c r="AR210" s="425">
        <f t="shared" si="580"/>
        <v>0.65285226718673817</v>
      </c>
      <c r="AS210" s="430">
        <f t="shared" si="580"/>
        <v>0.71341330425299887</v>
      </c>
      <c r="AT210" s="425">
        <f t="shared" si="580"/>
        <v>0.74900568789291366</v>
      </c>
      <c r="AU210" s="425">
        <f t="shared" si="580"/>
        <v>0.77605873325314201</v>
      </c>
      <c r="AV210" s="425">
        <f t="shared" si="580"/>
        <v>0.79532866035978633</v>
      </c>
      <c r="AW210" s="430">
        <f t="shared" si="580"/>
        <v>0.85438698431144688</v>
      </c>
      <c r="AX210" s="425">
        <f t="shared" si="580"/>
        <v>0.82989213336238832</v>
      </c>
      <c r="AY210" s="425">
        <f t="shared" si="580"/>
        <v>0.80802386429709028</v>
      </c>
      <c r="AZ210" s="425">
        <f t="shared" si="580"/>
        <v>0.8041593877381249</v>
      </c>
      <c r="BA210" s="430">
        <f t="shared" si="580"/>
        <v>0.90675108870070442</v>
      </c>
      <c r="BB210" s="425">
        <f t="shared" si="580"/>
        <v>0.86326641345632127</v>
      </c>
      <c r="BC210" s="425">
        <f t="shared" si="580"/>
        <v>0.86621900826446285</v>
      </c>
      <c r="BD210" s="425">
        <f t="shared" si="580"/>
        <v>0.89399293286219073</v>
      </c>
      <c r="BE210" s="425">
        <f t="shared" si="580"/>
        <v>0.85719653305736232</v>
      </c>
      <c r="BF210" s="416"/>
      <c r="BG210" s="15"/>
    </row>
    <row r="211" spans="1:90" outlineLevel="1">
      <c r="B211" s="144" t="s">
        <v>80</v>
      </c>
      <c r="C211" s="449"/>
      <c r="D211" s="449"/>
      <c r="E211" s="425"/>
      <c r="F211" s="425"/>
      <c r="G211" s="425"/>
      <c r="H211" s="425"/>
      <c r="I211" s="425"/>
      <c r="J211" s="430"/>
      <c r="K211" s="425"/>
      <c r="L211" s="425"/>
      <c r="M211" s="425"/>
      <c r="N211" s="425"/>
      <c r="O211" s="425"/>
      <c r="P211" s="425"/>
      <c r="Q211" s="425"/>
      <c r="R211" s="425"/>
      <c r="V211" s="142"/>
      <c r="W211" s="142"/>
      <c r="X211" s="142"/>
      <c r="Y211" s="359"/>
      <c r="Z211" s="142"/>
      <c r="AA211" s="142"/>
      <c r="AB211" s="142"/>
      <c r="AC211" s="359"/>
      <c r="AD211" s="425"/>
      <c r="AE211" s="425"/>
      <c r="AF211" s="425"/>
      <c r="AG211" s="430"/>
      <c r="AH211" s="425"/>
      <c r="AI211" s="425"/>
      <c r="AJ211" s="425"/>
      <c r="AK211" s="430"/>
      <c r="AL211" s="425"/>
      <c r="AM211" s="425"/>
      <c r="AN211" s="425"/>
      <c r="AO211" s="430"/>
      <c r="AP211" s="425"/>
      <c r="AQ211" s="425"/>
      <c r="AR211" s="425"/>
      <c r="AS211" s="430"/>
      <c r="AT211" s="416"/>
      <c r="AU211" s="416"/>
      <c r="AV211" s="416"/>
      <c r="AW211" s="430"/>
      <c r="AX211" s="270"/>
      <c r="AY211" s="270"/>
      <c r="AZ211" s="270"/>
      <c r="BA211" s="1532"/>
      <c r="BB211" s="270"/>
      <c r="BC211" s="270"/>
      <c r="BD211" s="270"/>
      <c r="BE211" s="515"/>
      <c r="BF211" s="416"/>
      <c r="BG211" s="15"/>
    </row>
    <row r="212" spans="1:90" outlineLevel="1">
      <c r="B212" s="399" t="s">
        <v>377</v>
      </c>
      <c r="C212" s="449"/>
      <c r="D212" s="449"/>
      <c r="E212" s="15"/>
      <c r="F212" s="41"/>
      <c r="G212" s="15">
        <f t="shared" ref="G212:R212" si="581">G200/F200-1</f>
        <v>0.50208795756367319</v>
      </c>
      <c r="H212" s="15">
        <f t="shared" si="581"/>
        <v>4.9214817041099979E-2</v>
      </c>
      <c r="I212" s="15">
        <f t="shared" si="581"/>
        <v>-0.29112957127852568</v>
      </c>
      <c r="J212" s="435">
        <f t="shared" si="581"/>
        <v>-0.2127559267241379</v>
      </c>
      <c r="K212" s="15">
        <f t="shared" si="581"/>
        <v>0.25602073265463265</v>
      </c>
      <c r="L212" s="15">
        <f t="shared" si="581"/>
        <v>3.6181249999999832E-2</v>
      </c>
      <c r="M212" s="15">
        <f t="shared" si="581"/>
        <v>4.003155818540427E-2</v>
      </c>
      <c r="N212" s="15">
        <f t="shared" si="581"/>
        <v>-3.4254836363636243E-2</v>
      </c>
      <c r="O212" s="15">
        <f t="shared" si="581"/>
        <v>-9.4645740088889485E-2</v>
      </c>
      <c r="P212" s="15">
        <f t="shared" si="581"/>
        <v>-0.17911361868800024</v>
      </c>
      <c r="Q212" s="15">
        <f t="shared" si="581"/>
        <v>0.13388768680780783</v>
      </c>
      <c r="R212" s="15">
        <f t="shared" si="581"/>
        <v>0.12015130367432447</v>
      </c>
      <c r="V212" s="142"/>
      <c r="W212" s="142"/>
      <c r="X212" s="142"/>
      <c r="Y212" s="359"/>
      <c r="Z212" s="142"/>
      <c r="AA212" s="142"/>
      <c r="AB212" s="142"/>
      <c r="AC212" s="359"/>
      <c r="AD212" s="41"/>
      <c r="AE212" s="142"/>
      <c r="AF212" s="142"/>
      <c r="AH212" s="142">
        <f t="shared" ref="AH212:AQ214" si="582">AH200/AD200-1</f>
        <v>0.69013237063778576</v>
      </c>
      <c r="AI212" s="142">
        <f t="shared" si="582"/>
        <v>0.50054151624548737</v>
      </c>
      <c r="AJ212" s="142">
        <f t="shared" si="582"/>
        <v>0.58530906011854356</v>
      </c>
      <c r="AK212" s="359">
        <f t="shared" si="582"/>
        <v>0.24247010746178299</v>
      </c>
      <c r="AL212" s="142">
        <f t="shared" si="582"/>
        <v>0.20861516553933779</v>
      </c>
      <c r="AM212" s="142">
        <f t="shared" si="582"/>
        <v>8.8656321424275264E-2</v>
      </c>
      <c r="AN212" s="142">
        <f t="shared" si="582"/>
        <v>-8.21204433168643E-3</v>
      </c>
      <c r="AO212" s="359">
        <f t="shared" si="582"/>
        <v>-4.9579729565111474E-2</v>
      </c>
      <c r="AP212" s="142">
        <f t="shared" si="582"/>
        <v>-0.24153166421207661</v>
      </c>
      <c r="AQ212" s="142">
        <f t="shared" si="582"/>
        <v>-0.25447513812154698</v>
      </c>
      <c r="AR212" s="142">
        <f t="shared" ref="AR212:BA214" si="583">AR200/AN200-1</f>
        <v>-0.3289801413665433</v>
      </c>
      <c r="AS212" s="359">
        <f t="shared" si="583"/>
        <v>-0.32632658292745453</v>
      </c>
      <c r="AT212" s="142">
        <f t="shared" si="583"/>
        <v>-0.24025889967637537</v>
      </c>
      <c r="AU212" s="142">
        <f t="shared" si="583"/>
        <v>-0.19979250037053509</v>
      </c>
      <c r="AV212" s="142">
        <f t="shared" si="583"/>
        <v>-0.1622191011235955</v>
      </c>
      <c r="AW212" s="359">
        <f t="shared" si="583"/>
        <v>-0.28481735159817356</v>
      </c>
      <c r="AX212" s="286">
        <f t="shared" si="583"/>
        <v>6.4065428522746659E-2</v>
      </c>
      <c r="AY212" s="286">
        <f t="shared" si="583"/>
        <v>0.40655676977218014</v>
      </c>
      <c r="AZ212" s="286">
        <f t="shared" si="583"/>
        <v>0.40953179259968864</v>
      </c>
      <c r="BA212" s="287">
        <f t="shared" si="583"/>
        <v>-1.5289470603883082E-3</v>
      </c>
      <c r="BB212" s="286">
        <f t="shared" ref="BB212:BE214" si="584">BB200/AX200-1</f>
        <v>0.13240350232185771</v>
      </c>
      <c r="BC212" s="286">
        <f t="shared" si="584"/>
        <v>-4.609402742691604E-2</v>
      </c>
      <c r="BD212" s="286">
        <f t="shared" si="584"/>
        <v>-0.28052956180443467</v>
      </c>
      <c r="BE212" s="286">
        <f t="shared" si="584"/>
        <v>1.0358191024621193</v>
      </c>
      <c r="BF212" s="142"/>
      <c r="BG212" s="15"/>
    </row>
    <row r="213" spans="1:90" outlineLevel="1">
      <c r="B213" s="399" t="s">
        <v>378</v>
      </c>
      <c r="C213" s="449"/>
      <c r="D213" s="449"/>
      <c r="E213" s="15"/>
      <c r="F213" s="15">
        <f>F201/E201-1</f>
        <v>4.7183499483802951</v>
      </c>
      <c r="G213" s="15">
        <f t="shared" ref="G213:R213" si="585">G201/F201-1</f>
        <v>6.4678663239074554</v>
      </c>
      <c r="H213" s="15">
        <f t="shared" si="585"/>
        <v>5.1411359724612735</v>
      </c>
      <c r="I213" s="15">
        <f t="shared" si="585"/>
        <v>1.8215807174887892</v>
      </c>
      <c r="J213" s="435">
        <f t="shared" si="585"/>
        <v>0.80247134314718793</v>
      </c>
      <c r="K213" s="15">
        <f t="shared" si="585"/>
        <v>0.62304588085880197</v>
      </c>
      <c r="L213" s="15">
        <f t="shared" si="585"/>
        <v>0.41815820543093296</v>
      </c>
      <c r="M213" s="15">
        <f t="shared" si="585"/>
        <v>0.34854436781609199</v>
      </c>
      <c r="N213" s="15">
        <f t="shared" si="585"/>
        <v>0.23430912768130785</v>
      </c>
      <c r="O213" s="15">
        <f t="shared" si="585"/>
        <v>0.21604569039238086</v>
      </c>
      <c r="P213" s="15">
        <f t="shared" si="585"/>
        <v>0.24286189350069098</v>
      </c>
      <c r="Q213" s="15">
        <f t="shared" si="585"/>
        <v>0.13388768680780805</v>
      </c>
      <c r="R213" s="15">
        <f t="shared" si="585"/>
        <v>0.12015130367432447</v>
      </c>
      <c r="V213" s="142"/>
      <c r="W213" s="142"/>
      <c r="X213" s="142"/>
      <c r="Y213" s="359"/>
      <c r="Z213" s="142"/>
      <c r="AA213" s="142"/>
      <c r="AB213" s="142"/>
      <c r="AC213" s="359"/>
      <c r="AD213" s="41"/>
      <c r="AE213" s="142"/>
      <c r="AF213" s="142"/>
      <c r="AH213" s="142">
        <f t="shared" si="582"/>
        <v>4.7142857142857144</v>
      </c>
      <c r="AI213" s="142">
        <f t="shared" si="582"/>
        <v>4.5333333333333332</v>
      </c>
      <c r="AJ213" s="142">
        <f t="shared" si="582"/>
        <v>7.3642857142857139</v>
      </c>
      <c r="AK213" s="359">
        <f t="shared" si="582"/>
        <v>6.9047619047619051</v>
      </c>
      <c r="AL213" s="142">
        <f t="shared" si="582"/>
        <v>9.2249999999999996</v>
      </c>
      <c r="AM213" s="142">
        <f t="shared" si="582"/>
        <v>10.201807228915662</v>
      </c>
      <c r="AN213" s="142">
        <f t="shared" si="582"/>
        <v>4.4824935952177629</v>
      </c>
      <c r="AO213" s="359">
        <f t="shared" si="582"/>
        <v>3.515490533562823</v>
      </c>
      <c r="AP213" s="142">
        <f t="shared" si="582"/>
        <v>2.2546862265688672</v>
      </c>
      <c r="AQ213" s="142">
        <f t="shared" si="582"/>
        <v>1.8287173971497714</v>
      </c>
      <c r="AR213" s="142">
        <f t="shared" si="583"/>
        <v>1.9199376947040498</v>
      </c>
      <c r="AS213" s="359">
        <f t="shared" si="583"/>
        <v>1.4936153992757766</v>
      </c>
      <c r="AT213" s="142">
        <f t="shared" si="583"/>
        <v>1.1928133216476775</v>
      </c>
      <c r="AU213" s="142">
        <f t="shared" si="583"/>
        <v>0.77851711026615966</v>
      </c>
      <c r="AV213" s="142">
        <f t="shared" si="583"/>
        <v>0.73108929905046405</v>
      </c>
      <c r="AW213" s="359">
        <f t="shared" si="583"/>
        <v>0.68572302048303269</v>
      </c>
      <c r="AX213" s="286">
        <f t="shared" si="583"/>
        <v>0.73957976475962095</v>
      </c>
      <c r="AY213" s="286">
        <f t="shared" si="583"/>
        <v>0.70833778727952956</v>
      </c>
      <c r="AZ213" s="286">
        <f t="shared" si="583"/>
        <v>0.48944562571261296</v>
      </c>
      <c r="BA213" s="287">
        <f t="shared" si="583"/>
        <v>0.65472324157598694</v>
      </c>
      <c r="BB213" s="286">
        <f t="shared" si="584"/>
        <v>0.46545873161125195</v>
      </c>
      <c r="BC213" s="286">
        <f t="shared" si="584"/>
        <v>0.46744530986327937</v>
      </c>
      <c r="BD213" s="286">
        <f t="shared" si="584"/>
        <v>0.47765430241238005</v>
      </c>
      <c r="BE213" s="286">
        <f t="shared" si="584"/>
        <v>0.25671420500520736</v>
      </c>
      <c r="BF213" s="142"/>
      <c r="BG213" s="15"/>
    </row>
    <row r="214" spans="1:90" outlineLevel="1">
      <c r="B214" s="399" t="s">
        <v>126</v>
      </c>
      <c r="C214" s="449"/>
      <c r="D214" s="449"/>
      <c r="E214" s="15"/>
      <c r="F214" s="15">
        <f>F202/E202-1</f>
        <v>1.0093875726419315</v>
      </c>
      <c r="G214" s="15">
        <f t="shared" ref="G214:R214" si="586">G202/F202-1</f>
        <v>0.58813496477567662</v>
      </c>
      <c r="H214" s="15">
        <f t="shared" si="586"/>
        <v>0.39456481135599542</v>
      </c>
      <c r="I214" s="15">
        <f t="shared" si="586"/>
        <v>0.33986807741244229</v>
      </c>
      <c r="J214" s="435">
        <f t="shared" si="586"/>
        <v>0.42577436807316982</v>
      </c>
      <c r="K214" s="15">
        <f t="shared" si="586"/>
        <v>0.54785186535856045</v>
      </c>
      <c r="L214" s="15">
        <f t="shared" si="586"/>
        <v>0.35465552881986229</v>
      </c>
      <c r="M214" s="15">
        <f t="shared" si="586"/>
        <v>0.30931286681715564</v>
      </c>
      <c r="N214" s="15">
        <f t="shared" si="586"/>
        <v>0.20718145454545489</v>
      </c>
      <c r="O214" s="15">
        <f t="shared" si="586"/>
        <v>0.19093931217167226</v>
      </c>
      <c r="P214" s="15">
        <f t="shared" si="586"/>
        <v>0.21693974707400532</v>
      </c>
      <c r="Q214" s="15">
        <f t="shared" si="586"/>
        <v>0.13388768680780805</v>
      </c>
      <c r="R214" s="15">
        <f t="shared" si="586"/>
        <v>0.12015130367432447</v>
      </c>
      <c r="V214" s="142"/>
      <c r="W214" s="142"/>
      <c r="X214" s="142"/>
      <c r="Y214" s="359"/>
      <c r="Z214" s="142"/>
      <c r="AA214" s="142"/>
      <c r="AB214" s="142"/>
      <c r="AC214" s="359"/>
      <c r="AD214" s="41"/>
      <c r="AE214" s="142"/>
      <c r="AF214" s="142"/>
      <c r="AH214" s="142">
        <f t="shared" si="582"/>
        <v>0.72374701670644392</v>
      </c>
      <c r="AI214" s="142">
        <f t="shared" si="582"/>
        <v>0.54374999999999996</v>
      </c>
      <c r="AJ214" s="142">
        <f t="shared" si="582"/>
        <v>0.68429286608260331</v>
      </c>
      <c r="AK214" s="359">
        <f t="shared" si="582"/>
        <v>0.38747408942848671</v>
      </c>
      <c r="AL214" s="142">
        <f t="shared" si="582"/>
        <v>0.45829006576670128</v>
      </c>
      <c r="AM214" s="142">
        <f t="shared" si="582"/>
        <v>0.4770387507229612</v>
      </c>
      <c r="AN214" s="142">
        <f t="shared" si="582"/>
        <v>0.31741903523437975</v>
      </c>
      <c r="AO214" s="359">
        <f t="shared" si="582"/>
        <v>0.39248746131682855</v>
      </c>
      <c r="AP214" s="142">
        <f t="shared" si="582"/>
        <v>0.24313632407627184</v>
      </c>
      <c r="AQ214" s="142">
        <f t="shared" si="582"/>
        <v>0.3522593781815333</v>
      </c>
      <c r="AR214" s="142">
        <f t="shared" si="583"/>
        <v>0.34965922444183306</v>
      </c>
      <c r="AS214" s="359">
        <f t="shared" si="583"/>
        <v>0.40547168365391983</v>
      </c>
      <c r="AT214" s="142">
        <f t="shared" si="583"/>
        <v>0.48822556008146645</v>
      </c>
      <c r="AU214" s="142">
        <f t="shared" si="583"/>
        <v>0.39624717669543053</v>
      </c>
      <c r="AV214" s="142">
        <f t="shared" si="583"/>
        <v>0.42097931322699722</v>
      </c>
      <c r="AW214" s="359">
        <f t="shared" si="583"/>
        <v>0.4075790621592148</v>
      </c>
      <c r="AX214" s="286">
        <f t="shared" si="583"/>
        <v>0.57002950861737167</v>
      </c>
      <c r="AY214" s="286">
        <f t="shared" si="583"/>
        <v>0.640756563938778</v>
      </c>
      <c r="AZ214" s="286">
        <f t="shared" si="583"/>
        <v>0.47308955443360623</v>
      </c>
      <c r="BA214" s="287">
        <f t="shared" si="583"/>
        <v>0.55916438133643109</v>
      </c>
      <c r="BB214" s="286">
        <f t="shared" si="584"/>
        <v>0.40880341708433243</v>
      </c>
      <c r="BC214" s="286">
        <f t="shared" si="584"/>
        <v>0.3688580123588745</v>
      </c>
      <c r="BD214" s="286">
        <f t="shared" si="584"/>
        <v>0.3291711102370849</v>
      </c>
      <c r="BE214" s="286">
        <f t="shared" si="584"/>
        <v>0.32936488848101364</v>
      </c>
      <c r="BF214" s="142"/>
      <c r="BG214" s="15"/>
    </row>
    <row r="215" spans="1:90" outlineLevel="1">
      <c r="B215" s="144" t="s">
        <v>81</v>
      </c>
      <c r="C215" s="449"/>
      <c r="D215" s="449"/>
      <c r="E215" s="15"/>
      <c r="F215" s="15"/>
      <c r="G215" s="15"/>
      <c r="H215" s="15"/>
      <c r="I215" s="15"/>
      <c r="J215" s="435"/>
      <c r="K215" s="15"/>
      <c r="L215" s="15"/>
      <c r="M215" s="15"/>
      <c r="N215" s="15"/>
      <c r="O215" s="15"/>
      <c r="P215" s="15"/>
      <c r="Q215" s="15"/>
      <c r="R215" s="15"/>
      <c r="V215" s="142"/>
      <c r="W215" s="142"/>
      <c r="X215" s="142"/>
      <c r="Y215" s="359"/>
      <c r="Z215" s="142"/>
      <c r="AA215" s="142"/>
      <c r="AB215" s="142"/>
      <c r="AC215" s="359"/>
      <c r="AD215" s="41"/>
      <c r="AE215" s="142"/>
      <c r="AF215" s="142"/>
      <c r="AH215" s="142"/>
      <c r="AI215" s="142"/>
      <c r="AJ215" s="142"/>
      <c r="AK215" s="359"/>
      <c r="AL215" s="142"/>
      <c r="AM215" s="142"/>
      <c r="AN215" s="142"/>
      <c r="AO215" s="359"/>
      <c r="AP215" s="142"/>
      <c r="AQ215" s="142"/>
      <c r="AR215" s="142"/>
      <c r="AS215" s="359"/>
      <c r="AT215" s="142"/>
      <c r="AU215" s="142"/>
      <c r="AV215" s="142"/>
      <c r="AW215" s="359"/>
      <c r="AX215" s="286"/>
      <c r="AY215" s="286"/>
      <c r="AZ215" s="286"/>
      <c r="BA215" s="287"/>
      <c r="BB215" s="286"/>
      <c r="BC215" s="286"/>
      <c r="BD215" s="286"/>
      <c r="BE215" s="286"/>
      <c r="BF215" s="142"/>
      <c r="BG215" s="15"/>
    </row>
    <row r="216" spans="1:90" outlineLevel="1">
      <c r="B216" s="399" t="s">
        <v>377</v>
      </c>
      <c r="C216" s="449"/>
      <c r="D216" s="449"/>
      <c r="E216" s="15"/>
      <c r="F216" s="41"/>
      <c r="G216" s="15"/>
      <c r="H216" s="15"/>
      <c r="I216" s="15"/>
      <c r="J216" s="435"/>
      <c r="K216" s="15"/>
      <c r="L216" s="15"/>
      <c r="M216" s="15"/>
      <c r="N216" s="15"/>
      <c r="O216" s="15"/>
      <c r="P216" s="15"/>
      <c r="Q216" s="15"/>
      <c r="R216" s="15"/>
      <c r="V216" s="142"/>
      <c r="W216" s="142"/>
      <c r="X216" s="142"/>
      <c r="Y216" s="359"/>
      <c r="Z216" s="142"/>
      <c r="AA216" s="142">
        <f t="shared" ref="AA216:BE216" si="587">AA200/Z200-1</f>
        <v>2.6200314238097988E-2</v>
      </c>
      <c r="AB216" s="142">
        <f t="shared" si="587"/>
        <v>0.75849135222467812</v>
      </c>
      <c r="AC216" s="359">
        <f t="shared" si="587"/>
        <v>-0.33425065114224906</v>
      </c>
      <c r="AD216" s="142">
        <f t="shared" si="587"/>
        <v>0.56391235251959615</v>
      </c>
      <c r="AE216" s="142">
        <f t="shared" si="587"/>
        <v>0.11111111111111116</v>
      </c>
      <c r="AF216" s="142">
        <f t="shared" si="587"/>
        <v>0.70541516245487368</v>
      </c>
      <c r="AG216" s="359">
        <f t="shared" si="587"/>
        <v>-0.30069856054191368</v>
      </c>
      <c r="AH216" s="142">
        <f t="shared" si="587"/>
        <v>0.27546541546844261</v>
      </c>
      <c r="AI216" s="142">
        <f t="shared" si="587"/>
        <v>-1.3527945888216486E-2</v>
      </c>
      <c r="AJ216" s="142">
        <f t="shared" si="587"/>
        <v>0.80175628533622034</v>
      </c>
      <c r="AK216" s="359">
        <f t="shared" si="587"/>
        <v>-0.45192949659500603</v>
      </c>
      <c r="AL216" s="142">
        <f t="shared" si="587"/>
        <v>0.24071141430137644</v>
      </c>
      <c r="AM216" s="142">
        <f t="shared" si="587"/>
        <v>-0.1114383897889053</v>
      </c>
      <c r="AN216" s="142">
        <f t="shared" si="587"/>
        <v>0.64143646408839783</v>
      </c>
      <c r="AO216" s="359">
        <f t="shared" si="587"/>
        <v>-0.47478963312016154</v>
      </c>
      <c r="AP216" s="142">
        <f t="shared" si="587"/>
        <v>-9.8692642912073802E-3</v>
      </c>
      <c r="AQ216" s="142">
        <f t="shared" si="587"/>
        <v>-0.12660194174757278</v>
      </c>
      <c r="AR216" s="142">
        <f t="shared" si="587"/>
        <v>0.47739736179042547</v>
      </c>
      <c r="AS216" s="359">
        <f t="shared" si="587"/>
        <v>-0.4727126805778491</v>
      </c>
      <c r="AT216" s="142">
        <f t="shared" si="587"/>
        <v>0.11662861491628607</v>
      </c>
      <c r="AU216" s="142">
        <f t="shared" si="587"/>
        <v>-8.0081785653433268E-2</v>
      </c>
      <c r="AV216" s="142">
        <f t="shared" si="587"/>
        <v>0.54676791998518248</v>
      </c>
      <c r="AW216" s="359">
        <f t="shared" si="587"/>
        <v>-0.54987426655490368</v>
      </c>
      <c r="AX216" s="286">
        <f t="shared" si="587"/>
        <v>0.66134610268688476</v>
      </c>
      <c r="AY216" s="286">
        <f t="shared" si="587"/>
        <v>0.21601281024819863</v>
      </c>
      <c r="AZ216" s="286">
        <f t="shared" si="587"/>
        <v>0.55003950487226749</v>
      </c>
      <c r="BA216" s="287">
        <f t="shared" si="587"/>
        <v>-0.68114410942145942</v>
      </c>
      <c r="BB216" s="286">
        <f t="shared" si="587"/>
        <v>0.88419497962669547</v>
      </c>
      <c r="BC216" s="286">
        <f t="shared" si="587"/>
        <v>2.43361840923082E-2</v>
      </c>
      <c r="BD216" s="286">
        <f t="shared" si="587"/>
        <v>0.16909594221609225</v>
      </c>
      <c r="BE216" s="286">
        <f t="shared" si="587"/>
        <v>-9.7762912121320711E-2</v>
      </c>
      <c r="BF216" s="142"/>
      <c r="BG216" s="15"/>
    </row>
    <row r="217" spans="1:90" outlineLevel="1">
      <c r="B217" s="399" t="s">
        <v>378</v>
      </c>
      <c r="C217" s="449"/>
      <c r="D217" s="449"/>
      <c r="E217" s="15"/>
      <c r="F217" s="41"/>
      <c r="G217" s="15"/>
      <c r="H217" s="15"/>
      <c r="I217" s="15"/>
      <c r="J217" s="435"/>
      <c r="K217" s="15"/>
      <c r="L217" s="15"/>
      <c r="M217" s="15"/>
      <c r="N217" s="15"/>
      <c r="O217" s="15"/>
      <c r="P217" s="15"/>
      <c r="Q217" s="15"/>
      <c r="R217" s="15"/>
      <c r="V217" s="142"/>
      <c r="W217" s="142"/>
      <c r="X217" s="142"/>
      <c r="Y217" s="359"/>
      <c r="Z217" s="142"/>
      <c r="AA217" s="142"/>
      <c r="AB217" s="142"/>
      <c r="AC217" s="359"/>
      <c r="AD217" s="41"/>
      <c r="AE217" s="142">
        <f t="shared" ref="AE217:BE217" si="588">AE201/AD201-1</f>
        <v>0.4285714285714286</v>
      </c>
      <c r="AF217" s="142">
        <f t="shared" si="588"/>
        <v>1.3333333333333335</v>
      </c>
      <c r="AG217" s="359">
        <f t="shared" si="588"/>
        <v>5.0000000000000044E-2</v>
      </c>
      <c r="AH217" s="142">
        <f t="shared" si="588"/>
        <v>0.63265306122448983</v>
      </c>
      <c r="AI217" s="142">
        <f t="shared" si="588"/>
        <v>0.3833333333333333</v>
      </c>
      <c r="AJ217" s="142">
        <f t="shared" si="588"/>
        <v>2.5271084337349397</v>
      </c>
      <c r="AK217" s="359">
        <f t="shared" si="588"/>
        <v>-7.6857386848847575E-3</v>
      </c>
      <c r="AL217" s="142">
        <f t="shared" si="588"/>
        <v>1.1118760757314976</v>
      </c>
      <c r="AM217" s="142">
        <f t="shared" si="588"/>
        <v>0.51548492257538703</v>
      </c>
      <c r="AN217" s="142">
        <f t="shared" si="588"/>
        <v>0.7262705028233396</v>
      </c>
      <c r="AO217" s="359">
        <f t="shared" si="588"/>
        <v>-0.18271028037383175</v>
      </c>
      <c r="AP217" s="142">
        <f t="shared" si="588"/>
        <v>0.52220316371259767</v>
      </c>
      <c r="AQ217" s="142">
        <f t="shared" si="588"/>
        <v>0.31714035307374489</v>
      </c>
      <c r="AR217" s="142">
        <f t="shared" si="588"/>
        <v>0.78193916349809878</v>
      </c>
      <c r="AS217" s="359">
        <f t="shared" si="588"/>
        <v>-0.30203776805718552</v>
      </c>
      <c r="AT217" s="142">
        <f t="shared" si="588"/>
        <v>0.33858147355548751</v>
      </c>
      <c r="AU217" s="142">
        <f t="shared" si="588"/>
        <v>6.8288226561607823E-2</v>
      </c>
      <c r="AV217" s="142">
        <f t="shared" si="588"/>
        <v>0.73442009620523785</v>
      </c>
      <c r="AW217" s="359">
        <f t="shared" si="588"/>
        <v>-0.32032911158361843</v>
      </c>
      <c r="AX217" s="286">
        <f t="shared" si="588"/>
        <v>0.38134747914399703</v>
      </c>
      <c r="AY217" s="286">
        <f t="shared" si="588"/>
        <v>4.9102307414579771E-2</v>
      </c>
      <c r="AZ217" s="286">
        <f t="shared" si="588"/>
        <v>0.51218596502205682</v>
      </c>
      <c r="BA217" s="287">
        <f t="shared" si="588"/>
        <v>-0.24490884643936006</v>
      </c>
      <c r="BB217" s="286">
        <f t="shared" si="588"/>
        <v>0.22335123713665639</v>
      </c>
      <c r="BC217" s="286">
        <f t="shared" si="588"/>
        <v>5.052447221738543E-2</v>
      </c>
      <c r="BD217" s="286">
        <f t="shared" si="588"/>
        <v>0.52270621756298663</v>
      </c>
      <c r="BE217" s="286">
        <f t="shared" si="588"/>
        <v>-0.35781070227033496</v>
      </c>
      <c r="BF217" s="142"/>
      <c r="BG217" s="15"/>
    </row>
    <row r="218" spans="1:90" outlineLevel="1">
      <c r="B218" s="399" t="s">
        <v>126</v>
      </c>
      <c r="C218" s="449"/>
      <c r="D218" s="449"/>
      <c r="E218" s="15"/>
      <c r="F218" s="41"/>
      <c r="G218" s="15"/>
      <c r="H218" s="15"/>
      <c r="I218" s="15"/>
      <c r="J218" s="435"/>
      <c r="K218" s="15"/>
      <c r="L218" s="15"/>
      <c r="M218" s="15"/>
      <c r="N218" s="15"/>
      <c r="O218" s="15"/>
      <c r="P218" s="15"/>
      <c r="Q218" s="15"/>
      <c r="R218" s="15"/>
      <c r="V218" s="142"/>
      <c r="W218" s="142"/>
      <c r="X218" s="142"/>
      <c r="Y218" s="359"/>
      <c r="Z218" s="142"/>
      <c r="AA218" s="286">
        <f>AA202/Z202-1</f>
        <v>2.7057497181510737E-2</v>
      </c>
      <c r="AB218" s="286">
        <f>AB202/AA202-1</f>
        <v>0.76033662641785593</v>
      </c>
      <c r="AC218" s="286">
        <f>AC202/AB202-1</f>
        <v>-0.33132404905425072</v>
      </c>
      <c r="AD218" s="286">
        <f>AD202/AC202-1</f>
        <v>0.56294684488654023</v>
      </c>
      <c r="AE218" s="286">
        <f t="shared" ref="AE218:BE218" si="589">AE202/AD202-1</f>
        <v>0.11376292760540974</v>
      </c>
      <c r="AF218" s="286">
        <f t="shared" si="589"/>
        <v>0.71214285714285719</v>
      </c>
      <c r="AG218" s="287">
        <f t="shared" si="589"/>
        <v>-0.29557780559032121</v>
      </c>
      <c r="AH218" s="286">
        <f t="shared" si="589"/>
        <v>0.28323956174119047</v>
      </c>
      <c r="AI218" s="286">
        <f t="shared" si="589"/>
        <v>-2.5383639090804655E-3</v>
      </c>
      <c r="AJ218" s="286">
        <f t="shared" si="589"/>
        <v>0.86801619433198374</v>
      </c>
      <c r="AK218" s="287">
        <f t="shared" si="589"/>
        <v>-0.41971639110780856</v>
      </c>
      <c r="AL218" s="286">
        <f t="shared" si="589"/>
        <v>0.34873546046313098</v>
      </c>
      <c r="AM218" s="286">
        <f t="shared" si="589"/>
        <v>1.0285623862647419E-2</v>
      </c>
      <c r="AN218" s="286">
        <f t="shared" si="589"/>
        <v>0.66614456887775075</v>
      </c>
      <c r="AO218" s="287">
        <f t="shared" si="589"/>
        <v>-0.38665099882491183</v>
      </c>
      <c r="AP218" s="286">
        <f t="shared" si="589"/>
        <v>0.20407694076174421</v>
      </c>
      <c r="AQ218" s="286">
        <f t="shared" si="589"/>
        <v>9.8968940936863481E-2</v>
      </c>
      <c r="AR218" s="286">
        <f t="shared" si="589"/>
        <v>0.6629408698673771</v>
      </c>
      <c r="AS218" s="287">
        <f t="shared" si="589"/>
        <v>-0.36128717698683566</v>
      </c>
      <c r="AT218" s="286">
        <f t="shared" si="589"/>
        <v>0.27497273718647763</v>
      </c>
      <c r="AU218" s="286">
        <f t="shared" si="589"/>
        <v>3.1048197408373612E-2</v>
      </c>
      <c r="AV218" s="286">
        <f t="shared" si="589"/>
        <v>0.69239703015471399</v>
      </c>
      <c r="AW218" s="287">
        <f t="shared" si="589"/>
        <v>-0.3673104259595118</v>
      </c>
      <c r="AX218" s="286">
        <f t="shared" si="589"/>
        <v>0.42211892310672083</v>
      </c>
      <c r="AY218" s="286">
        <f t="shared" si="589"/>
        <v>7.7495096971017752E-2</v>
      </c>
      <c r="AZ218" s="286">
        <f t="shared" si="589"/>
        <v>0.51945294132517628</v>
      </c>
      <c r="BA218" s="287">
        <f t="shared" si="589"/>
        <v>-0.33034142743199446</v>
      </c>
      <c r="BB218" s="286">
        <f t="shared" si="589"/>
        <v>0.28497419666280455</v>
      </c>
      <c r="BC218" s="286">
        <f t="shared" si="589"/>
        <v>4.6943653656604356E-2</v>
      </c>
      <c r="BD218" s="286">
        <f t="shared" si="589"/>
        <v>0.47539988423920287</v>
      </c>
      <c r="BE218" s="286">
        <f t="shared" si="589"/>
        <v>-0.33024379872096954</v>
      </c>
      <c r="BF218" s="142"/>
      <c r="BG218" s="15"/>
    </row>
    <row r="219" spans="1:90" outlineLevel="1">
      <c r="B219" s="476"/>
      <c r="C219" s="348"/>
      <c r="F219" s="41"/>
      <c r="G219" s="41"/>
      <c r="AD219" s="41"/>
      <c r="AE219" s="41"/>
      <c r="AF219" s="41"/>
      <c r="AG219" s="363"/>
      <c r="AH219" s="41"/>
      <c r="AI219" s="41"/>
      <c r="AJ219" s="41"/>
      <c r="AK219" s="363"/>
      <c r="AL219" s="41"/>
      <c r="BG219" s="15"/>
    </row>
    <row r="220" spans="1:90" s="13" customFormat="1" outlineLevel="1">
      <c r="A220" s="1349"/>
      <c r="B220" s="406" t="s">
        <v>592</v>
      </c>
      <c r="C220" s="496"/>
      <c r="F220" s="259"/>
      <c r="G220" s="516">
        <f>AK220</f>
        <v>18</v>
      </c>
      <c r="H220" s="517">
        <f>AO220</f>
        <v>62</v>
      </c>
      <c r="I220" s="407">
        <f>AS220</f>
        <v>123</v>
      </c>
      <c r="J220" s="554">
        <f>AW220</f>
        <v>179</v>
      </c>
      <c r="V220" s="12"/>
      <c r="W220" s="12"/>
      <c r="X220" s="12"/>
      <c r="Y220" s="408"/>
      <c r="Z220" s="12"/>
      <c r="AA220" s="12"/>
      <c r="AB220" s="12"/>
      <c r="AC220" s="408"/>
      <c r="AD220" s="259"/>
      <c r="AE220" s="259"/>
      <c r="AF220" s="259"/>
      <c r="AG220" s="260"/>
      <c r="AH220" s="259"/>
      <c r="AI220" s="259"/>
      <c r="AJ220" s="259"/>
      <c r="AK220" s="518">
        <f>Reported!K354</f>
        <v>18</v>
      </c>
      <c r="AL220" s="516">
        <f>Reported!L354</f>
        <v>27</v>
      </c>
      <c r="AM220" s="519">
        <f>Reported!M354</f>
        <v>39</v>
      </c>
      <c r="AN220" s="519">
        <f>Reported!N354</f>
        <v>52</v>
      </c>
      <c r="AO220" s="520">
        <f>Reported!O354</f>
        <v>62</v>
      </c>
      <c r="AP220" s="519">
        <f>Reported!P354</f>
        <v>76</v>
      </c>
      <c r="AQ220" s="519">
        <f>Reported!Q354</f>
        <v>87</v>
      </c>
      <c r="AR220" s="519">
        <f>Reported!R354</f>
        <v>108</v>
      </c>
      <c r="AS220" s="521">
        <f>Reported!S354</f>
        <v>123</v>
      </c>
      <c r="AT220" s="364">
        <f>Reported!T354</f>
        <v>140</v>
      </c>
      <c r="AU220" s="364">
        <f>Reported!U354</f>
        <v>151</v>
      </c>
      <c r="AV220" s="364">
        <f>Reported!V354</f>
        <v>166</v>
      </c>
      <c r="AW220" s="521">
        <f>Reported!W354</f>
        <v>179</v>
      </c>
      <c r="AX220" s="364">
        <f>Reported!X354</f>
        <v>196</v>
      </c>
      <c r="AY220" s="364">
        <f>Reported!Y354</f>
        <v>151</v>
      </c>
      <c r="AZ220" s="364">
        <f>Reported!Z354</f>
        <v>229</v>
      </c>
      <c r="BA220" s="292"/>
      <c r="BB220" s="522"/>
      <c r="BC220" s="522"/>
      <c r="BD220" s="291"/>
      <c r="BE220" s="291"/>
      <c r="BF220" s="12"/>
      <c r="BG220" s="14"/>
      <c r="CG220"/>
      <c r="CH220"/>
      <c r="CI220"/>
      <c r="CJ220"/>
      <c r="CK220"/>
      <c r="CL220"/>
    </row>
    <row r="221" spans="1:90" s="13" customFormat="1" outlineLevel="1">
      <c r="A221" s="1349"/>
      <c r="B221" s="406" t="s">
        <v>593</v>
      </c>
      <c r="C221" s="496"/>
      <c r="F221" s="259"/>
      <c r="G221" s="259">
        <f t="shared" ref="G221:M221" si="590">G201/G153</f>
        <v>17.822085889570552</v>
      </c>
      <c r="H221" s="259">
        <f t="shared" si="590"/>
        <v>61.730103806228371</v>
      </c>
      <c r="I221" s="259">
        <f t="shared" si="590"/>
        <v>122.77317073170731</v>
      </c>
      <c r="J221" s="260">
        <f t="shared" si="590"/>
        <v>178.95660749506902</v>
      </c>
      <c r="K221" s="259">
        <f t="shared" si="590"/>
        <v>249.75937614368004</v>
      </c>
      <c r="L221" s="259">
        <f t="shared" si="590"/>
        <v>314.21034281137361</v>
      </c>
      <c r="M221" s="259">
        <f t="shared" si="590"/>
        <v>368.5903462332767</v>
      </c>
      <c r="N221" s="259"/>
      <c r="O221" s="259"/>
      <c r="P221" s="259"/>
      <c r="Q221" s="259"/>
      <c r="R221" s="259"/>
      <c r="V221" s="12"/>
      <c r="W221" s="12"/>
      <c r="X221" s="12"/>
      <c r="Y221" s="408"/>
      <c r="Z221" s="12"/>
      <c r="AA221" s="12"/>
      <c r="AB221" s="12"/>
      <c r="AC221" s="408"/>
      <c r="AD221" s="259"/>
      <c r="AE221" s="259"/>
      <c r="AF221" s="259"/>
      <c r="AG221" s="260"/>
      <c r="AH221" s="259"/>
      <c r="AI221" s="259"/>
      <c r="AJ221" s="259"/>
      <c r="AK221" s="260">
        <f>SUM(AH201:AK201)/AK153</f>
        <v>17.822085889570552</v>
      </c>
      <c r="AL221" s="259"/>
      <c r="AM221" s="259">
        <f t="shared" ref="AM221:BE221" si="591">SUM(AJ201:AM201)/AM153</f>
        <v>39.198156682027651</v>
      </c>
      <c r="AN221" s="259">
        <f t="shared" si="591"/>
        <v>51.905660377358494</v>
      </c>
      <c r="AO221" s="260">
        <f t="shared" si="591"/>
        <v>61.730103806228371</v>
      </c>
      <c r="AP221" s="259">
        <f t="shared" si="591"/>
        <v>76.133550488599354</v>
      </c>
      <c r="AQ221" s="259">
        <f t="shared" si="591"/>
        <v>87.20809248554913</v>
      </c>
      <c r="AR221" s="259">
        <f t="shared" si="591"/>
        <v>108.14249363867684</v>
      </c>
      <c r="AS221" s="260">
        <f t="shared" si="591"/>
        <v>122.77317073170731</v>
      </c>
      <c r="AT221" s="259">
        <f t="shared" si="591"/>
        <v>140.19672131147541</v>
      </c>
      <c r="AU221" s="259">
        <f t="shared" si="591"/>
        <v>151.23111111111112</v>
      </c>
      <c r="AV221" s="259">
        <f t="shared" si="591"/>
        <v>165.83975659229208</v>
      </c>
      <c r="AW221" s="260">
        <f t="shared" si="591"/>
        <v>178.95660749506902</v>
      </c>
      <c r="AX221" s="315">
        <f t="shared" si="591"/>
        <v>196</v>
      </c>
      <c r="AY221" s="315">
        <f t="shared" si="591"/>
        <v>213</v>
      </c>
      <c r="AZ221" s="315">
        <f t="shared" si="591"/>
        <v>229</v>
      </c>
      <c r="BA221" s="316">
        <f t="shared" si="591"/>
        <v>249.75937614368004</v>
      </c>
      <c r="BB221" s="315">
        <f t="shared" si="591"/>
        <v>259.31389998556949</v>
      </c>
      <c r="BC221" s="315">
        <f t="shared" si="591"/>
        <v>276.29341480766141</v>
      </c>
      <c r="BD221" s="315">
        <f t="shared" si="591"/>
        <v>304.8368770768061</v>
      </c>
      <c r="BE221" s="315">
        <f t="shared" si="591"/>
        <v>314.21034281137361</v>
      </c>
      <c r="BF221" s="259"/>
      <c r="BG221" s="14"/>
      <c r="CG221"/>
      <c r="CH221"/>
      <c r="CI221"/>
      <c r="CJ221"/>
      <c r="CK221"/>
      <c r="CL221"/>
    </row>
    <row r="222" spans="1:90" outlineLevel="1">
      <c r="B222" s="357"/>
      <c r="C222" s="374"/>
      <c r="E222" s="411"/>
      <c r="F222" s="411"/>
      <c r="G222" s="411"/>
      <c r="H222" s="411"/>
      <c r="I222" s="411"/>
      <c r="J222" s="523"/>
      <c r="K222" s="411"/>
      <c r="L222" s="411"/>
      <c r="M222" s="411"/>
      <c r="N222" s="411"/>
      <c r="O222" s="411"/>
      <c r="P222" s="411"/>
      <c r="Q222" s="411"/>
      <c r="R222" s="411"/>
      <c r="AD222" s="499"/>
      <c r="AE222" s="499"/>
      <c r="AF222" s="499"/>
      <c r="AG222" s="501"/>
      <c r="AH222" s="499"/>
      <c r="AI222" s="499"/>
      <c r="AJ222" s="499"/>
      <c r="AK222" s="501"/>
      <c r="AL222" s="473"/>
      <c r="AM222" s="411"/>
      <c r="AN222" s="499"/>
      <c r="AO222" s="501"/>
      <c r="AP222" s="411"/>
      <c r="AQ222" s="411"/>
      <c r="AR222" s="411"/>
      <c r="AS222" s="523"/>
      <c r="AT222" s="411"/>
      <c r="AU222" s="411"/>
      <c r="AV222" s="411"/>
      <c r="AW222" s="523"/>
      <c r="AX222" s="524"/>
      <c r="AY222" s="524"/>
      <c r="AZ222" s="524"/>
      <c r="BA222" s="1533"/>
      <c r="BB222" s="524"/>
      <c r="BC222" s="524"/>
      <c r="BD222" s="524"/>
      <c r="BE222" s="524"/>
      <c r="BF222" s="411"/>
      <c r="BG222" s="15"/>
    </row>
    <row r="223" spans="1:90" outlineLevel="1">
      <c r="B223" s="339" t="s">
        <v>654</v>
      </c>
      <c r="C223" s="340"/>
      <c r="D223" s="340"/>
      <c r="E223" s="340"/>
      <c r="F223" s="340"/>
      <c r="G223" s="340"/>
      <c r="H223" s="340"/>
      <c r="I223" s="341"/>
      <c r="J223" s="1401"/>
      <c r="K223" s="341"/>
      <c r="L223" s="341"/>
      <c r="M223" s="341"/>
      <c r="N223" s="341"/>
      <c r="O223" s="341"/>
      <c r="P223" s="341"/>
      <c r="Q223" s="341"/>
      <c r="R223" s="341"/>
      <c r="S223" s="276"/>
      <c r="T223" s="340"/>
      <c r="V223" s="342"/>
      <c r="W223" s="342"/>
      <c r="X223" s="342"/>
      <c r="Y223" s="343"/>
      <c r="Z223" s="342"/>
      <c r="AA223" s="342"/>
      <c r="AB223" s="342"/>
      <c r="AC223" s="343"/>
      <c r="AD223" s="342"/>
      <c r="AE223" s="342"/>
      <c r="AF223" s="342"/>
      <c r="AG223" s="343"/>
      <c r="AH223" s="342"/>
      <c r="AI223" s="342"/>
      <c r="AJ223" s="342"/>
      <c r="AK223" s="343"/>
      <c r="AL223" s="344"/>
      <c r="AM223" s="344"/>
      <c r="AN223" s="344"/>
      <c r="AO223" s="343"/>
      <c r="AP223" s="342"/>
      <c r="AQ223" s="342"/>
      <c r="AR223" s="345"/>
      <c r="AS223" s="346"/>
      <c r="AT223" s="345"/>
      <c r="AU223" s="345"/>
      <c r="AV223" s="345"/>
      <c r="AW223" s="346"/>
      <c r="AX223" s="347"/>
      <c r="AY223" s="347"/>
      <c r="AZ223" s="347"/>
      <c r="BA223" s="1521"/>
      <c r="BB223" s="347"/>
      <c r="BC223" s="347"/>
      <c r="BD223" s="347"/>
      <c r="BE223" s="347"/>
      <c r="BF223" s="283"/>
      <c r="BG223" s="15"/>
      <c r="BJ223" s="454"/>
      <c r="BK223" s="454"/>
      <c r="BL223" s="454"/>
      <c r="BM223" s="454"/>
      <c r="BN223" s="454"/>
      <c r="BO223" s="454"/>
      <c r="BP223" s="454"/>
      <c r="BQ223" s="454"/>
    </row>
    <row r="224" spans="1:90" s="226" customFormat="1" outlineLevel="1">
      <c r="A224" s="1349"/>
      <c r="B224" s="226" t="s">
        <v>91</v>
      </c>
      <c r="C224" s="440">
        <f>C563-C162</f>
        <v>1381</v>
      </c>
      <c r="D224" s="440">
        <f>D563-D162</f>
        <v>1713</v>
      </c>
      <c r="E224" s="387">
        <v>2215</v>
      </c>
      <c r="F224" s="387">
        <v>2197</v>
      </c>
      <c r="G224" s="387">
        <v>2300</v>
      </c>
      <c r="H224" s="440">
        <f>SUM(AL224:AO224)</f>
        <v>3205</v>
      </c>
      <c r="I224" s="440">
        <f>SUM(AP224:AS224)</f>
        <v>4288</v>
      </c>
      <c r="J224" s="566">
        <f>SUM(AT224:AW224)</f>
        <v>5679</v>
      </c>
      <c r="K224" s="441">
        <f t="shared" ref="K224:R224" si="592">J224*(1+K225)</f>
        <v>6985.17</v>
      </c>
      <c r="L224" s="441">
        <f t="shared" si="592"/>
        <v>8032.9454999999998</v>
      </c>
      <c r="M224" s="441">
        <f t="shared" si="592"/>
        <v>8916.5695050000013</v>
      </c>
      <c r="N224" s="441">
        <f t="shared" si="592"/>
        <v>9701.2276214400026</v>
      </c>
      <c r="O224" s="441">
        <f t="shared" si="592"/>
        <v>10384.194045989379</v>
      </c>
      <c r="P224" s="441">
        <f t="shared" si="592"/>
        <v>10969.031854659501</v>
      </c>
      <c r="Q224" s="441">
        <f t="shared" si="592"/>
        <v>11463.252553903039</v>
      </c>
      <c r="R224" s="441">
        <f t="shared" si="592"/>
        <v>11876.443199557963</v>
      </c>
      <c r="T224" s="15">
        <f>(M224/J224)^(1/3)-1</f>
        <v>0.16227432317089696</v>
      </c>
      <c r="V224" s="526">
        <v>427</v>
      </c>
      <c r="W224" s="526">
        <v>454</v>
      </c>
      <c r="X224" s="526">
        <v>486</v>
      </c>
      <c r="Y224" s="527">
        <f>D224-SUM(V224:X224)</f>
        <v>346</v>
      </c>
      <c r="Z224" s="526">
        <v>552</v>
      </c>
      <c r="AA224" s="526">
        <v>560</v>
      </c>
      <c r="AB224" s="526">
        <v>564</v>
      </c>
      <c r="AC224" s="527">
        <f>E224-SUM(Z224:AB224)</f>
        <v>539</v>
      </c>
      <c r="AD224" s="528">
        <f>AD563-AD162</f>
        <v>573</v>
      </c>
      <c r="AE224" s="528">
        <f>AE563-AE162</f>
        <v>552</v>
      </c>
      <c r="AF224" s="528">
        <f>AF563-AF162</f>
        <v>584</v>
      </c>
      <c r="AG224" s="445">
        <f>F224-SUM(AD224:AF224)</f>
        <v>488</v>
      </c>
      <c r="AH224" s="528">
        <f>AH563-AH162</f>
        <v>526</v>
      </c>
      <c r="AI224" s="528">
        <f>AI563-AI162</f>
        <v>568</v>
      </c>
      <c r="AJ224" s="528">
        <f>AJ563-AJ162</f>
        <v>612</v>
      </c>
      <c r="AK224" s="445">
        <f>G224-SUM(AH224:AJ224)</f>
        <v>594</v>
      </c>
      <c r="AL224" s="528">
        <f>AL563-AL162</f>
        <v>709</v>
      </c>
      <c r="AM224" s="528">
        <f>AM563-AM162</f>
        <v>790</v>
      </c>
      <c r="AN224" s="528">
        <f>AN563-AN162</f>
        <v>860</v>
      </c>
      <c r="AO224" s="445">
        <f>AO563-AO162</f>
        <v>846</v>
      </c>
      <c r="AP224" s="446">
        <f>Reported!P129</f>
        <v>997</v>
      </c>
      <c r="AQ224" s="446">
        <f>Reported!Q129</f>
        <v>1046</v>
      </c>
      <c r="AR224" s="446">
        <f>Reported!R129</f>
        <v>1162</v>
      </c>
      <c r="AS224" s="447">
        <f>Reported!S129</f>
        <v>1083</v>
      </c>
      <c r="AT224" s="446">
        <f>Reported!T129</f>
        <v>1261</v>
      </c>
      <c r="AU224" s="446">
        <f>Reported!U129</f>
        <v>1435</v>
      </c>
      <c r="AV224" s="446">
        <f>Reported!V129</f>
        <v>1514</v>
      </c>
      <c r="AW224" s="447">
        <f>Reported!W129</f>
        <v>1469</v>
      </c>
      <c r="AX224" s="446">
        <f>Reported!X129</f>
        <v>1641</v>
      </c>
      <c r="AY224" s="446">
        <f>Reported!Y129</f>
        <v>1714</v>
      </c>
      <c r="AZ224" s="446">
        <f>Reported!Z129</f>
        <v>1926</v>
      </c>
      <c r="BA224" s="1523">
        <f>K224-SUM(AX224:AZ224)</f>
        <v>1704.17</v>
      </c>
      <c r="BB224" s="441">
        <f>AX224*(1+BB225)</f>
        <v>1887.1499999999999</v>
      </c>
      <c r="BC224" s="441">
        <f>AY224*(1+BC225)</f>
        <v>1971.1</v>
      </c>
      <c r="BD224" s="441">
        <f>AZ224*(1+BD225)</f>
        <v>2253.42</v>
      </c>
      <c r="BE224" s="373">
        <f>L224-SUM(BB224:BD224)</f>
        <v>1921.2754999999997</v>
      </c>
      <c r="BF224" s="222"/>
      <c r="BG224" s="302"/>
      <c r="BI224" s="440">
        <f>H224-SUM(AL224:AO224)</f>
        <v>0</v>
      </c>
      <c r="BJ224" s="440">
        <f>I224-SUM(AP224:AS224)</f>
        <v>0</v>
      </c>
      <c r="CG224"/>
      <c r="CH224"/>
      <c r="CI224"/>
      <c r="CJ224"/>
      <c r="CK224"/>
      <c r="CL224"/>
    </row>
    <row r="225" spans="1:90" outlineLevel="1">
      <c r="B225" s="448" t="s">
        <v>80</v>
      </c>
      <c r="C225" s="473"/>
      <c r="D225" s="375">
        <f t="shared" ref="D225:J225" si="593">D224/C224-1</f>
        <v>0.2404055032585084</v>
      </c>
      <c r="E225" s="375">
        <f t="shared" si="593"/>
        <v>0.29305312317571519</v>
      </c>
      <c r="F225" s="375">
        <f t="shared" si="593"/>
        <v>-8.1264108352144815E-3</v>
      </c>
      <c r="G225" s="375">
        <f t="shared" si="593"/>
        <v>4.6882111970869333E-2</v>
      </c>
      <c r="H225" s="375">
        <f t="shared" si="593"/>
        <v>0.39347826086956528</v>
      </c>
      <c r="I225" s="375">
        <f t="shared" si="593"/>
        <v>0.33790951638065514</v>
      </c>
      <c r="J225" s="431">
        <f t="shared" si="593"/>
        <v>0.32439365671641784</v>
      </c>
      <c r="K225" s="529">
        <v>0.23</v>
      </c>
      <c r="L225" s="529">
        <v>0.15</v>
      </c>
      <c r="M225" s="529">
        <v>0.11</v>
      </c>
      <c r="N225" s="529">
        <f>M225*0.8</f>
        <v>8.8000000000000009E-2</v>
      </c>
      <c r="O225" s="529">
        <f>N225*0.8</f>
        <v>7.0400000000000004E-2</v>
      </c>
      <c r="P225" s="529">
        <f>O225*0.8</f>
        <v>5.6320000000000009E-2</v>
      </c>
      <c r="Q225" s="529">
        <f>P225*0.8</f>
        <v>4.5056000000000013E-2</v>
      </c>
      <c r="R225" s="529">
        <f>Q225*0.8</f>
        <v>3.6044800000000009E-2</v>
      </c>
      <c r="W225" s="348"/>
      <c r="X225" s="348"/>
      <c r="Y225" s="530"/>
      <c r="Z225" s="531">
        <f t="shared" ref="Z225:AZ225" si="594">Z224/V224-1</f>
        <v>0.2927400468384076</v>
      </c>
      <c r="AA225" s="531">
        <f t="shared" si="594"/>
        <v>0.23348017621145378</v>
      </c>
      <c r="AB225" s="531">
        <f t="shared" si="594"/>
        <v>0.16049382716049387</v>
      </c>
      <c r="AC225" s="532">
        <f t="shared" si="594"/>
        <v>0.55780346820809257</v>
      </c>
      <c r="AD225" s="531">
        <f t="shared" si="594"/>
        <v>3.8043478260869623E-2</v>
      </c>
      <c r="AE225" s="531">
        <f t="shared" si="594"/>
        <v>-1.4285714285714235E-2</v>
      </c>
      <c r="AF225" s="531">
        <f t="shared" si="594"/>
        <v>3.5460992907801359E-2</v>
      </c>
      <c r="AG225" s="532">
        <f t="shared" si="594"/>
        <v>-9.4619666048237461E-2</v>
      </c>
      <c r="AH225" s="531">
        <f t="shared" si="594"/>
        <v>-8.2024432809773118E-2</v>
      </c>
      <c r="AI225" s="531">
        <f t="shared" si="594"/>
        <v>2.8985507246376718E-2</v>
      </c>
      <c r="AJ225" s="531">
        <f t="shared" si="594"/>
        <v>4.7945205479452024E-2</v>
      </c>
      <c r="AK225" s="532">
        <f t="shared" si="594"/>
        <v>0.21721311475409832</v>
      </c>
      <c r="AL225" s="531">
        <f t="shared" si="594"/>
        <v>0.34790874524714832</v>
      </c>
      <c r="AM225" s="531">
        <f t="shared" si="594"/>
        <v>0.39084507042253525</v>
      </c>
      <c r="AN225" s="531">
        <f t="shared" si="594"/>
        <v>0.40522875816993453</v>
      </c>
      <c r="AO225" s="532">
        <f t="shared" si="594"/>
        <v>0.42424242424242431</v>
      </c>
      <c r="AP225" s="531">
        <f t="shared" si="594"/>
        <v>0.40620592383638932</v>
      </c>
      <c r="AQ225" s="531">
        <f t="shared" si="594"/>
        <v>0.32405063291139236</v>
      </c>
      <c r="AR225" s="531">
        <f t="shared" si="594"/>
        <v>0.35116279069767442</v>
      </c>
      <c r="AS225" s="532">
        <f t="shared" si="594"/>
        <v>0.28014184397163122</v>
      </c>
      <c r="AT225" s="531">
        <f t="shared" si="594"/>
        <v>0.26479438314944836</v>
      </c>
      <c r="AU225" s="531">
        <f t="shared" si="594"/>
        <v>0.37189292543021035</v>
      </c>
      <c r="AV225" s="531">
        <f t="shared" si="594"/>
        <v>0.30292598967297768</v>
      </c>
      <c r="AW225" s="532">
        <f t="shared" si="594"/>
        <v>0.35641735918744222</v>
      </c>
      <c r="AX225" s="531">
        <f t="shared" si="594"/>
        <v>0.30134813639968283</v>
      </c>
      <c r="AY225" s="531">
        <f t="shared" si="594"/>
        <v>0.19442508710801398</v>
      </c>
      <c r="AZ225" s="531">
        <f t="shared" si="594"/>
        <v>0.27212681638044911</v>
      </c>
      <c r="BA225" s="1534">
        <f>BA224/AW224-1</f>
        <v>0.16008849557522131</v>
      </c>
      <c r="BB225" s="533">
        <v>0.15</v>
      </c>
      <c r="BC225" s="533">
        <v>0.15</v>
      </c>
      <c r="BD225" s="533">
        <v>0.17</v>
      </c>
      <c r="BE225" s="534">
        <f>BE224/BA224-1</f>
        <v>0.12739662122910245</v>
      </c>
      <c r="BF225" s="531"/>
      <c r="BG225" s="15"/>
    </row>
    <row r="226" spans="1:90" outlineLevel="1">
      <c r="B226" s="448" t="s">
        <v>81</v>
      </c>
      <c r="C226" s="374"/>
      <c r="W226" s="531">
        <f t="shared" ref="W226:BA226" si="595">W224/V224-1</f>
        <v>6.3231850117096089E-2</v>
      </c>
      <c r="X226" s="531">
        <f t="shared" si="595"/>
        <v>7.0484581497797461E-2</v>
      </c>
      <c r="Y226" s="532">
        <f t="shared" si="595"/>
        <v>-0.2880658436213992</v>
      </c>
      <c r="Z226" s="531">
        <f t="shared" si="595"/>
        <v>0.59537572254335269</v>
      </c>
      <c r="AA226" s="531">
        <f t="shared" si="595"/>
        <v>1.449275362318847E-2</v>
      </c>
      <c r="AB226" s="531">
        <f t="shared" si="595"/>
        <v>7.1428571428571175E-3</v>
      </c>
      <c r="AC226" s="532">
        <f t="shared" si="595"/>
        <v>-4.4326241134751809E-2</v>
      </c>
      <c r="AD226" s="531">
        <f t="shared" si="595"/>
        <v>6.307977736549164E-2</v>
      </c>
      <c r="AE226" s="531">
        <f t="shared" si="595"/>
        <v>-3.6649214659685847E-2</v>
      </c>
      <c r="AF226" s="531">
        <f t="shared" si="595"/>
        <v>5.7971014492753659E-2</v>
      </c>
      <c r="AG226" s="532">
        <f t="shared" si="595"/>
        <v>-0.16438356164383561</v>
      </c>
      <c r="AH226" s="531">
        <f t="shared" si="595"/>
        <v>7.7868852459016313E-2</v>
      </c>
      <c r="AI226" s="531">
        <f t="shared" si="595"/>
        <v>7.9847908745247054E-2</v>
      </c>
      <c r="AJ226" s="531">
        <f t="shared" si="595"/>
        <v>7.7464788732394263E-2</v>
      </c>
      <c r="AK226" s="532">
        <f t="shared" si="595"/>
        <v>-2.9411764705882359E-2</v>
      </c>
      <c r="AL226" s="531">
        <f t="shared" si="595"/>
        <v>0.19360269360269355</v>
      </c>
      <c r="AM226" s="531">
        <f t="shared" si="595"/>
        <v>0.11424541607898453</v>
      </c>
      <c r="AN226" s="531">
        <f t="shared" si="595"/>
        <v>8.8607594936708889E-2</v>
      </c>
      <c r="AO226" s="532">
        <f t="shared" si="595"/>
        <v>-1.6279069767441867E-2</v>
      </c>
      <c r="AP226" s="531">
        <f t="shared" si="595"/>
        <v>0.17848699763593379</v>
      </c>
      <c r="AQ226" s="531">
        <f t="shared" si="595"/>
        <v>4.9147442326980872E-2</v>
      </c>
      <c r="AR226" s="531">
        <f t="shared" si="595"/>
        <v>0.11089866156787753</v>
      </c>
      <c r="AS226" s="532">
        <f t="shared" si="595"/>
        <v>-6.7986230636833067E-2</v>
      </c>
      <c r="AT226" s="531">
        <f t="shared" si="595"/>
        <v>0.16435826408125576</v>
      </c>
      <c r="AU226" s="531">
        <f t="shared" si="595"/>
        <v>0.13798572561459155</v>
      </c>
      <c r="AV226" s="531">
        <f t="shared" si="595"/>
        <v>5.505226480836245E-2</v>
      </c>
      <c r="AW226" s="532">
        <f t="shared" si="595"/>
        <v>-2.9722589167767488E-2</v>
      </c>
      <c r="AX226" s="534">
        <f t="shared" si="595"/>
        <v>0.11708645336963919</v>
      </c>
      <c r="AY226" s="534">
        <f t="shared" si="595"/>
        <v>4.448507007922009E-2</v>
      </c>
      <c r="AZ226" s="534">
        <f t="shared" si="595"/>
        <v>0.12368728121353567</v>
      </c>
      <c r="BA226" s="1534">
        <f t="shared" si="595"/>
        <v>-0.11517653167185871</v>
      </c>
      <c r="BB226" s="534">
        <f>BB224/BA224-1</f>
        <v>0.1073719171209444</v>
      </c>
      <c r="BC226" s="534">
        <f>BC224/BB224-1</f>
        <v>4.448507007922009E-2</v>
      </c>
      <c r="BD226" s="534">
        <f>BD224/BC224-1</f>
        <v>0.14322966871290155</v>
      </c>
      <c r="BE226" s="534">
        <f>BE224/BD224-1</f>
        <v>-0.14739573625866476</v>
      </c>
      <c r="BF226" s="531"/>
      <c r="BG226" s="15"/>
    </row>
    <row r="227" spans="1:90" outlineLevel="1">
      <c r="B227" s="448" t="s">
        <v>425</v>
      </c>
      <c r="C227" s="286">
        <f t="shared" ref="C227:R227" si="596">C224/C$563</f>
        <v>0.37163616792249732</v>
      </c>
      <c r="D227" s="286">
        <f t="shared" si="596"/>
        <v>0.22348336594911938</v>
      </c>
      <c r="E227" s="286">
        <f t="shared" si="596"/>
        <v>0.14165121186928439</v>
      </c>
      <c r="F227" s="286">
        <f t="shared" si="596"/>
        <v>7.5324853430246516E-2</v>
      </c>
      <c r="G227" s="286">
        <f t="shared" si="596"/>
        <v>5.0961623681644953E-2</v>
      </c>
      <c r="H227" s="286">
        <f t="shared" si="596"/>
        <v>5.0923939812828702E-2</v>
      </c>
      <c r="I227" s="286">
        <f t="shared" si="596"/>
        <v>5.0853286844321104E-2</v>
      </c>
      <c r="J227" s="287">
        <f t="shared" si="596"/>
        <v>4.7408755467993453E-2</v>
      </c>
      <c r="K227" s="286">
        <f t="shared" si="596"/>
        <v>3.6741621194208367E-2</v>
      </c>
      <c r="L227" s="286">
        <f t="shared" si="596"/>
        <v>3.0672109638003004E-2</v>
      </c>
      <c r="M227" s="286">
        <f t="shared" si="596"/>
        <v>2.6247701256429463E-2</v>
      </c>
      <c r="N227" s="286">
        <f t="shared" si="596"/>
        <v>2.3755638029545861E-2</v>
      </c>
      <c r="O227" s="286">
        <f t="shared" si="596"/>
        <v>2.1444778702804906E-2</v>
      </c>
      <c r="P227" s="286">
        <f t="shared" si="596"/>
        <v>1.8737598558576984E-2</v>
      </c>
      <c r="Q227" s="286">
        <f t="shared" si="596"/>
        <v>1.7315326534220361E-2</v>
      </c>
      <c r="R227" s="286">
        <f t="shared" si="596"/>
        <v>1.6055865214918207E-2</v>
      </c>
      <c r="V227" s="270"/>
      <c r="W227" s="270"/>
      <c r="X227" s="270"/>
      <c r="Y227" s="535"/>
      <c r="Z227" s="270"/>
      <c r="AA227" s="270"/>
      <c r="AB227" s="270"/>
      <c r="AC227" s="535"/>
      <c r="AD227" s="270"/>
      <c r="AE227" s="270"/>
      <c r="AF227" s="270"/>
      <c r="AG227" s="535"/>
      <c r="AH227" s="270"/>
      <c r="AI227" s="270"/>
      <c r="AJ227" s="270"/>
      <c r="AK227" s="535"/>
      <c r="AL227" s="270"/>
      <c r="AM227" s="270"/>
      <c r="AN227" s="270"/>
      <c r="AO227" s="535"/>
      <c r="AP227" s="270"/>
      <c r="AQ227" s="270"/>
      <c r="AR227" s="270"/>
      <c r="AS227" s="535"/>
      <c r="AT227" s="270"/>
      <c r="AU227" s="270"/>
      <c r="AV227" s="270"/>
      <c r="AW227" s="535"/>
      <c r="AX227" s="270"/>
      <c r="AY227" s="270"/>
      <c r="AZ227" s="270"/>
      <c r="BA227" s="535"/>
      <c r="BB227" s="270"/>
      <c r="BC227" s="270"/>
      <c r="BD227" s="270"/>
      <c r="BE227" s="270"/>
      <c r="BF227" s="270"/>
      <c r="BG227" s="15"/>
    </row>
    <row r="228" spans="1:90" outlineLevel="1">
      <c r="B228" s="448" t="s">
        <v>359</v>
      </c>
      <c r="C228" s="15">
        <f t="shared" ref="C228:R228" si="597">C224/C19</f>
        <v>0.20704647676161919</v>
      </c>
      <c r="D228" s="15">
        <f t="shared" si="597"/>
        <v>0.14391329916827691</v>
      </c>
      <c r="E228" s="15">
        <f t="shared" si="597"/>
        <v>0.11061173533083646</v>
      </c>
      <c r="F228" s="15">
        <f t="shared" si="597"/>
        <v>6.3649795752817456E-2</v>
      </c>
      <c r="G228" s="15">
        <f t="shared" si="597"/>
        <v>4.38061861953375E-2</v>
      </c>
      <c r="H228" s="15">
        <f t="shared" si="597"/>
        <v>4.2058159676657395E-2</v>
      </c>
      <c r="I228" s="15">
        <f t="shared" si="597"/>
        <v>4.239542034545149E-2</v>
      </c>
      <c r="J228" s="435">
        <f t="shared" si="597"/>
        <v>3.5881040986144197E-2</v>
      </c>
      <c r="K228" s="15">
        <f t="shared" si="597"/>
        <v>2.8126910569564456E-2</v>
      </c>
      <c r="L228" s="15">
        <f t="shared" si="597"/>
        <v>2.3750879909780653E-2</v>
      </c>
      <c r="M228" s="15">
        <f t="shared" si="597"/>
        <v>2.026683361099425E-2</v>
      </c>
      <c r="N228" s="15">
        <f t="shared" si="597"/>
        <v>1.8053077341865658E-2</v>
      </c>
      <c r="O228" s="15">
        <f t="shared" si="597"/>
        <v>1.6054928753050885E-2</v>
      </c>
      <c r="P228" s="15">
        <f t="shared" si="597"/>
        <v>1.3952597156386977E-2</v>
      </c>
      <c r="Q228" s="15">
        <f t="shared" si="597"/>
        <v>1.266273991235542E-2</v>
      </c>
      <c r="R228" s="15">
        <f t="shared" si="597"/>
        <v>1.1539291927578733E-2</v>
      </c>
      <c r="BG228" s="15"/>
    </row>
    <row r="229" spans="1:90" outlineLevel="1">
      <c r="B229" s="448" t="s">
        <v>591</v>
      </c>
      <c r="C229" s="15"/>
      <c r="D229" s="15"/>
      <c r="E229" s="15"/>
      <c r="F229" s="15"/>
      <c r="G229" s="15"/>
      <c r="H229" s="15"/>
      <c r="I229" s="15"/>
      <c r="J229" s="435"/>
      <c r="K229" s="15"/>
      <c r="L229" s="15"/>
      <c r="M229" s="15"/>
      <c r="N229" s="15"/>
      <c r="O229" s="15"/>
      <c r="P229" s="15"/>
      <c r="Q229" s="15"/>
      <c r="R229" s="15"/>
      <c r="AH229" s="142">
        <f>AH224/SUM($AH224:$AK224)</f>
        <v>0.22869565217391305</v>
      </c>
      <c r="AI229" s="142">
        <f>AI224/SUM($AH224:$AK224)</f>
        <v>0.24695652173913044</v>
      </c>
      <c r="AJ229" s="142">
        <f>AJ224/SUM($AH224:$AK224)</f>
        <v>0.26608695652173914</v>
      </c>
      <c r="AK229" s="359">
        <f>AK224/SUM($AH224:$AK224)</f>
        <v>0.25826086956521738</v>
      </c>
      <c r="AL229" s="142">
        <f>AL224/SUM($AL224:$AO224)</f>
        <v>0.22121684867394695</v>
      </c>
      <c r="AM229" s="142">
        <f>AM224/SUM($AL224:$AO224)</f>
        <v>0.24648985959438377</v>
      </c>
      <c r="AN229" s="142">
        <f>AN224/SUM($AL224:$AO224)</f>
        <v>0.26833073322932915</v>
      </c>
      <c r="AO229" s="359">
        <f>AO224/SUM($AL224:$AO224)</f>
        <v>0.26396255850234007</v>
      </c>
      <c r="AP229" s="252">
        <f>AP224/SUM($AP224:$AS224)</f>
        <v>0.23250932835820895</v>
      </c>
      <c r="AQ229" s="252">
        <f>AQ224/SUM($AP224:$AS224)</f>
        <v>0.24393656716417911</v>
      </c>
      <c r="AR229" s="252">
        <f>AR224/SUM($AP224:$AS224)</f>
        <v>0.27098880597014924</v>
      </c>
      <c r="AS229" s="253">
        <f>AS224/SUM($AP224:$AS224)</f>
        <v>0.25256529850746268</v>
      </c>
      <c r="AT229" s="252">
        <f>AT224/SUM($AT224:$AW224)</f>
        <v>0.22204613488290192</v>
      </c>
      <c r="AU229" s="252">
        <f>AU224/SUM($AT224:$AW224)</f>
        <v>0.2526853319246346</v>
      </c>
      <c r="AV229" s="252">
        <f>AV224/SUM($AT224:$AW224)</f>
        <v>0.26659623173093855</v>
      </c>
      <c r="AW229" s="253">
        <f>AW224/SUM($AT224:$AW224)</f>
        <v>0.25867230146152492</v>
      </c>
      <c r="AX229" s="252">
        <f t="shared" ref="AX229:BE229" si="598">AX224/SUM($AX224:$BA224)</f>
        <v>0.23492627953220896</v>
      </c>
      <c r="AY229" s="252">
        <f>AY224/SUM($AX224:$BA224)</f>
        <v>0.24537699154064968</v>
      </c>
      <c r="AZ229" s="252">
        <f>AZ224/SUM($AX224:$BA224)</f>
        <v>0.27572700449666937</v>
      </c>
      <c r="BA229" s="253">
        <f t="shared" si="598"/>
        <v>0.24396972443047199</v>
      </c>
      <c r="BB229" s="252">
        <f t="shared" si="598"/>
        <v>0.27016522146204025</v>
      </c>
      <c r="BC229" s="252">
        <f t="shared" si="598"/>
        <v>0.28218354027174714</v>
      </c>
      <c r="BD229" s="252">
        <f t="shared" si="598"/>
        <v>0.32260059526110318</v>
      </c>
      <c r="BE229" s="252">
        <f t="shared" si="598"/>
        <v>0.27505064300510934</v>
      </c>
      <c r="BF229" s="252"/>
      <c r="BG229" s="15"/>
    </row>
    <row r="230" spans="1:90" outlineLevel="1">
      <c r="Z230" s="536"/>
      <c r="BG230" s="15"/>
    </row>
    <row r="231" spans="1:90" outlineLevel="1">
      <c r="B231" s="339" t="s">
        <v>655</v>
      </c>
      <c r="C231" s="340"/>
      <c r="D231" s="340"/>
      <c r="E231" s="340"/>
      <c r="F231" s="340"/>
      <c r="G231" s="340"/>
      <c r="H231" s="340"/>
      <c r="I231" s="341"/>
      <c r="J231" s="1401"/>
      <c r="K231" s="341"/>
      <c r="L231" s="341"/>
      <c r="M231" s="341"/>
      <c r="N231" s="341"/>
      <c r="O231" s="341"/>
      <c r="P231" s="341"/>
      <c r="Q231" s="341"/>
      <c r="R231" s="341"/>
      <c r="S231" s="276"/>
      <c r="T231" s="340"/>
      <c r="V231" s="342"/>
      <c r="W231" s="342"/>
      <c r="X231" s="342"/>
      <c r="Y231" s="343"/>
      <c r="Z231" s="342"/>
      <c r="AA231" s="342"/>
      <c r="AB231" s="342"/>
      <c r="AC231" s="343"/>
      <c r="AD231" s="342"/>
      <c r="AE231" s="342"/>
      <c r="AF231" s="342"/>
      <c r="AG231" s="343"/>
      <c r="AH231" s="342"/>
      <c r="AI231" s="342"/>
      <c r="AJ231" s="342"/>
      <c r="AK231" s="343"/>
      <c r="AL231" s="344"/>
      <c r="AM231" s="344"/>
      <c r="AN231" s="344"/>
      <c r="AO231" s="343"/>
      <c r="AP231" s="342"/>
      <c r="AQ231" s="342"/>
      <c r="AR231" s="345"/>
      <c r="AS231" s="346"/>
      <c r="AT231" s="345"/>
      <c r="AU231" s="345"/>
      <c r="AV231" s="345"/>
      <c r="AW231" s="346"/>
      <c r="AX231" s="347"/>
      <c r="AY231" s="347"/>
      <c r="AZ231" s="347"/>
      <c r="BA231" s="1521"/>
      <c r="BB231" s="347"/>
      <c r="BC231" s="347"/>
      <c r="BD231" s="347"/>
      <c r="BE231" s="347"/>
      <c r="BF231" s="283"/>
      <c r="BG231" s="15"/>
      <c r="BJ231" s="454"/>
      <c r="BK231" s="454"/>
      <c r="BL231" s="454"/>
      <c r="BM231" s="454"/>
      <c r="BN231" s="454"/>
      <c r="BO231" s="454"/>
      <c r="BP231" s="454"/>
      <c r="BQ231" s="454"/>
    </row>
    <row r="232" spans="1:90" s="226" customFormat="1" outlineLevel="1">
      <c r="A232" s="1349"/>
      <c r="B232" s="226" t="s">
        <v>91</v>
      </c>
      <c r="C232" s="314">
        <f>C235*C$564</f>
        <v>52.4</v>
      </c>
      <c r="D232" s="314">
        <f>D235*D$564</f>
        <v>102.99</v>
      </c>
      <c r="E232" s="537">
        <v>223</v>
      </c>
      <c r="F232" s="537">
        <v>392</v>
      </c>
      <c r="G232" s="538">
        <v>938</v>
      </c>
      <c r="H232" s="440">
        <f>SUM(AL232:AO232)</f>
        <v>1768</v>
      </c>
      <c r="I232" s="440">
        <f>SUM(AP232:AS232)</f>
        <v>2204</v>
      </c>
      <c r="J232" s="566">
        <f>SUM(AT232:AW232)</f>
        <v>7336</v>
      </c>
      <c r="K232" s="440">
        <f>K239+K242</f>
        <v>13478.971099999999</v>
      </c>
      <c r="L232" s="440">
        <f t="shared" ref="L232:R232" si="599">L239+L242</f>
        <v>16894.287069999998</v>
      </c>
      <c r="M232" s="440">
        <f t="shared" si="599"/>
        <v>20492.491368899999</v>
      </c>
      <c r="N232" s="440">
        <f t="shared" si="599"/>
        <v>23987.127322665598</v>
      </c>
      <c r="O232" s="440">
        <f t="shared" si="599"/>
        <v>27261.920743434042</v>
      </c>
      <c r="P232" s="440">
        <f t="shared" si="599"/>
        <v>30241.169313034989</v>
      </c>
      <c r="Q232" s="440">
        <f t="shared" si="599"/>
        <v>32886.304259372118</v>
      </c>
      <c r="R232" s="440">
        <f t="shared" si="599"/>
        <v>35188.408630990692</v>
      </c>
      <c r="T232" s="15">
        <f>(M232/J232)^(1/3)-1</f>
        <v>0.40835393880172721</v>
      </c>
      <c r="V232" s="364">
        <f>V247*V250*1000</f>
        <v>7.2</v>
      </c>
      <c r="W232" s="364">
        <f>W247*W250*1000</f>
        <v>9</v>
      </c>
      <c r="X232" s="364">
        <f>X247*X250*1000</f>
        <v>10.799999999999999</v>
      </c>
      <c r="Y232" s="527">
        <f>D232-SUM(V232:X232)</f>
        <v>75.989999999999995</v>
      </c>
      <c r="Z232" s="364">
        <f>Z247*Z250*1000</f>
        <v>16.559999999999999</v>
      </c>
      <c r="AA232" s="364">
        <f>AA247*AA250*1000</f>
        <v>19.8</v>
      </c>
      <c r="AB232" s="364">
        <f>AB247*AB250*1000</f>
        <v>22.68</v>
      </c>
      <c r="AC232" s="527">
        <f>E232-SUM(Z232:AB232)</f>
        <v>163.96</v>
      </c>
      <c r="AD232" s="539">
        <f>AD247*AD250*1000</f>
        <v>87.399999999999991</v>
      </c>
      <c r="AE232" s="539">
        <f>AE247*AE250*1000</f>
        <v>99.000000000000014</v>
      </c>
      <c r="AF232" s="539">
        <f>AF247*AF250*1000</f>
        <v>108.36</v>
      </c>
      <c r="AG232" s="445">
        <f>F232-SUM(AD232:AF232)</f>
        <v>97.240000000000009</v>
      </c>
      <c r="AH232" s="443">
        <v>179</v>
      </c>
      <c r="AI232" s="443">
        <v>210</v>
      </c>
      <c r="AJ232" s="443">
        <v>264</v>
      </c>
      <c r="AK232" s="445">
        <f>G232-SUM(AH232:AJ232)</f>
        <v>285</v>
      </c>
      <c r="AL232" s="443">
        <v>358</v>
      </c>
      <c r="AM232" s="439">
        <v>419</v>
      </c>
      <c r="AN232" s="439">
        <v>554</v>
      </c>
      <c r="AO232" s="540">
        <v>437</v>
      </c>
      <c r="AP232" s="446">
        <f>Reported!P130</f>
        <v>501</v>
      </c>
      <c r="AQ232" s="446">
        <f>Reported!Q130</f>
        <v>481</v>
      </c>
      <c r="AR232" s="446">
        <f>Reported!R130</f>
        <v>632</v>
      </c>
      <c r="AS232" s="447">
        <f>Reported!S130</f>
        <v>590</v>
      </c>
      <c r="AT232" s="446">
        <f>Reported!T130</f>
        <v>1117</v>
      </c>
      <c r="AU232" s="446">
        <f>Reported!U130</f>
        <v>1338</v>
      </c>
      <c r="AV232" s="446">
        <f>Reported!V130</f>
        <v>2452</v>
      </c>
      <c r="AW232" s="447">
        <f>Reported!W130</f>
        <v>2429</v>
      </c>
      <c r="AX232" s="446">
        <f>Reported!X130</f>
        <v>2638</v>
      </c>
      <c r="AY232" s="446">
        <f>Reported!Y130</f>
        <v>2878</v>
      </c>
      <c r="AZ232" s="446">
        <f>Reported!Z130</f>
        <v>4733</v>
      </c>
      <c r="BA232" s="527">
        <f t="shared" ref="BA232:BE232" si="600">BA239+BA242</f>
        <v>3229.9710999999998</v>
      </c>
      <c r="BB232" s="522">
        <f t="shared" si="600"/>
        <v>3286.16095</v>
      </c>
      <c r="BC232" s="522">
        <f t="shared" si="600"/>
        <v>3708.16734</v>
      </c>
      <c r="BD232" s="522">
        <f t="shared" si="600"/>
        <v>5519.0275080000001</v>
      </c>
      <c r="BE232" s="522">
        <f t="shared" si="600"/>
        <v>4380.9312719999998</v>
      </c>
      <c r="BF232" s="365"/>
      <c r="BG232" s="302"/>
      <c r="BI232" s="440">
        <f>H232-SUM(AL232:AO232)</f>
        <v>0</v>
      </c>
      <c r="BJ232" s="440">
        <f>I232-SUM(AP232:AS232)</f>
        <v>0</v>
      </c>
      <c r="CG232"/>
      <c r="CH232"/>
      <c r="CI232"/>
      <c r="CJ232"/>
      <c r="CK232"/>
      <c r="CL232"/>
    </row>
    <row r="233" spans="1:90" outlineLevel="1">
      <c r="B233" s="448" t="s">
        <v>80</v>
      </c>
      <c r="C233" s="541"/>
      <c r="D233" s="224">
        <f t="shared" ref="D233:K233" si="601">D232/C232-1</f>
        <v>0.96545801526717545</v>
      </c>
      <c r="E233" s="224">
        <f t="shared" si="601"/>
        <v>1.1652587629866979</v>
      </c>
      <c r="F233" s="224">
        <f t="shared" si="601"/>
        <v>0.75784753363228696</v>
      </c>
      <c r="G233" s="224">
        <f t="shared" si="601"/>
        <v>1.3928571428571428</v>
      </c>
      <c r="H233" s="224">
        <f t="shared" si="601"/>
        <v>0.88486140724946694</v>
      </c>
      <c r="I233" s="224">
        <f t="shared" si="601"/>
        <v>0.24660633484162897</v>
      </c>
      <c r="J233" s="431">
        <f t="shared" si="601"/>
        <v>2.3284936479128855</v>
      </c>
      <c r="K233" s="375">
        <f t="shared" si="601"/>
        <v>0.83737337786259536</v>
      </c>
      <c r="L233" s="375">
        <f t="shared" ref="L233:R233" si="602">L232/K232-1</f>
        <v>0.25338105888512508</v>
      </c>
      <c r="M233" s="375">
        <f t="shared" si="602"/>
        <v>0.21298349459738408</v>
      </c>
      <c r="N233" s="375">
        <f t="shared" si="602"/>
        <v>0.17053250826637711</v>
      </c>
      <c r="O233" s="375">
        <f t="shared" si="602"/>
        <v>0.13652295152800864</v>
      </c>
      <c r="P233" s="375">
        <f t="shared" si="602"/>
        <v>0.10928241621854506</v>
      </c>
      <c r="Q233" s="375">
        <f t="shared" si="602"/>
        <v>8.7468011536081303E-2</v>
      </c>
      <c r="R233" s="375">
        <f t="shared" si="602"/>
        <v>7.000191792492183E-2</v>
      </c>
      <c r="Z233" s="252">
        <f t="shared" ref="Z233:AW233" si="603">Z232/V232-1</f>
        <v>1.2999999999999998</v>
      </c>
      <c r="AA233" s="252">
        <f t="shared" si="603"/>
        <v>1.2000000000000002</v>
      </c>
      <c r="AB233" s="252">
        <f t="shared" si="603"/>
        <v>1.1000000000000001</v>
      </c>
      <c r="AC233" s="253">
        <f t="shared" si="603"/>
        <v>1.1576523226740365</v>
      </c>
      <c r="AD233" s="252">
        <f t="shared" si="603"/>
        <v>4.2777777777777777</v>
      </c>
      <c r="AE233" s="252">
        <f t="shared" si="603"/>
        <v>4.0000000000000009</v>
      </c>
      <c r="AF233" s="252">
        <f t="shared" si="603"/>
        <v>3.7777777777777777</v>
      </c>
      <c r="AG233" s="253">
        <f t="shared" si="603"/>
        <v>-0.40692851915101247</v>
      </c>
      <c r="AH233" s="252">
        <f t="shared" si="603"/>
        <v>1.0480549199084672</v>
      </c>
      <c r="AI233" s="252">
        <f t="shared" si="603"/>
        <v>1.1212121212121211</v>
      </c>
      <c r="AJ233" s="252">
        <f t="shared" si="603"/>
        <v>1.4363233665559245</v>
      </c>
      <c r="AK233" s="253">
        <f t="shared" si="603"/>
        <v>1.9308926367749892</v>
      </c>
      <c r="AL233" s="252">
        <f t="shared" si="603"/>
        <v>1</v>
      </c>
      <c r="AM233" s="252">
        <f t="shared" si="603"/>
        <v>0.99523809523809526</v>
      </c>
      <c r="AN233" s="252">
        <f t="shared" si="603"/>
        <v>1.0984848484848486</v>
      </c>
      <c r="AO233" s="253">
        <f t="shared" si="603"/>
        <v>0.53333333333333344</v>
      </c>
      <c r="AP233" s="252">
        <f t="shared" si="603"/>
        <v>0.3994413407821229</v>
      </c>
      <c r="AQ233" s="252">
        <f t="shared" si="603"/>
        <v>0.14797136038186154</v>
      </c>
      <c r="AR233" s="252">
        <f t="shared" si="603"/>
        <v>0.1407942238267148</v>
      </c>
      <c r="AS233" s="253">
        <f t="shared" si="603"/>
        <v>0.35011441647597263</v>
      </c>
      <c r="AT233" s="542">
        <f t="shared" si="603"/>
        <v>1.2295409181636727</v>
      </c>
      <c r="AU233" s="542">
        <f t="shared" si="603"/>
        <v>1.7817047817047817</v>
      </c>
      <c r="AV233" s="542">
        <f t="shared" si="603"/>
        <v>2.8797468354430378</v>
      </c>
      <c r="AW233" s="253">
        <f t="shared" si="603"/>
        <v>3.1169491525423725</v>
      </c>
      <c r="AX233" s="252">
        <f t="shared" ref="AX233:BE233" si="604">AX232/AT232-1</f>
        <v>1.3616830796777082</v>
      </c>
      <c r="AY233" s="252">
        <f t="shared" si="604"/>
        <v>1.1509715994020926</v>
      </c>
      <c r="AZ233" s="252">
        <f t="shared" si="604"/>
        <v>0.93026101141924955</v>
      </c>
      <c r="BA233" s="379">
        <f t="shared" si="604"/>
        <v>0.32975343762865372</v>
      </c>
      <c r="BB233" s="252">
        <f t="shared" si="604"/>
        <v>0.24570164897649738</v>
      </c>
      <c r="BC233" s="252">
        <f t="shared" si="604"/>
        <v>0.28845286309937457</v>
      </c>
      <c r="BD233" s="252">
        <f t="shared" si="604"/>
        <v>0.16607384491865629</v>
      </c>
      <c r="BE233" s="380">
        <f t="shared" si="604"/>
        <v>0.35633760685970239</v>
      </c>
      <c r="BF233" s="542"/>
      <c r="BG233" s="15"/>
    </row>
    <row r="234" spans="1:90" outlineLevel="1">
      <c r="B234" s="448" t="s">
        <v>81</v>
      </c>
      <c r="C234" s="374"/>
      <c r="V234" s="252"/>
      <c r="W234" s="252">
        <f t="shared" ref="W234:BA234" si="605">W232/V232-1</f>
        <v>0.25</v>
      </c>
      <c r="X234" s="252">
        <f t="shared" si="605"/>
        <v>0.19999999999999996</v>
      </c>
      <c r="Y234" s="253">
        <f t="shared" si="605"/>
        <v>6.0361111111111114</v>
      </c>
      <c r="Z234" s="252">
        <f t="shared" si="605"/>
        <v>-0.78207658902487176</v>
      </c>
      <c r="AA234" s="252">
        <f t="shared" si="605"/>
        <v>0.19565217391304368</v>
      </c>
      <c r="AB234" s="252">
        <f t="shared" si="605"/>
        <v>0.1454545454545455</v>
      </c>
      <c r="AC234" s="253">
        <f t="shared" si="605"/>
        <v>6.2292768959435634</v>
      </c>
      <c r="AD234" s="252">
        <f t="shared" si="605"/>
        <v>-0.46694315686752874</v>
      </c>
      <c r="AE234" s="252">
        <f t="shared" si="605"/>
        <v>0.13272311212814669</v>
      </c>
      <c r="AF234" s="252">
        <f t="shared" si="605"/>
        <v>9.4545454545454488E-2</v>
      </c>
      <c r="AG234" s="253">
        <f t="shared" si="605"/>
        <v>-0.10262089331856761</v>
      </c>
      <c r="AH234" s="252">
        <f t="shared" si="605"/>
        <v>0.84080625257095831</v>
      </c>
      <c r="AI234" s="252">
        <f t="shared" si="605"/>
        <v>0.17318435754189943</v>
      </c>
      <c r="AJ234" s="252">
        <f t="shared" si="605"/>
        <v>0.25714285714285712</v>
      </c>
      <c r="AK234" s="253">
        <f t="shared" si="605"/>
        <v>7.9545454545454586E-2</v>
      </c>
      <c r="AL234" s="252">
        <f t="shared" si="605"/>
        <v>0.25614035087719289</v>
      </c>
      <c r="AM234" s="252">
        <f t="shared" si="605"/>
        <v>0.17039106145251393</v>
      </c>
      <c r="AN234" s="252">
        <f t="shared" si="605"/>
        <v>0.32219570405727915</v>
      </c>
      <c r="AO234" s="253">
        <f t="shared" si="605"/>
        <v>-0.21119133574007221</v>
      </c>
      <c r="AP234" s="252">
        <f t="shared" si="605"/>
        <v>0.14645308924485123</v>
      </c>
      <c r="AQ234" s="252">
        <f t="shared" si="605"/>
        <v>-3.9920159680638667E-2</v>
      </c>
      <c r="AR234" s="252">
        <f t="shared" si="605"/>
        <v>0.313929313929314</v>
      </c>
      <c r="AS234" s="253">
        <f t="shared" si="605"/>
        <v>-6.6455696202531667E-2</v>
      </c>
      <c r="AT234" s="252">
        <f t="shared" si="605"/>
        <v>0.89322033898305087</v>
      </c>
      <c r="AU234" s="252">
        <f t="shared" si="605"/>
        <v>0.19785138764547905</v>
      </c>
      <c r="AV234" s="252">
        <f t="shared" si="605"/>
        <v>0.83258594917787754</v>
      </c>
      <c r="AW234" s="253">
        <f t="shared" si="605"/>
        <v>-9.3800978792821788E-3</v>
      </c>
      <c r="AX234" s="270">
        <f t="shared" si="605"/>
        <v>8.6043639357760382E-2</v>
      </c>
      <c r="AY234" s="270">
        <f t="shared" si="605"/>
        <v>9.0978013646701994E-2</v>
      </c>
      <c r="AZ234" s="270">
        <f t="shared" si="605"/>
        <v>0.64454482279360659</v>
      </c>
      <c r="BA234" s="535">
        <f t="shared" si="605"/>
        <v>-0.31756368054088324</v>
      </c>
      <c r="BB234" s="270">
        <f>BB232/BA232-1</f>
        <v>1.7396394042039631E-2</v>
      </c>
      <c r="BC234" s="270">
        <f>BC232/BB232-1</f>
        <v>0.12841926990824959</v>
      </c>
      <c r="BD234" s="270">
        <f>BD232/BC232-1</f>
        <v>0.48834370241770153</v>
      </c>
      <c r="BE234" s="270">
        <f>BE232/BD232-1</f>
        <v>-0.20621318417969381</v>
      </c>
      <c r="BF234" s="252"/>
      <c r="BG234" s="15"/>
    </row>
    <row r="235" spans="1:90" outlineLevel="1">
      <c r="B235" s="448" t="s">
        <v>427</v>
      </c>
      <c r="C235" s="543">
        <v>0.02</v>
      </c>
      <c r="D235" s="543">
        <v>0.03</v>
      </c>
      <c r="E235" s="380">
        <f t="shared" ref="E235:R235" si="606">E232/E$564</f>
        <v>5.9229747675962813E-2</v>
      </c>
      <c r="F235" s="380">
        <f t="shared" si="606"/>
        <v>9.4230769230769229E-2</v>
      </c>
      <c r="G235" s="380">
        <f t="shared" si="606"/>
        <v>0.19336219336219337</v>
      </c>
      <c r="H235" s="380">
        <f t="shared" si="606"/>
        <v>0.27258711069996916</v>
      </c>
      <c r="I235" s="380">
        <f t="shared" si="606"/>
        <v>0.28889762747411196</v>
      </c>
      <c r="J235" s="379">
        <f t="shared" si="606"/>
        <v>0.55004873659743569</v>
      </c>
      <c r="K235" s="380">
        <f t="shared" si="606"/>
        <v>0.59123296180965057</v>
      </c>
      <c r="L235" s="380">
        <f t="shared" si="606"/>
        <v>0.60852542923846287</v>
      </c>
      <c r="M235" s="380">
        <f t="shared" si="606"/>
        <v>0.63102229260279041</v>
      </c>
      <c r="N235" s="380">
        <f t="shared" si="606"/>
        <v>0.64835409612342221</v>
      </c>
      <c r="O235" s="380">
        <f t="shared" si="606"/>
        <v>0.66175236817514371</v>
      </c>
      <c r="P235" s="380">
        <f t="shared" si="606"/>
        <v>0.67215441181001845</v>
      </c>
      <c r="Q235" s="380">
        <f t="shared" si="606"/>
        <v>0.68026593721657724</v>
      </c>
      <c r="R235" s="380">
        <f t="shared" si="606"/>
        <v>0.68661747784743821</v>
      </c>
      <c r="V235" s="270">
        <f t="shared" ref="V235:BA235" si="607">V232/(V232+V254)</f>
        <v>8.8343558282208585E-3</v>
      </c>
      <c r="W235" s="270">
        <f t="shared" si="607"/>
        <v>1.0297482837528604E-2</v>
      </c>
      <c r="X235" s="270">
        <f t="shared" si="607"/>
        <v>1.1855104281009879E-2</v>
      </c>
      <c r="Y235" s="535">
        <f t="shared" si="607"/>
        <v>9.1224489795918337E-2</v>
      </c>
      <c r="Z235" s="270">
        <f t="shared" si="607"/>
        <v>1.7431578947368419E-2</v>
      </c>
      <c r="AA235" s="270">
        <f t="shared" si="607"/>
        <v>2.0864067439409904E-2</v>
      </c>
      <c r="AB235" s="270">
        <f t="shared" si="607"/>
        <v>2.4E-2</v>
      </c>
      <c r="AC235" s="535">
        <f t="shared" si="607"/>
        <v>0.17802388707926167</v>
      </c>
      <c r="AD235" s="270">
        <f t="shared" si="607"/>
        <v>8.9733059548254612E-2</v>
      </c>
      <c r="AE235" s="270">
        <f t="shared" si="607"/>
        <v>9.4375595805529094E-2</v>
      </c>
      <c r="AF235" s="270">
        <f t="shared" si="607"/>
        <v>9.9049360146252291E-2</v>
      </c>
      <c r="AG235" s="535">
        <f t="shared" si="607"/>
        <v>9.3231064237775635E-2</v>
      </c>
      <c r="AH235" s="270">
        <f t="shared" si="607"/>
        <v>0.16025067144136079</v>
      </c>
      <c r="AI235" s="270">
        <f t="shared" si="607"/>
        <v>0.17857142857142858</v>
      </c>
      <c r="AJ235" s="270">
        <f t="shared" si="607"/>
        <v>0.20886075949367089</v>
      </c>
      <c r="AK235" s="535">
        <f t="shared" si="607"/>
        <v>0.22024729520865532</v>
      </c>
      <c r="AL235" s="270">
        <f t="shared" si="607"/>
        <v>0.24370319945541186</v>
      </c>
      <c r="AM235" s="270">
        <f t="shared" si="607"/>
        <v>0.259121830550402</v>
      </c>
      <c r="AN235" s="270">
        <f t="shared" si="607"/>
        <v>0.31423709585933068</v>
      </c>
      <c r="AO235" s="535">
        <f t="shared" si="607"/>
        <v>0.26695174098961516</v>
      </c>
      <c r="AP235" s="270">
        <f t="shared" si="607"/>
        <v>0.28694158075601373</v>
      </c>
      <c r="AQ235" s="270">
        <f t="shared" si="607"/>
        <v>0.26198257080610021</v>
      </c>
      <c r="AR235" s="270">
        <f t="shared" si="607"/>
        <v>0.30649854510184288</v>
      </c>
      <c r="AS235" s="535">
        <f t="shared" si="607"/>
        <v>0.29722921914357681</v>
      </c>
      <c r="AT235" s="270">
        <f t="shared" si="607"/>
        <v>0.43821106316202435</v>
      </c>
      <c r="AU235" s="270">
        <f t="shared" si="607"/>
        <v>0.47046413502109707</v>
      </c>
      <c r="AV235" s="270">
        <f t="shared" si="607"/>
        <v>0.61208187718422369</v>
      </c>
      <c r="AW235" s="535">
        <f t="shared" si="607"/>
        <v>0.61681056373793808</v>
      </c>
      <c r="AX235" s="270">
        <f t="shared" si="607"/>
        <v>0.62114433717918527</v>
      </c>
      <c r="AY235" s="270">
        <f>AY232/(AY232+AY254)</f>
        <v>0.63546036652682714</v>
      </c>
      <c r="AZ235" s="270">
        <f t="shared" si="607"/>
        <v>0.73964681981559621</v>
      </c>
      <c r="BA235" s="535">
        <f t="shared" si="607"/>
        <v>0.6584962856093971</v>
      </c>
      <c r="BB235" s="270">
        <f>BB232/(BB232+BB254)</f>
        <v>0.66045375794504191</v>
      </c>
      <c r="BC235" s="270">
        <f>BC232/(BC232+BC254)</f>
        <v>0.67732333255644372</v>
      </c>
      <c r="BD235" s="270">
        <f>BD232/(BD232+BD254)</f>
        <v>0.75413987482309008</v>
      </c>
      <c r="BE235" s="270">
        <f>BE232/(BE232+BE254)</f>
        <v>0.70787962390443238</v>
      </c>
      <c r="BF235" s="270"/>
      <c r="BG235" s="15"/>
    </row>
    <row r="236" spans="1:90" outlineLevel="1">
      <c r="B236" s="374" t="s">
        <v>359</v>
      </c>
      <c r="C236" s="15">
        <f t="shared" ref="C236:R236" si="608">C232/C19</f>
        <v>7.8560719640179914E-3</v>
      </c>
      <c r="D236" s="15">
        <f t="shared" si="608"/>
        <v>8.6524405612030571E-3</v>
      </c>
      <c r="E236" s="15">
        <f t="shared" si="608"/>
        <v>1.1136079900124845E-2</v>
      </c>
      <c r="F236" s="15">
        <f t="shared" si="608"/>
        <v>1.1356722774285136E-2</v>
      </c>
      <c r="G236" s="15">
        <f t="shared" si="608"/>
        <v>1.7865305500533293E-2</v>
      </c>
      <c r="H236" s="15">
        <f t="shared" si="608"/>
        <v>2.3200881843472784E-2</v>
      </c>
      <c r="I236" s="15">
        <f t="shared" si="608"/>
        <v>2.1790929673828143E-2</v>
      </c>
      <c r="J236" s="435">
        <f t="shared" si="608"/>
        <v>4.6350293480252477E-2</v>
      </c>
      <c r="K236" s="15">
        <f t="shared" si="608"/>
        <v>5.4275245226593459E-2</v>
      </c>
      <c r="L236" s="15">
        <f t="shared" si="608"/>
        <v>4.9951065068340128E-2</v>
      </c>
      <c r="M236" s="15">
        <f t="shared" si="608"/>
        <v>4.6578217397996044E-2</v>
      </c>
      <c r="N236" s="15">
        <f t="shared" si="608"/>
        <v>4.4637800664343384E-2</v>
      </c>
      <c r="O236" s="15">
        <f t="shared" si="608"/>
        <v>4.2149462275909516E-2</v>
      </c>
      <c r="P236" s="15">
        <f t="shared" si="608"/>
        <v>3.8466736039574297E-2</v>
      </c>
      <c r="Q236" s="15">
        <f t="shared" si="608"/>
        <v>3.6327448562862547E-2</v>
      </c>
      <c r="R236" s="15">
        <f t="shared" si="608"/>
        <v>3.4189471783525702E-2</v>
      </c>
      <c r="V236" s="252"/>
      <c r="W236" s="252"/>
      <c r="X236" s="252"/>
      <c r="Y236" s="253"/>
      <c r="Z236" s="270">
        <f t="shared" ref="Z236:BE236" si="609">Z232/Z19</f>
        <v>4.0360711674384594E-3</v>
      </c>
      <c r="AA236" s="270">
        <f t="shared" si="609"/>
        <v>4.5496323529411768E-3</v>
      </c>
      <c r="AB236" s="270">
        <f t="shared" si="609"/>
        <v>3.4973014649190438E-3</v>
      </c>
      <c r="AC236" s="535">
        <f t="shared" si="609"/>
        <v>3.2243854473942971E-2</v>
      </c>
      <c r="AD236" s="270">
        <f t="shared" si="609"/>
        <v>1.2866185779478874E-2</v>
      </c>
      <c r="AE236" s="270">
        <f t="shared" si="609"/>
        <v>1.3276116400697334E-2</v>
      </c>
      <c r="AF236" s="270">
        <f t="shared" si="609"/>
        <v>9.3470197532994053E-3</v>
      </c>
      <c r="AG236" s="535">
        <f t="shared" si="609"/>
        <v>1.121051418030897E-2</v>
      </c>
      <c r="AH236" s="270">
        <f t="shared" si="609"/>
        <v>1.6607904991649658E-2</v>
      </c>
      <c r="AI236" s="270">
        <f t="shared" si="609"/>
        <v>1.9178082191780823E-2</v>
      </c>
      <c r="AJ236" s="270">
        <f t="shared" si="609"/>
        <v>1.4083755668178181E-2</v>
      </c>
      <c r="AK236" s="535">
        <f t="shared" si="609"/>
        <v>2.3688803923198404E-2</v>
      </c>
      <c r="AL236" s="270">
        <f t="shared" si="609"/>
        <v>2.2699892207215775E-2</v>
      </c>
      <c r="AM236" s="270">
        <f t="shared" si="609"/>
        <v>2.4897498365915979E-2</v>
      </c>
      <c r="AN236" s="270">
        <f t="shared" si="609"/>
        <v>2.1162000076397111E-2</v>
      </c>
      <c r="AO236" s="535">
        <f t="shared" si="609"/>
        <v>2.5078909612625537E-2</v>
      </c>
      <c r="AP236" s="270">
        <f t="shared" si="609"/>
        <v>2.4746851074339344E-2</v>
      </c>
      <c r="AQ236" s="270">
        <f t="shared" si="609"/>
        <v>2.169500699111452E-2</v>
      </c>
      <c r="AR236" s="270">
        <f t="shared" si="609"/>
        <v>1.8296036823669051E-2</v>
      </c>
      <c r="AS236" s="535">
        <f t="shared" si="609"/>
        <v>2.4396295071121402E-2</v>
      </c>
      <c r="AT236" s="270">
        <f t="shared" si="609"/>
        <v>3.4739068234123281E-2</v>
      </c>
      <c r="AU236" s="270">
        <f t="shared" si="609"/>
        <v>3.9017846728099846E-2</v>
      </c>
      <c r="AV236" s="270">
        <f t="shared" si="609"/>
        <v>4.6048677884615384E-2</v>
      </c>
      <c r="AW236" s="535">
        <f t="shared" si="609"/>
        <v>6.2961714922626297E-2</v>
      </c>
      <c r="AX236" s="270">
        <f t="shared" si="609"/>
        <v>5.2566555077315481E-2</v>
      </c>
      <c r="AY236" s="270">
        <f t="shared" si="609"/>
        <v>5.2211458219948478E-2</v>
      </c>
      <c r="AZ236" s="270">
        <f t="shared" si="609"/>
        <v>5.7004865828395243E-2</v>
      </c>
      <c r="BA236" s="535">
        <f t="shared" si="609"/>
        <v>5.3823226634690739E-2</v>
      </c>
      <c r="BB236" s="270">
        <f t="shared" si="609"/>
        <v>4.4896759726056737E-2</v>
      </c>
      <c r="BC236" s="270">
        <f t="shared" si="609"/>
        <v>4.7662143105786613E-2</v>
      </c>
      <c r="BD236" s="270">
        <f t="shared" si="609"/>
        <v>5.1153469807258163E-2</v>
      </c>
      <c r="BE236" s="270">
        <f t="shared" si="609"/>
        <v>5.5223884937148811E-2</v>
      </c>
      <c r="BF236" s="252"/>
      <c r="BG236" s="15"/>
    </row>
    <row r="237" spans="1:90" outlineLevel="1">
      <c r="B237" s="268" t="s">
        <v>591</v>
      </c>
      <c r="I237" s="402"/>
      <c r="J237" s="1402"/>
      <c r="K237" s="402"/>
      <c r="L237" s="402"/>
      <c r="M237" s="402"/>
      <c r="N237" s="402"/>
      <c r="O237" s="402"/>
      <c r="P237" s="402"/>
      <c r="Q237" s="402"/>
      <c r="R237" s="402"/>
      <c r="AH237" s="142">
        <f>AH232/SUM($AH232:$AK232)</f>
        <v>0.1908315565031983</v>
      </c>
      <c r="AI237" s="142">
        <f>AI232/SUM($AH232:$AK232)</f>
        <v>0.22388059701492538</v>
      </c>
      <c r="AJ237" s="142">
        <f>AJ232/SUM($AH232:$AK232)</f>
        <v>0.28144989339019189</v>
      </c>
      <c r="AK237" s="359">
        <f>AK232/SUM($AH232:$AK232)</f>
        <v>0.30383795309168443</v>
      </c>
      <c r="AL237" s="142">
        <f>AL232/SUM($AL232:$AO232)</f>
        <v>0.20248868778280543</v>
      </c>
      <c r="AM237" s="142">
        <f>AM232/SUM($AL232:$AO232)</f>
        <v>0.23699095022624433</v>
      </c>
      <c r="AN237" s="142">
        <f>AN232/SUM($AL232:$AO232)</f>
        <v>0.31334841628959276</v>
      </c>
      <c r="AO237" s="359">
        <f>AO232/SUM($AL232:$AO232)</f>
        <v>0.24717194570135748</v>
      </c>
      <c r="AP237" s="252">
        <f>AP232/SUM($AP232:$AS232)</f>
        <v>0.22731397459165154</v>
      </c>
      <c r="AQ237" s="252">
        <f>AQ232/SUM($AP232:$AS232)</f>
        <v>0.21823956442831216</v>
      </c>
      <c r="AR237" s="252">
        <f>AR232/SUM($AP232:$AS232)</f>
        <v>0.2867513611615245</v>
      </c>
      <c r="AS237" s="253">
        <f>AS232/SUM($AP232:$AS232)</f>
        <v>0.26769509981851181</v>
      </c>
      <c r="AT237" s="252">
        <f>AT232/SUM($AT232:$AW232)</f>
        <v>0.15226281352235552</v>
      </c>
      <c r="AU237" s="252">
        <f>AU232/SUM($AT232:$AW232)</f>
        <v>0.18238822246455835</v>
      </c>
      <c r="AV237" s="252">
        <f>AV232/SUM($AT232:$AW232)</f>
        <v>0.33424209378407854</v>
      </c>
      <c r="AW237" s="253">
        <f>AW232/SUM($AT232:$AW232)</f>
        <v>0.33110687022900764</v>
      </c>
      <c r="AX237" s="252">
        <f t="shared" ref="AX237:BE237" si="610">AX232/SUM($AX232:$BA232)</f>
        <v>0.1957122676819153</v>
      </c>
      <c r="AY237" s="252">
        <f>AY232/SUM($AX232:$BA232)</f>
        <v>0.21351778104190758</v>
      </c>
      <c r="AZ237" s="252">
        <f t="shared" si="610"/>
        <v>0.35113956138684804</v>
      </c>
      <c r="BA237" s="253">
        <f t="shared" si="610"/>
        <v>0.23963038988932917</v>
      </c>
      <c r="BB237" s="252">
        <f t="shared" si="610"/>
        <v>0.24379909457629154</v>
      </c>
      <c r="BC237" s="252">
        <f t="shared" si="610"/>
        <v>0.27510759630607118</v>
      </c>
      <c r="BD237" s="252">
        <f t="shared" si="610"/>
        <v>0.40945465844941242</v>
      </c>
      <c r="BE237" s="252">
        <f t="shared" si="610"/>
        <v>0.32501970955335013</v>
      </c>
      <c r="BF237" s="252"/>
      <c r="BG237" s="15"/>
    </row>
    <row r="238" spans="1:90" outlineLevel="1">
      <c r="I238" s="497"/>
      <c r="J238" s="546"/>
      <c r="K238" s="497"/>
      <c r="L238" s="497"/>
      <c r="M238" s="497"/>
      <c r="N238" s="497"/>
      <c r="O238" s="497"/>
      <c r="P238" s="497"/>
      <c r="Q238" s="497"/>
      <c r="R238" s="497"/>
      <c r="BG238" s="15"/>
    </row>
    <row r="239" spans="1:90" s="13" customFormat="1" outlineLevel="1">
      <c r="A239" s="1349"/>
      <c r="B239" s="544" t="s">
        <v>362</v>
      </c>
      <c r="C239" s="497"/>
      <c r="D239" s="497"/>
      <c r="E239" s="497"/>
      <c r="F239" s="497"/>
      <c r="G239" s="497"/>
      <c r="H239" s="545">
        <f>H232</f>
        <v>1768</v>
      </c>
      <c r="I239" s="545">
        <f>I232</f>
        <v>2204</v>
      </c>
      <c r="J239" s="725">
        <f>J232-J242</f>
        <v>3408.654</v>
      </c>
      <c r="K239" s="351">
        <f t="shared" ref="K239:R239" si="611">J239*(1+K240)</f>
        <v>5624.2790999999997</v>
      </c>
      <c r="L239" s="351">
        <f t="shared" si="611"/>
        <v>7311.5628299999998</v>
      </c>
      <c r="M239" s="351">
        <f t="shared" si="611"/>
        <v>8993.2222808999995</v>
      </c>
      <c r="N239" s="351">
        <f t="shared" si="611"/>
        <v>10647.975180585599</v>
      </c>
      <c r="O239" s="351">
        <f t="shared" si="611"/>
        <v>12215.357127167799</v>
      </c>
      <c r="P239" s="351">
        <f t="shared" si="611"/>
        <v>13653.83758246308</v>
      </c>
      <c r="Q239" s="351">
        <f t="shared" si="611"/>
        <v>14940.138313431764</v>
      </c>
      <c r="R239" s="351">
        <f t="shared" si="611"/>
        <v>16066.122753617188</v>
      </c>
      <c r="S239" s="497"/>
      <c r="T239" s="15">
        <f>(M239/J239)^(1/3)-1</f>
        <v>0.38179665169383625</v>
      </c>
      <c r="U239" s="497"/>
      <c r="V239" s="365"/>
      <c r="W239" s="365"/>
      <c r="X239" s="365"/>
      <c r="Y239" s="371"/>
      <c r="Z239" s="365"/>
      <c r="AA239" s="365"/>
      <c r="AB239" s="365"/>
      <c r="AC239" s="371"/>
      <c r="AD239" s="365"/>
      <c r="AE239" s="365"/>
      <c r="AF239" s="365"/>
      <c r="AG239" s="371"/>
      <c r="AH239" s="497">
        <f t="shared" ref="AH239:AS239" si="612">AH232</f>
        <v>179</v>
      </c>
      <c r="AI239" s="497">
        <f t="shared" si="612"/>
        <v>210</v>
      </c>
      <c r="AJ239" s="497">
        <f t="shared" si="612"/>
        <v>264</v>
      </c>
      <c r="AK239" s="546">
        <f t="shared" si="612"/>
        <v>285</v>
      </c>
      <c r="AL239" s="497">
        <f t="shared" si="612"/>
        <v>358</v>
      </c>
      <c r="AM239" s="497">
        <f t="shared" si="612"/>
        <v>419</v>
      </c>
      <c r="AN239" s="497">
        <f t="shared" si="612"/>
        <v>554</v>
      </c>
      <c r="AO239" s="546">
        <f t="shared" si="612"/>
        <v>437</v>
      </c>
      <c r="AP239" s="497">
        <f t="shared" si="612"/>
        <v>501</v>
      </c>
      <c r="AQ239" s="497">
        <f t="shared" si="612"/>
        <v>481</v>
      </c>
      <c r="AR239" s="497">
        <f t="shared" si="612"/>
        <v>632</v>
      </c>
      <c r="AS239" s="546">
        <f t="shared" si="612"/>
        <v>590</v>
      </c>
      <c r="AT239" s="497">
        <f>AP232*(1+AT240)</f>
        <v>551.1</v>
      </c>
      <c r="AU239" s="497">
        <f>AU232-AU242</f>
        <v>715.51</v>
      </c>
      <c r="AV239" s="497">
        <f>AV232-AV242</f>
        <v>1082.5219999999999</v>
      </c>
      <c r="AW239" s="546">
        <f>AW232-AW242</f>
        <v>1059.5219999999999</v>
      </c>
      <c r="AX239" s="441">
        <f>AT239*(1+AX240)</f>
        <v>1019.5350000000001</v>
      </c>
      <c r="AY239" s="441">
        <f>AU239*(1+AY240)</f>
        <v>1216.367</v>
      </c>
      <c r="AZ239" s="441">
        <f>AV239*(1+AZ240)</f>
        <v>2056.7918</v>
      </c>
      <c r="BA239" s="1523">
        <f>K239-SUM(AX239:AZ239)</f>
        <v>1331.5852999999997</v>
      </c>
      <c r="BB239" s="441">
        <f>AX239*(1+BB240)</f>
        <v>1376.3722500000001</v>
      </c>
      <c r="BC239" s="441">
        <f>AY239*(1+BC240)</f>
        <v>1581.2771</v>
      </c>
      <c r="BD239" s="441">
        <f>AZ239*(1+BD240)</f>
        <v>2468.1501599999997</v>
      </c>
      <c r="BE239" s="373">
        <f>L239-SUM(BB239:BD239)</f>
        <v>1885.76332</v>
      </c>
      <c r="BF239" s="552"/>
      <c r="BG239" s="14"/>
      <c r="CG239"/>
      <c r="CH239"/>
      <c r="CI239"/>
      <c r="CJ239"/>
      <c r="CK239"/>
      <c r="CL239"/>
    </row>
    <row r="240" spans="1:90" s="13" customFormat="1" outlineLevel="1">
      <c r="A240" s="1349"/>
      <c r="B240" s="399" t="s">
        <v>80</v>
      </c>
      <c r="C240" s="497"/>
      <c r="D240" s="497"/>
      <c r="E240" s="497"/>
      <c r="F240" s="497"/>
      <c r="G240" s="497"/>
      <c r="H240" s="497"/>
      <c r="I240" s="429">
        <f>I239/H239-1</f>
        <v>0.24660633484162897</v>
      </c>
      <c r="J240" s="429">
        <f>J239/I239-1</f>
        <v>0.54657622504537207</v>
      </c>
      <c r="K240" s="529">
        <v>0.65</v>
      </c>
      <c r="L240" s="529">
        <v>0.3</v>
      </c>
      <c r="M240" s="529">
        <v>0.23</v>
      </c>
      <c r="N240" s="529">
        <f>M240*0.8</f>
        <v>0.18400000000000002</v>
      </c>
      <c r="O240" s="529">
        <f>N240*0.8</f>
        <v>0.14720000000000003</v>
      </c>
      <c r="P240" s="529">
        <f>O240*0.8</f>
        <v>0.11776000000000003</v>
      </c>
      <c r="Q240" s="529">
        <f>P240*0.8</f>
        <v>9.4208000000000028E-2</v>
      </c>
      <c r="R240" s="529">
        <f>Q240*0.8</f>
        <v>7.5366400000000028E-2</v>
      </c>
      <c r="V240" s="12"/>
      <c r="W240" s="12"/>
      <c r="X240" s="12"/>
      <c r="Y240" s="408"/>
      <c r="Z240" s="12"/>
      <c r="AA240" s="12"/>
      <c r="AB240" s="12"/>
      <c r="AC240" s="408"/>
      <c r="AD240" s="12"/>
      <c r="AE240" s="12"/>
      <c r="AF240" s="12"/>
      <c r="AG240" s="408"/>
      <c r="AH240" s="15">
        <f t="shared" ref="AH240:AS240" si="613">AH233</f>
        <v>1.0480549199084672</v>
      </c>
      <c r="AI240" s="15">
        <f t="shared" si="613"/>
        <v>1.1212121212121211</v>
      </c>
      <c r="AJ240" s="15">
        <f t="shared" si="613"/>
        <v>1.4363233665559245</v>
      </c>
      <c r="AK240" s="435">
        <f t="shared" si="613"/>
        <v>1.9308926367749892</v>
      </c>
      <c r="AL240" s="15">
        <f t="shared" si="613"/>
        <v>1</v>
      </c>
      <c r="AM240" s="15">
        <f t="shared" si="613"/>
        <v>0.99523809523809526</v>
      </c>
      <c r="AN240" s="15">
        <f t="shared" si="613"/>
        <v>1.0984848484848486</v>
      </c>
      <c r="AO240" s="435">
        <f t="shared" si="613"/>
        <v>0.53333333333333344</v>
      </c>
      <c r="AP240" s="15">
        <f t="shared" si="613"/>
        <v>0.3994413407821229</v>
      </c>
      <c r="AQ240" s="15">
        <f t="shared" si="613"/>
        <v>0.14797136038186154</v>
      </c>
      <c r="AR240" s="15">
        <f t="shared" si="613"/>
        <v>0.1407942238267148</v>
      </c>
      <c r="AS240" s="435">
        <f t="shared" si="613"/>
        <v>0.35011441647597263</v>
      </c>
      <c r="AT240" s="1271">
        <v>0.1</v>
      </c>
      <c r="AU240" s="15">
        <f>AU239/AQ239-1</f>
        <v>0.48754677754677744</v>
      </c>
      <c r="AV240" s="15">
        <f>AV239/AR239-1</f>
        <v>0.7128512658227848</v>
      </c>
      <c r="AW240" s="435">
        <f>AW239/AS239-1</f>
        <v>0.79579999999999984</v>
      </c>
      <c r="AX240" s="432">
        <v>0.85</v>
      </c>
      <c r="AY240" s="432">
        <v>0.7</v>
      </c>
      <c r="AZ240" s="432">
        <v>0.9</v>
      </c>
      <c r="BA240" s="335">
        <f>BA239/AW239-1</f>
        <v>0.25677928348821433</v>
      </c>
      <c r="BB240" s="432">
        <v>0.35</v>
      </c>
      <c r="BC240" s="432">
        <v>0.3</v>
      </c>
      <c r="BD240" s="432">
        <v>0.2</v>
      </c>
      <c r="BE240" s="301">
        <f>BE239/BA239-1</f>
        <v>0.41617913625210523</v>
      </c>
      <c r="BF240" s="15"/>
      <c r="BG240" s="14"/>
      <c r="CG240"/>
      <c r="CH240"/>
      <c r="CI240"/>
      <c r="CJ240"/>
      <c r="CK240"/>
      <c r="CL240"/>
    </row>
    <row r="241" spans="1:90" outlineLevel="1">
      <c r="B241" s="549" t="s">
        <v>703</v>
      </c>
      <c r="C241" s="275"/>
      <c r="D241" s="275"/>
      <c r="E241" s="275"/>
      <c r="G241" s="274"/>
      <c r="H241" s="275"/>
      <c r="I241" s="275"/>
      <c r="J241" s="668">
        <v>60</v>
      </c>
      <c r="AM241" s="283"/>
      <c r="AN241" s="283"/>
      <c r="AO241" s="284"/>
      <c r="AP241" s="283"/>
      <c r="AQ241" s="283"/>
      <c r="AR241" s="283"/>
      <c r="AS241" s="284"/>
      <c r="AT241" s="283"/>
      <c r="AU241" s="283"/>
      <c r="AV241" s="283"/>
      <c r="AW241" s="284"/>
      <c r="AX241" s="266"/>
      <c r="AY241" s="266"/>
      <c r="AZ241" s="266"/>
      <c r="BA241" s="267"/>
      <c r="BB241" s="266"/>
      <c r="BC241" s="266"/>
      <c r="BD241" s="266"/>
      <c r="BE241" s="266"/>
      <c r="BF241" s="283"/>
      <c r="BG241" s="15"/>
    </row>
    <row r="242" spans="1:90" s="13" customFormat="1" outlineLevel="1">
      <c r="A242" s="1349"/>
      <c r="B242" s="544" t="s">
        <v>576</v>
      </c>
      <c r="C242" s="497"/>
      <c r="D242" s="497"/>
      <c r="E242" s="497"/>
      <c r="F242" s="497"/>
      <c r="G242" s="497"/>
      <c r="H242" s="497"/>
      <c r="I242" s="497"/>
      <c r="J242" s="546">
        <f>SUM(AT242:AW242)</f>
        <v>3927.346</v>
      </c>
      <c r="K242" s="551">
        <f t="shared" ref="K242:R242" si="614">J242*(1+K243)</f>
        <v>7854.692</v>
      </c>
      <c r="L242" s="551">
        <f t="shared" si="614"/>
        <v>9582.7242399999996</v>
      </c>
      <c r="M242" s="551">
        <f t="shared" si="614"/>
        <v>11499.269087999999</v>
      </c>
      <c r="N242" s="551">
        <f t="shared" si="614"/>
        <v>13339.15214208</v>
      </c>
      <c r="O242" s="551">
        <f t="shared" si="614"/>
        <v>15046.563616266241</v>
      </c>
      <c r="P242" s="551">
        <f t="shared" si="614"/>
        <v>16587.331730571907</v>
      </c>
      <c r="Q242" s="551">
        <f t="shared" si="614"/>
        <v>17946.165945940356</v>
      </c>
      <c r="R242" s="551">
        <f t="shared" si="614"/>
        <v>19122.285877373502</v>
      </c>
      <c r="T242" s="15">
        <f>(M242/J242)^(1/3)-1</f>
        <v>0.43061801900813368</v>
      </c>
      <c r="V242" s="12"/>
      <c r="W242" s="12"/>
      <c r="X242" s="12"/>
      <c r="Y242" s="408"/>
      <c r="Z242" s="12"/>
      <c r="AA242" s="12"/>
      <c r="AB242" s="12"/>
      <c r="AC242" s="408"/>
      <c r="AD242" s="12"/>
      <c r="AE242" s="12"/>
      <c r="AF242" s="12"/>
      <c r="AG242" s="408"/>
      <c r="AH242" s="12"/>
      <c r="AI242" s="12"/>
      <c r="AJ242" s="12"/>
      <c r="AK242" s="408"/>
      <c r="AL242" s="12"/>
      <c r="AM242" s="12"/>
      <c r="AN242" s="12"/>
      <c r="AO242" s="408"/>
      <c r="AP242" s="552"/>
      <c r="AQ242" s="552"/>
      <c r="AR242" s="552"/>
      <c r="AS242" s="553">
        <v>400</v>
      </c>
      <c r="AT242" s="497">
        <f>AT232-AT239</f>
        <v>565.9</v>
      </c>
      <c r="AU242" s="407">
        <f>AT242*(1+AU244)</f>
        <v>622.49</v>
      </c>
      <c r="AV242" s="407">
        <f>AU242*(1+AV244)</f>
        <v>1369.4780000000001</v>
      </c>
      <c r="AW242" s="554">
        <f>AV242*(1+AW244)</f>
        <v>1369.4780000000001</v>
      </c>
      <c r="AX242" s="643">
        <f>AX232-AX239</f>
        <v>1618.4649999999999</v>
      </c>
      <c r="AY242" s="643">
        <f>AY232-AY239</f>
        <v>1661.633</v>
      </c>
      <c r="AZ242" s="643">
        <f>AZ232-AZ239</f>
        <v>2676.2082</v>
      </c>
      <c r="BA242" s="1535">
        <f>K242-SUM(AX242:AZ242)</f>
        <v>1898.3858</v>
      </c>
      <c r="BB242" s="551">
        <f>AX242*(1+BB243)</f>
        <v>1909.7886999999998</v>
      </c>
      <c r="BC242" s="551">
        <f>AY242*(1+BC243)</f>
        <v>2126.8902400000002</v>
      </c>
      <c r="BD242" s="551">
        <f>AZ242*(1+BD243)</f>
        <v>3050.8773480000004</v>
      </c>
      <c r="BE242" s="373">
        <f>L242-SUM(BB242:BD242)</f>
        <v>2495.1679519999998</v>
      </c>
      <c r="BF242" s="1282"/>
      <c r="BG242" s="14"/>
      <c r="CG242"/>
      <c r="CH242"/>
      <c r="CI242"/>
      <c r="CJ242"/>
      <c r="CK242"/>
      <c r="CL242"/>
    </row>
    <row r="243" spans="1:90" s="13" customFormat="1" outlineLevel="1">
      <c r="A243" s="1349"/>
      <c r="B243" s="399" t="s">
        <v>80</v>
      </c>
      <c r="C243" s="497"/>
      <c r="D243" s="497"/>
      <c r="E243" s="497"/>
      <c r="F243" s="497"/>
      <c r="G243" s="497"/>
      <c r="H243" s="497"/>
      <c r="I243" s="497"/>
      <c r="J243" s="546"/>
      <c r="K243" s="555">
        <v>1</v>
      </c>
      <c r="L243" s="555">
        <v>0.22</v>
      </c>
      <c r="M243" s="555">
        <v>0.2</v>
      </c>
      <c r="N243" s="555">
        <f>M243*0.8</f>
        <v>0.16000000000000003</v>
      </c>
      <c r="O243" s="555">
        <f>N243*0.8</f>
        <v>0.12800000000000003</v>
      </c>
      <c r="P243" s="555">
        <f>O243*0.8</f>
        <v>0.10240000000000003</v>
      </c>
      <c r="Q243" s="555">
        <f>P243*0.8</f>
        <v>8.1920000000000034E-2</v>
      </c>
      <c r="R243" s="555">
        <f>Q243*0.8</f>
        <v>6.5536000000000025E-2</v>
      </c>
      <c r="V243" s="12"/>
      <c r="W243" s="12"/>
      <c r="X243" s="12"/>
      <c r="Y243" s="408"/>
      <c r="Z243" s="12"/>
      <c r="AA243" s="12"/>
      <c r="AB243" s="12"/>
      <c r="AC243" s="408"/>
      <c r="AD243" s="12"/>
      <c r="AE243" s="12"/>
      <c r="AF243" s="12"/>
      <c r="AG243" s="408"/>
      <c r="AH243" s="12"/>
      <c r="AI243" s="12"/>
      <c r="AJ243" s="12"/>
      <c r="AK243" s="408"/>
      <c r="AL243" s="12"/>
      <c r="AM243" s="12"/>
      <c r="AN243" s="12"/>
      <c r="AO243" s="408"/>
      <c r="AP243" s="552"/>
      <c r="AQ243" s="552"/>
      <c r="AR243" s="552"/>
      <c r="AS243" s="553"/>
      <c r="AT243" s="552"/>
      <c r="AW243" s="556"/>
      <c r="AX243" s="301">
        <f>AX242/AT242-1</f>
        <v>1.8599840961300584</v>
      </c>
      <c r="AY243" s="301">
        <f>AY242/AU242-1</f>
        <v>1.6693328406882038</v>
      </c>
      <c r="AZ243" s="301">
        <f>AZ242/AV242-1</f>
        <v>0.95418122817599116</v>
      </c>
      <c r="BA243" s="1536">
        <f>BA242/AW242-1</f>
        <v>0.38621124253182604</v>
      </c>
      <c r="BB243" s="334">
        <v>0.18</v>
      </c>
      <c r="BC243" s="557">
        <v>0.28000000000000003</v>
      </c>
      <c r="BD243" s="557">
        <v>0.14000000000000001</v>
      </c>
      <c r="BE243" s="570">
        <f>BE242/BA242-1</f>
        <v>0.3143629456141106</v>
      </c>
      <c r="BF243" s="414"/>
      <c r="BG243" s="14"/>
      <c r="CG243"/>
      <c r="CH243"/>
      <c r="CI243"/>
      <c r="CJ243"/>
      <c r="CK243"/>
      <c r="CL243"/>
    </row>
    <row r="244" spans="1:90" s="13" customFormat="1" outlineLevel="1">
      <c r="A244" s="1349"/>
      <c r="B244" s="399" t="s">
        <v>614</v>
      </c>
      <c r="C244" s="497"/>
      <c r="D244" s="497"/>
      <c r="E244" s="497"/>
      <c r="F244" s="497"/>
      <c r="G244" s="497"/>
      <c r="H244" s="497"/>
      <c r="I244" s="497"/>
      <c r="J244" s="546"/>
      <c r="K244" s="558"/>
      <c r="L244" s="558"/>
      <c r="M244" s="558"/>
      <c r="N244" s="558"/>
      <c r="O244" s="558"/>
      <c r="P244" s="558"/>
      <c r="Q244" s="558"/>
      <c r="R244" s="558"/>
      <c r="V244" s="12"/>
      <c r="W244" s="12"/>
      <c r="X244" s="12"/>
      <c r="Y244" s="408"/>
      <c r="Z244" s="12"/>
      <c r="AA244" s="12"/>
      <c r="AB244" s="12"/>
      <c r="AC244" s="408"/>
      <c r="AD244" s="12"/>
      <c r="AE244" s="12"/>
      <c r="AF244" s="12"/>
      <c r="AG244" s="408"/>
      <c r="AH244" s="12"/>
      <c r="AI244" s="12"/>
      <c r="AJ244" s="12"/>
      <c r="AK244" s="408"/>
      <c r="AL244" s="12"/>
      <c r="AM244" s="12"/>
      <c r="AN244" s="12"/>
      <c r="AO244" s="408"/>
      <c r="AP244" s="552"/>
      <c r="AQ244" s="552"/>
      <c r="AR244" s="552"/>
      <c r="AS244" s="553"/>
      <c r="AT244" s="552"/>
      <c r="AU244" s="1271">
        <v>0.1</v>
      </c>
      <c r="AV244" s="1271">
        <v>1.2</v>
      </c>
      <c r="AW244" s="1272">
        <v>0</v>
      </c>
      <c r="AX244" s="301">
        <f t="shared" ref="AX244:BE244" si="615">AX242/AW242-1</f>
        <v>0.18181160997109846</v>
      </c>
      <c r="AY244" s="301">
        <f t="shared" si="615"/>
        <v>2.6672186299981915E-2</v>
      </c>
      <c r="AZ244" s="301">
        <f t="shared" si="615"/>
        <v>0.61058922156697659</v>
      </c>
      <c r="BA244" s="335">
        <f t="shared" si="615"/>
        <v>-0.29064345591647167</v>
      </c>
      <c r="BB244" s="301">
        <f t="shared" si="615"/>
        <v>6.0066294216907234E-3</v>
      </c>
      <c r="BC244" s="301">
        <f t="shared" si="615"/>
        <v>0.11367830378303134</v>
      </c>
      <c r="BD244" s="301">
        <f t="shared" si="615"/>
        <v>0.43443102545808854</v>
      </c>
      <c r="BE244" s="301">
        <f t="shared" si="615"/>
        <v>-0.18214740634011239</v>
      </c>
      <c r="BF244" s="414"/>
      <c r="BG244" s="14"/>
      <c r="CG244"/>
      <c r="CH244"/>
      <c r="CI244"/>
      <c r="CJ244"/>
      <c r="CK244"/>
      <c r="CL244"/>
    </row>
    <row r="245" spans="1:90" outlineLevel="1">
      <c r="B245" s="549" t="s">
        <v>702</v>
      </c>
      <c r="C245" s="275"/>
      <c r="D245" s="275"/>
      <c r="E245" s="275"/>
      <c r="G245" s="274"/>
      <c r="H245" s="275"/>
      <c r="I245" s="275"/>
      <c r="J245" s="668">
        <v>23</v>
      </c>
      <c r="AM245" s="283"/>
      <c r="AN245" s="283"/>
      <c r="AO245" s="284"/>
      <c r="AP245" s="283"/>
      <c r="AQ245" s="283"/>
      <c r="AR245" s="283"/>
      <c r="AS245" s="284"/>
      <c r="AT245" s="283"/>
      <c r="AU245" s="283"/>
      <c r="AV245" s="283"/>
      <c r="AW245" s="284"/>
      <c r="AX245" s="266"/>
      <c r="AY245" s="266"/>
      <c r="AZ245" s="266"/>
      <c r="BA245" s="267"/>
      <c r="BB245" s="266"/>
      <c r="BC245" s="266"/>
      <c r="BD245" s="266"/>
      <c r="BE245" s="266"/>
      <c r="BF245" s="283"/>
      <c r="BG245" s="15"/>
    </row>
    <row r="246" spans="1:90" s="13" customFormat="1" outlineLevel="1">
      <c r="A246" s="1349"/>
      <c r="B246" s="448"/>
      <c r="C246" s="497"/>
      <c r="D246" s="497"/>
      <c r="E246" s="497"/>
      <c r="F246" s="497"/>
      <c r="G246" s="497"/>
      <c r="H246" s="497"/>
      <c r="I246" s="497"/>
      <c r="J246" s="546"/>
      <c r="K246" s="558"/>
      <c r="L246" s="558"/>
      <c r="M246" s="558"/>
      <c r="N246" s="558"/>
      <c r="O246" s="558"/>
      <c r="P246" s="558"/>
      <c r="Q246" s="558"/>
      <c r="R246" s="558"/>
      <c r="V246" s="12"/>
      <c r="W246" s="12"/>
      <c r="X246" s="12"/>
      <c r="Y246" s="408"/>
      <c r="Z246" s="12"/>
      <c r="AA246" s="12"/>
      <c r="AB246" s="12"/>
      <c r="AC246" s="408"/>
      <c r="AD246" s="12"/>
      <c r="AE246" s="12"/>
      <c r="AF246" s="12"/>
      <c r="AG246" s="408"/>
      <c r="AH246" s="12"/>
      <c r="AI246" s="12"/>
      <c r="AJ246" s="12"/>
      <c r="AK246" s="408"/>
      <c r="AL246" s="12"/>
      <c r="AM246" s="12"/>
      <c r="AN246" s="12"/>
      <c r="AO246" s="408"/>
      <c r="AP246" s="552"/>
      <c r="AQ246" s="552"/>
      <c r="AR246" s="552"/>
      <c r="AS246" s="553"/>
      <c r="AT246" s="552"/>
      <c r="AU246" s="552"/>
      <c r="AV246" s="552"/>
      <c r="AW246" s="363"/>
      <c r="AX246" s="1274"/>
      <c r="AY246" s="301"/>
      <c r="AZ246" s="301"/>
      <c r="BA246" s="335"/>
      <c r="BB246" s="301"/>
      <c r="BC246" s="301"/>
      <c r="BD246" s="301"/>
      <c r="BE246" s="301"/>
      <c r="BF246" s="414"/>
      <c r="BG246" s="14"/>
      <c r="CG246"/>
      <c r="CH246"/>
      <c r="CI246"/>
      <c r="CJ246"/>
      <c r="CK246"/>
      <c r="CL246"/>
    </row>
    <row r="247" spans="1:90" outlineLevel="1">
      <c r="B247" s="560" t="s">
        <v>734</v>
      </c>
      <c r="C247" s="454">
        <f t="shared" ref="C247:R247" si="616">C232/C250/1000</f>
        <v>2.9111111111111114</v>
      </c>
      <c r="D247" s="454">
        <f t="shared" si="616"/>
        <v>5.7216666666666667</v>
      </c>
      <c r="E247" s="454">
        <f t="shared" si="616"/>
        <v>12.388888888888891</v>
      </c>
      <c r="F247" s="454">
        <f t="shared" si="616"/>
        <v>7.84</v>
      </c>
      <c r="G247" s="454">
        <f t="shared" si="616"/>
        <v>18.760000000000002</v>
      </c>
      <c r="H247" s="454">
        <f t="shared" si="616"/>
        <v>29.466666666666669</v>
      </c>
      <c r="I247" s="454">
        <f t="shared" si="616"/>
        <v>33.907692307692308</v>
      </c>
      <c r="J247" s="725">
        <f t="shared" si="616"/>
        <v>104.79999999999998</v>
      </c>
      <c r="K247" s="454">
        <f t="shared" si="616"/>
        <v>207.36878615384612</v>
      </c>
      <c r="L247" s="454">
        <f t="shared" si="616"/>
        <v>241.34695814285709</v>
      </c>
      <c r="M247" s="454">
        <f t="shared" si="616"/>
        <v>292.74987669857137</v>
      </c>
      <c r="N247" s="454">
        <f t="shared" si="616"/>
        <v>342.67324746665139</v>
      </c>
      <c r="O247" s="454">
        <f t="shared" si="616"/>
        <v>389.45601062048627</v>
      </c>
      <c r="P247" s="454">
        <f t="shared" si="616"/>
        <v>432.01670447192834</v>
      </c>
      <c r="Q247" s="454">
        <f t="shared" si="616"/>
        <v>469.80434656245876</v>
      </c>
      <c r="R247" s="454">
        <f t="shared" si="616"/>
        <v>502.69155187129553</v>
      </c>
      <c r="S247" s="15"/>
      <c r="V247" s="1269">
        <v>0.4</v>
      </c>
      <c r="W247" s="1269">
        <v>0.5</v>
      </c>
      <c r="X247" s="1269">
        <v>0.6</v>
      </c>
      <c r="Y247" s="404">
        <f>D247-SUM(V247:X247)</f>
        <v>4.2216666666666667</v>
      </c>
      <c r="Z247" s="1267">
        <f>V247*(1+Z248)</f>
        <v>0.91999999999999993</v>
      </c>
      <c r="AA247" s="1267">
        <f>W247*(1+AA248)</f>
        <v>1.1000000000000001</v>
      </c>
      <c r="AB247" s="1267">
        <f>X247*(1+AB248)</f>
        <v>1.26</v>
      </c>
      <c r="AC247" s="404">
        <f>E247-SUM(Z247:AB247)</f>
        <v>9.1088888888888917</v>
      </c>
      <c r="AD247" s="1267">
        <f>Z247*(1+AD248)</f>
        <v>1.7479999999999998</v>
      </c>
      <c r="AE247" s="1267">
        <f>AA247*(1+AE248)</f>
        <v>1.9800000000000002</v>
      </c>
      <c r="AF247" s="1267">
        <f>AB247*(1+AF248)</f>
        <v>2.1671999999999998</v>
      </c>
      <c r="AG247" s="1270">
        <f>F247-SUM(AD247:AF247)</f>
        <v>1.9448000000000008</v>
      </c>
      <c r="AH247" s="1266">
        <f>AH232/AH250/1000</f>
        <v>3.58</v>
      </c>
      <c r="AI247" s="1266">
        <f>AI232/AI250/1000</f>
        <v>4.2</v>
      </c>
      <c r="AJ247" s="1266">
        <f>AJ232/AJ250/1000</f>
        <v>5.28</v>
      </c>
      <c r="AK247" s="1268">
        <f>G247-SUM(AH247:AJ247)</f>
        <v>5.7000000000000011</v>
      </c>
      <c r="AL247" s="1266">
        <f t="shared" ref="AL247:BE247" si="617">AL232/AL250/1000</f>
        <v>5.9666666666666668</v>
      </c>
      <c r="AM247" s="1267">
        <f t="shared" si="617"/>
        <v>6.9833333333333343</v>
      </c>
      <c r="AN247" s="1267">
        <f t="shared" si="617"/>
        <v>9.2333333333333343</v>
      </c>
      <c r="AO247" s="1268">
        <f t="shared" si="617"/>
        <v>7.2833333333333341</v>
      </c>
      <c r="AP247" s="1266">
        <f t="shared" si="617"/>
        <v>7.7076923076923078</v>
      </c>
      <c r="AQ247" s="1267">
        <f t="shared" si="617"/>
        <v>7.4</v>
      </c>
      <c r="AR247" s="1267">
        <f t="shared" si="617"/>
        <v>9.7230769230769223</v>
      </c>
      <c r="AS247" s="1268">
        <f t="shared" si="617"/>
        <v>9.0769230769230766</v>
      </c>
      <c r="AT247" s="1266">
        <f t="shared" si="617"/>
        <v>15.957142857142856</v>
      </c>
      <c r="AU247" s="1267">
        <f t="shared" si="617"/>
        <v>19.114285714285714</v>
      </c>
      <c r="AV247" s="1267">
        <f t="shared" si="617"/>
        <v>35.028571428571425</v>
      </c>
      <c r="AW247" s="1268">
        <f t="shared" si="617"/>
        <v>34.700000000000003</v>
      </c>
      <c r="AX247" s="1266">
        <f t="shared" si="617"/>
        <v>40.584615384615383</v>
      </c>
      <c r="AY247" s="1267">
        <f t="shared" si="617"/>
        <v>44.276923076923076</v>
      </c>
      <c r="AZ247" s="1267">
        <f t="shared" si="617"/>
        <v>72.815384615384616</v>
      </c>
      <c r="BA247" s="1268">
        <f t="shared" si="617"/>
        <v>49.69186307692307</v>
      </c>
      <c r="BB247" s="1266">
        <f t="shared" si="617"/>
        <v>46.94515642857143</v>
      </c>
      <c r="BC247" s="1267">
        <f t="shared" si="617"/>
        <v>52.973819142857138</v>
      </c>
      <c r="BD247" s="1267">
        <f t="shared" si="617"/>
        <v>78.843250114285709</v>
      </c>
      <c r="BE247" s="1267">
        <f t="shared" si="617"/>
        <v>62.584732457142849</v>
      </c>
      <c r="BF247" s="365"/>
      <c r="BG247" s="15"/>
      <c r="BN247" s="314"/>
      <c r="BO247" s="314"/>
      <c r="BP247" s="314"/>
      <c r="BQ247" s="314"/>
      <c r="BR247" s="314"/>
      <c r="BS247" s="314"/>
      <c r="BT247" s="314"/>
      <c r="BU247" s="314"/>
      <c r="BV247" s="314"/>
      <c r="BW247" s="314"/>
    </row>
    <row r="248" spans="1:90" s="15" customFormat="1" outlineLevel="1">
      <c r="A248" s="1342"/>
      <c r="B248" s="562" t="s">
        <v>80</v>
      </c>
      <c r="C248" s="563"/>
      <c r="D248" s="15">
        <f t="shared" ref="D248:R248" si="618">D247/C247-1</f>
        <v>0.96545801526717545</v>
      </c>
      <c r="E248" s="15">
        <f t="shared" si="618"/>
        <v>1.1652587629866979</v>
      </c>
      <c r="F248" s="15">
        <f t="shared" si="618"/>
        <v>-0.36717488789237684</v>
      </c>
      <c r="G248" s="15">
        <f t="shared" si="618"/>
        <v>1.3928571428571432</v>
      </c>
      <c r="H248" s="15">
        <f t="shared" si="618"/>
        <v>0.57071783937455578</v>
      </c>
      <c r="I248" s="15">
        <f t="shared" si="618"/>
        <v>0.15071353985381131</v>
      </c>
      <c r="J248" s="435">
        <f t="shared" si="618"/>
        <v>2.0907441016333932</v>
      </c>
      <c r="K248" s="15">
        <f t="shared" si="618"/>
        <v>0.97870979154433346</v>
      </c>
      <c r="L248" s="15">
        <f t="shared" si="618"/>
        <v>0.16385384039333051</v>
      </c>
      <c r="M248" s="15">
        <f t="shared" si="618"/>
        <v>0.21298349459738408</v>
      </c>
      <c r="N248" s="15">
        <f t="shared" si="618"/>
        <v>0.17053250826637711</v>
      </c>
      <c r="O248" s="15">
        <f t="shared" si="618"/>
        <v>0.13652295152800842</v>
      </c>
      <c r="P248" s="15">
        <f t="shared" si="618"/>
        <v>0.10928241621854506</v>
      </c>
      <c r="Q248" s="15">
        <f t="shared" si="618"/>
        <v>8.7468011536081303E-2</v>
      </c>
      <c r="R248" s="15">
        <f t="shared" si="618"/>
        <v>7.000191792492183E-2</v>
      </c>
      <c r="V248" s="142"/>
      <c r="W248" s="142"/>
      <c r="X248" s="142"/>
      <c r="Y248" s="359"/>
      <c r="Z248" s="564">
        <v>1.3</v>
      </c>
      <c r="AA248" s="564">
        <v>1.2</v>
      </c>
      <c r="AB248" s="564">
        <v>1.1000000000000001</v>
      </c>
      <c r="AC248" s="359">
        <f>AB248-15%</f>
        <v>0.95000000000000007</v>
      </c>
      <c r="AD248" s="564">
        <v>0.9</v>
      </c>
      <c r="AE248" s="564">
        <v>0.8</v>
      </c>
      <c r="AF248" s="564">
        <v>0.72</v>
      </c>
      <c r="AG248" s="359">
        <f t="shared" ref="AG248:BE248" si="619">AG247/AC247-1</f>
        <v>-0.78649426689436441</v>
      </c>
      <c r="AH248" s="142">
        <f t="shared" si="619"/>
        <v>1.0480549199084672</v>
      </c>
      <c r="AI248" s="142">
        <f t="shared" si="619"/>
        <v>1.1212121212121211</v>
      </c>
      <c r="AJ248" s="142">
        <f t="shared" si="619"/>
        <v>1.436323366555925</v>
      </c>
      <c r="AK248" s="359">
        <f t="shared" si="619"/>
        <v>1.9308926367749892</v>
      </c>
      <c r="AL248" s="359">
        <f t="shared" si="619"/>
        <v>0.66666666666666674</v>
      </c>
      <c r="AM248" s="359">
        <f t="shared" si="619"/>
        <v>0.66269841269841279</v>
      </c>
      <c r="AN248" s="359">
        <f t="shared" si="619"/>
        <v>0.74873737373737392</v>
      </c>
      <c r="AO248" s="359">
        <f t="shared" si="619"/>
        <v>0.27777777777777768</v>
      </c>
      <c r="AP248" s="359">
        <f t="shared" si="619"/>
        <v>0.29179200687580575</v>
      </c>
      <c r="AQ248" s="359">
        <f t="shared" si="619"/>
        <v>5.9665871121718395E-2</v>
      </c>
      <c r="AR248" s="359">
        <f t="shared" si="619"/>
        <v>5.3040821993890486E-2</v>
      </c>
      <c r="AS248" s="359">
        <f t="shared" si="619"/>
        <v>0.24625946136243604</v>
      </c>
      <c r="AT248" s="142">
        <f t="shared" si="619"/>
        <v>1.0702879954376958</v>
      </c>
      <c r="AU248" s="142">
        <f t="shared" si="619"/>
        <v>1.583011583011583</v>
      </c>
      <c r="AV248" s="142">
        <f t="shared" si="619"/>
        <v>2.6026220614828208</v>
      </c>
      <c r="AW248" s="359">
        <f t="shared" si="619"/>
        <v>2.8228813559322039</v>
      </c>
      <c r="AX248" s="142">
        <f t="shared" si="619"/>
        <v>1.5433510088836857</v>
      </c>
      <c r="AY248" s="142">
        <f t="shared" si="619"/>
        <v>1.3164309532022536</v>
      </c>
      <c r="AZ248" s="142">
        <f t="shared" si="619"/>
        <v>1.0787426276822689</v>
      </c>
      <c r="BA248" s="359">
        <f t="shared" si="619"/>
        <v>0.4320421636000884</v>
      </c>
      <c r="BB248" s="142">
        <f t="shared" si="619"/>
        <v>0.15672295976389039</v>
      </c>
      <c r="BC248" s="142">
        <f t="shared" si="619"/>
        <v>0.19642051573513353</v>
      </c>
      <c r="BD248" s="142">
        <f t="shared" si="619"/>
        <v>8.2782855995894966E-2</v>
      </c>
      <c r="BE248" s="142">
        <f t="shared" si="619"/>
        <v>0.25945634922686645</v>
      </c>
      <c r="BF248" s="142"/>
      <c r="CG248"/>
      <c r="CH248"/>
      <c r="CI248"/>
      <c r="CJ248"/>
      <c r="CK248"/>
      <c r="CL248"/>
    </row>
    <row r="249" spans="1:90" outlineLevel="1">
      <c r="B249" s="399" t="s">
        <v>81</v>
      </c>
      <c r="C249" s="374"/>
      <c r="V249" s="142"/>
      <c r="W249" s="142">
        <f t="shared" ref="W249:BA249" si="620">W247/V247-1</f>
        <v>0.25</v>
      </c>
      <c r="X249" s="142">
        <f t="shared" si="620"/>
        <v>0.19999999999999996</v>
      </c>
      <c r="Y249" s="359">
        <f t="shared" si="620"/>
        <v>6.0361111111111114</v>
      </c>
      <c r="Z249" s="142">
        <f t="shared" si="620"/>
        <v>-0.78207658902487176</v>
      </c>
      <c r="AA249" s="142">
        <f t="shared" si="620"/>
        <v>0.19565217391304368</v>
      </c>
      <c r="AB249" s="142">
        <f t="shared" si="620"/>
        <v>0.14545454545454528</v>
      </c>
      <c r="AC249" s="359">
        <f t="shared" si="620"/>
        <v>6.2292768959435652</v>
      </c>
      <c r="AD249" s="142">
        <f t="shared" si="620"/>
        <v>-0.80809953647231036</v>
      </c>
      <c r="AE249" s="142">
        <f t="shared" si="620"/>
        <v>0.13272311212814669</v>
      </c>
      <c r="AF249" s="142">
        <f t="shared" si="620"/>
        <v>9.4545454545454266E-2</v>
      </c>
      <c r="AG249" s="359">
        <f t="shared" si="620"/>
        <v>-0.10262089331856727</v>
      </c>
      <c r="AH249" s="142">
        <f t="shared" si="620"/>
        <v>0.84080625257095787</v>
      </c>
      <c r="AI249" s="142">
        <f t="shared" si="620"/>
        <v>0.17318435754189943</v>
      </c>
      <c r="AJ249" s="142">
        <f t="shared" si="620"/>
        <v>0.25714285714285712</v>
      </c>
      <c r="AK249" s="359">
        <f t="shared" si="620"/>
        <v>7.9545454545454586E-2</v>
      </c>
      <c r="AL249" s="142">
        <f t="shared" si="620"/>
        <v>4.6783625730993927E-2</v>
      </c>
      <c r="AM249" s="142">
        <f t="shared" si="620"/>
        <v>0.17039106145251415</v>
      </c>
      <c r="AN249" s="142">
        <f t="shared" si="620"/>
        <v>0.32219570405727915</v>
      </c>
      <c r="AO249" s="359">
        <f t="shared" si="620"/>
        <v>-0.21119133574007221</v>
      </c>
      <c r="AP249" s="142">
        <f t="shared" si="620"/>
        <v>5.8264390072170213E-2</v>
      </c>
      <c r="AQ249" s="142">
        <f t="shared" si="620"/>
        <v>-3.9920159680638667E-2</v>
      </c>
      <c r="AR249" s="142">
        <f t="shared" si="620"/>
        <v>0.31392931392931378</v>
      </c>
      <c r="AS249" s="359">
        <f t="shared" si="620"/>
        <v>-6.6455696202531556E-2</v>
      </c>
      <c r="AT249" s="142">
        <f t="shared" si="620"/>
        <v>0.75799031476997558</v>
      </c>
      <c r="AU249" s="142">
        <f t="shared" si="620"/>
        <v>0.19785138764547905</v>
      </c>
      <c r="AV249" s="142">
        <f t="shared" si="620"/>
        <v>0.83258594917787732</v>
      </c>
      <c r="AW249" s="359">
        <f t="shared" si="620"/>
        <v>-9.3800978792820677E-3</v>
      </c>
      <c r="AX249" s="286">
        <f t="shared" si="620"/>
        <v>0.16958545776989564</v>
      </c>
      <c r="AY249" s="286">
        <f t="shared" si="620"/>
        <v>9.0978013646701994E-2</v>
      </c>
      <c r="AZ249" s="286">
        <f t="shared" si="620"/>
        <v>0.64454482279360681</v>
      </c>
      <c r="BA249" s="287">
        <f t="shared" si="620"/>
        <v>-0.31756368054088324</v>
      </c>
      <c r="BB249" s="286">
        <f>BB247/BA247-1</f>
        <v>-5.5274776960963057E-2</v>
      </c>
      <c r="BC249" s="286">
        <f>BC247/BB247-1</f>
        <v>0.12841926990824959</v>
      </c>
      <c r="BD249" s="286">
        <f>BD247/BC247-1</f>
        <v>0.48834370241770153</v>
      </c>
      <c r="BE249" s="286">
        <f>BE247/BD247-1</f>
        <v>-0.20621318417969381</v>
      </c>
      <c r="BF249" s="142"/>
      <c r="BG249" s="15"/>
    </row>
    <row r="250" spans="1:90" outlineLevel="1">
      <c r="B250" s="562" t="s">
        <v>657</v>
      </c>
      <c r="C250" s="548">
        <v>1.7999999999999999E-2</v>
      </c>
      <c r="D250" s="548">
        <f>C250</f>
        <v>1.7999999999999999E-2</v>
      </c>
      <c r="E250" s="548">
        <f>D250</f>
        <v>1.7999999999999999E-2</v>
      </c>
      <c r="F250" s="548">
        <v>0.05</v>
      </c>
      <c r="G250" s="548">
        <v>0.05</v>
      </c>
      <c r="H250" s="548">
        <v>0.06</v>
      </c>
      <c r="I250" s="548">
        <v>6.5000000000000002E-2</v>
      </c>
      <c r="J250" s="559">
        <v>7.0000000000000007E-2</v>
      </c>
      <c r="K250" s="548">
        <v>6.5000000000000002E-2</v>
      </c>
      <c r="L250" s="548">
        <v>7.0000000000000007E-2</v>
      </c>
      <c r="M250" s="548">
        <f t="shared" ref="M250:R250" si="621">L250</f>
        <v>7.0000000000000007E-2</v>
      </c>
      <c r="N250" s="548">
        <f t="shared" si="621"/>
        <v>7.0000000000000007E-2</v>
      </c>
      <c r="O250" s="548">
        <f t="shared" si="621"/>
        <v>7.0000000000000007E-2</v>
      </c>
      <c r="P250" s="548">
        <f t="shared" si="621"/>
        <v>7.0000000000000007E-2</v>
      </c>
      <c r="Q250" s="548">
        <f t="shared" si="621"/>
        <v>7.0000000000000007E-2</v>
      </c>
      <c r="R250" s="548">
        <f t="shared" si="621"/>
        <v>7.0000000000000007E-2</v>
      </c>
      <c r="V250" s="548">
        <f>$D250</f>
        <v>1.7999999999999999E-2</v>
      </c>
      <c r="W250" s="548">
        <f>$D250</f>
        <v>1.7999999999999999E-2</v>
      </c>
      <c r="X250" s="548">
        <f>$D250</f>
        <v>1.7999999999999999E-2</v>
      </c>
      <c r="Y250" s="559">
        <f>$D250</f>
        <v>1.7999999999999999E-2</v>
      </c>
      <c r="Z250" s="548">
        <f>$E250</f>
        <v>1.7999999999999999E-2</v>
      </c>
      <c r="AA250" s="548">
        <f>$E250</f>
        <v>1.7999999999999999E-2</v>
      </c>
      <c r="AB250" s="548">
        <f>$E250</f>
        <v>1.7999999999999999E-2</v>
      </c>
      <c r="AC250" s="559">
        <f>$E250</f>
        <v>1.7999999999999999E-2</v>
      </c>
      <c r="AD250" s="548">
        <f>$F250</f>
        <v>0.05</v>
      </c>
      <c r="AE250" s="548">
        <f>$F250</f>
        <v>0.05</v>
      </c>
      <c r="AF250" s="548">
        <f>$F250</f>
        <v>0.05</v>
      </c>
      <c r="AG250" s="559">
        <f>$F250</f>
        <v>0.05</v>
      </c>
      <c r="AH250" s="1271">
        <f>$G250</f>
        <v>0.05</v>
      </c>
      <c r="AI250" s="1271">
        <f>$G250</f>
        <v>0.05</v>
      </c>
      <c r="AJ250" s="1271">
        <f>$G250</f>
        <v>0.05</v>
      </c>
      <c r="AK250" s="1272">
        <f>$G250</f>
        <v>0.05</v>
      </c>
      <c r="AL250" s="1271">
        <f>$H250</f>
        <v>0.06</v>
      </c>
      <c r="AM250" s="1271">
        <f>$H250</f>
        <v>0.06</v>
      </c>
      <c r="AN250" s="1271">
        <f>$H250</f>
        <v>0.06</v>
      </c>
      <c r="AO250" s="1272">
        <f>$H250</f>
        <v>0.06</v>
      </c>
      <c r="AP250" s="1271">
        <f>$I250</f>
        <v>6.5000000000000002E-2</v>
      </c>
      <c r="AQ250" s="1271">
        <f>$I250</f>
        <v>6.5000000000000002E-2</v>
      </c>
      <c r="AR250" s="1271">
        <f>$I250</f>
        <v>6.5000000000000002E-2</v>
      </c>
      <c r="AS250" s="1272">
        <f>$I250</f>
        <v>6.5000000000000002E-2</v>
      </c>
      <c r="AT250" s="1271">
        <f>$J250</f>
        <v>7.0000000000000007E-2</v>
      </c>
      <c r="AU250" s="1271">
        <f>$J250</f>
        <v>7.0000000000000007E-2</v>
      </c>
      <c r="AV250" s="1271">
        <f>$J250</f>
        <v>7.0000000000000007E-2</v>
      </c>
      <c r="AW250" s="1272">
        <f>$J250</f>
        <v>7.0000000000000007E-2</v>
      </c>
      <c r="AX250" s="1273">
        <f>$K250</f>
        <v>6.5000000000000002E-2</v>
      </c>
      <c r="AY250" s="1273">
        <f>$K250</f>
        <v>6.5000000000000002E-2</v>
      </c>
      <c r="AZ250" s="1273">
        <f>$K250</f>
        <v>6.5000000000000002E-2</v>
      </c>
      <c r="BA250" s="1537">
        <f>$K250</f>
        <v>6.5000000000000002E-2</v>
      </c>
      <c r="BB250" s="1273">
        <f>$L250</f>
        <v>7.0000000000000007E-2</v>
      </c>
      <c r="BC250" s="1273">
        <f>$L250</f>
        <v>7.0000000000000007E-2</v>
      </c>
      <c r="BD250" s="1273">
        <f>$L250</f>
        <v>7.0000000000000007E-2</v>
      </c>
      <c r="BE250" s="1273">
        <f>$L250</f>
        <v>7.0000000000000007E-2</v>
      </c>
      <c r="BF250" s="414"/>
      <c r="BG250" s="15"/>
    </row>
    <row r="251" spans="1:90" outlineLevel="1">
      <c r="BG251" s="15"/>
    </row>
    <row r="252" spans="1:90" outlineLevel="1">
      <c r="B252" s="226"/>
      <c r="C252" s="275"/>
      <c r="D252" s="275"/>
      <c r="E252" s="275"/>
      <c r="G252" s="274"/>
      <c r="H252" s="275"/>
      <c r="I252" s="275"/>
      <c r="J252" s="1398"/>
      <c r="AM252" s="283"/>
      <c r="AN252" s="283"/>
      <c r="AO252" s="284"/>
      <c r="AP252" s="283"/>
      <c r="AQ252" s="283"/>
      <c r="AR252" s="283"/>
      <c r="AS252" s="284"/>
      <c r="AT252" s="283"/>
      <c r="AU252" s="283"/>
      <c r="AV252" s="283"/>
      <c r="AW252" s="284"/>
      <c r="AX252" s="565"/>
      <c r="AY252" s="565"/>
      <c r="AZ252" s="565"/>
      <c r="BA252" s="267"/>
      <c r="BB252" s="565"/>
      <c r="BC252" s="565"/>
      <c r="BD252" s="565"/>
      <c r="BE252" s="266"/>
      <c r="BF252" s="283"/>
      <c r="BG252" s="15"/>
    </row>
    <row r="253" spans="1:90" outlineLevel="1">
      <c r="B253" s="339" t="s">
        <v>656</v>
      </c>
      <c r="C253" s="340"/>
      <c r="D253" s="340"/>
      <c r="E253" s="340"/>
      <c r="F253" s="340"/>
      <c r="G253" s="340"/>
      <c r="H253" s="340"/>
      <c r="I253" s="341"/>
      <c r="J253" s="1401"/>
      <c r="K253" s="341"/>
      <c r="L253" s="341"/>
      <c r="M253" s="341"/>
      <c r="N253" s="341"/>
      <c r="O253" s="341"/>
      <c r="P253" s="341"/>
      <c r="Q253" s="341"/>
      <c r="R253" s="341"/>
      <c r="S253" s="276"/>
      <c r="T253" s="340"/>
      <c r="V253" s="342"/>
      <c r="W253" s="342"/>
      <c r="X253" s="342"/>
      <c r="Y253" s="343"/>
      <c r="Z253" s="342"/>
      <c r="AA253" s="342"/>
      <c r="AB253" s="342"/>
      <c r="AC253" s="343"/>
      <c r="AD253" s="342"/>
      <c r="AE253" s="342"/>
      <c r="AF253" s="342"/>
      <c r="AG253" s="343"/>
      <c r="AH253" s="342"/>
      <c r="AI253" s="342"/>
      <c r="AJ253" s="342"/>
      <c r="AK253" s="343"/>
      <c r="AL253" s="344"/>
      <c r="AM253" s="344"/>
      <c r="AN253" s="344"/>
      <c r="AO253" s="343"/>
      <c r="AP253" s="342"/>
      <c r="AQ253" s="342"/>
      <c r="AR253" s="345"/>
      <c r="AS253" s="346"/>
      <c r="AT253" s="345"/>
      <c r="AU253" s="345"/>
      <c r="AV253" s="345"/>
      <c r="AW253" s="346"/>
      <c r="AX253" s="347"/>
      <c r="AY253" s="347"/>
      <c r="AZ253" s="347"/>
      <c r="BA253" s="1521"/>
      <c r="BB253" s="347"/>
      <c r="BC253" s="347"/>
      <c r="BD253" s="347"/>
      <c r="BE253" s="347"/>
      <c r="BF253" s="283"/>
      <c r="BG253" s="15"/>
      <c r="BJ253" s="454"/>
      <c r="BK253" s="454"/>
      <c r="BL253" s="454"/>
      <c r="BM253" s="454"/>
      <c r="BN253" s="454"/>
      <c r="BO253" s="454"/>
      <c r="BP253" s="454"/>
      <c r="BQ253" s="454"/>
    </row>
    <row r="254" spans="1:90" s="226" customFormat="1" outlineLevel="1">
      <c r="A254" s="1349"/>
      <c r="B254" s="226" t="s">
        <v>91</v>
      </c>
      <c r="C254" s="440">
        <f>C564-C232</f>
        <v>2567.6</v>
      </c>
      <c r="D254" s="440">
        <f>D564-D232</f>
        <v>3330.01</v>
      </c>
      <c r="E254" s="537">
        <v>3542</v>
      </c>
      <c r="F254" s="537">
        <v>3768</v>
      </c>
      <c r="G254" s="538">
        <v>3913</v>
      </c>
      <c r="H254" s="440">
        <f>SUM(AL254:AO254)</f>
        <v>4718</v>
      </c>
      <c r="I254" s="440">
        <f>SUM(AP254:AS254)</f>
        <v>5425</v>
      </c>
      <c r="J254" s="566">
        <f>SUM(AT254:AW254)</f>
        <v>6001</v>
      </c>
      <c r="K254" s="441">
        <f t="shared" ref="K254:R254" si="622">J254*(1+K255)</f>
        <v>6601.1</v>
      </c>
      <c r="L254" s="441">
        <f t="shared" si="622"/>
        <v>7063.1770000000006</v>
      </c>
      <c r="M254" s="441">
        <f t="shared" si="622"/>
        <v>7416.3358500000013</v>
      </c>
      <c r="N254" s="441">
        <f t="shared" si="622"/>
        <v>7712.989284000002</v>
      </c>
      <c r="O254" s="441">
        <f t="shared" si="622"/>
        <v>7959.8049410880021</v>
      </c>
      <c r="P254" s="441">
        <f t="shared" si="622"/>
        <v>8163.5759475798559</v>
      </c>
      <c r="Q254" s="441">
        <f t="shared" si="622"/>
        <v>8330.7659829862914</v>
      </c>
      <c r="R254" s="441">
        <f t="shared" si="622"/>
        <v>8467.2572528515393</v>
      </c>
      <c r="T254" s="15">
        <f>(M254/J254)^(1/3)-1</f>
        <v>7.3137210242663953E-2</v>
      </c>
      <c r="V254" s="522">
        <f>V564-V232</f>
        <v>807.8</v>
      </c>
      <c r="W254" s="522">
        <f>W564-W232</f>
        <v>865</v>
      </c>
      <c r="X254" s="522">
        <f>X564-X232</f>
        <v>900.2</v>
      </c>
      <c r="Y254" s="363">
        <f>D254-SUM(V254:X254)</f>
        <v>757.01000000000022</v>
      </c>
      <c r="Z254" s="522">
        <f>Z564-Z232</f>
        <v>933.44</v>
      </c>
      <c r="AA254" s="522">
        <f>AA564-AA232</f>
        <v>929.2</v>
      </c>
      <c r="AB254" s="522">
        <f>AB564-AB232</f>
        <v>922.32</v>
      </c>
      <c r="AC254" s="260">
        <f>E254-SUM(Z254:AB254)</f>
        <v>757.04</v>
      </c>
      <c r="AD254" s="522">
        <f>AD564-AD232</f>
        <v>886.6</v>
      </c>
      <c r="AE254" s="522">
        <f>AE564-AE232</f>
        <v>950</v>
      </c>
      <c r="AF254" s="522">
        <f>AF564-AF232</f>
        <v>985.64</v>
      </c>
      <c r="AG254" s="267">
        <f>F254-SUM(AD254:AF254)</f>
        <v>945.76000000000022</v>
      </c>
      <c r="AH254" s="522">
        <f>AH564-AH232</f>
        <v>938</v>
      </c>
      <c r="AI254" s="522">
        <f>AI564-AI232</f>
        <v>966</v>
      </c>
      <c r="AJ254" s="522">
        <f>AJ564-AJ232</f>
        <v>1000</v>
      </c>
      <c r="AK254" s="223">
        <f>G254-SUM(AH254:AJ254)</f>
        <v>1009</v>
      </c>
      <c r="AL254" s="522">
        <f>AL564-AL232</f>
        <v>1111</v>
      </c>
      <c r="AM254" s="440">
        <f>AM564-AM232</f>
        <v>1198</v>
      </c>
      <c r="AN254" s="440">
        <f>AN564-AN232</f>
        <v>1209</v>
      </c>
      <c r="AO254" s="566">
        <f>AO564-AO232</f>
        <v>1200</v>
      </c>
      <c r="AP254" s="446">
        <f>Reported!P131</f>
        <v>1245</v>
      </c>
      <c r="AQ254" s="446">
        <f>Reported!Q131</f>
        <v>1355</v>
      </c>
      <c r="AR254" s="446">
        <f>Reported!R131</f>
        <v>1430</v>
      </c>
      <c r="AS254" s="447">
        <f>Reported!S131</f>
        <v>1395</v>
      </c>
      <c r="AT254" s="446">
        <f>Reported!T131</f>
        <v>1432</v>
      </c>
      <c r="AU254" s="446">
        <f>Reported!U131</f>
        <v>1506</v>
      </c>
      <c r="AV254" s="446">
        <f>Reported!V131</f>
        <v>1554</v>
      </c>
      <c r="AW254" s="447">
        <f>Reported!W131</f>
        <v>1509</v>
      </c>
      <c r="AX254" s="446">
        <f>Reported!X131</f>
        <v>1609</v>
      </c>
      <c r="AY254" s="446">
        <f>Reported!Y131</f>
        <v>1651</v>
      </c>
      <c r="AZ254" s="446">
        <f>Reported!Z131</f>
        <v>1666</v>
      </c>
      <c r="BA254" s="1535">
        <f>K254-SUM(AX254:AZ254)</f>
        <v>1675.1000000000004</v>
      </c>
      <c r="BB254" s="441">
        <f>AX254*(1+BB255)</f>
        <v>1689.45</v>
      </c>
      <c r="BC254" s="441">
        <f>AY254*(1+BC255)</f>
        <v>1766.5700000000002</v>
      </c>
      <c r="BD254" s="441">
        <f>AZ254*(1+BD255)</f>
        <v>1799.2800000000002</v>
      </c>
      <c r="BE254" s="373">
        <f>L254-SUM(BB254:BD254)</f>
        <v>1807.8769999999995</v>
      </c>
      <c r="BF254" s="365"/>
      <c r="BG254" s="302"/>
      <c r="BI254" s="440">
        <f>H254-SUM(AL254:AO254)</f>
        <v>0</v>
      </c>
      <c r="BJ254" s="440">
        <f>I254-SUM(AP254:AS254)</f>
        <v>0</v>
      </c>
      <c r="CG254"/>
      <c r="CH254"/>
      <c r="CI254"/>
      <c r="CJ254"/>
      <c r="CK254"/>
      <c r="CL254"/>
    </row>
    <row r="255" spans="1:90" outlineLevel="1">
      <c r="B255" s="374" t="s">
        <v>80</v>
      </c>
      <c r="C255" s="374"/>
      <c r="D255" s="411">
        <f t="shared" ref="D255:J255" si="623">D254/C254-1</f>
        <v>0.29693488082255826</v>
      </c>
      <c r="E255" s="411">
        <f t="shared" si="623"/>
        <v>6.3660469488079574E-2</v>
      </c>
      <c r="F255" s="411">
        <f t="shared" si="623"/>
        <v>6.380575945793332E-2</v>
      </c>
      <c r="G255" s="411">
        <f t="shared" si="623"/>
        <v>3.8481953290870452E-2</v>
      </c>
      <c r="H255" s="411">
        <f t="shared" si="623"/>
        <v>0.20572450805008935</v>
      </c>
      <c r="I255" s="411">
        <f t="shared" si="623"/>
        <v>0.14985163204747765</v>
      </c>
      <c r="J255" s="523">
        <f t="shared" si="623"/>
        <v>0.10617511520737333</v>
      </c>
      <c r="K255" s="529">
        <v>0.1</v>
      </c>
      <c r="L255" s="529">
        <v>7.0000000000000007E-2</v>
      </c>
      <c r="M255" s="529">
        <v>0.05</v>
      </c>
      <c r="N255" s="529">
        <f>M255*0.8</f>
        <v>4.0000000000000008E-2</v>
      </c>
      <c r="O255" s="529">
        <f>N255*0.8</f>
        <v>3.2000000000000008E-2</v>
      </c>
      <c r="P255" s="529">
        <f>O255*0.8</f>
        <v>2.5600000000000008E-2</v>
      </c>
      <c r="Q255" s="529">
        <f>P255*0.8</f>
        <v>2.0480000000000009E-2</v>
      </c>
      <c r="R255" s="529">
        <f>Q255*0.8</f>
        <v>1.6384000000000006E-2</v>
      </c>
      <c r="W255" s="142"/>
      <c r="X255" s="142"/>
      <c r="Y255" s="359"/>
      <c r="Z255" s="142">
        <f t="shared" ref="Z255:AZ255" si="624">Z254/V254-1</f>
        <v>0.15553354790789808</v>
      </c>
      <c r="AA255" s="142">
        <f t="shared" si="624"/>
        <v>7.421965317919077E-2</v>
      </c>
      <c r="AB255" s="142">
        <f t="shared" si="624"/>
        <v>2.457231726283049E-2</v>
      </c>
      <c r="AC255" s="359">
        <f t="shared" si="624"/>
        <v>3.9629595381507343E-5</v>
      </c>
      <c r="AD255" s="142">
        <f t="shared" si="624"/>
        <v>-5.0179979430922228E-2</v>
      </c>
      <c r="AE255" s="142">
        <f t="shared" si="624"/>
        <v>2.238484718037026E-2</v>
      </c>
      <c r="AF255" s="142">
        <f t="shared" si="624"/>
        <v>6.8652962095584913E-2</v>
      </c>
      <c r="AG255" s="359">
        <f t="shared" si="624"/>
        <v>0.24928669555109417</v>
      </c>
      <c r="AH255" s="142">
        <f t="shared" si="624"/>
        <v>5.7974283780735325E-2</v>
      </c>
      <c r="AI255" s="142">
        <f t="shared" si="624"/>
        <v>1.6842105263157992E-2</v>
      </c>
      <c r="AJ255" s="142">
        <f t="shared" si="624"/>
        <v>1.4569213911773016E-2</v>
      </c>
      <c r="AK255" s="359">
        <f t="shared" si="624"/>
        <v>6.686685839959372E-2</v>
      </c>
      <c r="AL255" s="142">
        <f t="shared" si="624"/>
        <v>0.18443496801705761</v>
      </c>
      <c r="AM255" s="142">
        <f t="shared" si="624"/>
        <v>0.24016563146997938</v>
      </c>
      <c r="AN255" s="142">
        <f t="shared" si="624"/>
        <v>0.20900000000000007</v>
      </c>
      <c r="AO255" s="359">
        <f t="shared" si="624"/>
        <v>0.18929633300297333</v>
      </c>
      <c r="AP255" s="142">
        <f t="shared" si="624"/>
        <v>0.12061206120612056</v>
      </c>
      <c r="AQ255" s="142">
        <f t="shared" si="624"/>
        <v>0.13105175292153581</v>
      </c>
      <c r="AR255" s="142">
        <f t="shared" si="624"/>
        <v>0.18279569892473124</v>
      </c>
      <c r="AS255" s="359">
        <f t="shared" si="624"/>
        <v>0.16250000000000009</v>
      </c>
      <c r="AT255" s="142">
        <f t="shared" si="624"/>
        <v>0.15020080321285145</v>
      </c>
      <c r="AU255" s="142">
        <f t="shared" si="624"/>
        <v>0.11143911439114396</v>
      </c>
      <c r="AV255" s="142">
        <f t="shared" si="624"/>
        <v>8.6713286713286708E-2</v>
      </c>
      <c r="AW255" s="359">
        <f t="shared" si="624"/>
        <v>8.1720430107526942E-2</v>
      </c>
      <c r="AX255" s="142">
        <f t="shared" si="624"/>
        <v>0.12360335195530725</v>
      </c>
      <c r="AY255" s="142">
        <f t="shared" si="624"/>
        <v>9.6281540504647989E-2</v>
      </c>
      <c r="AZ255" s="142">
        <f t="shared" si="624"/>
        <v>7.2072072072072002E-2</v>
      </c>
      <c r="BA255" s="359">
        <f>BA254/AW254-1</f>
        <v>0.11007289595758807</v>
      </c>
      <c r="BB255" s="557">
        <v>0.05</v>
      </c>
      <c r="BC255" s="557">
        <v>7.0000000000000007E-2</v>
      </c>
      <c r="BD255" s="557">
        <v>0.08</v>
      </c>
      <c r="BE255" s="142">
        <f>BE254/BA254-1</f>
        <v>7.9265118500387421E-2</v>
      </c>
      <c r="BF255" s="142"/>
      <c r="BG255" s="15"/>
    </row>
    <row r="256" spans="1:90" outlineLevel="1">
      <c r="B256" s="374" t="s">
        <v>81</v>
      </c>
      <c r="C256" s="374"/>
      <c r="W256" s="142">
        <f t="shared" ref="W256:BA256" si="625">W254/V254-1</f>
        <v>7.0809606338202657E-2</v>
      </c>
      <c r="X256" s="142">
        <f t="shared" si="625"/>
        <v>4.0693641618497089E-2</v>
      </c>
      <c r="Y256" s="359">
        <f t="shared" si="625"/>
        <v>-0.15906465229948885</v>
      </c>
      <c r="Z256" s="142">
        <f t="shared" si="625"/>
        <v>0.23306165044054872</v>
      </c>
      <c r="AA256" s="142">
        <f t="shared" si="625"/>
        <v>-4.5423380185122264E-3</v>
      </c>
      <c r="AB256" s="142">
        <f t="shared" si="625"/>
        <v>-7.4042186827378842E-3</v>
      </c>
      <c r="AC256" s="359">
        <f t="shared" si="625"/>
        <v>-0.17920027756093337</v>
      </c>
      <c r="AD256" s="142">
        <f t="shared" si="625"/>
        <v>0.17114023037091841</v>
      </c>
      <c r="AE256" s="142">
        <f t="shared" si="625"/>
        <v>7.1509136025265096E-2</v>
      </c>
      <c r="AF256" s="142">
        <f t="shared" si="625"/>
        <v>3.7515789473684169E-2</v>
      </c>
      <c r="AG256" s="359">
        <f t="shared" si="625"/>
        <v>-4.0461020250801227E-2</v>
      </c>
      <c r="AH256" s="142">
        <f t="shared" si="625"/>
        <v>-8.2050414481477096E-3</v>
      </c>
      <c r="AI256" s="142">
        <f t="shared" si="625"/>
        <v>2.9850746268656803E-2</v>
      </c>
      <c r="AJ256" s="142">
        <f t="shared" si="625"/>
        <v>3.5196687370600444E-2</v>
      </c>
      <c r="AK256" s="359">
        <f t="shared" si="625"/>
        <v>8.999999999999897E-3</v>
      </c>
      <c r="AL256" s="142">
        <f t="shared" si="625"/>
        <v>0.10109018830525263</v>
      </c>
      <c r="AM256" s="142">
        <f t="shared" si="625"/>
        <v>7.8307830783078236E-2</v>
      </c>
      <c r="AN256" s="142">
        <f t="shared" si="625"/>
        <v>9.1819699499164908E-3</v>
      </c>
      <c r="AO256" s="359">
        <f t="shared" si="625"/>
        <v>-7.4441687344912744E-3</v>
      </c>
      <c r="AP256" s="142">
        <f t="shared" si="625"/>
        <v>3.7500000000000089E-2</v>
      </c>
      <c r="AQ256" s="142">
        <f t="shared" si="625"/>
        <v>8.8353413654618462E-2</v>
      </c>
      <c r="AR256" s="142">
        <f t="shared" si="625"/>
        <v>5.5350553505534972E-2</v>
      </c>
      <c r="AS256" s="359">
        <f t="shared" si="625"/>
        <v>-2.4475524475524479E-2</v>
      </c>
      <c r="AT256" s="142">
        <f t="shared" si="625"/>
        <v>2.6523297491039433E-2</v>
      </c>
      <c r="AU256" s="142">
        <f t="shared" si="625"/>
        <v>5.16759776536313E-2</v>
      </c>
      <c r="AV256" s="142">
        <f t="shared" si="625"/>
        <v>3.1872509960159334E-2</v>
      </c>
      <c r="AW256" s="359">
        <f t="shared" si="625"/>
        <v>-2.8957528957529011E-2</v>
      </c>
      <c r="AX256" s="286">
        <f t="shared" si="625"/>
        <v>6.6269052352551316E-2</v>
      </c>
      <c r="AY256" s="286">
        <f t="shared" si="625"/>
        <v>2.6103169670602888E-2</v>
      </c>
      <c r="AZ256" s="286">
        <f t="shared" si="625"/>
        <v>9.0854027861901887E-3</v>
      </c>
      <c r="BA256" s="287">
        <f t="shared" si="625"/>
        <v>5.4621848739497825E-3</v>
      </c>
      <c r="BB256" s="286">
        <f>BB254/BA254-1</f>
        <v>8.5666527371497381E-3</v>
      </c>
      <c r="BC256" s="286">
        <f>BC254/BB254-1</f>
        <v>4.5647991950042988E-2</v>
      </c>
      <c r="BD256" s="286">
        <f>BD254/BC254-1</f>
        <v>1.8516107485126554E-2</v>
      </c>
      <c r="BE256" s="286">
        <f>BE254/BD254-1</f>
        <v>4.7780223200386551E-3</v>
      </c>
      <c r="BF256" s="142"/>
      <c r="BG256" s="15"/>
    </row>
    <row r="257" spans="1:90" outlineLevel="1">
      <c r="B257" s="374" t="s">
        <v>367</v>
      </c>
      <c r="C257" s="380">
        <f t="shared" ref="C257:R257" si="626">C254/C$564</f>
        <v>0.98</v>
      </c>
      <c r="D257" s="380">
        <f t="shared" si="626"/>
        <v>0.97000000000000008</v>
      </c>
      <c r="E257" s="380">
        <f t="shared" si="626"/>
        <v>0.94077025232403721</v>
      </c>
      <c r="F257" s="380">
        <f t="shared" si="626"/>
        <v>0.90576923076923077</v>
      </c>
      <c r="G257" s="380">
        <f t="shared" si="626"/>
        <v>0.8066378066378066</v>
      </c>
      <c r="H257" s="380">
        <f t="shared" si="626"/>
        <v>0.72741288930003078</v>
      </c>
      <c r="I257" s="380">
        <f t="shared" si="626"/>
        <v>0.71110237252588804</v>
      </c>
      <c r="J257" s="379">
        <f t="shared" si="626"/>
        <v>0.44995126340256431</v>
      </c>
      <c r="K257" s="380">
        <f t="shared" si="626"/>
        <v>0.28954642570616423</v>
      </c>
      <c r="L257" s="380">
        <f t="shared" si="626"/>
        <v>0.25441279634371922</v>
      </c>
      <c r="M257" s="380">
        <f t="shared" si="626"/>
        <v>0.2283701462420317</v>
      </c>
      <c r="N257" s="380">
        <f t="shared" si="626"/>
        <v>0.20847632683852987</v>
      </c>
      <c r="O257" s="380">
        <f t="shared" si="626"/>
        <v>0.19321528440896224</v>
      </c>
      <c r="P257" s="380">
        <f t="shared" si="626"/>
        <v>0.18144746760657784</v>
      </c>
      <c r="Q257" s="380">
        <f t="shared" si="626"/>
        <v>0.17232512003938841</v>
      </c>
      <c r="R257" s="380">
        <f t="shared" si="626"/>
        <v>0.16521823649956494</v>
      </c>
      <c r="Z257" s="252"/>
      <c r="AA257" s="252"/>
      <c r="AB257" s="252"/>
      <c r="AC257" s="253"/>
      <c r="AD257" s="252"/>
      <c r="AE257" s="252"/>
      <c r="AF257" s="252"/>
      <c r="AG257" s="253"/>
      <c r="AH257" s="252"/>
      <c r="AI257" s="252"/>
      <c r="AJ257" s="252"/>
      <c r="AK257" s="253"/>
      <c r="AL257" s="252"/>
      <c r="BG257" s="15"/>
    </row>
    <row r="258" spans="1:90" outlineLevel="1">
      <c r="B258" s="374" t="s">
        <v>83</v>
      </c>
      <c r="C258" s="374"/>
      <c r="E258" s="15">
        <f t="shared" ref="E258:R258" si="627">E254/E562</f>
        <v>0.17687890137328341</v>
      </c>
      <c r="F258" s="15">
        <f t="shared" si="627"/>
        <v>0.10916360054465915</v>
      </c>
      <c r="G258" s="15">
        <f t="shared" si="627"/>
        <v>7.45276550358068E-2</v>
      </c>
      <c r="H258" s="15">
        <f t="shared" si="627"/>
        <v>6.1912760485013908E-2</v>
      </c>
      <c r="I258" s="15">
        <f t="shared" si="627"/>
        <v>5.3636929891341958E-2</v>
      </c>
      <c r="J258" s="435">
        <f t="shared" si="627"/>
        <v>3.7915500432796498E-2</v>
      </c>
      <c r="K258" s="15">
        <f t="shared" si="627"/>
        <v>2.658039093690661E-2</v>
      </c>
      <c r="L258" s="15">
        <f t="shared" si="627"/>
        <v>2.0883581085982074E-2</v>
      </c>
      <c r="M258" s="15">
        <f t="shared" si="627"/>
        <v>1.6856891497443845E-2</v>
      </c>
      <c r="N258" s="15">
        <f t="shared" si="627"/>
        <v>1.4353151736518523E-2</v>
      </c>
      <c r="O258" s="15">
        <f t="shared" si="627"/>
        <v>1.2306597955640803E-2</v>
      </c>
      <c r="P258" s="15">
        <f t="shared" si="627"/>
        <v>1.0384060148732931E-2</v>
      </c>
      <c r="Q258" s="15">
        <f t="shared" si="627"/>
        <v>9.2024774310093798E-3</v>
      </c>
      <c r="R258" s="15">
        <f t="shared" si="627"/>
        <v>8.2268867559774812E-3</v>
      </c>
      <c r="BG258" s="15"/>
    </row>
    <row r="259" spans="1:90" outlineLevel="1">
      <c r="V259" s="567"/>
      <c r="W259" s="567"/>
      <c r="X259" s="567"/>
      <c r="Z259" s="567"/>
      <c r="AA259" s="567"/>
      <c r="AB259" s="567"/>
      <c r="AD259" s="567"/>
      <c r="AE259" s="567"/>
      <c r="AF259" s="567"/>
      <c r="AO259" s="561"/>
      <c r="BG259" s="15"/>
    </row>
    <row r="260" spans="1:90" outlineLevel="1">
      <c r="B260" s="544" t="s">
        <v>8</v>
      </c>
      <c r="C260" s="349">
        <f>C254*C263</f>
        <v>2439.2199999999998</v>
      </c>
      <c r="D260" s="349">
        <f>D254*D263</f>
        <v>3096.9092999999998</v>
      </c>
      <c r="E260" s="568">
        <f>0.959*E254</f>
        <v>3396.7779999999998</v>
      </c>
      <c r="F260" s="568">
        <f>0.905*F254</f>
        <v>3410.04</v>
      </c>
      <c r="G260" s="568">
        <f>0.876*G254</f>
        <v>3427.788</v>
      </c>
      <c r="H260" s="454">
        <f t="shared" ref="H260:R260" si="628">H265*H269/1000</f>
        <v>3804.8446800000002</v>
      </c>
      <c r="I260" s="454">
        <f t="shared" si="628"/>
        <v>4152.6074837520009</v>
      </c>
      <c r="J260" s="725">
        <f t="shared" si="628"/>
        <v>4403.8402365189968</v>
      </c>
      <c r="K260" s="311">
        <f t="shared" si="628"/>
        <v>4535.9554436145663</v>
      </c>
      <c r="L260" s="311">
        <f t="shared" si="628"/>
        <v>4672.0341069230035</v>
      </c>
      <c r="M260" s="311">
        <f t="shared" si="628"/>
        <v>4765.4747890614644</v>
      </c>
      <c r="N260" s="311">
        <f t="shared" si="628"/>
        <v>4860.7842848426935</v>
      </c>
      <c r="O260" s="311">
        <f t="shared" si="628"/>
        <v>4957.9999705395476</v>
      </c>
      <c r="P260" s="311">
        <f t="shared" si="628"/>
        <v>5057.1599699503386</v>
      </c>
      <c r="Q260" s="311">
        <f t="shared" si="628"/>
        <v>5158.3031693493458</v>
      </c>
      <c r="R260" s="311">
        <f t="shared" si="628"/>
        <v>5261.4692327363327</v>
      </c>
      <c r="V260" s="569"/>
      <c r="W260" s="569"/>
      <c r="X260" s="569"/>
      <c r="Y260" s="363"/>
      <c r="Z260" s="569"/>
      <c r="AA260" s="569"/>
      <c r="AB260" s="569"/>
      <c r="AC260" s="260"/>
      <c r="AD260" s="569"/>
      <c r="AE260" s="569"/>
      <c r="AF260" s="569"/>
      <c r="AG260" s="267"/>
      <c r="AH260" s="568"/>
      <c r="AI260" s="569"/>
      <c r="AJ260" s="569"/>
      <c r="AK260" s="223"/>
      <c r="AL260" s="568"/>
      <c r="AM260" s="569"/>
      <c r="AN260" s="569"/>
      <c r="AO260" s="223"/>
      <c r="AP260" s="569"/>
      <c r="AQ260" s="569"/>
      <c r="AR260" s="569"/>
      <c r="AS260" s="223"/>
      <c r="AT260" s="569"/>
      <c r="AU260" s="569"/>
      <c r="AV260" s="569"/>
      <c r="AW260" s="223"/>
      <c r="AX260" s="349"/>
      <c r="AY260" s="349"/>
      <c r="AZ260" s="349"/>
      <c r="BA260" s="1530"/>
      <c r="BB260" s="349"/>
      <c r="BC260" s="349"/>
      <c r="BD260" s="349"/>
      <c r="BE260" s="498"/>
      <c r="BF260" s="222"/>
      <c r="BG260" s="15"/>
    </row>
    <row r="261" spans="1:90" outlineLevel="1">
      <c r="B261" s="399" t="s">
        <v>80</v>
      </c>
      <c r="C261" s="15"/>
      <c r="D261" s="15">
        <f t="shared" ref="D261:R261" si="629">D260/C260-1</f>
        <v>0.26963098859471479</v>
      </c>
      <c r="E261" s="15">
        <f t="shared" si="629"/>
        <v>9.6828376601148847E-2</v>
      </c>
      <c r="F261" s="15">
        <f t="shared" si="629"/>
        <v>3.9042881224502501E-3</v>
      </c>
      <c r="G261" s="15">
        <f t="shared" si="629"/>
        <v>5.2046310307209964E-3</v>
      </c>
      <c r="H261" s="15">
        <f t="shared" si="629"/>
        <v>0.1100000000000001</v>
      </c>
      <c r="I261" s="15">
        <f t="shared" si="629"/>
        <v>9.1400000000000148E-2</v>
      </c>
      <c r="J261" s="435">
        <f t="shared" si="629"/>
        <v>6.0499999999999998E-2</v>
      </c>
      <c r="K261" s="15">
        <f t="shared" si="629"/>
        <v>2.9999999999999805E-2</v>
      </c>
      <c r="L261" s="15">
        <f t="shared" si="629"/>
        <v>3.0000000000000027E-2</v>
      </c>
      <c r="M261" s="15">
        <f t="shared" si="629"/>
        <v>2.000000000000024E-2</v>
      </c>
      <c r="N261" s="15">
        <f t="shared" si="629"/>
        <v>2.0000000000000018E-2</v>
      </c>
      <c r="O261" s="15">
        <f t="shared" si="629"/>
        <v>2.0000000000000018E-2</v>
      </c>
      <c r="P261" s="15">
        <f t="shared" si="629"/>
        <v>2.0000000000000018E-2</v>
      </c>
      <c r="Q261" s="15">
        <f t="shared" si="629"/>
        <v>2.0000000000000018E-2</v>
      </c>
      <c r="R261" s="15">
        <f t="shared" si="629"/>
        <v>2.0000000000000018E-2</v>
      </c>
      <c r="Z261" s="142"/>
      <c r="AA261" s="142"/>
      <c r="AB261" s="142"/>
      <c r="AC261" s="359"/>
      <c r="AD261" s="142"/>
      <c r="AE261" s="142"/>
      <c r="AF261" s="142"/>
      <c r="AG261" s="359"/>
      <c r="AH261" s="142"/>
      <c r="AI261" s="142"/>
      <c r="AJ261" s="142"/>
      <c r="AK261" s="359"/>
      <c r="AL261" s="142"/>
      <c r="AM261" s="142"/>
      <c r="AN261" s="142"/>
      <c r="AO261" s="359"/>
      <c r="AP261" s="142"/>
      <c r="AQ261" s="142"/>
      <c r="AR261" s="142"/>
      <c r="AS261" s="359"/>
      <c r="AT261" s="142"/>
      <c r="AU261" s="142"/>
      <c r="AV261" s="142"/>
      <c r="AW261" s="359"/>
      <c r="AX261" s="286"/>
      <c r="AY261" s="286"/>
      <c r="AZ261" s="286"/>
      <c r="BA261" s="287"/>
      <c r="BB261" s="286"/>
      <c r="BC261" s="286"/>
      <c r="BD261" s="286"/>
      <c r="BE261" s="286"/>
      <c r="BF261" s="142"/>
      <c r="BG261" s="15"/>
    </row>
    <row r="262" spans="1:90" outlineLevel="1">
      <c r="B262" s="399" t="s">
        <v>81</v>
      </c>
      <c r="C262" s="401"/>
      <c r="W262" s="142"/>
      <c r="X262" s="142"/>
      <c r="Y262" s="359"/>
      <c r="Z262" s="142"/>
      <c r="AA262" s="142"/>
      <c r="AB262" s="142"/>
      <c r="AC262" s="359"/>
      <c r="AD262" s="142"/>
      <c r="AE262" s="142"/>
      <c r="AF262" s="142"/>
      <c r="AG262" s="359"/>
      <c r="AH262" s="142"/>
      <c r="AI262" s="142"/>
      <c r="AJ262" s="142"/>
      <c r="AK262" s="359"/>
      <c r="AL262" s="142"/>
      <c r="AM262" s="142"/>
      <c r="AN262" s="142"/>
      <c r="AO262" s="359"/>
      <c r="AP262" s="142"/>
      <c r="AQ262" s="142"/>
      <c r="AR262" s="142"/>
      <c r="AS262" s="359"/>
      <c r="AT262" s="142"/>
      <c r="AU262" s="142"/>
      <c r="AV262" s="142"/>
      <c r="AW262" s="359"/>
      <c r="AX262" s="286"/>
      <c r="AY262" s="286"/>
      <c r="AZ262" s="286"/>
      <c r="BA262" s="287"/>
      <c r="BB262" s="286"/>
      <c r="BC262" s="286"/>
      <c r="BD262" s="286"/>
      <c r="BE262" s="286"/>
      <c r="BF262" s="142"/>
      <c r="BG262" s="15"/>
    </row>
    <row r="263" spans="1:90" outlineLevel="1">
      <c r="B263" s="399" t="s">
        <v>428</v>
      </c>
      <c r="C263" s="286">
        <f>1-C276</f>
        <v>0.95</v>
      </c>
      <c r="D263" s="286">
        <f>1-D276</f>
        <v>0.92999999999999994</v>
      </c>
      <c r="E263" s="286">
        <f t="shared" ref="E263:R263" si="630">E260/E254</f>
        <v>0.95899999999999996</v>
      </c>
      <c r="F263" s="286">
        <f t="shared" si="630"/>
        <v>0.90500000000000003</v>
      </c>
      <c r="G263" s="286">
        <f t="shared" si="630"/>
        <v>0.876</v>
      </c>
      <c r="H263" s="286">
        <f t="shared" si="630"/>
        <v>0.80645287833827894</v>
      </c>
      <c r="I263" s="286">
        <f t="shared" si="630"/>
        <v>0.76545760069161306</v>
      </c>
      <c r="J263" s="287">
        <f t="shared" si="630"/>
        <v>0.73385106424245905</v>
      </c>
      <c r="K263" s="286">
        <f t="shared" si="630"/>
        <v>0.68715145106339337</v>
      </c>
      <c r="L263" s="286">
        <f t="shared" si="630"/>
        <v>0.66146354635074323</v>
      </c>
      <c r="M263" s="286">
        <f t="shared" si="630"/>
        <v>0.64256458788357917</v>
      </c>
      <c r="N263" s="286">
        <f t="shared" si="630"/>
        <v>0.63020757657812565</v>
      </c>
      <c r="O263" s="286">
        <f t="shared" si="630"/>
        <v>0.6228795815016358</v>
      </c>
      <c r="P263" s="286">
        <f t="shared" si="630"/>
        <v>0.61947852294429451</v>
      </c>
      <c r="Q263" s="286">
        <f t="shared" si="630"/>
        <v>0.61918714076040726</v>
      </c>
      <c r="R263" s="286">
        <f t="shared" si="630"/>
        <v>0.62139002933499088</v>
      </c>
      <c r="V263" s="224"/>
      <c r="W263" s="224"/>
      <c r="X263" s="224"/>
      <c r="Y263" s="429"/>
      <c r="Z263" s="224"/>
      <c r="AA263" s="224"/>
      <c r="AB263" s="224"/>
      <c r="AC263" s="429"/>
      <c r="AD263" s="224"/>
      <c r="AE263" s="224"/>
      <c r="AF263" s="224"/>
      <c r="AG263" s="429"/>
      <c r="AH263" s="224"/>
      <c r="AI263" s="224"/>
      <c r="AJ263" s="224"/>
      <c r="AK263" s="429"/>
      <c r="AL263" s="224"/>
      <c r="AM263" s="224"/>
      <c r="AN263" s="224"/>
      <c r="AO263" s="429"/>
      <c r="AP263" s="224"/>
      <c r="AQ263" s="224"/>
      <c r="AR263" s="224"/>
      <c r="AS263" s="429"/>
      <c r="AT263" s="224"/>
      <c r="AU263" s="224"/>
      <c r="AV263" s="224"/>
      <c r="AW263" s="429"/>
      <c r="AX263" s="570"/>
      <c r="AY263" s="570"/>
      <c r="AZ263" s="570"/>
      <c r="BA263" s="1538"/>
      <c r="BB263" s="570"/>
      <c r="BC263" s="570"/>
      <c r="BD263" s="570"/>
      <c r="BE263" s="570"/>
      <c r="BF263" s="224"/>
      <c r="BG263" s="15"/>
    </row>
    <row r="264" spans="1:90" outlineLevel="1">
      <c r="B264" s="399"/>
      <c r="C264" s="401"/>
      <c r="G264" s="571"/>
      <c r="BG264" s="15"/>
    </row>
    <row r="265" spans="1:90" s="454" customFormat="1" outlineLevel="1">
      <c r="A265" s="1351"/>
      <c r="B265" s="572" t="s">
        <v>426</v>
      </c>
      <c r="C265" s="490">
        <v>43</v>
      </c>
      <c r="D265" s="490">
        <v>96</v>
      </c>
      <c r="E265" s="490">
        <v>100</v>
      </c>
      <c r="F265" s="490">
        <v>80</v>
      </c>
      <c r="G265" s="490">
        <v>100</v>
      </c>
      <c r="H265" s="454">
        <f t="shared" ref="H265:R265" si="631">G265*(1+H266)</f>
        <v>111.00000000000001</v>
      </c>
      <c r="I265" s="454">
        <f t="shared" si="631"/>
        <v>118.77000000000002</v>
      </c>
      <c r="J265" s="725">
        <f t="shared" si="631"/>
        <v>124.70850000000003</v>
      </c>
      <c r="K265" s="311">
        <f t="shared" si="631"/>
        <v>128.44975500000004</v>
      </c>
      <c r="L265" s="311">
        <f t="shared" si="631"/>
        <v>132.30324765000003</v>
      </c>
      <c r="M265" s="311">
        <f t="shared" si="631"/>
        <v>134.94931260300004</v>
      </c>
      <c r="N265" s="311">
        <f t="shared" si="631"/>
        <v>137.64829885506003</v>
      </c>
      <c r="O265" s="311">
        <f t="shared" si="631"/>
        <v>140.40126483216125</v>
      </c>
      <c r="P265" s="311">
        <f t="shared" si="631"/>
        <v>143.20929012880447</v>
      </c>
      <c r="Q265" s="311">
        <f t="shared" si="631"/>
        <v>146.07347593138056</v>
      </c>
      <c r="R265" s="311">
        <f t="shared" si="631"/>
        <v>148.99494545000817</v>
      </c>
      <c r="V265" s="573"/>
      <c r="W265" s="573"/>
      <c r="X265" s="573"/>
      <c r="Y265" s="574"/>
      <c r="Z265" s="573"/>
      <c r="AA265" s="573"/>
      <c r="AB265" s="573"/>
      <c r="AC265" s="574"/>
      <c r="AD265" s="573"/>
      <c r="AE265" s="573"/>
      <c r="AF265" s="573"/>
      <c r="AG265" s="363"/>
      <c r="AH265" s="41"/>
      <c r="AI265" s="41"/>
      <c r="AJ265" s="41"/>
      <c r="AK265" s="363"/>
      <c r="AL265" s="41"/>
      <c r="AM265" s="41"/>
      <c r="AN265" s="41"/>
      <c r="AO265" s="363"/>
      <c r="AP265" s="41"/>
      <c r="AQ265" s="41"/>
      <c r="AR265" s="41"/>
      <c r="AS265" s="363"/>
      <c r="AT265" s="41"/>
      <c r="AU265" s="41"/>
      <c r="AV265" s="41"/>
      <c r="AW265" s="363"/>
      <c r="AX265" s="356"/>
      <c r="AY265" s="356"/>
      <c r="AZ265" s="356"/>
      <c r="BA265" s="1522"/>
      <c r="BB265" s="356"/>
      <c r="BC265" s="356"/>
      <c r="BD265" s="356"/>
      <c r="BE265" s="356"/>
      <c r="BF265" s="41"/>
      <c r="BG265" s="15"/>
      <c r="CG265"/>
      <c r="CH265"/>
      <c r="CI265"/>
      <c r="CJ265"/>
      <c r="CK265"/>
      <c r="CL265"/>
    </row>
    <row r="266" spans="1:90" outlineLevel="1">
      <c r="B266" s="575" t="s">
        <v>80</v>
      </c>
      <c r="C266" s="576"/>
      <c r="D266" s="15">
        <f>D265/C265-1</f>
        <v>1.2325581395348837</v>
      </c>
      <c r="E266" s="15">
        <f>E265/D265-1</f>
        <v>4.1666666666666741E-2</v>
      </c>
      <c r="F266" s="15">
        <f>F265/E265-1</f>
        <v>-0.19999999999999996</v>
      </c>
      <c r="G266" s="15">
        <f>G265/F265-1</f>
        <v>0.25</v>
      </c>
      <c r="H266" s="480">
        <v>0.11</v>
      </c>
      <c r="I266" s="480">
        <v>7.0000000000000007E-2</v>
      </c>
      <c r="J266" s="1403">
        <v>0.05</v>
      </c>
      <c r="K266" s="577">
        <v>0.03</v>
      </c>
      <c r="L266" s="577">
        <v>0.03</v>
      </c>
      <c r="M266" s="577">
        <f>L266-1%</f>
        <v>1.9999999999999997E-2</v>
      </c>
      <c r="N266" s="577">
        <f>M266</f>
        <v>1.9999999999999997E-2</v>
      </c>
      <c r="O266" s="577">
        <f>N266</f>
        <v>1.9999999999999997E-2</v>
      </c>
      <c r="P266" s="577">
        <f>O266</f>
        <v>1.9999999999999997E-2</v>
      </c>
      <c r="Q266" s="577">
        <f>P266</f>
        <v>1.9999999999999997E-2</v>
      </c>
      <c r="R266" s="577">
        <f>Q266</f>
        <v>1.9999999999999997E-2</v>
      </c>
      <c r="Z266" s="142"/>
      <c r="AA266" s="142"/>
      <c r="AB266" s="142"/>
      <c r="AC266" s="359"/>
      <c r="AD266" s="142"/>
      <c r="AE266" s="142"/>
      <c r="AF266" s="142"/>
      <c r="AG266" s="359"/>
      <c r="AH266" s="224"/>
      <c r="AI266" s="224"/>
      <c r="AJ266" s="224"/>
      <c r="AK266" s="359"/>
      <c r="AL266" s="224"/>
      <c r="AM266" s="224"/>
      <c r="AN266" s="224"/>
      <c r="AO266" s="359"/>
      <c r="AP266" s="224"/>
      <c r="AQ266" s="224"/>
      <c r="AR266" s="224"/>
      <c r="AS266" s="359"/>
      <c r="AT266" s="224"/>
      <c r="AU266" s="224"/>
      <c r="AV266" s="224"/>
      <c r="AW266" s="359"/>
      <c r="AX266" s="570"/>
      <c r="AY266" s="570"/>
      <c r="AZ266" s="570"/>
      <c r="BA266" s="287"/>
      <c r="BB266" s="570"/>
      <c r="BC266" s="570"/>
      <c r="BD266" s="570"/>
      <c r="BE266" s="286"/>
      <c r="BF266" s="142"/>
      <c r="BG266" s="15"/>
    </row>
    <row r="267" spans="1:90" outlineLevel="1">
      <c r="B267" s="575" t="s">
        <v>81</v>
      </c>
      <c r="C267" s="357"/>
      <c r="W267" s="142"/>
      <c r="X267" s="142"/>
      <c r="Y267" s="359"/>
      <c r="Z267" s="142"/>
      <c r="AA267" s="142"/>
      <c r="AB267" s="142"/>
      <c r="AC267" s="359"/>
      <c r="AD267" s="142"/>
      <c r="AE267" s="142"/>
      <c r="AF267" s="142"/>
      <c r="AG267" s="359"/>
      <c r="AH267" s="142"/>
      <c r="AI267" s="142"/>
      <c r="AJ267" s="142"/>
      <c r="AK267" s="359"/>
      <c r="AL267" s="142"/>
      <c r="AM267" s="142"/>
      <c r="AN267" s="142"/>
      <c r="AO267" s="359"/>
      <c r="AP267" s="142"/>
      <c r="AQ267" s="142"/>
      <c r="AR267" s="142"/>
      <c r="AS267" s="359"/>
      <c r="AT267" s="142"/>
      <c r="AU267" s="142"/>
      <c r="AV267" s="142"/>
      <c r="AW267" s="359"/>
      <c r="AX267" s="286"/>
      <c r="AY267" s="286"/>
      <c r="AZ267" s="286"/>
      <c r="BA267" s="287"/>
      <c r="BB267" s="286"/>
      <c r="BC267" s="286"/>
      <c r="BD267" s="286"/>
      <c r="BE267" s="286"/>
      <c r="BF267" s="142"/>
      <c r="BG267" s="15"/>
    </row>
    <row r="268" spans="1:90" outlineLevel="1">
      <c r="B268" s="376"/>
      <c r="C268" s="357"/>
      <c r="BG268" s="15"/>
    </row>
    <row r="269" spans="1:90" outlineLevel="1">
      <c r="B269" s="418" t="s">
        <v>84</v>
      </c>
      <c r="C269" s="454">
        <f>C260/C265*1000</f>
        <v>56726.046511627901</v>
      </c>
      <c r="D269" s="454">
        <f>D260/D265*1000</f>
        <v>32259.471874999996</v>
      </c>
      <c r="E269" s="454">
        <f>E260/E265*1000</f>
        <v>33967.78</v>
      </c>
      <c r="F269" s="454">
        <f>F260*1000/F265</f>
        <v>42625.5</v>
      </c>
      <c r="G269" s="454">
        <f>G260*1000/G265</f>
        <v>34277.879999999997</v>
      </c>
      <c r="H269" s="454">
        <f t="shared" ref="H269:R269" si="632">G269*(1+H270)</f>
        <v>34277.879999999997</v>
      </c>
      <c r="I269" s="454">
        <f t="shared" si="632"/>
        <v>34963.437599999997</v>
      </c>
      <c r="J269" s="725">
        <f t="shared" si="632"/>
        <v>35313.071975999999</v>
      </c>
      <c r="K269" s="311">
        <f t="shared" si="632"/>
        <v>35313.071975999999</v>
      </c>
      <c r="L269" s="311">
        <f t="shared" si="632"/>
        <v>35313.071975999999</v>
      </c>
      <c r="M269" s="311">
        <f t="shared" si="632"/>
        <v>35313.071975999999</v>
      </c>
      <c r="N269" s="311">
        <f t="shared" si="632"/>
        <v>35313.071975999999</v>
      </c>
      <c r="O269" s="311">
        <f t="shared" si="632"/>
        <v>35313.071975999999</v>
      </c>
      <c r="P269" s="311">
        <f t="shared" si="632"/>
        <v>35313.071975999999</v>
      </c>
      <c r="Q269" s="311">
        <f t="shared" si="632"/>
        <v>35313.071975999999</v>
      </c>
      <c r="R269" s="311">
        <f t="shared" si="632"/>
        <v>35313.071975999999</v>
      </c>
      <c r="V269" s="41"/>
      <c r="W269" s="41"/>
      <c r="X269" s="41"/>
      <c r="Y269" s="363"/>
      <c r="Z269" s="41"/>
      <c r="AA269" s="41"/>
      <c r="AB269" s="41"/>
      <c r="AC269" s="363"/>
      <c r="AD269" s="41"/>
      <c r="AE269" s="41"/>
      <c r="AF269" s="41"/>
      <c r="AG269" s="363"/>
      <c r="AH269" s="454"/>
      <c r="AI269" s="41"/>
      <c r="AJ269" s="41"/>
      <c r="AK269" s="363"/>
      <c r="AL269" s="454"/>
      <c r="AM269" s="41"/>
      <c r="AN269" s="41"/>
      <c r="AO269" s="363"/>
      <c r="AP269" s="41"/>
      <c r="AQ269" s="41"/>
      <c r="AR269" s="41"/>
      <c r="AS269" s="363"/>
      <c r="AT269" s="41"/>
      <c r="AU269" s="41"/>
      <c r="AV269" s="41"/>
      <c r="AW269" s="363"/>
      <c r="AX269" s="356"/>
      <c r="AY269" s="356"/>
      <c r="AZ269" s="356"/>
      <c r="BA269" s="1522"/>
      <c r="BB269" s="356"/>
      <c r="BC269" s="356"/>
      <c r="BD269" s="356"/>
      <c r="BE269" s="356"/>
      <c r="BF269" s="41"/>
      <c r="BG269" s="15"/>
    </row>
    <row r="270" spans="1:90" outlineLevel="1">
      <c r="B270" s="575" t="s">
        <v>80</v>
      </c>
      <c r="C270" s="576"/>
      <c r="D270" s="224">
        <f>D269/C269-1</f>
        <v>-0.43131111969195068</v>
      </c>
      <c r="E270" s="224">
        <f>E269/D269-1</f>
        <v>5.2955241537102848E-2</v>
      </c>
      <c r="F270" s="224">
        <f>F269/E269-1</f>
        <v>0.2548803601530627</v>
      </c>
      <c r="G270" s="224">
        <f>G269/F269-1</f>
        <v>-0.19583629517542323</v>
      </c>
      <c r="H270" s="578">
        <v>0</v>
      </c>
      <c r="I270" s="578">
        <v>0.02</v>
      </c>
      <c r="J270" s="1404">
        <v>0.01</v>
      </c>
      <c r="K270" s="579">
        <v>0</v>
      </c>
      <c r="L270" s="579">
        <v>0</v>
      </c>
      <c r="M270" s="579">
        <v>0</v>
      </c>
      <c r="N270" s="579">
        <v>0</v>
      </c>
      <c r="O270" s="579">
        <v>0</v>
      </c>
      <c r="P270" s="579">
        <v>0</v>
      </c>
      <c r="Q270" s="579">
        <v>0</v>
      </c>
      <c r="R270" s="579">
        <v>0</v>
      </c>
      <c r="Z270" s="142"/>
      <c r="AA270" s="142"/>
      <c r="AB270" s="142"/>
      <c r="AC270" s="359"/>
      <c r="AD270" s="142"/>
      <c r="AE270" s="142"/>
      <c r="AF270" s="142"/>
      <c r="AG270" s="359"/>
      <c r="AH270" s="142"/>
      <c r="AI270" s="224"/>
      <c r="AJ270" s="224"/>
      <c r="AK270" s="429"/>
      <c r="AL270" s="224"/>
      <c r="AM270" s="224"/>
      <c r="AN270" s="224"/>
      <c r="AO270" s="429"/>
      <c r="AP270" s="224"/>
      <c r="AQ270" s="224"/>
      <c r="AR270" s="224"/>
      <c r="AS270" s="429"/>
      <c r="AT270" s="224"/>
      <c r="AU270" s="224"/>
      <c r="AV270" s="224"/>
      <c r="AW270" s="429"/>
      <c r="AX270" s="570"/>
      <c r="AY270" s="570"/>
      <c r="AZ270" s="570"/>
      <c r="BA270" s="1538"/>
      <c r="BB270" s="570"/>
      <c r="BC270" s="570"/>
      <c r="BD270" s="570"/>
      <c r="BE270" s="570"/>
      <c r="BF270" s="224"/>
      <c r="BG270" s="15"/>
    </row>
    <row r="271" spans="1:90" outlineLevel="1">
      <c r="B271" s="575" t="s">
        <v>81</v>
      </c>
      <c r="C271" s="357"/>
      <c r="W271" s="142"/>
      <c r="X271" s="142"/>
      <c r="Y271" s="359"/>
      <c r="Z271" s="142"/>
      <c r="AA271" s="142"/>
      <c r="AB271" s="142"/>
      <c r="AC271" s="359"/>
      <c r="AD271" s="142"/>
      <c r="AE271" s="142"/>
      <c r="AF271" s="142"/>
      <c r="AG271" s="359"/>
      <c r="AH271" s="142"/>
      <c r="AI271" s="142"/>
      <c r="AJ271" s="142"/>
      <c r="AK271" s="359"/>
      <c r="AL271" s="142"/>
      <c r="AM271" s="142"/>
      <c r="AN271" s="142"/>
      <c r="AO271" s="359"/>
      <c r="AP271" s="142"/>
      <c r="AQ271" s="142"/>
      <c r="AR271" s="142"/>
      <c r="AS271" s="359"/>
      <c r="AT271" s="142"/>
      <c r="AU271" s="142"/>
      <c r="AV271" s="142"/>
      <c r="AW271" s="359"/>
      <c r="AX271" s="286"/>
      <c r="AY271" s="286"/>
      <c r="AZ271" s="286"/>
      <c r="BA271" s="287"/>
      <c r="BB271" s="286"/>
      <c r="BC271" s="286"/>
      <c r="BD271" s="286"/>
      <c r="BE271" s="286"/>
      <c r="BF271" s="142"/>
      <c r="BG271" s="15"/>
    </row>
    <row r="272" spans="1:90" outlineLevel="1">
      <c r="B272" s="580"/>
      <c r="C272" s="581"/>
      <c r="BG272" s="15"/>
    </row>
    <row r="273" spans="1:90" outlineLevel="1">
      <c r="A273" s="1348" t="s">
        <v>807</v>
      </c>
      <c r="B273" s="582" t="s">
        <v>9</v>
      </c>
      <c r="C273" s="454">
        <f t="shared" ref="C273:R273" si="633">C254-C260</f>
        <v>128.38000000000011</v>
      </c>
      <c r="D273" s="454">
        <f t="shared" si="633"/>
        <v>233.10070000000042</v>
      </c>
      <c r="E273" s="454">
        <f t="shared" si="633"/>
        <v>145.22200000000021</v>
      </c>
      <c r="F273" s="454">
        <f t="shared" si="633"/>
        <v>357.96000000000004</v>
      </c>
      <c r="G273" s="454">
        <f t="shared" si="633"/>
        <v>485.21199999999999</v>
      </c>
      <c r="H273" s="454">
        <f t="shared" si="633"/>
        <v>913.15531999999985</v>
      </c>
      <c r="I273" s="454">
        <f t="shared" si="633"/>
        <v>1272.3925162479991</v>
      </c>
      <c r="J273" s="725">
        <f t="shared" si="633"/>
        <v>1597.1597634810032</v>
      </c>
      <c r="K273" s="454">
        <f t="shared" si="633"/>
        <v>2065.144556385434</v>
      </c>
      <c r="L273" s="454">
        <f t="shared" si="633"/>
        <v>2391.1428930769971</v>
      </c>
      <c r="M273" s="454">
        <f t="shared" si="633"/>
        <v>2650.8610609385369</v>
      </c>
      <c r="N273" s="454">
        <f t="shared" si="633"/>
        <v>2852.2049991573085</v>
      </c>
      <c r="O273" s="454">
        <f t="shared" si="633"/>
        <v>3001.8049705484545</v>
      </c>
      <c r="P273" s="454">
        <f t="shared" si="633"/>
        <v>3106.4159776295173</v>
      </c>
      <c r="Q273" s="454">
        <f t="shared" si="633"/>
        <v>3172.4628136369456</v>
      </c>
      <c r="R273" s="454">
        <f t="shared" si="633"/>
        <v>3205.7880201152066</v>
      </c>
      <c r="V273" s="222"/>
      <c r="W273" s="222"/>
      <c r="X273" s="222"/>
      <c r="Y273" s="223"/>
      <c r="Z273" s="222"/>
      <c r="AA273" s="222"/>
      <c r="AB273" s="222"/>
      <c r="AC273" s="223"/>
      <c r="AD273" s="222"/>
      <c r="AE273" s="222"/>
      <c r="AF273" s="222"/>
      <c r="AG273" s="223"/>
      <c r="AH273" s="222"/>
      <c r="AI273" s="222"/>
      <c r="AJ273" s="222"/>
      <c r="AK273" s="223"/>
      <c r="AL273" s="222"/>
      <c r="AM273" s="222"/>
      <c r="AN273" s="222"/>
      <c r="AO273" s="223"/>
      <c r="AP273" s="222"/>
      <c r="AQ273" s="222"/>
      <c r="AR273" s="222"/>
      <c r="AS273" s="223"/>
      <c r="AT273" s="222"/>
      <c r="AU273" s="222"/>
      <c r="AV273" s="222"/>
      <c r="AW273" s="223"/>
      <c r="AX273" s="498"/>
      <c r="AY273" s="498"/>
      <c r="AZ273" s="498"/>
      <c r="BA273" s="1530"/>
      <c r="BB273" s="498"/>
      <c r="BC273" s="498"/>
      <c r="BD273" s="498"/>
      <c r="BE273" s="498"/>
      <c r="BF273" s="222"/>
      <c r="BG273" s="15"/>
    </row>
    <row r="274" spans="1:90" outlineLevel="1">
      <c r="B274" s="399" t="s">
        <v>80</v>
      </c>
      <c r="C274" s="357"/>
      <c r="D274" s="15">
        <f t="shared" ref="D274:R274" si="634">D273/C273-1</f>
        <v>0.81570883315158293</v>
      </c>
      <c r="E274" s="15">
        <f t="shared" si="634"/>
        <v>-0.37699886787126791</v>
      </c>
      <c r="F274" s="15">
        <f t="shared" si="634"/>
        <v>1.4649157841098424</v>
      </c>
      <c r="G274" s="15">
        <f t="shared" si="634"/>
        <v>0.35549223376913597</v>
      </c>
      <c r="H274" s="15">
        <f t="shared" si="634"/>
        <v>0.8819718391136242</v>
      </c>
      <c r="I274" s="15">
        <f t="shared" si="634"/>
        <v>0.39340207342601841</v>
      </c>
      <c r="J274" s="435">
        <f t="shared" si="634"/>
        <v>0.2552414000285621</v>
      </c>
      <c r="K274" s="15">
        <f t="shared" si="634"/>
        <v>0.29301063275251815</v>
      </c>
      <c r="L274" s="15">
        <f t="shared" si="634"/>
        <v>0.15785739341276384</v>
      </c>
      <c r="M274" s="15">
        <f t="shared" si="634"/>
        <v>0.10861674917609232</v>
      </c>
      <c r="N274" s="15">
        <f t="shared" si="634"/>
        <v>7.5954164926126166E-2</v>
      </c>
      <c r="O274" s="15">
        <f t="shared" si="634"/>
        <v>5.2450637817178514E-2</v>
      </c>
      <c r="P274" s="15">
        <f t="shared" si="634"/>
        <v>3.4849368332530162E-2</v>
      </c>
      <c r="Q274" s="15">
        <f t="shared" si="634"/>
        <v>2.1261426828556251E-2</v>
      </c>
      <c r="R274" s="15">
        <f t="shared" si="634"/>
        <v>1.0504522333567357E-2</v>
      </c>
      <c r="Z274" s="142"/>
      <c r="AA274" s="142"/>
      <c r="AB274" s="142"/>
      <c r="AC274" s="359"/>
      <c r="AD274" s="142"/>
      <c r="AE274" s="142"/>
      <c r="AF274" s="142"/>
      <c r="AG274" s="359"/>
      <c r="AH274" s="142"/>
      <c r="AI274" s="142"/>
      <c r="AJ274" s="142"/>
      <c r="AK274" s="359"/>
      <c r="AL274" s="142"/>
      <c r="AM274" s="142"/>
      <c r="AN274" s="142"/>
      <c r="AO274" s="359"/>
      <c r="AP274" s="142"/>
      <c r="AQ274" s="142"/>
      <c r="AR274" s="142"/>
      <c r="AS274" s="359"/>
      <c r="AT274" s="142"/>
      <c r="AU274" s="142"/>
      <c r="AV274" s="142"/>
      <c r="AW274" s="359"/>
      <c r="AX274" s="286"/>
      <c r="AY274" s="286"/>
      <c r="AZ274" s="286"/>
      <c r="BA274" s="287"/>
      <c r="BB274" s="286"/>
      <c r="BC274" s="286"/>
      <c r="BD274" s="286"/>
      <c r="BE274" s="286"/>
      <c r="BF274" s="142"/>
      <c r="BG274" s="15"/>
    </row>
    <row r="275" spans="1:90" outlineLevel="1">
      <c r="B275" s="399" t="s">
        <v>81</v>
      </c>
      <c r="C275" s="357"/>
      <c r="H275" s="274"/>
      <c r="AX275" s="286"/>
      <c r="BG275" s="15"/>
    </row>
    <row r="276" spans="1:90" outlineLevel="1">
      <c r="B276" s="399" t="s">
        <v>428</v>
      </c>
      <c r="C276" s="414">
        <v>0.05</v>
      </c>
      <c r="D276" s="414">
        <v>7.0000000000000007E-2</v>
      </c>
      <c r="E276" s="414">
        <f t="shared" ref="E276:R276" si="635">E273/E254</f>
        <v>4.1000000000000057E-2</v>
      </c>
      <c r="F276" s="414">
        <f t="shared" si="635"/>
        <v>9.5000000000000015E-2</v>
      </c>
      <c r="G276" s="414">
        <f t="shared" si="635"/>
        <v>0.124</v>
      </c>
      <c r="H276" s="414">
        <f t="shared" si="635"/>
        <v>0.19354712166172103</v>
      </c>
      <c r="I276" s="224">
        <f t="shared" si="635"/>
        <v>0.23454239930838694</v>
      </c>
      <c r="J276" s="429">
        <f t="shared" si="635"/>
        <v>0.26614893575754095</v>
      </c>
      <c r="K276" s="224">
        <f t="shared" si="635"/>
        <v>0.31284854893660663</v>
      </c>
      <c r="L276" s="224">
        <f t="shared" si="635"/>
        <v>0.33853645364925683</v>
      </c>
      <c r="M276" s="224">
        <f t="shared" si="635"/>
        <v>0.35743541211642088</v>
      </c>
      <c r="N276" s="224">
        <f t="shared" si="635"/>
        <v>0.36979242342187441</v>
      </c>
      <c r="O276" s="224">
        <f t="shared" si="635"/>
        <v>0.3771204184983642</v>
      </c>
      <c r="P276" s="224">
        <f t="shared" si="635"/>
        <v>0.38052147705570549</v>
      </c>
      <c r="Q276" s="224">
        <f t="shared" si="635"/>
        <v>0.38081285923959268</v>
      </c>
      <c r="R276" s="224">
        <f t="shared" si="635"/>
        <v>0.37860997066500907</v>
      </c>
      <c r="V276" s="224"/>
      <c r="W276" s="224"/>
      <c r="X276" s="224"/>
      <c r="Y276" s="429"/>
      <c r="Z276" s="224"/>
      <c r="AA276" s="224"/>
      <c r="AB276" s="224"/>
      <c r="AC276" s="429"/>
      <c r="AD276" s="224"/>
      <c r="AE276" s="224"/>
      <c r="AF276" s="224"/>
      <c r="AG276" s="429"/>
      <c r="AH276" s="224"/>
      <c r="AI276" s="224"/>
      <c r="AJ276" s="224"/>
      <c r="AK276" s="429"/>
      <c r="AL276" s="224"/>
      <c r="AM276" s="224"/>
      <c r="AN276" s="224"/>
      <c r="AO276" s="429"/>
      <c r="AP276" s="224"/>
      <c r="AQ276" s="224"/>
      <c r="AR276" s="224"/>
      <c r="AS276" s="429"/>
      <c r="AT276" s="224"/>
      <c r="AU276" s="224"/>
      <c r="AV276" s="224"/>
      <c r="AW276" s="429"/>
      <c r="AX276" s="498"/>
      <c r="AY276" s="570"/>
      <c r="AZ276" s="570"/>
      <c r="BA276" s="1538"/>
      <c r="BB276" s="570"/>
      <c r="BC276" s="570"/>
      <c r="BD276" s="570"/>
      <c r="BE276" s="570"/>
      <c r="BF276" s="224"/>
      <c r="BG276" s="15"/>
    </row>
    <row r="277" spans="1:90" outlineLevel="1">
      <c r="B277" s="401"/>
      <c r="C277" s="224"/>
      <c r="D277" s="224"/>
      <c r="E277" s="224"/>
      <c r="F277" s="224"/>
      <c r="G277" s="224"/>
      <c r="H277" s="224"/>
      <c r="I277" s="224"/>
      <c r="J277" s="429"/>
      <c r="K277" s="224"/>
      <c r="L277" s="224"/>
      <c r="M277" s="224"/>
      <c r="N277" s="224"/>
      <c r="O277" s="224"/>
      <c r="P277" s="224"/>
      <c r="Q277" s="224"/>
      <c r="R277" s="224"/>
      <c r="V277" s="224"/>
      <c r="W277" s="224"/>
      <c r="X277" s="224"/>
      <c r="Y277" s="429"/>
      <c r="Z277" s="224"/>
      <c r="AA277" s="224"/>
      <c r="AB277" s="224"/>
      <c r="AC277" s="429"/>
      <c r="AD277" s="224"/>
      <c r="AE277" s="224"/>
      <c r="AF277" s="224"/>
      <c r="AG277" s="429"/>
      <c r="AH277" s="224"/>
      <c r="AI277" s="224"/>
      <c r="AJ277" s="224"/>
      <c r="AK277" s="429"/>
      <c r="AL277" s="224"/>
      <c r="AM277" s="224"/>
      <c r="AN277" s="224"/>
      <c r="AO277" s="429"/>
      <c r="AP277" s="224"/>
      <c r="AQ277" s="224"/>
      <c r="AR277" s="224"/>
      <c r="AS277" s="429"/>
      <c r="AT277" s="224"/>
      <c r="AU277" s="224"/>
      <c r="AV277" s="224"/>
      <c r="AW277" s="429"/>
      <c r="AX277" s="570"/>
      <c r="AY277" s="570"/>
      <c r="AZ277" s="570"/>
      <c r="BA277" s="1538"/>
      <c r="BB277" s="570"/>
      <c r="BC277" s="570"/>
      <c r="BD277" s="570"/>
      <c r="BE277" s="570"/>
      <c r="BF277" s="224"/>
      <c r="BG277" s="15"/>
    </row>
    <row r="278" spans="1:90" outlineLevel="1">
      <c r="B278" s="339" t="s">
        <v>886</v>
      </c>
      <c r="C278" s="340"/>
      <c r="D278" s="340"/>
      <c r="E278" s="340"/>
      <c r="F278" s="340"/>
      <c r="G278" s="340"/>
      <c r="H278" s="340"/>
      <c r="I278" s="341"/>
      <c r="J278" s="1401"/>
      <c r="K278" s="341"/>
      <c r="L278" s="341"/>
      <c r="M278" s="341"/>
      <c r="N278" s="341"/>
      <c r="O278" s="341"/>
      <c r="P278" s="341"/>
      <c r="Q278" s="341"/>
      <c r="R278" s="341"/>
      <c r="S278" s="276"/>
      <c r="T278" s="340"/>
      <c r="V278" s="342"/>
      <c r="W278" s="342"/>
      <c r="X278" s="342"/>
      <c r="Y278" s="343"/>
      <c r="Z278" s="342"/>
      <c r="AA278" s="342"/>
      <c r="AB278" s="342"/>
      <c r="AC278" s="343"/>
      <c r="AD278" s="342"/>
      <c r="AE278" s="342"/>
      <c r="AF278" s="342"/>
      <c r="AG278" s="343"/>
      <c r="AH278" s="342"/>
      <c r="AI278" s="342"/>
      <c r="AJ278" s="342"/>
      <c r="AK278" s="343"/>
      <c r="AL278" s="344"/>
      <c r="AM278" s="344"/>
      <c r="AN278" s="344"/>
      <c r="AO278" s="343"/>
      <c r="AP278" s="342"/>
      <c r="AQ278" s="342"/>
      <c r="AR278" s="345"/>
      <c r="AS278" s="346"/>
      <c r="AT278" s="345"/>
      <c r="AU278" s="345"/>
      <c r="AV278" s="345"/>
      <c r="AW278" s="346"/>
      <c r="AX278" s="1248"/>
      <c r="AY278" s="1248"/>
      <c r="AZ278" s="1248"/>
      <c r="BA278" s="1539"/>
      <c r="BB278" s="1248"/>
      <c r="BC278" s="1248"/>
      <c r="BD278" s="1248"/>
      <c r="BE278" s="347"/>
      <c r="BF278" s="283"/>
      <c r="BG278" s="15"/>
      <c r="BJ278" s="454"/>
      <c r="BK278" s="454"/>
      <c r="BL278" s="454"/>
      <c r="BM278" s="454"/>
      <c r="BN278" s="454"/>
      <c r="BO278" s="454"/>
      <c r="BP278" s="454"/>
      <c r="BQ278" s="454"/>
    </row>
    <row r="279" spans="1:90" s="225" customFormat="1" outlineLevel="1">
      <c r="A279" s="1348"/>
      <c r="B279" s="271" t="s">
        <v>887</v>
      </c>
      <c r="I279" s="583"/>
      <c r="J279" s="593"/>
      <c r="K279" s="583">
        <f>SUM(AZ279:BA279)</f>
        <v>6507</v>
      </c>
      <c r="L279" s="583">
        <f>SUM(BB279:BE279)</f>
        <v>14600</v>
      </c>
      <c r="M279" s="462">
        <f t="shared" ref="M279:R279" si="636">L279*(1+M280)</f>
        <v>17520</v>
      </c>
      <c r="N279" s="462">
        <f t="shared" si="636"/>
        <v>20498.399999999998</v>
      </c>
      <c r="O279" s="462">
        <f t="shared" si="636"/>
        <v>23460.418799999999</v>
      </c>
      <c r="P279" s="462">
        <f t="shared" si="636"/>
        <v>26341.94473911</v>
      </c>
      <c r="Q279" s="462">
        <f t="shared" si="636"/>
        <v>29092.076697304008</v>
      </c>
      <c r="R279" s="462">
        <f t="shared" si="636"/>
        <v>31673.738493754256</v>
      </c>
      <c r="T279" s="15"/>
      <c r="V279" s="218"/>
      <c r="W279" s="218"/>
      <c r="X279" s="218"/>
      <c r="Y279" s="277"/>
      <c r="Z279" s="218"/>
      <c r="AA279" s="218"/>
      <c r="AB279" s="218"/>
      <c r="AC279" s="277"/>
      <c r="AD279" s="218"/>
      <c r="AE279" s="218"/>
      <c r="AF279" s="218"/>
      <c r="AG279" s="277"/>
      <c r="AH279" s="218"/>
      <c r="AI279" s="218"/>
      <c r="AJ279" s="218"/>
      <c r="AK279" s="277"/>
      <c r="AL279" s="218"/>
      <c r="AM279" s="218"/>
      <c r="AN279" s="218"/>
      <c r="AO279" s="277"/>
      <c r="AP279" s="584"/>
      <c r="AQ279" s="301"/>
      <c r="AR279" s="301"/>
      <c r="AS279" s="335"/>
      <c r="AT279" s="458"/>
      <c r="AU279" s="458"/>
      <c r="AV279" s="458"/>
      <c r="AW279" s="459"/>
      <c r="AX279" s="458"/>
      <c r="AY279" s="489"/>
      <c r="AZ279" s="584">
        <f>Reported!Z132</f>
        <v>3907</v>
      </c>
      <c r="BA279" s="1527">
        <v>2600</v>
      </c>
      <c r="BB279" s="679">
        <v>3500</v>
      </c>
      <c r="BC279" s="679">
        <v>3300</v>
      </c>
      <c r="BD279" s="679">
        <v>4400</v>
      </c>
      <c r="BE279" s="679">
        <v>3400</v>
      </c>
      <c r="BF279" s="583"/>
      <c r="BG279" s="301"/>
      <c r="CG279"/>
      <c r="CH279"/>
      <c r="CI279"/>
      <c r="CJ279"/>
      <c r="CK279"/>
      <c r="CL279"/>
    </row>
    <row r="280" spans="1:90" s="225" customFormat="1" outlineLevel="1">
      <c r="A280" s="1348"/>
      <c r="B280" s="401" t="s">
        <v>40</v>
      </c>
      <c r="I280" s="583"/>
      <c r="J280" s="593"/>
      <c r="K280" s="583"/>
      <c r="L280" s="301"/>
      <c r="M280" s="334">
        <v>0.2</v>
      </c>
      <c r="N280" s="334">
        <f>M280*0.85</f>
        <v>0.17</v>
      </c>
      <c r="O280" s="334">
        <f>N280*0.85</f>
        <v>0.14450000000000002</v>
      </c>
      <c r="P280" s="334">
        <f>O280*0.85</f>
        <v>0.12282500000000002</v>
      </c>
      <c r="Q280" s="334">
        <f>P280*0.85</f>
        <v>0.10440125000000001</v>
      </c>
      <c r="R280" s="334">
        <f>Q280*0.85</f>
        <v>8.8741062500000009E-2</v>
      </c>
      <c r="V280" s="218"/>
      <c r="W280" s="218"/>
      <c r="X280" s="218"/>
      <c r="Y280" s="277"/>
      <c r="Z280" s="218"/>
      <c r="AA280" s="218"/>
      <c r="AB280" s="218"/>
      <c r="AC280" s="277"/>
      <c r="AD280" s="218"/>
      <c r="AE280" s="218"/>
      <c r="AF280" s="218"/>
      <c r="AG280" s="277"/>
      <c r="AH280" s="218"/>
      <c r="AI280" s="218"/>
      <c r="AJ280" s="218"/>
      <c r="AK280" s="277"/>
      <c r="AL280" s="218"/>
      <c r="AM280" s="218"/>
      <c r="AN280" s="218"/>
      <c r="AO280" s="277"/>
      <c r="AP280" s="584"/>
      <c r="AQ280" s="301"/>
      <c r="AR280" s="301"/>
      <c r="AS280" s="335"/>
      <c r="AT280" s="301"/>
      <c r="AU280" s="301"/>
      <c r="AV280" s="301"/>
      <c r="AW280" s="335"/>
      <c r="AX280" s="301"/>
      <c r="AY280" s="301"/>
      <c r="AZ280" s="301"/>
      <c r="BA280" s="335">
        <f>BA279/AZ279-1</f>
        <v>-0.33452777066803174</v>
      </c>
      <c r="BB280" s="301"/>
      <c r="BC280" s="301"/>
      <c r="BD280" s="301"/>
      <c r="BE280" s="301"/>
      <c r="BF280" s="583"/>
      <c r="BG280" s="301"/>
      <c r="CG280"/>
      <c r="CH280"/>
      <c r="CI280"/>
      <c r="CJ280"/>
      <c r="CK280"/>
      <c r="CL280"/>
    </row>
    <row r="281" spans="1:90" s="225" customFormat="1" outlineLevel="1">
      <c r="A281" s="1348"/>
      <c r="B281" s="374"/>
      <c r="I281" s="583"/>
      <c r="J281" s="593"/>
      <c r="K281" s="583"/>
      <c r="L281" s="583"/>
      <c r="M281" s="583"/>
      <c r="N281" s="583"/>
      <c r="O281" s="583"/>
      <c r="P281" s="583"/>
      <c r="Q281" s="583"/>
      <c r="R281" s="583"/>
      <c r="V281" s="218"/>
      <c r="W281" s="218"/>
      <c r="X281" s="218"/>
      <c r="Y281" s="277"/>
      <c r="Z281" s="218"/>
      <c r="AA281" s="218"/>
      <c r="AB281" s="218"/>
      <c r="AC281" s="277"/>
      <c r="AD281" s="218"/>
      <c r="AE281" s="218"/>
      <c r="AF281" s="218"/>
      <c r="AG281" s="277"/>
      <c r="AH281" s="218"/>
      <c r="AI281" s="218"/>
      <c r="AJ281" s="218"/>
      <c r="AK281" s="277"/>
      <c r="AL281" s="218"/>
      <c r="AM281" s="218"/>
      <c r="AN281" s="218"/>
      <c r="AO281" s="277"/>
      <c r="AP281" s="584"/>
      <c r="AQ281" s="301"/>
      <c r="AR281" s="301"/>
      <c r="AS281" s="335"/>
      <c r="AT281" s="301"/>
      <c r="AU281" s="301"/>
      <c r="AV281" s="301"/>
      <c r="AW281" s="335"/>
      <c r="AX281" s="301"/>
      <c r="AY281" s="301"/>
      <c r="AZ281" s="301"/>
      <c r="BA281" s="335"/>
      <c r="BB281" s="301"/>
      <c r="BC281" s="301"/>
      <c r="BD281" s="301"/>
      <c r="BE281" s="301"/>
      <c r="BF281" s="583"/>
      <c r="BG281" s="301"/>
      <c r="CG281"/>
      <c r="CH281"/>
      <c r="CI281"/>
      <c r="CJ281"/>
      <c r="CK281"/>
      <c r="CL281"/>
    </row>
    <row r="282" spans="1:90" outlineLevel="1">
      <c r="B282" s="401"/>
      <c r="C282" s="224"/>
      <c r="D282" s="224"/>
      <c r="E282" s="224"/>
      <c r="F282" s="224"/>
      <c r="G282" s="224"/>
      <c r="H282" s="224"/>
      <c r="I282" s="224"/>
      <c r="J282" s="429"/>
      <c r="K282" s="224"/>
      <c r="L282" s="224"/>
      <c r="M282" s="224"/>
      <c r="N282" s="224"/>
      <c r="O282" s="224"/>
      <c r="P282" s="224"/>
      <c r="Q282" s="224"/>
      <c r="R282" s="224"/>
      <c r="V282" s="224"/>
      <c r="W282" s="224"/>
      <c r="X282" s="224"/>
      <c r="Y282" s="429"/>
      <c r="Z282" s="224"/>
      <c r="AA282" s="224"/>
      <c r="AB282" s="224"/>
      <c r="AC282" s="429"/>
      <c r="AD282" s="224"/>
      <c r="AE282" s="224"/>
      <c r="AF282" s="224"/>
      <c r="AG282" s="429"/>
      <c r="AH282" s="224"/>
      <c r="AI282" s="224"/>
      <c r="AJ282" s="224"/>
      <c r="AK282" s="429"/>
      <c r="AL282" s="224"/>
      <c r="AM282" s="224"/>
      <c r="AN282" s="224"/>
      <c r="AO282" s="429"/>
      <c r="AP282" s="224"/>
      <c r="AQ282" s="224"/>
      <c r="AR282" s="224"/>
      <c r="AS282" s="429"/>
      <c r="AT282" s="224"/>
      <c r="AU282" s="224"/>
      <c r="AV282" s="224"/>
      <c r="AW282" s="429"/>
      <c r="AX282" s="570"/>
      <c r="AY282" s="570"/>
      <c r="AZ282" s="570"/>
      <c r="BA282" s="1538"/>
      <c r="BB282" s="570"/>
      <c r="BC282" s="570"/>
      <c r="BD282" s="570"/>
      <c r="BE282" s="570"/>
      <c r="BF282" s="224"/>
      <c r="BG282" s="15"/>
    </row>
    <row r="283" spans="1:90" outlineLevel="1">
      <c r="B283" s="339" t="s">
        <v>658</v>
      </c>
      <c r="C283" s="340"/>
      <c r="D283" s="340"/>
      <c r="E283" s="340"/>
      <c r="F283" s="340"/>
      <c r="G283" s="340"/>
      <c r="H283" s="340"/>
      <c r="I283" s="341"/>
      <c r="J283" s="1401"/>
      <c r="K283" s="341"/>
      <c r="L283" s="341"/>
      <c r="M283" s="341"/>
      <c r="N283" s="341"/>
      <c r="O283" s="341"/>
      <c r="P283" s="341"/>
      <c r="Q283" s="341"/>
      <c r="R283" s="341"/>
      <c r="S283" s="276"/>
      <c r="T283" s="340"/>
      <c r="V283" s="342"/>
      <c r="W283" s="342"/>
      <c r="X283" s="342"/>
      <c r="Y283" s="343"/>
      <c r="Z283" s="342"/>
      <c r="AA283" s="342"/>
      <c r="AB283" s="342"/>
      <c r="AC283" s="343"/>
      <c r="AD283" s="342"/>
      <c r="AE283" s="342"/>
      <c r="AF283" s="342"/>
      <c r="AG283" s="343"/>
      <c r="AH283" s="342"/>
      <c r="AI283" s="342"/>
      <c r="AJ283" s="342"/>
      <c r="AK283" s="343"/>
      <c r="AL283" s="344"/>
      <c r="AM283" s="344"/>
      <c r="AN283" s="344"/>
      <c r="AO283" s="343"/>
      <c r="AP283" s="342"/>
      <c r="AQ283" s="342"/>
      <c r="AR283" s="345"/>
      <c r="AS283" s="346"/>
      <c r="AT283" s="345"/>
      <c r="AU283" s="345"/>
      <c r="AV283" s="345"/>
      <c r="AW283" s="346"/>
      <c r="AX283" s="1248"/>
      <c r="AY283" s="1248"/>
      <c r="AZ283" s="1248"/>
      <c r="BA283" s="1539"/>
      <c r="BB283" s="1248"/>
      <c r="BC283" s="1248"/>
      <c r="BD283" s="1248"/>
      <c r="BE283" s="347"/>
      <c r="BF283" s="283"/>
      <c r="BG283" s="15"/>
      <c r="BJ283" s="454"/>
      <c r="BK283" s="454"/>
      <c r="BL283" s="454"/>
      <c r="BM283" s="454"/>
      <c r="BN283" s="454"/>
      <c r="BO283" s="454"/>
      <c r="BP283" s="454"/>
      <c r="BQ283" s="454"/>
    </row>
    <row r="284" spans="1:90" s="225" customFormat="1" outlineLevel="1">
      <c r="A284" s="1348"/>
      <c r="B284" s="271" t="s">
        <v>663</v>
      </c>
      <c r="I284" s="583">
        <f>SUM(AP284:AS284)</f>
        <v>385</v>
      </c>
      <c r="J284" s="593">
        <f>SUM(AT284:AW284)</f>
        <v>755</v>
      </c>
      <c r="K284" s="1247">
        <f t="shared" ref="K284:R284" si="637">J284*(1+K285)</f>
        <v>2718</v>
      </c>
      <c r="L284" s="1247">
        <f t="shared" si="637"/>
        <v>3805.2</v>
      </c>
      <c r="M284" s="1247">
        <f t="shared" si="637"/>
        <v>4566.24</v>
      </c>
      <c r="N284" s="351">
        <f t="shared" si="637"/>
        <v>5296.8384000000005</v>
      </c>
      <c r="O284" s="351">
        <f t="shared" si="637"/>
        <v>5974.8337152000013</v>
      </c>
      <c r="P284" s="351">
        <f t="shared" si="637"/>
        <v>6586.6566876364814</v>
      </c>
      <c r="Q284" s="351">
        <f t="shared" si="637"/>
        <v>7126.235603487662</v>
      </c>
      <c r="R284" s="351">
        <f t="shared" si="637"/>
        <v>7593.2605799978301</v>
      </c>
      <c r="T284" s="15">
        <f>(M284/J284)^(1/3)-1</f>
        <v>0.82195338312539756</v>
      </c>
      <c r="V284" s="218"/>
      <c r="W284" s="218"/>
      <c r="X284" s="218"/>
      <c r="Y284" s="277"/>
      <c r="Z284" s="218"/>
      <c r="AA284" s="218"/>
      <c r="AB284" s="218"/>
      <c r="AC284" s="277"/>
      <c r="AD284" s="218"/>
      <c r="AE284" s="218"/>
      <c r="AF284" s="218"/>
      <c r="AG284" s="277"/>
      <c r="AH284" s="218"/>
      <c r="AI284" s="218"/>
      <c r="AJ284" s="218"/>
      <c r="AK284" s="277"/>
      <c r="AL284" s="218"/>
      <c r="AM284" s="218"/>
      <c r="AN284" s="218"/>
      <c r="AO284" s="277"/>
      <c r="AP284" s="584">
        <f>Reported!P133</f>
        <v>83</v>
      </c>
      <c r="AQ284" s="584">
        <f>Reported!Q133</f>
        <v>82</v>
      </c>
      <c r="AR284" s="584">
        <f>Reported!R133</f>
        <v>173</v>
      </c>
      <c r="AS284" s="585">
        <f>Reported!S133</f>
        <v>47</v>
      </c>
      <c r="AT284" s="584">
        <f>Reported!T133</f>
        <v>48</v>
      </c>
      <c r="AU284" s="584">
        <f>Reported!U133</f>
        <v>105</v>
      </c>
      <c r="AV284" s="584">
        <f>Reported!V133</f>
        <v>254</v>
      </c>
      <c r="AW284" s="585">
        <f>Reported!W133</f>
        <v>348</v>
      </c>
      <c r="AX284" s="584">
        <f>Reported!X133</f>
        <v>427</v>
      </c>
      <c r="AY284" s="584">
        <f>Reported!Y133</f>
        <v>662</v>
      </c>
      <c r="AZ284" s="584">
        <f>Reported!Z133</f>
        <v>907</v>
      </c>
      <c r="BA284" s="1540">
        <f>K284-SUM(AX284:AZ284)</f>
        <v>722</v>
      </c>
      <c r="BB284" s="489">
        <f>AX284*(1+BB285)</f>
        <v>811.3</v>
      </c>
      <c r="BC284" s="489">
        <f>AY284*(1+BC285)</f>
        <v>893.7</v>
      </c>
      <c r="BD284" s="489">
        <f>AZ284*(1+BD285)</f>
        <v>1043.05</v>
      </c>
      <c r="BE284" s="469">
        <f>L284-SUM(BB284:BD284)</f>
        <v>1057.1499999999996</v>
      </c>
      <c r="BF284" s="583"/>
      <c r="BG284" s="301"/>
      <c r="CG284"/>
      <c r="CH284"/>
      <c r="CI284"/>
      <c r="CJ284"/>
      <c r="CK284"/>
      <c r="CL284"/>
    </row>
    <row r="285" spans="1:90" s="225" customFormat="1" outlineLevel="1">
      <c r="A285" s="1348"/>
      <c r="B285" s="374" t="s">
        <v>80</v>
      </c>
      <c r="I285" s="583"/>
      <c r="J285" s="335">
        <f>J284/I284-1</f>
        <v>0.96103896103896114</v>
      </c>
      <c r="K285" s="334">
        <v>2.6</v>
      </c>
      <c r="L285" s="334">
        <v>0.4</v>
      </c>
      <c r="M285" s="334">
        <v>0.2</v>
      </c>
      <c r="N285" s="334">
        <f>M285*0.8</f>
        <v>0.16000000000000003</v>
      </c>
      <c r="O285" s="334">
        <f>N285*0.8</f>
        <v>0.12800000000000003</v>
      </c>
      <c r="P285" s="334">
        <f>O285*0.8</f>
        <v>0.10240000000000003</v>
      </c>
      <c r="Q285" s="334">
        <f>P285*0.8</f>
        <v>8.1920000000000034E-2</v>
      </c>
      <c r="R285" s="334">
        <f>Q285*0.8</f>
        <v>6.5536000000000025E-2</v>
      </c>
      <c r="V285" s="218"/>
      <c r="W285" s="218"/>
      <c r="X285" s="218"/>
      <c r="Y285" s="277"/>
      <c r="Z285" s="218"/>
      <c r="AA285" s="218"/>
      <c r="AB285" s="218"/>
      <c r="AC285" s="277"/>
      <c r="AD285" s="218"/>
      <c r="AE285" s="218"/>
      <c r="AF285" s="218"/>
      <c r="AG285" s="277"/>
      <c r="AH285" s="218"/>
      <c r="AI285" s="218"/>
      <c r="AJ285" s="218"/>
      <c r="AK285" s="277"/>
      <c r="AL285" s="218"/>
      <c r="AM285" s="218"/>
      <c r="AN285" s="218"/>
      <c r="AO285" s="277"/>
      <c r="AP285" s="584"/>
      <c r="AQ285" s="584"/>
      <c r="AR285" s="584"/>
      <c r="AS285" s="585"/>
      <c r="AT285" s="301">
        <f t="shared" ref="AT285:BA285" si="638">AT284/AP284-1</f>
        <v>-0.42168674698795183</v>
      </c>
      <c r="AU285" s="301">
        <f t="shared" si="638"/>
        <v>0.28048780487804881</v>
      </c>
      <c r="AV285" s="301">
        <f t="shared" si="638"/>
        <v>0.46820809248554918</v>
      </c>
      <c r="AW285" s="335">
        <f t="shared" si="638"/>
        <v>6.4042553191489358</v>
      </c>
      <c r="AX285" s="301">
        <f t="shared" si="638"/>
        <v>7.8958333333333339</v>
      </c>
      <c r="AY285" s="301">
        <f t="shared" si="638"/>
        <v>5.3047619047619046</v>
      </c>
      <c r="AZ285" s="301">
        <f t="shared" si="638"/>
        <v>2.5708661417322833</v>
      </c>
      <c r="BA285" s="335">
        <f t="shared" si="638"/>
        <v>1.0747126436781609</v>
      </c>
      <c r="BB285" s="334">
        <v>0.9</v>
      </c>
      <c r="BC285" s="334">
        <v>0.35</v>
      </c>
      <c r="BD285" s="334">
        <v>0.15</v>
      </c>
      <c r="BE285" s="301">
        <f>BE284/BA284-1</f>
        <v>0.46419667590027647</v>
      </c>
      <c r="BF285" s="583"/>
      <c r="BG285" s="301"/>
      <c r="CG285"/>
      <c r="CH285"/>
      <c r="CI285"/>
      <c r="CJ285"/>
      <c r="CK285"/>
      <c r="CL285"/>
    </row>
    <row r="286" spans="1:90" s="225" customFormat="1" outlineLevel="1">
      <c r="A286" s="1348"/>
      <c r="B286" s="374" t="s">
        <v>81</v>
      </c>
      <c r="I286" s="583"/>
      <c r="J286" s="593"/>
      <c r="K286" s="583"/>
      <c r="L286" s="583"/>
      <c r="M286" s="583"/>
      <c r="N286" s="583"/>
      <c r="O286" s="583"/>
      <c r="P286" s="583"/>
      <c r="Q286" s="583"/>
      <c r="R286" s="583"/>
      <c r="V286" s="218"/>
      <c r="W286" s="218"/>
      <c r="X286" s="218"/>
      <c r="Y286" s="277"/>
      <c r="Z286" s="218"/>
      <c r="AA286" s="218"/>
      <c r="AB286" s="218"/>
      <c r="AC286" s="277"/>
      <c r="AD286" s="218"/>
      <c r="AE286" s="218"/>
      <c r="AF286" s="218"/>
      <c r="AG286" s="277"/>
      <c r="AH286" s="218"/>
      <c r="AI286" s="218"/>
      <c r="AJ286" s="218"/>
      <c r="AK286" s="277"/>
      <c r="AL286" s="218"/>
      <c r="AM286" s="218"/>
      <c r="AN286" s="218"/>
      <c r="AO286" s="277"/>
      <c r="AP286" s="584"/>
      <c r="AQ286" s="301">
        <f t="shared" ref="AQ286:BA286" si="639">AQ284/AP284-1</f>
        <v>-1.2048192771084376E-2</v>
      </c>
      <c r="AR286" s="301">
        <f t="shared" si="639"/>
        <v>1.1097560975609757</v>
      </c>
      <c r="AS286" s="335">
        <f t="shared" si="639"/>
        <v>-0.72832369942196529</v>
      </c>
      <c r="AT286" s="301">
        <f t="shared" si="639"/>
        <v>2.1276595744680771E-2</v>
      </c>
      <c r="AU286" s="301">
        <f t="shared" si="639"/>
        <v>1.1875</v>
      </c>
      <c r="AV286" s="301">
        <f t="shared" si="639"/>
        <v>1.4190476190476189</v>
      </c>
      <c r="AW286" s="335">
        <f t="shared" si="639"/>
        <v>0.37007874015748032</v>
      </c>
      <c r="AX286" s="301">
        <f t="shared" si="639"/>
        <v>0.22701149425287359</v>
      </c>
      <c r="AY286" s="301">
        <f t="shared" si="639"/>
        <v>0.55035128805620603</v>
      </c>
      <c r="AZ286" s="301">
        <f t="shared" si="639"/>
        <v>0.3700906344410877</v>
      </c>
      <c r="BA286" s="335">
        <f t="shared" si="639"/>
        <v>-0.20396912899669239</v>
      </c>
      <c r="BB286" s="301">
        <f>BB284/BA284-1</f>
        <v>0.12368421052631562</v>
      </c>
      <c r="BC286" s="301">
        <f>BC284/BB284-1</f>
        <v>0.10156538888204136</v>
      </c>
      <c r="BD286" s="301">
        <f>BD284/BC284-1</f>
        <v>0.16711424415351894</v>
      </c>
      <c r="BE286" s="301">
        <f>BE284/BD284-1</f>
        <v>1.3518048032213015E-2</v>
      </c>
      <c r="BF286" s="583"/>
      <c r="BG286" s="301"/>
      <c r="CG286"/>
      <c r="CH286"/>
      <c r="CI286"/>
      <c r="CJ286"/>
      <c r="CK286"/>
      <c r="CL286"/>
    </row>
    <row r="287" spans="1:90" s="225" customFormat="1" outlineLevel="1">
      <c r="A287" s="1348"/>
      <c r="B287" s="374"/>
      <c r="I287" s="583"/>
      <c r="J287" s="593"/>
      <c r="K287" s="583"/>
      <c r="L287" s="583"/>
      <c r="M287" s="583"/>
      <c r="N287" s="583"/>
      <c r="O287" s="583"/>
      <c r="P287" s="583"/>
      <c r="Q287" s="583"/>
      <c r="R287" s="583"/>
      <c r="V287" s="218"/>
      <c r="W287" s="218"/>
      <c r="X287" s="218"/>
      <c r="Y287" s="277"/>
      <c r="Z287" s="218"/>
      <c r="AA287" s="218"/>
      <c r="AB287" s="218"/>
      <c r="AC287" s="277"/>
      <c r="AD287" s="218"/>
      <c r="AE287" s="218"/>
      <c r="AF287" s="218"/>
      <c r="AG287" s="277"/>
      <c r="AH287" s="218"/>
      <c r="AI287" s="218"/>
      <c r="AJ287" s="218"/>
      <c r="AK287" s="277"/>
      <c r="AL287" s="218"/>
      <c r="AM287" s="218"/>
      <c r="AN287" s="218"/>
      <c r="AO287" s="277"/>
      <c r="AP287" s="584"/>
      <c r="AQ287" s="301"/>
      <c r="AR287" s="301"/>
      <c r="AS287" s="335"/>
      <c r="AT287" s="301"/>
      <c r="AU287" s="301"/>
      <c r="AV287" s="301"/>
      <c r="AW287" s="335"/>
      <c r="AX287" s="301"/>
      <c r="AY287" s="301"/>
      <c r="AZ287" s="301"/>
      <c r="BA287" s="335"/>
      <c r="BB287" s="301"/>
      <c r="BC287" s="301"/>
      <c r="BD287" s="301"/>
      <c r="BE287" s="301"/>
      <c r="BF287" s="583"/>
      <c r="BG287" s="301"/>
      <c r="CG287"/>
      <c r="CH287"/>
      <c r="CI287"/>
      <c r="CJ287"/>
      <c r="CK287"/>
      <c r="CL287"/>
    </row>
    <row r="288" spans="1:90" outlineLevel="1">
      <c r="B288" s="339" t="s">
        <v>429</v>
      </c>
      <c r="C288" s="340"/>
      <c r="D288" s="340"/>
      <c r="E288" s="340"/>
      <c r="F288" s="340"/>
      <c r="G288" s="340"/>
      <c r="H288" s="340"/>
      <c r="I288" s="341"/>
      <c r="J288" s="1401"/>
      <c r="K288" s="341"/>
      <c r="L288" s="341"/>
      <c r="M288" s="341"/>
      <c r="N288" s="341"/>
      <c r="O288" s="341"/>
      <c r="P288" s="341"/>
      <c r="Q288" s="341"/>
      <c r="R288" s="341"/>
      <c r="S288" s="276"/>
      <c r="T288" s="340"/>
      <c r="V288" s="342"/>
      <c r="W288" s="342"/>
      <c r="X288" s="342"/>
      <c r="Y288" s="343"/>
      <c r="Z288" s="342"/>
      <c r="AA288" s="342"/>
      <c r="AB288" s="342"/>
      <c r="AC288" s="343"/>
      <c r="AD288" s="342"/>
      <c r="AE288" s="342"/>
      <c r="AF288" s="342"/>
      <c r="AG288" s="343"/>
      <c r="AH288" s="342"/>
      <c r="AI288" s="342"/>
      <c r="AJ288" s="342"/>
      <c r="AK288" s="343"/>
      <c r="AL288" s="344"/>
      <c r="AM288" s="344"/>
      <c r="AN288" s="344"/>
      <c r="AO288" s="343"/>
      <c r="AP288" s="342"/>
      <c r="AQ288" s="342"/>
      <c r="AR288" s="345"/>
      <c r="AS288" s="346"/>
      <c r="AT288" s="345"/>
      <c r="AU288" s="345"/>
      <c r="AV288" s="345"/>
      <c r="AW288" s="346"/>
      <c r="AX288" s="347"/>
      <c r="AY288" s="347"/>
      <c r="AZ288" s="347"/>
      <c r="BA288" s="1521"/>
      <c r="BB288" s="347"/>
      <c r="BC288" s="347"/>
      <c r="BD288" s="347"/>
      <c r="BE288" s="347"/>
      <c r="BF288" s="283"/>
      <c r="BG288" s="15"/>
      <c r="BJ288" s="454"/>
      <c r="BK288" s="454"/>
      <c r="BL288" s="454"/>
      <c r="BM288" s="454"/>
      <c r="BN288" s="454"/>
      <c r="BO288" s="454"/>
      <c r="BP288" s="454"/>
      <c r="BQ288" s="454"/>
    </row>
    <row r="289" spans="1:90" s="226" customFormat="1" outlineLevel="1">
      <c r="A289" s="1349"/>
      <c r="B289" s="226" t="s">
        <v>622</v>
      </c>
      <c r="C289" s="537">
        <f>C565</f>
        <v>144</v>
      </c>
      <c r="D289" s="537">
        <f>D565</f>
        <v>425</v>
      </c>
      <c r="E289" s="537">
        <v>515</v>
      </c>
      <c r="F289" s="537">
        <v>650</v>
      </c>
      <c r="G289" s="538">
        <v>773</v>
      </c>
      <c r="H289" s="440">
        <f>SUM(AL289:AO289)</f>
        <v>1271</v>
      </c>
      <c r="I289" s="440">
        <f>SUM(AP289:AS289)</f>
        <v>3019</v>
      </c>
      <c r="J289" s="566">
        <f>SUM(AT289:AW289)</f>
        <v>6663</v>
      </c>
      <c r="K289" s="440">
        <f t="shared" ref="K289:R289" si="640">K297*K298/1000</f>
        <v>12792.96</v>
      </c>
      <c r="L289" s="440">
        <f t="shared" si="640"/>
        <v>21492.172799999997</v>
      </c>
      <c r="M289" s="440">
        <f t="shared" si="640"/>
        <v>34237.031270399995</v>
      </c>
      <c r="N289" s="440">
        <f t="shared" si="640"/>
        <v>51504.820361938931</v>
      </c>
      <c r="O289" s="440">
        <f t="shared" si="640"/>
        <v>73721.898469408625</v>
      </c>
      <c r="P289" s="440">
        <f t="shared" si="640"/>
        <v>101059.79374989326</v>
      </c>
      <c r="Q289" s="440">
        <f t="shared" si="640"/>
        <v>133428.59175835547</v>
      </c>
      <c r="R289" s="440">
        <f t="shared" si="640"/>
        <v>170500.90953974938</v>
      </c>
      <c r="T289" s="15">
        <f>(M289/J289)^(1/3)-1</f>
        <v>0.72560780094004929</v>
      </c>
      <c r="V289" s="364">
        <f>Z289/(1+Z290)</f>
        <v>106.45631067961166</v>
      </c>
      <c r="W289" s="364">
        <f>AA289/(1+AA290)</f>
        <v>85.825242718446603</v>
      </c>
      <c r="X289" s="364">
        <f>AB289/(1+AB290)</f>
        <v>113.88349514563107</v>
      </c>
      <c r="Y289" s="521">
        <f>AC289/(1+AC290)</f>
        <v>118.83495145631069</v>
      </c>
      <c r="Z289" s="528">
        <f t="shared" ref="Z289:AO289" si="641">Z565</f>
        <v>129</v>
      </c>
      <c r="AA289" s="528">
        <f t="shared" si="641"/>
        <v>104</v>
      </c>
      <c r="AB289" s="528">
        <f t="shared" si="641"/>
        <v>138</v>
      </c>
      <c r="AC289" s="445">
        <f t="shared" si="641"/>
        <v>144</v>
      </c>
      <c r="AD289" s="528">
        <f t="shared" si="641"/>
        <v>155</v>
      </c>
      <c r="AE289" s="528">
        <f t="shared" si="641"/>
        <v>164</v>
      </c>
      <c r="AF289" s="528">
        <f t="shared" si="641"/>
        <v>165</v>
      </c>
      <c r="AG289" s="445">
        <f t="shared" si="641"/>
        <v>166</v>
      </c>
      <c r="AH289" s="528">
        <f t="shared" si="641"/>
        <v>174</v>
      </c>
      <c r="AI289" s="528">
        <f t="shared" si="641"/>
        <v>190</v>
      </c>
      <c r="AJ289" s="528">
        <f t="shared" si="641"/>
        <v>196</v>
      </c>
      <c r="AK289" s="445">
        <f t="shared" si="641"/>
        <v>213</v>
      </c>
      <c r="AL289" s="528">
        <f t="shared" si="641"/>
        <v>236</v>
      </c>
      <c r="AM289" s="528">
        <f t="shared" si="641"/>
        <v>285</v>
      </c>
      <c r="AN289" s="528">
        <f t="shared" si="641"/>
        <v>362</v>
      </c>
      <c r="AO289" s="445">
        <f t="shared" si="641"/>
        <v>388</v>
      </c>
      <c r="AP289" s="446">
        <f>Reported!P134</f>
        <v>485</v>
      </c>
      <c r="AQ289" s="446">
        <f>Reported!Q134</f>
        <v>649</v>
      </c>
      <c r="AR289" s="446">
        <f>Reported!R134</f>
        <v>819</v>
      </c>
      <c r="AS289" s="447">
        <f>Reported!S134</f>
        <v>1066</v>
      </c>
      <c r="AT289" s="446">
        <f>Reported!T134</f>
        <v>1243</v>
      </c>
      <c r="AU289" s="446">
        <f>Reported!U134</f>
        <v>1493</v>
      </c>
      <c r="AV289" s="446">
        <f>Reported!V134</f>
        <v>1764</v>
      </c>
      <c r="AW289" s="447">
        <f>Reported!W134</f>
        <v>2163</v>
      </c>
      <c r="AX289" s="446">
        <f>Reported!X134</f>
        <v>2431</v>
      </c>
      <c r="AY289" s="446">
        <f>Reported!Y134</f>
        <v>2975</v>
      </c>
      <c r="AZ289" s="446">
        <f>Reported!Z134</f>
        <v>3599</v>
      </c>
      <c r="BA289" s="1535">
        <f>K289-SUM(AX289:AZ289)</f>
        <v>3787.9599999999991</v>
      </c>
      <c r="BB289" s="441">
        <f>AX289*(1+BB290)</f>
        <v>4424.4199999999992</v>
      </c>
      <c r="BC289" s="441">
        <f>AY289*(1+BC290)</f>
        <v>5236</v>
      </c>
      <c r="BD289" s="441">
        <f>AZ289*(1+BD290)</f>
        <v>5758.4000000000005</v>
      </c>
      <c r="BE289" s="373">
        <f>L289-SUM(BB289:BD289)</f>
        <v>6073.3527999999969</v>
      </c>
      <c r="BF289" s="222"/>
      <c r="BG289" s="302"/>
      <c r="BI289" s="440"/>
      <c r="BJ289" s="440"/>
      <c r="CG289"/>
      <c r="CH289"/>
      <c r="CI289"/>
      <c r="CJ289"/>
      <c r="CK289"/>
      <c r="CL289"/>
    </row>
    <row r="290" spans="1:90" outlineLevel="1">
      <c r="B290" s="374" t="s">
        <v>80</v>
      </c>
      <c r="C290" s="374"/>
      <c r="D290" s="15">
        <f t="shared" ref="D290:R290" si="642">D289/C289-1</f>
        <v>1.9513888888888888</v>
      </c>
      <c r="E290" s="15">
        <f t="shared" si="642"/>
        <v>0.21176470588235285</v>
      </c>
      <c r="F290" s="15">
        <f t="shared" si="642"/>
        <v>0.26213592233009719</v>
      </c>
      <c r="G290" s="15">
        <f t="shared" si="642"/>
        <v>0.18923076923076931</v>
      </c>
      <c r="H290" s="15">
        <f t="shared" si="642"/>
        <v>0.64424320827943071</v>
      </c>
      <c r="I290" s="15">
        <f t="shared" si="642"/>
        <v>1.3752950432730136</v>
      </c>
      <c r="J290" s="435">
        <f t="shared" si="642"/>
        <v>1.2070221927790659</v>
      </c>
      <c r="K290" s="15">
        <f t="shared" si="642"/>
        <v>0.91999999999999993</v>
      </c>
      <c r="L290" s="15">
        <f t="shared" si="642"/>
        <v>0.67999999999999994</v>
      </c>
      <c r="M290" s="15">
        <f t="shared" si="642"/>
        <v>0.59299999999999997</v>
      </c>
      <c r="N290" s="15">
        <f t="shared" si="642"/>
        <v>0.50435999999999992</v>
      </c>
      <c r="O290" s="15">
        <f t="shared" si="642"/>
        <v>0.43135920000000016</v>
      </c>
      <c r="P290" s="15">
        <f t="shared" si="642"/>
        <v>0.37082462400000016</v>
      </c>
      <c r="Q290" s="15">
        <f t="shared" si="642"/>
        <v>0.32029352928000021</v>
      </c>
      <c r="R290" s="15">
        <f t="shared" si="642"/>
        <v>0.27784388108160041</v>
      </c>
      <c r="Z290" s="543">
        <f>$E290</f>
        <v>0.21176470588235285</v>
      </c>
      <c r="AA290" s="543">
        <f>$E290</f>
        <v>0.21176470588235285</v>
      </c>
      <c r="AB290" s="543">
        <f>$E290</f>
        <v>0.21176470588235285</v>
      </c>
      <c r="AC290" s="586">
        <f>$E290</f>
        <v>0.21176470588235285</v>
      </c>
      <c r="AD290" s="142">
        <f t="shared" ref="AD290:AZ290" si="643">AD289/Z289-1</f>
        <v>0.20155038759689914</v>
      </c>
      <c r="AE290" s="142">
        <f t="shared" si="643"/>
        <v>0.57692307692307687</v>
      </c>
      <c r="AF290" s="142">
        <f t="shared" si="643"/>
        <v>0.19565217391304346</v>
      </c>
      <c r="AG290" s="359">
        <f t="shared" si="643"/>
        <v>0.15277777777777768</v>
      </c>
      <c r="AH290" s="142">
        <f t="shared" si="643"/>
        <v>0.1225806451612903</v>
      </c>
      <c r="AI290" s="142">
        <f t="shared" si="643"/>
        <v>0.15853658536585358</v>
      </c>
      <c r="AJ290" s="142">
        <f t="shared" si="643"/>
        <v>0.18787878787878798</v>
      </c>
      <c r="AK290" s="359">
        <f t="shared" si="643"/>
        <v>0.2831325301204819</v>
      </c>
      <c r="AL290" s="142">
        <f t="shared" si="643"/>
        <v>0.35632183908045967</v>
      </c>
      <c r="AM290" s="142">
        <f t="shared" si="643"/>
        <v>0.5</v>
      </c>
      <c r="AN290" s="142">
        <f t="shared" si="643"/>
        <v>0.84693877551020402</v>
      </c>
      <c r="AO290" s="359">
        <f t="shared" si="643"/>
        <v>0.82159624413145549</v>
      </c>
      <c r="AP290" s="142">
        <f t="shared" si="643"/>
        <v>1.0550847457627119</v>
      </c>
      <c r="AQ290" s="142">
        <f t="shared" si="643"/>
        <v>1.2771929824561403</v>
      </c>
      <c r="AR290" s="142">
        <f t="shared" si="643"/>
        <v>1.2624309392265194</v>
      </c>
      <c r="AS290" s="359">
        <f t="shared" si="643"/>
        <v>1.7474226804123711</v>
      </c>
      <c r="AT290" s="224">
        <f t="shared" si="643"/>
        <v>1.5628865979381446</v>
      </c>
      <c r="AU290" s="224">
        <f t="shared" si="643"/>
        <v>1.300462249614792</v>
      </c>
      <c r="AV290" s="224">
        <f t="shared" si="643"/>
        <v>1.1538461538461537</v>
      </c>
      <c r="AW290" s="359">
        <f t="shared" si="643"/>
        <v>1.0290806754221387</v>
      </c>
      <c r="AX290" s="142">
        <f t="shared" si="643"/>
        <v>0.95575221238938046</v>
      </c>
      <c r="AY290" s="142">
        <f t="shared" si="643"/>
        <v>0.99263228399196257</v>
      </c>
      <c r="AZ290" s="142">
        <f t="shared" si="643"/>
        <v>1.0402494331065761</v>
      </c>
      <c r="BA290" s="287">
        <f>BA289/AW289-1</f>
        <v>0.75125288950531632</v>
      </c>
      <c r="BB290" s="529">
        <v>0.82</v>
      </c>
      <c r="BC290" s="529">
        <v>0.76</v>
      </c>
      <c r="BD290" s="529">
        <v>0.6</v>
      </c>
      <c r="BE290" s="286">
        <f>BE289/BA289-1</f>
        <v>0.60333076378842398</v>
      </c>
      <c r="BF290" s="142"/>
      <c r="BG290" s="15"/>
    </row>
    <row r="291" spans="1:90" outlineLevel="1">
      <c r="B291" s="374" t="s">
        <v>81</v>
      </c>
      <c r="C291" s="374"/>
      <c r="W291" s="224">
        <f t="shared" ref="W291:BA291" si="644">W289/V289-1</f>
        <v>-0.19379844961240322</v>
      </c>
      <c r="X291" s="224">
        <f t="shared" si="644"/>
        <v>0.32692307692307687</v>
      </c>
      <c r="Y291" s="429">
        <f t="shared" si="644"/>
        <v>4.3478260869565188E-2</v>
      </c>
      <c r="Z291" s="224">
        <f t="shared" si="644"/>
        <v>8.5539215686274428E-2</v>
      </c>
      <c r="AA291" s="224">
        <f t="shared" si="644"/>
        <v>-0.19379844961240311</v>
      </c>
      <c r="AB291" s="224">
        <f t="shared" si="644"/>
        <v>0.32692307692307687</v>
      </c>
      <c r="AC291" s="429">
        <f t="shared" si="644"/>
        <v>4.3478260869565188E-2</v>
      </c>
      <c r="AD291" s="224">
        <f t="shared" si="644"/>
        <v>7.638888888888884E-2</v>
      </c>
      <c r="AE291" s="224">
        <f t="shared" si="644"/>
        <v>5.8064516129032295E-2</v>
      </c>
      <c r="AF291" s="224">
        <f t="shared" si="644"/>
        <v>6.0975609756097615E-3</v>
      </c>
      <c r="AG291" s="429">
        <f t="shared" si="644"/>
        <v>6.0606060606060996E-3</v>
      </c>
      <c r="AH291" s="142">
        <f t="shared" si="644"/>
        <v>4.8192771084337283E-2</v>
      </c>
      <c r="AI291" s="142">
        <f t="shared" si="644"/>
        <v>9.1954022988505857E-2</v>
      </c>
      <c r="AJ291" s="142">
        <f t="shared" si="644"/>
        <v>3.1578947368421151E-2</v>
      </c>
      <c r="AK291" s="359">
        <f t="shared" si="644"/>
        <v>8.6734693877551061E-2</v>
      </c>
      <c r="AL291" s="142">
        <f t="shared" si="644"/>
        <v>0.107981220657277</v>
      </c>
      <c r="AM291" s="142">
        <f t="shared" si="644"/>
        <v>0.20762711864406769</v>
      </c>
      <c r="AN291" s="142">
        <f t="shared" si="644"/>
        <v>0.27017543859649118</v>
      </c>
      <c r="AO291" s="359">
        <f t="shared" si="644"/>
        <v>7.182320441988943E-2</v>
      </c>
      <c r="AP291" s="142">
        <f t="shared" si="644"/>
        <v>0.25</v>
      </c>
      <c r="AQ291" s="142">
        <f t="shared" si="644"/>
        <v>0.33814432989690713</v>
      </c>
      <c r="AR291" s="142">
        <f t="shared" si="644"/>
        <v>0.2619414483821263</v>
      </c>
      <c r="AS291" s="359">
        <f t="shared" si="644"/>
        <v>0.30158730158730163</v>
      </c>
      <c r="AT291" s="142">
        <f t="shared" si="644"/>
        <v>0.16604127579737327</v>
      </c>
      <c r="AU291" s="142">
        <f t="shared" si="644"/>
        <v>0.20112630732099768</v>
      </c>
      <c r="AV291" s="142">
        <f t="shared" si="644"/>
        <v>0.18151373074346955</v>
      </c>
      <c r="AW291" s="359">
        <f t="shared" si="644"/>
        <v>0.22619047619047628</v>
      </c>
      <c r="AX291" s="286">
        <f t="shared" si="644"/>
        <v>0.1239019879796579</v>
      </c>
      <c r="AY291" s="286">
        <f t="shared" si="644"/>
        <v>0.22377622377622375</v>
      </c>
      <c r="AZ291" s="286">
        <f t="shared" si="644"/>
        <v>0.20974789915966396</v>
      </c>
      <c r="BA291" s="287">
        <f t="shared" si="644"/>
        <v>5.2503473186996219E-2</v>
      </c>
      <c r="BB291" s="286">
        <f>BB289/BA289-1</f>
        <v>0.16802183761180167</v>
      </c>
      <c r="BC291" s="286">
        <f>BC289/BB289-1</f>
        <v>0.18343195266272216</v>
      </c>
      <c r="BD291" s="286">
        <f>BD289/BC289-1</f>
        <v>9.9770817417876412E-2</v>
      </c>
      <c r="BE291" s="286">
        <f>BE289/BD289-1</f>
        <v>5.4694498471797193E-2</v>
      </c>
      <c r="BF291" s="142"/>
      <c r="BG291" s="15"/>
    </row>
    <row r="292" spans="1:90" outlineLevel="1">
      <c r="B292" s="374" t="s">
        <v>83</v>
      </c>
      <c r="C292" s="380">
        <f t="shared" ref="C292:R292" si="645">C289/C19</f>
        <v>2.1589205397301348E-2</v>
      </c>
      <c r="D292" s="380">
        <f t="shared" si="645"/>
        <v>3.5705284382088552E-2</v>
      </c>
      <c r="E292" s="380">
        <f t="shared" si="645"/>
        <v>2.571785268414482E-2</v>
      </c>
      <c r="F292" s="380">
        <f t="shared" si="645"/>
        <v>1.8831300518585045E-2</v>
      </c>
      <c r="G292" s="380">
        <f t="shared" si="645"/>
        <v>1.4722687795215603E-2</v>
      </c>
      <c r="H292" s="380">
        <f t="shared" si="645"/>
        <v>1.6678914492677551E-2</v>
      </c>
      <c r="I292" s="380">
        <f t="shared" si="645"/>
        <v>2.9848827897135739E-2</v>
      </c>
      <c r="J292" s="379">
        <f t="shared" si="645"/>
        <v>4.2098146872808377E-2</v>
      </c>
      <c r="K292" s="380">
        <f t="shared" si="645"/>
        <v>5.1512911187560975E-2</v>
      </c>
      <c r="L292" s="380">
        <f t="shared" si="645"/>
        <v>6.3545559368360469E-2</v>
      </c>
      <c r="M292" s="380">
        <f t="shared" si="645"/>
        <v>7.7818741355911589E-2</v>
      </c>
      <c r="N292" s="380">
        <f t="shared" si="645"/>
        <v>9.584565394775911E-2</v>
      </c>
      <c r="O292" s="380">
        <f t="shared" si="645"/>
        <v>0.11398090426893946</v>
      </c>
      <c r="P292" s="380">
        <f t="shared" si="645"/>
        <v>0.1285479529627627</v>
      </c>
      <c r="Q292" s="380">
        <f t="shared" si="645"/>
        <v>0.14739024080322083</v>
      </c>
      <c r="R292" s="380">
        <f t="shared" si="645"/>
        <v>0.16566068948741236</v>
      </c>
      <c r="V292" s="286"/>
      <c r="W292" s="286"/>
      <c r="X292" s="286"/>
      <c r="Y292" s="287"/>
      <c r="Z292" s="286">
        <f t="shared" ref="Z292:BE292" si="646">Z289/Z19</f>
        <v>3.1440409456495247E-2</v>
      </c>
      <c r="AA292" s="286">
        <f t="shared" si="646"/>
        <v>2.389705882352941E-2</v>
      </c>
      <c r="AB292" s="286">
        <f t="shared" si="646"/>
        <v>2.1279876638396301E-2</v>
      </c>
      <c r="AC292" s="287">
        <f t="shared" si="646"/>
        <v>2.831858407079646E-2</v>
      </c>
      <c r="AD292" s="286">
        <f t="shared" si="646"/>
        <v>2.2817606359487708E-2</v>
      </c>
      <c r="AE292" s="286">
        <f t="shared" si="646"/>
        <v>2.1992758481963255E-2</v>
      </c>
      <c r="AF292" s="286">
        <f t="shared" si="646"/>
        <v>1.423272664538946E-2</v>
      </c>
      <c r="AG292" s="287">
        <f t="shared" si="646"/>
        <v>1.9137652755360848E-2</v>
      </c>
      <c r="AH292" s="286">
        <f t="shared" si="646"/>
        <v>1.6143997030989052E-2</v>
      </c>
      <c r="AI292" s="286">
        <f t="shared" si="646"/>
        <v>1.7351598173515982E-2</v>
      </c>
      <c r="AJ292" s="286">
        <f t="shared" si="646"/>
        <v>1.0456121632435316E-2</v>
      </c>
      <c r="AK292" s="287">
        <f t="shared" si="646"/>
        <v>1.7704263984706176E-2</v>
      </c>
      <c r="AL292" s="286">
        <f t="shared" si="646"/>
        <v>1.4964174751125483E-2</v>
      </c>
      <c r="AM292" s="286">
        <f t="shared" si="646"/>
        <v>1.6935052587794878E-2</v>
      </c>
      <c r="AN292" s="286">
        <f t="shared" si="646"/>
        <v>1.3827877306237824E-2</v>
      </c>
      <c r="AO292" s="287">
        <f t="shared" si="646"/>
        <v>2.2266857962697274E-2</v>
      </c>
      <c r="AP292" s="286">
        <f t="shared" si="646"/>
        <v>2.3956532477154853E-2</v>
      </c>
      <c r="AQ292" s="286">
        <f t="shared" si="646"/>
        <v>2.927247305038113E-2</v>
      </c>
      <c r="AR292" s="286">
        <f t="shared" si="646"/>
        <v>2.3709579364849607E-2</v>
      </c>
      <c r="AS292" s="287">
        <f t="shared" si="646"/>
        <v>4.4078729738670198E-2</v>
      </c>
      <c r="AT292" s="286">
        <f t="shared" si="646"/>
        <v>3.8657709771723579E-2</v>
      </c>
      <c r="AU292" s="286">
        <f t="shared" si="646"/>
        <v>4.3537851393911114E-2</v>
      </c>
      <c r="AV292" s="286">
        <f t="shared" si="646"/>
        <v>3.3128004807692304E-2</v>
      </c>
      <c r="AW292" s="287">
        <f t="shared" si="646"/>
        <v>5.6066772078073562E-2</v>
      </c>
      <c r="AX292" s="286">
        <f t="shared" si="646"/>
        <v>4.8441734417344173E-2</v>
      </c>
      <c r="AY292" s="286">
        <f t="shared" si="646"/>
        <v>5.397119117593701E-2</v>
      </c>
      <c r="AZ292" s="286">
        <f t="shared" si="646"/>
        <v>4.3346822758587464E-2</v>
      </c>
      <c r="BA292" s="287">
        <f t="shared" si="646"/>
        <v>6.3121378876468306E-2</v>
      </c>
      <c r="BB292" s="286">
        <f t="shared" si="646"/>
        <v>6.0448080507791296E-2</v>
      </c>
      <c r="BC292" s="286">
        <f t="shared" si="646"/>
        <v>6.729981643759872E-2</v>
      </c>
      <c r="BD292" s="286">
        <f t="shared" si="646"/>
        <v>5.3372109508629653E-2</v>
      </c>
      <c r="BE292" s="286">
        <f t="shared" si="646"/>
        <v>7.6557726060102041E-2</v>
      </c>
      <c r="BF292" s="142"/>
      <c r="BG292" s="15"/>
    </row>
    <row r="293" spans="1:90" outlineLevel="1">
      <c r="B293" s="374" t="s">
        <v>591</v>
      </c>
      <c r="C293" s="380"/>
      <c r="D293" s="380"/>
      <c r="E293" s="380"/>
      <c r="F293" s="380"/>
      <c r="G293" s="380"/>
      <c r="H293" s="380"/>
      <c r="I293" s="380"/>
      <c r="J293" s="379"/>
      <c r="K293" s="380"/>
      <c r="L293" s="380"/>
      <c r="M293" s="380"/>
      <c r="N293" s="380"/>
      <c r="O293" s="380"/>
      <c r="P293" s="380"/>
      <c r="Q293" s="380"/>
      <c r="R293" s="380"/>
      <c r="W293" s="142"/>
      <c r="X293" s="142"/>
      <c r="Y293" s="359"/>
      <c r="Z293" s="142"/>
      <c r="AA293" s="142"/>
      <c r="AB293" s="142"/>
      <c r="AC293" s="359"/>
      <c r="AD293" s="142"/>
      <c r="AE293" s="142"/>
      <c r="AF293" s="142"/>
      <c r="AG293" s="359"/>
      <c r="AH293" s="142">
        <f>AH289/SUM($AH289:$AK289)</f>
        <v>0.22509702457956016</v>
      </c>
      <c r="AI293" s="142">
        <f>AI289/SUM($AH289:$AK289)</f>
        <v>0.24579560155239327</v>
      </c>
      <c r="AJ293" s="142">
        <f>AJ289/SUM($AH289:$AK289)</f>
        <v>0.25355756791720568</v>
      </c>
      <c r="AK293" s="359">
        <f>AK289/SUM($AH289:$AK289)</f>
        <v>0.27554980595084089</v>
      </c>
      <c r="AL293" s="252">
        <f>AL289/SUM($AL289:$AO289)</f>
        <v>0.18568056648308418</v>
      </c>
      <c r="AM293" s="142">
        <f>AM289/SUM($AL289:$AO289)</f>
        <v>0.22423288749016523</v>
      </c>
      <c r="AN293" s="142">
        <f>AN289/SUM($AL289:$AO289)</f>
        <v>0.28481510621557826</v>
      </c>
      <c r="AO293" s="359">
        <f>AO289/SUM($AL289:$AO289)</f>
        <v>0.30527143981117233</v>
      </c>
      <c r="AP293" s="142">
        <f>AP289/SUM($AP289:$AS289)</f>
        <v>0.16064922159655515</v>
      </c>
      <c r="AQ293" s="142">
        <f>AQ289/SUM($AP289:$AS289)</f>
        <v>0.21497184498178204</v>
      </c>
      <c r="AR293" s="142">
        <f>AR289/SUM($AP289:$AS289)</f>
        <v>0.271281881417688</v>
      </c>
      <c r="AS293" s="359">
        <f>AS289/SUM($AP289:$AS289)</f>
        <v>0.35309705200397484</v>
      </c>
      <c r="AT293" s="142">
        <f>AT289/SUM($AT289:$AW289)</f>
        <v>0.18655260393216269</v>
      </c>
      <c r="AU293" s="142">
        <f>AU289/SUM($AT289:$AW289)</f>
        <v>0.22407324028215519</v>
      </c>
      <c r="AV293" s="142">
        <f>AV289/SUM($AT289:$AW289)</f>
        <v>0.26474561008554703</v>
      </c>
      <c r="AW293" s="359">
        <f>AW289/SUM($AP289:$AS289)</f>
        <v>0.71646240476979128</v>
      </c>
      <c r="AX293" s="142">
        <f t="shared" ref="AX293:BE293" si="647">AX289/SUM($AX289:$BA289)</f>
        <v>0.19002638951423284</v>
      </c>
      <c r="AY293" s="142">
        <f>AY289/SUM($AX289:$BA289)</f>
        <v>0.23254977737755766</v>
      </c>
      <c r="AZ293" s="142">
        <f>AZ289/SUM($AX289:$BA289)</f>
        <v>0.28132660463254794</v>
      </c>
      <c r="BA293" s="359">
        <f t="shared" si="647"/>
        <v>0.29609722847566156</v>
      </c>
      <c r="BB293" s="142">
        <f t="shared" si="647"/>
        <v>0.34584802891590372</v>
      </c>
      <c r="BC293" s="142">
        <f t="shared" si="647"/>
        <v>0.40928760818450149</v>
      </c>
      <c r="BD293" s="142">
        <f t="shared" si="647"/>
        <v>0.45012256741207674</v>
      </c>
      <c r="BE293" s="142">
        <f t="shared" si="647"/>
        <v>0.47474179548751794</v>
      </c>
      <c r="BF293" s="224"/>
      <c r="BG293" s="15"/>
    </row>
    <row r="294" spans="1:90" outlineLevel="1">
      <c r="BG294" s="15"/>
    </row>
    <row r="295" spans="1:90" outlineLevel="1">
      <c r="B295" s="401" t="s">
        <v>431</v>
      </c>
      <c r="H295" s="461">
        <v>1400</v>
      </c>
      <c r="I295" s="461">
        <v>2300</v>
      </c>
      <c r="J295" s="725">
        <f t="shared" ref="J295:R295" si="648">J297/J296</f>
        <v>3121.4285714285711</v>
      </c>
      <c r="K295" s="454">
        <f t="shared" si="648"/>
        <v>4370</v>
      </c>
      <c r="L295" s="454">
        <f t="shared" si="648"/>
        <v>5244</v>
      </c>
      <c r="M295" s="454">
        <f t="shared" si="648"/>
        <v>6194.4749999999995</v>
      </c>
      <c r="N295" s="454">
        <f t="shared" si="648"/>
        <v>6516.5877</v>
      </c>
      <c r="O295" s="454">
        <f t="shared" si="648"/>
        <v>8364.040312950001</v>
      </c>
      <c r="P295" s="454">
        <f t="shared" si="648"/>
        <v>10498.125198799193</v>
      </c>
      <c r="Q295" s="454">
        <f t="shared" si="648"/>
        <v>12908.862178825446</v>
      </c>
      <c r="R295" s="454">
        <f t="shared" si="648"/>
        <v>15576.75608861657</v>
      </c>
      <c r="AS295" s="359"/>
      <c r="AU295" s="569"/>
      <c r="AV295" s="569"/>
      <c r="AW295" s="359"/>
      <c r="BG295" s="15"/>
    </row>
    <row r="296" spans="1:90" outlineLevel="1">
      <c r="B296" s="357" t="s">
        <v>581</v>
      </c>
      <c r="C296" s="357"/>
      <c r="E296" s="350"/>
      <c r="F296" s="350"/>
      <c r="G296" s="350"/>
      <c r="H296" s="15">
        <f>H297/H295</f>
        <v>0.17857142857142858</v>
      </c>
      <c r="I296" s="15">
        <f>I297/I295</f>
        <v>0.22304347826086957</v>
      </c>
      <c r="J296" s="1405">
        <v>0.28000000000000003</v>
      </c>
      <c r="K296" s="587">
        <v>0.3</v>
      </c>
      <c r="L296" s="587">
        <v>0.35</v>
      </c>
      <c r="M296" s="587">
        <v>0.4</v>
      </c>
      <c r="N296" s="587">
        <v>0.5</v>
      </c>
      <c r="O296" s="587">
        <f>N296</f>
        <v>0.5</v>
      </c>
      <c r="P296" s="587">
        <f>O296</f>
        <v>0.5</v>
      </c>
      <c r="Q296" s="587">
        <f>P296</f>
        <v>0.5</v>
      </c>
      <c r="R296" s="587">
        <f>Q296</f>
        <v>0.5</v>
      </c>
      <c r="BG296" s="15"/>
    </row>
    <row r="297" spans="1:90" s="13" customFormat="1" outlineLevel="1">
      <c r="A297" s="1349"/>
      <c r="B297" s="453" t="s">
        <v>635</v>
      </c>
      <c r="H297" s="588">
        <v>250</v>
      </c>
      <c r="I297" s="588">
        <f>AS297</f>
        <v>513</v>
      </c>
      <c r="J297" s="1406">
        <f>AW297</f>
        <v>874</v>
      </c>
      <c r="K297" s="589">
        <f t="shared" ref="K297:R298" si="649">J297*(1+K302)</f>
        <v>1311</v>
      </c>
      <c r="L297" s="589">
        <f t="shared" si="649"/>
        <v>1835.3999999999999</v>
      </c>
      <c r="M297" s="589">
        <f t="shared" si="649"/>
        <v>2477.79</v>
      </c>
      <c r="N297" s="589">
        <f t="shared" si="649"/>
        <v>3258.29385</v>
      </c>
      <c r="O297" s="589">
        <f t="shared" si="649"/>
        <v>4182.0201564750005</v>
      </c>
      <c r="P297" s="589">
        <f t="shared" si="649"/>
        <v>5249.0625993995964</v>
      </c>
      <c r="Q297" s="589">
        <f t="shared" si="649"/>
        <v>6454.4310894127229</v>
      </c>
      <c r="R297" s="589">
        <f t="shared" si="649"/>
        <v>7788.3780443082851</v>
      </c>
      <c r="T297" s="15">
        <f>(M297/J297)^(1/3)-1</f>
        <v>0.41530819409495989</v>
      </c>
      <c r="V297" s="12"/>
      <c r="W297" s="12"/>
      <c r="X297" s="12"/>
      <c r="Y297" s="408"/>
      <c r="Z297" s="12"/>
      <c r="AA297" s="12"/>
      <c r="AB297" s="12"/>
      <c r="AC297" s="408"/>
      <c r="AD297" s="12"/>
      <c r="AE297" s="12"/>
      <c r="AF297" s="12"/>
      <c r="AG297" s="408"/>
      <c r="AH297" s="12"/>
      <c r="AI297" s="12"/>
      <c r="AJ297" s="12"/>
      <c r="AK297" s="408"/>
      <c r="AL297" s="12"/>
      <c r="AM297" s="12"/>
      <c r="AN297" s="12"/>
      <c r="AO297" s="590">
        <f>Reported!O8</f>
        <v>256.5</v>
      </c>
      <c r="AP297" s="591">
        <f>Reported!P8</f>
        <v>263</v>
      </c>
      <c r="AQ297" s="591">
        <f>Reported!Q8</f>
        <v>313</v>
      </c>
      <c r="AR297" s="591">
        <f>Reported!R8</f>
        <v>383</v>
      </c>
      <c r="AS297" s="590">
        <f>Reported!S8</f>
        <v>513</v>
      </c>
      <c r="AT297" s="591">
        <f>Reported!T8</f>
        <v>577</v>
      </c>
      <c r="AU297" s="591">
        <f>Reported!U8</f>
        <v>651</v>
      </c>
      <c r="AV297" s="591">
        <f>Reported!V8</f>
        <v>765</v>
      </c>
      <c r="AW297" s="590">
        <f>Reported!W8</f>
        <v>874</v>
      </c>
      <c r="AX297" s="591">
        <f>Reported!X8</f>
        <v>1011</v>
      </c>
      <c r="AY297" s="1234">
        <f>AY289/AY298*1000</f>
        <v>1147.9678025475819</v>
      </c>
      <c r="AZ297" s="1234">
        <f>AZ289/AZ298*1000</f>
        <v>1279.3367346938774</v>
      </c>
      <c r="BA297" s="1541">
        <f>K297</f>
        <v>1311</v>
      </c>
      <c r="BB297" s="1228">
        <f>BB289/BB298*1000</f>
        <v>1472.0159999999998</v>
      </c>
      <c r="BC297" s="1234">
        <f>BC289/BC298*1000</f>
        <v>1683.6861104031202</v>
      </c>
      <c r="BD297" s="1234">
        <f>BD289/BD298*1000</f>
        <v>1844.0889869461294</v>
      </c>
      <c r="BE297" s="1233">
        <f>L297</f>
        <v>1835.3999999999999</v>
      </c>
      <c r="BF297" s="12"/>
      <c r="BG297" s="14"/>
      <c r="CG297"/>
      <c r="CH297"/>
      <c r="CI297"/>
      <c r="CJ297"/>
      <c r="CK297"/>
      <c r="CL297"/>
    </row>
    <row r="298" spans="1:90" s="13" customFormat="1" outlineLevel="1">
      <c r="A298" s="1349"/>
      <c r="B298" s="453" t="s">
        <v>577</v>
      </c>
      <c r="H298" s="389">
        <f>H289*1000/H297</f>
        <v>5084</v>
      </c>
      <c r="I298" s="389">
        <f>I289*1000/I297</f>
        <v>5884.9902534113062</v>
      </c>
      <c r="J298" s="592">
        <f>J289*1000/J297</f>
        <v>7623.5697940503433</v>
      </c>
      <c r="K298" s="388">
        <f t="shared" si="649"/>
        <v>9758.1693363844388</v>
      </c>
      <c r="L298" s="388">
        <f t="shared" si="649"/>
        <v>11709.803203661326</v>
      </c>
      <c r="M298" s="388">
        <f t="shared" si="649"/>
        <v>13817.567780320363</v>
      </c>
      <c r="N298" s="388">
        <f t="shared" si="649"/>
        <v>15807.297540686495</v>
      </c>
      <c r="O298" s="388">
        <f t="shared" si="649"/>
        <v>17628.29821737358</v>
      </c>
      <c r="P298" s="388">
        <f t="shared" si="649"/>
        <v>19252.922181086731</v>
      </c>
      <c r="Q298" s="388">
        <f t="shared" si="649"/>
        <v>20672.401627653893</v>
      </c>
      <c r="R298" s="388">
        <f t="shared" si="649"/>
        <v>21891.709489416829</v>
      </c>
      <c r="T298" s="15">
        <f>(M298/J298)^(1/3)-1</f>
        <v>0.21924525565508723</v>
      </c>
      <c r="V298" s="12"/>
      <c r="W298" s="12"/>
      <c r="X298" s="12"/>
      <c r="Y298" s="408"/>
      <c r="Z298" s="12"/>
      <c r="AA298" s="12"/>
      <c r="AB298" s="12"/>
      <c r="AC298" s="408"/>
      <c r="AD298" s="12"/>
      <c r="AE298" s="12"/>
      <c r="AF298" s="12"/>
      <c r="AG298" s="408"/>
      <c r="AH298" s="12"/>
      <c r="AI298" s="12"/>
      <c r="AJ298" s="12"/>
      <c r="AK298" s="408"/>
      <c r="AL298" s="12"/>
      <c r="AM298" s="12"/>
      <c r="AN298" s="12"/>
      <c r="AO298" s="592">
        <f t="shared" ref="AO298:AX298" si="650">AO289*1000/AO297</f>
        <v>1512.6705653021443</v>
      </c>
      <c r="AP298" s="389">
        <f t="shared" si="650"/>
        <v>1844.1064638783271</v>
      </c>
      <c r="AQ298" s="389">
        <f t="shared" si="650"/>
        <v>2073.4824281150159</v>
      </c>
      <c r="AR298" s="389">
        <f t="shared" si="650"/>
        <v>2138.3812010443862</v>
      </c>
      <c r="AS298" s="592">
        <f t="shared" si="650"/>
        <v>2077.9727095516569</v>
      </c>
      <c r="AT298" s="389">
        <f t="shared" si="650"/>
        <v>2154.2461005199307</v>
      </c>
      <c r="AU298" s="389">
        <f t="shared" si="650"/>
        <v>2293.3947772657452</v>
      </c>
      <c r="AV298" s="389">
        <f t="shared" si="650"/>
        <v>2305.8823529411766</v>
      </c>
      <c r="AW298" s="592">
        <f t="shared" si="650"/>
        <v>2474.8283752860411</v>
      </c>
      <c r="AX298" s="389">
        <f t="shared" si="650"/>
        <v>2404.5499505440157</v>
      </c>
      <c r="AY298" s="1227">
        <f>AU298*(1+AY303)</f>
        <v>2591.5360983102919</v>
      </c>
      <c r="AZ298" s="1227">
        <f>AV298*(1+AZ303)</f>
        <v>2813.1764705882356</v>
      </c>
      <c r="BA298" s="592">
        <f>BA289*1000/BA297</f>
        <v>2889.3668954996178</v>
      </c>
      <c r="BB298" s="1227">
        <f>AX298*(1+BB303)</f>
        <v>3005.6874381800199</v>
      </c>
      <c r="BC298" s="1227">
        <f>AY298*(1+BC303)</f>
        <v>3109.8433179723502</v>
      </c>
      <c r="BD298" s="1227">
        <f>AZ298*(1+BD303)</f>
        <v>3122.625882352942</v>
      </c>
      <c r="BE298" s="592">
        <f>BE289*1000/BE297</f>
        <v>3309.007736733136</v>
      </c>
      <c r="BF298" s="12"/>
      <c r="BG298" s="14"/>
      <c r="CG298"/>
      <c r="CH298"/>
      <c r="CI298"/>
      <c r="CJ298"/>
      <c r="CK298"/>
      <c r="CL298"/>
    </row>
    <row r="299" spans="1:90" outlineLevel="1">
      <c r="BG299" s="15"/>
    </row>
    <row r="300" spans="1:90" outlineLevel="1">
      <c r="B300" s="144" t="s">
        <v>80</v>
      </c>
      <c r="BG300" s="15"/>
    </row>
    <row r="301" spans="1:90" outlineLevel="1">
      <c r="B301" s="401" t="s">
        <v>782</v>
      </c>
      <c r="I301" s="224">
        <f t="shared" ref="I301:R301" si="651">I295/H295-1</f>
        <v>0.64285714285714279</v>
      </c>
      <c r="J301" s="429">
        <f t="shared" si="651"/>
        <v>0.35714285714285698</v>
      </c>
      <c r="K301" s="224">
        <f t="shared" si="651"/>
        <v>0.40000000000000013</v>
      </c>
      <c r="L301" s="224">
        <f t="shared" si="651"/>
        <v>0.19999999999999996</v>
      </c>
      <c r="M301" s="224">
        <f t="shared" si="651"/>
        <v>0.18124999999999991</v>
      </c>
      <c r="N301" s="224">
        <f t="shared" si="651"/>
        <v>5.2000000000000046E-2</v>
      </c>
      <c r="O301" s="224">
        <f t="shared" si="651"/>
        <v>0.28350000000000009</v>
      </c>
      <c r="P301" s="224">
        <f t="shared" si="651"/>
        <v>0.25514999999999999</v>
      </c>
      <c r="Q301" s="224">
        <f t="shared" si="651"/>
        <v>0.22963500000000003</v>
      </c>
      <c r="R301" s="224">
        <f t="shared" si="651"/>
        <v>0.20667150000000012</v>
      </c>
      <c r="BG301" s="15"/>
    </row>
    <row r="302" spans="1:90" outlineLevel="1">
      <c r="B302" s="476" t="s">
        <v>635</v>
      </c>
      <c r="I302" s="224">
        <f>I297/H297-1</f>
        <v>1.052</v>
      </c>
      <c r="J302" s="429">
        <f>J297/I297-1</f>
        <v>0.70370370370370372</v>
      </c>
      <c r="K302" s="529">
        <v>0.5</v>
      </c>
      <c r="L302" s="529">
        <v>0.4</v>
      </c>
      <c r="M302" s="529">
        <v>0.35</v>
      </c>
      <c r="N302" s="529">
        <f>M302*0.9</f>
        <v>0.315</v>
      </c>
      <c r="O302" s="529">
        <f>N302*0.9</f>
        <v>0.28350000000000003</v>
      </c>
      <c r="P302" s="529">
        <f>O302*0.9</f>
        <v>0.25515000000000004</v>
      </c>
      <c r="Q302" s="529">
        <f>P302*0.9</f>
        <v>0.22963500000000003</v>
      </c>
      <c r="R302" s="529">
        <f>Q302*0.9</f>
        <v>0.20667150000000004</v>
      </c>
      <c r="AP302" s="15"/>
      <c r="AS302" s="359">
        <f t="shared" ref="AS302:AX303" si="652">AS297/AO297-1</f>
        <v>1</v>
      </c>
      <c r="AT302" s="142">
        <f t="shared" si="652"/>
        <v>1.1939163498098861</v>
      </c>
      <c r="AU302" s="142">
        <f t="shared" si="652"/>
        <v>1.0798722044728435</v>
      </c>
      <c r="AV302" s="142">
        <f t="shared" si="652"/>
        <v>0.99738903394255884</v>
      </c>
      <c r="AW302" s="359">
        <f t="shared" si="652"/>
        <v>0.70370370370370372</v>
      </c>
      <c r="AX302" s="142">
        <f t="shared" si="652"/>
        <v>0.75216637781629125</v>
      </c>
      <c r="AY302" s="142">
        <f t="shared" ref="AY302:BE302" si="653">AY297/AU297-1</f>
        <v>0.76339140176279852</v>
      </c>
      <c r="AZ302" s="142">
        <f t="shared" si="653"/>
        <v>0.67233560090702915</v>
      </c>
      <c r="BA302" s="359">
        <f t="shared" si="653"/>
        <v>0.5</v>
      </c>
      <c r="BB302" s="142">
        <f t="shared" si="653"/>
        <v>0.45599999999999996</v>
      </c>
      <c r="BC302" s="142">
        <f t="shared" si="653"/>
        <v>0.46666666666666679</v>
      </c>
      <c r="BD302" s="142">
        <f t="shared" si="653"/>
        <v>0.44144144144144137</v>
      </c>
      <c r="BE302" s="359">
        <f t="shared" si="653"/>
        <v>0.39999999999999991</v>
      </c>
      <c r="BG302" s="15"/>
    </row>
    <row r="303" spans="1:90" outlineLevel="1">
      <c r="B303" s="476" t="s">
        <v>577</v>
      </c>
      <c r="J303" s="429">
        <f>J298/I298-1</f>
        <v>0.29542606967466911</v>
      </c>
      <c r="K303" s="529">
        <v>0.28000000000000003</v>
      </c>
      <c r="L303" s="529">
        <v>0.2</v>
      </c>
      <c r="M303" s="529">
        <v>0.18</v>
      </c>
      <c r="N303" s="529">
        <f>M303*0.8</f>
        <v>0.14399999999999999</v>
      </c>
      <c r="O303" s="529">
        <f>N303*0.8</f>
        <v>0.1152</v>
      </c>
      <c r="P303" s="529">
        <f>O303*0.8</f>
        <v>9.2160000000000006E-2</v>
      </c>
      <c r="Q303" s="529">
        <f>P303*0.8</f>
        <v>7.3728000000000002E-2</v>
      </c>
      <c r="R303" s="529">
        <f>Q303*0.8</f>
        <v>5.8982400000000004E-2</v>
      </c>
      <c r="AS303" s="359">
        <f t="shared" si="652"/>
        <v>0.37371134020618557</v>
      </c>
      <c r="AT303" s="142">
        <f t="shared" si="652"/>
        <v>0.16817881327163242</v>
      </c>
      <c r="AU303" s="142">
        <f t="shared" si="652"/>
        <v>0.10605942262585244</v>
      </c>
      <c r="AV303" s="142">
        <f t="shared" si="652"/>
        <v>7.8330819507290261E-2</v>
      </c>
      <c r="AW303" s="359">
        <f t="shared" si="652"/>
        <v>0.19098213557386412</v>
      </c>
      <c r="AX303" s="142">
        <f t="shared" si="652"/>
        <v>0.11619092635872641</v>
      </c>
      <c r="AY303" s="1290">
        <v>0.13</v>
      </c>
      <c r="AZ303" s="1290">
        <v>0.22</v>
      </c>
      <c r="BA303" s="359">
        <f>BA298/AW298-1</f>
        <v>0.16750192633687755</v>
      </c>
      <c r="BB303" s="557">
        <v>0.25</v>
      </c>
      <c r="BC303" s="557">
        <v>0.2</v>
      </c>
      <c r="BD303" s="557">
        <v>0.11</v>
      </c>
      <c r="BE303" s="359">
        <f>BE298/BA298-1</f>
        <v>0.14523625984887434</v>
      </c>
      <c r="BG303" s="15"/>
    </row>
    <row r="304" spans="1:90" outlineLevel="1">
      <c r="B304" s="144" t="s">
        <v>81</v>
      </c>
      <c r="BG304" s="15"/>
    </row>
    <row r="305" spans="1:90" outlineLevel="1">
      <c r="B305" s="476" t="s">
        <v>635</v>
      </c>
      <c r="AP305" s="142">
        <f t="shared" ref="AP305:AW306" si="654">AP297/AO297-1</f>
        <v>2.5341130604288553E-2</v>
      </c>
      <c r="AQ305" s="142">
        <f t="shared" si="654"/>
        <v>0.19011406844106471</v>
      </c>
      <c r="AR305" s="142">
        <f t="shared" si="654"/>
        <v>0.22364217252396168</v>
      </c>
      <c r="AS305" s="359">
        <f t="shared" si="654"/>
        <v>0.33942558746736284</v>
      </c>
      <c r="AT305" s="142">
        <f t="shared" si="654"/>
        <v>0.12475633528265107</v>
      </c>
      <c r="AU305" s="142">
        <f t="shared" si="654"/>
        <v>0.12824956672443677</v>
      </c>
      <c r="AV305" s="142">
        <f t="shared" si="654"/>
        <v>0.1751152073732718</v>
      </c>
      <c r="AW305" s="359">
        <f t="shared" si="654"/>
        <v>0.14248366013071889</v>
      </c>
      <c r="AX305" s="286"/>
      <c r="AY305" s="286"/>
      <c r="BB305" s="286"/>
      <c r="BC305" s="286"/>
      <c r="BG305" s="15"/>
    </row>
    <row r="306" spans="1:90" outlineLevel="1">
      <c r="B306" s="476" t="s">
        <v>577</v>
      </c>
      <c r="AP306" s="142">
        <f t="shared" si="654"/>
        <v>0.21910646387832711</v>
      </c>
      <c r="AQ306" s="142">
        <f t="shared" si="654"/>
        <v>0.12438325483350332</v>
      </c>
      <c r="AR306" s="142">
        <f t="shared" si="654"/>
        <v>3.1299408207847268E-2</v>
      </c>
      <c r="AS306" s="359">
        <f t="shared" si="654"/>
        <v>-2.824963643677092E-2</v>
      </c>
      <c r="AT306" s="142">
        <f t="shared" si="654"/>
        <v>3.6705675015688888E-2</v>
      </c>
      <c r="AU306" s="142">
        <f t="shared" si="654"/>
        <v>6.4592748577904313E-2</v>
      </c>
      <c r="AV306" s="142">
        <f t="shared" si="654"/>
        <v>5.4450179267955257E-3</v>
      </c>
      <c r="AW306" s="359">
        <f t="shared" si="654"/>
        <v>7.3267407649558525E-2</v>
      </c>
      <c r="AX306" s="286"/>
      <c r="AY306" s="286"/>
      <c r="BB306" s="286"/>
      <c r="BC306" s="286"/>
      <c r="BG306" s="15"/>
    </row>
    <row r="307" spans="1:90" outlineLevel="1"/>
    <row r="308" spans="1:90" outlineLevel="1">
      <c r="BG308" s="15"/>
    </row>
    <row r="309" spans="1:90" outlineLevel="1">
      <c r="B309" s="339" t="s">
        <v>645</v>
      </c>
      <c r="C309" s="340"/>
      <c r="D309" s="340"/>
      <c r="E309" s="340"/>
      <c r="F309" s="340"/>
      <c r="G309" s="340"/>
      <c r="H309" s="340"/>
      <c r="I309" s="341"/>
      <c r="J309" s="1401"/>
      <c r="K309" s="1258"/>
      <c r="L309" s="1258"/>
      <c r="M309" s="1258"/>
      <c r="N309" s="341"/>
      <c r="O309" s="341"/>
      <c r="P309" s="341"/>
      <c r="Q309" s="341"/>
      <c r="R309" s="341"/>
      <c r="S309" s="276"/>
      <c r="T309" s="340"/>
      <c r="V309" s="342"/>
      <c r="W309" s="342"/>
      <c r="X309" s="342"/>
      <c r="Y309" s="343"/>
      <c r="Z309" s="342"/>
      <c r="AA309" s="342"/>
      <c r="AB309" s="342"/>
      <c r="AC309" s="343"/>
      <c r="AD309" s="342"/>
      <c r="AE309" s="342"/>
      <c r="AF309" s="342"/>
      <c r="AG309" s="343"/>
      <c r="AH309" s="342"/>
      <c r="AI309" s="342"/>
      <c r="AJ309" s="342"/>
      <c r="AK309" s="343"/>
      <c r="AL309" s="344"/>
      <c r="AM309" s="344"/>
      <c r="AN309" s="344"/>
      <c r="AO309" s="343"/>
      <c r="AP309" s="342"/>
      <c r="AQ309" s="342"/>
      <c r="AR309" s="345"/>
      <c r="AS309" s="346"/>
      <c r="AT309" s="345"/>
      <c r="AU309" s="345"/>
      <c r="AV309" s="345"/>
      <c r="AW309" s="346"/>
      <c r="AX309" s="347"/>
      <c r="AY309" s="347"/>
      <c r="AZ309" s="347"/>
      <c r="BA309" s="1521"/>
      <c r="BB309" s="347"/>
      <c r="BC309" s="347"/>
      <c r="BD309" s="347"/>
      <c r="BE309" s="347"/>
      <c r="BF309" s="283"/>
      <c r="BG309" s="15"/>
      <c r="BJ309" s="454"/>
      <c r="BK309" s="454"/>
      <c r="BL309" s="454"/>
      <c r="BM309" s="454"/>
      <c r="BN309" s="454"/>
      <c r="BO309" s="454"/>
      <c r="BP309" s="454"/>
      <c r="BQ309" s="454"/>
    </row>
    <row r="310" spans="1:90" s="226" customFormat="1" outlineLevel="1">
      <c r="A310" s="1349"/>
      <c r="B310" s="271" t="s">
        <v>662</v>
      </c>
      <c r="I310" s="446">
        <f>I315</f>
        <v>3972</v>
      </c>
      <c r="J310" s="566">
        <f t="shared" ref="J310:R310" si="655">J313+J315</f>
        <v>14733</v>
      </c>
      <c r="K310" s="440">
        <f t="shared" si="655"/>
        <v>19490.849999999999</v>
      </c>
      <c r="L310" s="440">
        <f t="shared" si="655"/>
        <v>23288.305499999999</v>
      </c>
      <c r="M310" s="440">
        <f t="shared" si="655"/>
        <v>29195.348534999997</v>
      </c>
      <c r="N310" s="440">
        <f t="shared" si="655"/>
        <v>35566.033734359997</v>
      </c>
      <c r="O310" s="440">
        <f t="shared" si="655"/>
        <v>42115.949648219001</v>
      </c>
      <c r="P310" s="440">
        <f t="shared" si="655"/>
        <v>48578.507364194069</v>
      </c>
      <c r="Q310" s="440">
        <f t="shared" si="655"/>
        <v>54737.381338797975</v>
      </c>
      <c r="R310" s="440">
        <f t="shared" si="655"/>
        <v>60440.491481715333</v>
      </c>
      <c r="T310" s="15">
        <f>(M310/J310)^(1/3)-1</f>
        <v>0.2560516310241947</v>
      </c>
      <c r="V310" s="291"/>
      <c r="W310" s="291"/>
      <c r="X310" s="291"/>
      <c r="Y310" s="292"/>
      <c r="Z310" s="291"/>
      <c r="AA310" s="291"/>
      <c r="AB310" s="291"/>
      <c r="AC310" s="292"/>
      <c r="AD310" s="291"/>
      <c r="AE310" s="291"/>
      <c r="AF310" s="291"/>
      <c r="AG310" s="292"/>
      <c r="AH310" s="291"/>
      <c r="AI310" s="291"/>
      <c r="AJ310" s="291"/>
      <c r="AK310" s="292"/>
      <c r="AL310" s="291"/>
      <c r="AM310" s="291"/>
      <c r="AN310" s="291"/>
      <c r="AO310" s="292"/>
      <c r="AP310" s="446">
        <f>Reported!P135</f>
        <v>812</v>
      </c>
      <c r="AQ310" s="446">
        <f>Reported!Q135</f>
        <v>898</v>
      </c>
      <c r="AR310" s="446">
        <f>Reported!R135</f>
        <v>1088</v>
      </c>
      <c r="AS310" s="447">
        <f>Reported!S135</f>
        <v>1174</v>
      </c>
      <c r="AT310" s="446">
        <f>Reported!T135</f>
        <v>3135</v>
      </c>
      <c r="AU310" s="446">
        <f>Reported!U135</f>
        <v>3608</v>
      </c>
      <c r="AV310" s="446">
        <f>Reported!V135</f>
        <v>4063</v>
      </c>
      <c r="AW310" s="447">
        <f>Reported!W135</f>
        <v>3927</v>
      </c>
      <c r="AX310" s="446">
        <f>Reported!X135</f>
        <v>4081</v>
      </c>
      <c r="AY310" s="446">
        <f>Reported!Y135</f>
        <v>4798</v>
      </c>
      <c r="AZ310" s="446">
        <f>Reported!Z135</f>
        <v>5413</v>
      </c>
      <c r="BA310" s="1542">
        <f>K310-SUM(AX310:AZ310)</f>
        <v>5198.8499999999985</v>
      </c>
      <c r="BB310" s="441">
        <f>AX310*(BB311+1)</f>
        <v>5101.25</v>
      </c>
      <c r="BC310" s="441">
        <f>AY310*(BC311+1)</f>
        <v>5757.5999999999995</v>
      </c>
      <c r="BD310" s="441">
        <f>AZ310*(BD311+1)</f>
        <v>6224.95</v>
      </c>
      <c r="BE310" s="373">
        <f>L310-SUM(BB310:BD310)</f>
        <v>6204.5054999999993</v>
      </c>
      <c r="BF310" s="440"/>
      <c r="BG310" s="302"/>
      <c r="CG310"/>
      <c r="CH310"/>
      <c r="CI310"/>
      <c r="CJ310"/>
      <c r="CK310"/>
      <c r="CL310"/>
    </row>
    <row r="311" spans="1:90" s="225" customFormat="1" outlineLevel="1">
      <c r="A311" s="1348"/>
      <c r="B311" s="374" t="s">
        <v>80</v>
      </c>
      <c r="I311" s="15"/>
      <c r="J311" s="435">
        <f t="shared" ref="J311:R311" si="656">J310/I310-1</f>
        <v>2.7092145015105742</v>
      </c>
      <c r="K311" s="15">
        <f t="shared" si="656"/>
        <v>0.32293830177153326</v>
      </c>
      <c r="L311" s="15">
        <f t="shared" si="656"/>
        <v>0.19483272920370331</v>
      </c>
      <c r="M311" s="15">
        <f t="shared" si="656"/>
        <v>0.2536484689708316</v>
      </c>
      <c r="N311" s="15">
        <f t="shared" si="656"/>
        <v>0.21820891063255132</v>
      </c>
      <c r="O311" s="15">
        <f t="shared" si="656"/>
        <v>0.18416211272754857</v>
      </c>
      <c r="P311" s="15">
        <f t="shared" si="656"/>
        <v>0.15344680032041857</v>
      </c>
      <c r="Q311" s="15">
        <f t="shared" si="656"/>
        <v>0.12678186936520519</v>
      </c>
      <c r="R311" s="15">
        <f t="shared" si="656"/>
        <v>0.10419040888379105</v>
      </c>
      <c r="V311" s="218"/>
      <c r="W311" s="218"/>
      <c r="X311" s="218"/>
      <c r="Y311" s="277"/>
      <c r="Z311" s="218"/>
      <c r="AA311" s="218"/>
      <c r="AB311" s="218"/>
      <c r="AC311" s="277"/>
      <c r="AD311" s="218"/>
      <c r="AE311" s="218"/>
      <c r="AF311" s="218"/>
      <c r="AG311" s="277"/>
      <c r="AH311" s="218"/>
      <c r="AI311" s="218"/>
      <c r="AJ311" s="218"/>
      <c r="AK311" s="277"/>
      <c r="AL311" s="218"/>
      <c r="AM311" s="218"/>
      <c r="AN311" s="218"/>
      <c r="AO311" s="277"/>
      <c r="AP311" s="583"/>
      <c r="AQ311" s="583"/>
      <c r="AR311" s="583"/>
      <c r="AS311" s="593"/>
      <c r="AT311" s="301">
        <f t="shared" ref="AT311:AZ311" si="657">AT310/AP310-1</f>
        <v>2.8608374384236455</v>
      </c>
      <c r="AU311" s="301">
        <f t="shared" si="657"/>
        <v>3.0178173719376389</v>
      </c>
      <c r="AV311" s="301">
        <f t="shared" si="657"/>
        <v>2.734375</v>
      </c>
      <c r="AW311" s="335">
        <f t="shared" si="657"/>
        <v>2.3449744463373086</v>
      </c>
      <c r="AX311" s="301">
        <f t="shared" si="657"/>
        <v>0.30175438596491233</v>
      </c>
      <c r="AY311" s="301">
        <f t="shared" si="657"/>
        <v>0.32982261640798227</v>
      </c>
      <c r="AZ311" s="301">
        <f t="shared" si="657"/>
        <v>0.3322667979325622</v>
      </c>
      <c r="BA311" s="359">
        <f>BA310/AW310-1</f>
        <v>0.32387318563789114</v>
      </c>
      <c r="BB311" s="381">
        <v>0.25</v>
      </c>
      <c r="BC311" s="381">
        <v>0.2</v>
      </c>
      <c r="BD311" s="381">
        <v>0.15</v>
      </c>
      <c r="BE311" s="142">
        <f>BE310/BA310-1</f>
        <v>0.1934380680342771</v>
      </c>
      <c r="BF311" s="583"/>
      <c r="BG311" s="301"/>
      <c r="CG311"/>
      <c r="CH311"/>
      <c r="CI311"/>
      <c r="CJ311"/>
      <c r="CK311"/>
      <c r="CL311"/>
    </row>
    <row r="312" spans="1:90" outlineLevel="1">
      <c r="B312" s="357"/>
      <c r="C312" s="357"/>
      <c r="AM312" s="569"/>
      <c r="AT312" s="11" t="s">
        <v>660</v>
      </c>
      <c r="BG312" s="15"/>
    </row>
    <row r="313" spans="1:90" outlineLevel="1">
      <c r="B313" s="268" t="s">
        <v>555</v>
      </c>
      <c r="C313" s="350"/>
      <c r="D313" s="350"/>
      <c r="E313" s="350"/>
      <c r="F313" s="350"/>
      <c r="G313" s="350"/>
      <c r="H313" s="350"/>
      <c r="I313" s="350">
        <f>SUM(AP313:AS313)</f>
        <v>6959.8082400000003</v>
      </c>
      <c r="J313" s="668">
        <v>7200</v>
      </c>
      <c r="K313" s="351">
        <f>J313*(1+K314)</f>
        <v>8568</v>
      </c>
      <c r="L313" s="351">
        <f t="shared" ref="L313:R313" si="658">K313*(1+L314)</f>
        <v>9853.1999999999989</v>
      </c>
      <c r="M313" s="351">
        <f t="shared" si="658"/>
        <v>10789.253999999999</v>
      </c>
      <c r="N313" s="351">
        <f t="shared" si="658"/>
        <v>11711.735216999998</v>
      </c>
      <c r="O313" s="351">
        <f t="shared" si="658"/>
        <v>12612.953241948147</v>
      </c>
      <c r="P313" s="351">
        <f t="shared" si="658"/>
        <v>13486.463318719267</v>
      </c>
      <c r="Q313" s="351">
        <f t="shared" si="658"/>
        <v>14327.067834143378</v>
      </c>
      <c r="R313" s="351">
        <f t="shared" si="658"/>
        <v>15130.766911254792</v>
      </c>
      <c r="S313" s="350"/>
      <c r="T313" s="15">
        <f>(M313/J313)^(1/3)-1</f>
        <v>0.14433445300481895</v>
      </c>
      <c r="U313" s="350"/>
      <c r="V313" s="569"/>
      <c r="W313" s="569"/>
      <c r="X313" s="569"/>
      <c r="Y313" s="594"/>
      <c r="Z313" s="569"/>
      <c r="AA313" s="569"/>
      <c r="AB313" s="569"/>
      <c r="AC313" s="594"/>
      <c r="AD313" s="595"/>
      <c r="AE313" s="595"/>
      <c r="AF313" s="595"/>
      <c r="AG313" s="596">
        <v>515.99699999999996</v>
      </c>
      <c r="AH313" s="595">
        <v>753.45699999999999</v>
      </c>
      <c r="AI313" s="595">
        <v>857.74300000000005</v>
      </c>
      <c r="AJ313" s="595">
        <v>901.3</v>
      </c>
      <c r="AK313" s="597">
        <v>774.68499999999995</v>
      </c>
      <c r="AL313" s="598">
        <v>958.71900000000005</v>
      </c>
      <c r="AM313" s="598">
        <v>1106.6410000000001</v>
      </c>
      <c r="AN313" s="598">
        <v>1282.3689999999999</v>
      </c>
      <c r="AO313" s="596">
        <v>1139.4580000000001</v>
      </c>
      <c r="AP313" s="595">
        <v>1609</v>
      </c>
      <c r="AQ313" s="595">
        <v>1854.8409999999999</v>
      </c>
      <c r="AR313" s="599">
        <f>AN313*(1+AR314)</f>
        <v>1820.9639799999998</v>
      </c>
      <c r="AS313" s="600">
        <f>AO313*(1+AS314)</f>
        <v>1675.0032600000002</v>
      </c>
      <c r="AT313" s="599">
        <f>AP313*(1+AT314)</f>
        <v>1609</v>
      </c>
      <c r="AU313" s="599">
        <f>AQ313*(1+AU314)</f>
        <v>1762.0989499999998</v>
      </c>
      <c r="AV313" s="599">
        <f>AR313*(1+AV314)</f>
        <v>1875.5928993999999</v>
      </c>
      <c r="AW313" s="601">
        <f>J313-SUM(AT313:AV313)</f>
        <v>1953.3081506000008</v>
      </c>
      <c r="AX313" s="602">
        <f>AT313*(1+AX314)</f>
        <v>1737.72</v>
      </c>
      <c r="AY313" s="602">
        <f>AU313*(1+AY314)</f>
        <v>1850.2038974999998</v>
      </c>
      <c r="AZ313" s="602">
        <f>AV313*(1+AZ314)</f>
        <v>2625.8300591599996</v>
      </c>
      <c r="BA313" s="1543">
        <f>K313-SUM(AX313:AZ313)</f>
        <v>2354.2460433400011</v>
      </c>
      <c r="BB313" s="602">
        <f>AX313*(1+BB314)</f>
        <v>2189.5272</v>
      </c>
      <c r="BC313" s="602">
        <f>AY313*(1+BC314)</f>
        <v>2405.2650667499997</v>
      </c>
      <c r="BD313" s="602">
        <f>AZ313*(1+BD314)</f>
        <v>2625.8300591599996</v>
      </c>
      <c r="BE313" s="469">
        <f>L313-SUM(BB313:BD313)</f>
        <v>2632.5776740900001</v>
      </c>
      <c r="BF313" s="1283"/>
      <c r="BG313" s="15"/>
    </row>
    <row r="314" spans="1:90" outlineLevel="1">
      <c r="B314" s="476" t="s">
        <v>659</v>
      </c>
      <c r="H314" s="15"/>
      <c r="I314" s="15"/>
      <c r="J314" s="435">
        <f>J313/I313-1</f>
        <v>3.4511261189575482E-2</v>
      </c>
      <c r="K314" s="333">
        <v>0.19</v>
      </c>
      <c r="L314" s="333">
        <v>0.15</v>
      </c>
      <c r="M314" s="333">
        <v>9.5000000000000001E-2</v>
      </c>
      <c r="N314" s="333">
        <f>M314*0.9</f>
        <v>8.5500000000000007E-2</v>
      </c>
      <c r="O314" s="333">
        <f>N314*0.9</f>
        <v>7.6950000000000005E-2</v>
      </c>
      <c r="P314" s="333">
        <f>O314*0.9</f>
        <v>6.9255000000000011E-2</v>
      </c>
      <c r="Q314" s="333">
        <f>P314*0.9</f>
        <v>6.232950000000001E-2</v>
      </c>
      <c r="R314" s="333">
        <f>Q314*0.9</f>
        <v>5.6096550000000009E-2</v>
      </c>
      <c r="AK314" s="603">
        <f t="shared" ref="AK314:AQ314" si="659">AK313/AG313-1</f>
        <v>0.50133624807896182</v>
      </c>
      <c r="AL314" s="542">
        <f t="shared" si="659"/>
        <v>0.27242695999904454</v>
      </c>
      <c r="AM314" s="542">
        <f t="shared" si="659"/>
        <v>0.29017782715801821</v>
      </c>
      <c r="AN314" s="542">
        <f t="shared" si="659"/>
        <v>0.42279928991456783</v>
      </c>
      <c r="AO314" s="603">
        <f t="shared" si="659"/>
        <v>0.47086622304549608</v>
      </c>
      <c r="AP314" s="542">
        <f t="shared" si="659"/>
        <v>0.67828112304022348</v>
      </c>
      <c r="AQ314" s="542">
        <f t="shared" si="659"/>
        <v>0.67610001798234465</v>
      </c>
      <c r="AR314" s="604">
        <v>0.42</v>
      </c>
      <c r="AS314" s="605">
        <v>0.47</v>
      </c>
      <c r="AT314" s="604">
        <v>0</v>
      </c>
      <c r="AU314" s="378">
        <v>-0.05</v>
      </c>
      <c r="AV314" s="378">
        <v>0.03</v>
      </c>
      <c r="AW314" s="359">
        <f>AW313/AS313-1</f>
        <v>0.16615185011639944</v>
      </c>
      <c r="AX314" s="381">
        <v>0.08</v>
      </c>
      <c r="AY314" s="381">
        <v>0.05</v>
      </c>
      <c r="AZ314" s="381">
        <v>0.4</v>
      </c>
      <c r="BA314" s="359">
        <f>BA313/AW313-1</f>
        <v>0.20526095312551873</v>
      </c>
      <c r="BB314" s="381">
        <v>0.26</v>
      </c>
      <c r="BC314" s="381">
        <v>0.3</v>
      </c>
      <c r="BD314" s="381">
        <v>0</v>
      </c>
      <c r="BE314" s="142">
        <f>BE313/BA313-1</f>
        <v>0.11822537900716878</v>
      </c>
      <c r="BF314" s="252"/>
      <c r="BG314" s="15"/>
    </row>
    <row r="315" spans="1:90" outlineLevel="1">
      <c r="B315" s="268" t="s">
        <v>705</v>
      </c>
      <c r="G315" s="350"/>
      <c r="H315" s="350"/>
      <c r="I315" s="350">
        <f>SUM(AP315:AS315)</f>
        <v>3972</v>
      </c>
      <c r="J315" s="593">
        <f>SUM(AT315:AW315)</f>
        <v>7533</v>
      </c>
      <c r="K315" s="351">
        <f t="shared" ref="K315:R315" si="660">J315*(1+K316)</f>
        <v>10922.85</v>
      </c>
      <c r="L315" s="351">
        <f t="shared" si="660"/>
        <v>13435.1055</v>
      </c>
      <c r="M315" s="351">
        <f t="shared" si="660"/>
        <v>18406.094535</v>
      </c>
      <c r="N315" s="351">
        <f t="shared" si="660"/>
        <v>23854.298517360003</v>
      </c>
      <c r="O315" s="351">
        <f t="shared" si="660"/>
        <v>29502.996406270853</v>
      </c>
      <c r="P315" s="351">
        <f t="shared" si="660"/>
        <v>35092.044045474802</v>
      </c>
      <c r="Q315" s="351">
        <f t="shared" si="660"/>
        <v>40410.313504654601</v>
      </c>
      <c r="R315" s="351">
        <f t="shared" si="660"/>
        <v>45309.724570460538</v>
      </c>
      <c r="T315" s="15">
        <f>(M315/J315)^(1/3)-1</f>
        <v>0.34688720396706119</v>
      </c>
      <c r="AP315" s="606">
        <f>AP310</f>
        <v>812</v>
      </c>
      <c r="AQ315" s="606">
        <f>AQ310</f>
        <v>898</v>
      </c>
      <c r="AR315" s="606">
        <f>AR310</f>
        <v>1088</v>
      </c>
      <c r="AS315" s="607">
        <f>AS310</f>
        <v>1174</v>
      </c>
      <c r="AT315" s="41">
        <f t="shared" ref="AT315:BA315" si="661">AT310-AT313</f>
        <v>1526</v>
      </c>
      <c r="AU315" s="41">
        <f t="shared" si="661"/>
        <v>1845.9010500000002</v>
      </c>
      <c r="AV315" s="41">
        <f t="shared" si="661"/>
        <v>2187.4071006000004</v>
      </c>
      <c r="AW315" s="363">
        <f t="shared" si="661"/>
        <v>1973.6918493999992</v>
      </c>
      <c r="AX315" s="41">
        <f t="shared" si="661"/>
        <v>2343.2799999999997</v>
      </c>
      <c r="AY315" s="41">
        <f t="shared" si="661"/>
        <v>2947.7961025000004</v>
      </c>
      <c r="AZ315" s="41">
        <f t="shared" ref="AZ315" si="662">AZ310-AZ313</f>
        <v>2787.1699408400004</v>
      </c>
      <c r="BA315" s="363">
        <f t="shared" si="661"/>
        <v>2844.6039566599975</v>
      </c>
      <c r="BB315" s="41">
        <f>BB310-BB313</f>
        <v>2911.7228</v>
      </c>
      <c r="BC315" s="41">
        <f>BC310-BC313</f>
        <v>3352.3349332499997</v>
      </c>
      <c r="BD315" s="41">
        <f>BD310-BD313</f>
        <v>3599.1199408400003</v>
      </c>
      <c r="BE315" s="41">
        <f>BE310-BE313</f>
        <v>3571.9278259099992</v>
      </c>
      <c r="BF315" s="252"/>
      <c r="BG315" s="15"/>
    </row>
    <row r="316" spans="1:90" outlineLevel="1">
      <c r="B316" s="476" t="s">
        <v>659</v>
      </c>
      <c r="G316" s="274"/>
      <c r="H316" s="275"/>
      <c r="I316" s="275"/>
      <c r="J316" s="435">
        <f>J315/I315-1</f>
        <v>0.8965256797583081</v>
      </c>
      <c r="K316" s="333">
        <v>0.45</v>
      </c>
      <c r="L316" s="333">
        <v>0.23</v>
      </c>
      <c r="M316" s="333">
        <v>0.37</v>
      </c>
      <c r="N316" s="333">
        <f>M316*0.8</f>
        <v>0.29599999999999999</v>
      </c>
      <c r="O316" s="333">
        <f>N316*0.8</f>
        <v>0.23680000000000001</v>
      </c>
      <c r="P316" s="333">
        <f>O316*0.8</f>
        <v>0.18944000000000003</v>
      </c>
      <c r="Q316" s="333">
        <f>P316*0.8</f>
        <v>0.15155200000000002</v>
      </c>
      <c r="R316" s="333">
        <f>Q316*0.8</f>
        <v>0.12124160000000002</v>
      </c>
      <c r="AT316" s="142">
        <f t="shared" ref="AT316:BA316" si="663">AT315/AP315-1</f>
        <v>0.8793103448275863</v>
      </c>
      <c r="AU316" s="142">
        <f t="shared" si="663"/>
        <v>1.0555690979955457</v>
      </c>
      <c r="AV316" s="142">
        <f t="shared" si="663"/>
        <v>1.0104844674632356</v>
      </c>
      <c r="AW316" s="359">
        <f t="shared" si="663"/>
        <v>0.6811685258943776</v>
      </c>
      <c r="AX316" s="142">
        <f t="shared" si="663"/>
        <v>0.53557011795543885</v>
      </c>
      <c r="AY316" s="142">
        <f t="shared" si="663"/>
        <v>0.59694156005816246</v>
      </c>
      <c r="AZ316" s="142">
        <f t="shared" si="663"/>
        <v>0.27418894273292183</v>
      </c>
      <c r="BA316" s="359">
        <f t="shared" si="663"/>
        <v>0.44126042650718489</v>
      </c>
      <c r="BB316" s="142">
        <f>BB315/AX315-1</f>
        <v>0.24258424089310715</v>
      </c>
      <c r="BC316" s="142">
        <f>BC315/AY315-1</f>
        <v>0.13723433259407369</v>
      </c>
      <c r="BD316" s="142">
        <f>BD315/AZ315-1</f>
        <v>0.29131700514655146</v>
      </c>
      <c r="BE316" s="142">
        <f>BE315/BA315-1</f>
        <v>0.25568545932277753</v>
      </c>
      <c r="BG316" s="15"/>
    </row>
    <row r="317" spans="1:90" outlineLevel="1">
      <c r="B317" s="476"/>
      <c r="G317" s="274"/>
      <c r="H317" s="275"/>
      <c r="I317" s="275"/>
      <c r="J317" s="435"/>
      <c r="K317" s="332"/>
      <c r="L317" s="332"/>
      <c r="M317" s="332"/>
      <c r="N317" s="332"/>
      <c r="O317" s="332"/>
      <c r="P317" s="332"/>
      <c r="Q317" s="332"/>
      <c r="R317" s="332"/>
      <c r="AT317" s="142"/>
      <c r="AU317" s="142"/>
      <c r="AV317" s="142"/>
      <c r="AW317" s="359"/>
      <c r="AX317" s="142"/>
      <c r="AY317" s="142"/>
      <c r="AZ317" s="142"/>
      <c r="BA317" s="359"/>
      <c r="BB317" s="142"/>
      <c r="BC317" s="142"/>
      <c r="BD317" s="142"/>
      <c r="BE317" s="142"/>
      <c r="BG317" s="15"/>
    </row>
    <row r="318" spans="1:90" s="13" customFormat="1" outlineLevel="1">
      <c r="A318" s="1349"/>
      <c r="B318" s="406" t="s">
        <v>704</v>
      </c>
      <c r="C318" s="496"/>
      <c r="F318" s="259"/>
      <c r="G318" s="516"/>
      <c r="H318" s="517"/>
      <c r="I318" s="407"/>
      <c r="J318" s="675">
        <v>500</v>
      </c>
      <c r="V318" s="12"/>
      <c r="W318" s="12"/>
      <c r="X318" s="12"/>
      <c r="Y318" s="408"/>
      <c r="Z318" s="12"/>
      <c r="AA318" s="12"/>
      <c r="AB318" s="12"/>
      <c r="AC318" s="408"/>
      <c r="AD318" s="259"/>
      <c r="AE318" s="259"/>
      <c r="AF318" s="259"/>
      <c r="AG318" s="260"/>
      <c r="AH318" s="259"/>
      <c r="AI318" s="259"/>
      <c r="AJ318" s="259"/>
      <c r="AK318" s="518"/>
      <c r="AL318" s="516"/>
      <c r="AM318" s="519"/>
      <c r="AN318" s="519"/>
      <c r="AO318" s="520"/>
      <c r="AP318" s="519"/>
      <c r="AQ318" s="519"/>
      <c r="AR318" s="519"/>
      <c r="AS318" s="521"/>
      <c r="AT318" s="364"/>
      <c r="AU318" s="364"/>
      <c r="AV318" s="364"/>
      <c r="AW318" s="521"/>
      <c r="AX318" s="522"/>
      <c r="AY318" s="522"/>
      <c r="AZ318" s="291"/>
      <c r="BA318" s="292"/>
      <c r="BB318" s="522"/>
      <c r="BC318" s="522"/>
      <c r="BD318" s="291"/>
      <c r="BE318" s="291"/>
      <c r="BF318" s="12"/>
      <c r="BG318" s="14"/>
      <c r="CG318"/>
      <c r="CH318"/>
      <c r="CI318"/>
      <c r="CJ318"/>
      <c r="CK318"/>
      <c r="CL318"/>
    </row>
    <row r="319" spans="1:90" outlineLevel="1">
      <c r="B319" s="476"/>
      <c r="G319" s="274"/>
      <c r="H319" s="275"/>
      <c r="I319" s="275"/>
      <c r="J319" s="1398"/>
      <c r="BG319" s="15"/>
    </row>
    <row r="320" spans="1:90" outlineLevel="1">
      <c r="B320" s="339" t="s">
        <v>606</v>
      </c>
      <c r="C320" s="340"/>
      <c r="D320" s="340"/>
      <c r="E320" s="340"/>
      <c r="F320" s="340"/>
      <c r="G320" s="340"/>
      <c r="H320" s="340"/>
      <c r="I320" s="341"/>
      <c r="J320" s="1401"/>
      <c r="K320" s="341"/>
      <c r="L320" s="341"/>
      <c r="M320" s="341"/>
      <c r="N320" s="341"/>
      <c r="O320" s="341"/>
      <c r="P320" s="341"/>
      <c r="Q320" s="341"/>
      <c r="R320" s="341"/>
      <c r="S320" s="276"/>
      <c r="T320" s="340"/>
      <c r="V320" s="342"/>
      <c r="W320" s="342"/>
      <c r="X320" s="342"/>
      <c r="Y320" s="343"/>
      <c r="Z320" s="342"/>
      <c r="AA320" s="342"/>
      <c r="AB320" s="342"/>
      <c r="AC320" s="343"/>
      <c r="AD320" s="342"/>
      <c r="AE320" s="342"/>
      <c r="AF320" s="342"/>
      <c r="AG320" s="343"/>
      <c r="AH320" s="342"/>
      <c r="AI320" s="342"/>
      <c r="AJ320" s="342"/>
      <c r="AK320" s="343"/>
      <c r="AL320" s="344"/>
      <c r="AM320" s="344"/>
      <c r="AN320" s="344"/>
      <c r="AO320" s="343"/>
      <c r="AP320" s="342"/>
      <c r="AQ320" s="342"/>
      <c r="AR320" s="345"/>
      <c r="AS320" s="346"/>
      <c r="AT320" s="345"/>
      <c r="AU320" s="345"/>
      <c r="AV320" s="345"/>
      <c r="AW320" s="346"/>
      <c r="AX320" s="347"/>
      <c r="AY320" s="347"/>
      <c r="AZ320" s="347"/>
      <c r="BA320" s="1521"/>
      <c r="BB320" s="347"/>
      <c r="BC320" s="347"/>
      <c r="BD320" s="347"/>
      <c r="BE320" s="347"/>
      <c r="BF320" s="283"/>
      <c r="BG320" s="15"/>
      <c r="BJ320" s="454"/>
      <c r="BK320" s="454"/>
      <c r="BL320" s="454"/>
      <c r="BM320" s="454"/>
      <c r="BN320" s="454"/>
      <c r="BO320" s="454"/>
      <c r="BP320" s="454"/>
      <c r="BQ320" s="454"/>
    </row>
    <row r="321" spans="1:90" s="225" customFormat="1" outlineLevel="1">
      <c r="A321" s="1348"/>
      <c r="B321" s="268" t="s">
        <v>661</v>
      </c>
      <c r="I321" s="583">
        <f>SUM(AP321:AS321)</f>
        <v>1817</v>
      </c>
      <c r="J321" s="593">
        <f>SUM(AT321:AW321)</f>
        <v>2997</v>
      </c>
      <c r="K321" s="351">
        <f t="shared" ref="K321:R321" si="664">J321*(1+K322)</f>
        <v>3146.85</v>
      </c>
      <c r="L321" s="351">
        <f t="shared" si="664"/>
        <v>3776.22</v>
      </c>
      <c r="M321" s="351">
        <f t="shared" si="664"/>
        <v>4342.6529999999993</v>
      </c>
      <c r="N321" s="351">
        <f t="shared" si="664"/>
        <v>4928.9111549999989</v>
      </c>
      <c r="O321" s="351">
        <f t="shared" si="664"/>
        <v>5527.7738603324988</v>
      </c>
      <c r="P321" s="351">
        <f t="shared" si="664"/>
        <v>6132.2359319598581</v>
      </c>
      <c r="Q321" s="351">
        <f t="shared" si="664"/>
        <v>6735.7399312036869</v>
      </c>
      <c r="R321" s="351">
        <f t="shared" si="664"/>
        <v>7332.3479920001573</v>
      </c>
      <c r="T321" s="15">
        <f>(M321/J321)^(1/3)-1</f>
        <v>0.13159094044769137</v>
      </c>
      <c r="V321" s="218"/>
      <c r="W321" s="218"/>
      <c r="X321" s="218"/>
      <c r="Y321" s="277"/>
      <c r="Z321" s="218"/>
      <c r="AA321" s="218"/>
      <c r="AB321" s="218"/>
      <c r="AC321" s="277"/>
      <c r="AD321" s="218"/>
      <c r="AE321" s="218"/>
      <c r="AF321" s="218"/>
      <c r="AG321" s="277"/>
      <c r="AH321" s="218"/>
      <c r="AI321" s="218"/>
      <c r="AJ321" s="218"/>
      <c r="AK321" s="277"/>
      <c r="AL321" s="218"/>
      <c r="AM321" s="218"/>
      <c r="AN321" s="218"/>
      <c r="AO321" s="277"/>
      <c r="AP321" s="584">
        <f>Reported!P136</f>
        <v>410</v>
      </c>
      <c r="AQ321" s="584">
        <f>Reported!Q136</f>
        <v>393</v>
      </c>
      <c r="AR321" s="584">
        <f>Reported!R136</f>
        <v>525</v>
      </c>
      <c r="AS321" s="585">
        <f>Reported!S136</f>
        <v>489</v>
      </c>
      <c r="AT321" s="584">
        <f>Reported!T136</f>
        <v>535</v>
      </c>
      <c r="AU321" s="584">
        <f>Reported!U136</f>
        <v>698</v>
      </c>
      <c r="AV321" s="584">
        <f>Reported!V136</f>
        <v>845</v>
      </c>
      <c r="AW321" s="585">
        <f>Reported!W136</f>
        <v>919</v>
      </c>
      <c r="AX321" s="584">
        <f>Reported!X136</f>
        <v>645</v>
      </c>
      <c r="AY321" s="584">
        <f>Reported!Y136</f>
        <v>887</v>
      </c>
      <c r="AZ321" s="584">
        <f>Reported!Z136</f>
        <v>772</v>
      </c>
      <c r="BA321" s="1542">
        <f>K321-SUM(AX321:AZ321)</f>
        <v>842.84999999999991</v>
      </c>
      <c r="BB321" s="441">
        <f>AX321*(BB322+1)</f>
        <v>774</v>
      </c>
      <c r="BC321" s="441">
        <f>AY321*(BC322+1)</f>
        <v>1020.05</v>
      </c>
      <c r="BD321" s="441">
        <f>AZ321*(BD322+1)</f>
        <v>1003.6</v>
      </c>
      <c r="BE321" s="373">
        <f>L321-SUM(BB321:BD321)</f>
        <v>978.56999999999971</v>
      </c>
      <c r="BF321" s="583"/>
      <c r="BG321" s="301"/>
      <c r="CG321"/>
      <c r="CH321"/>
      <c r="CI321"/>
      <c r="CJ321"/>
      <c r="CK321"/>
      <c r="CL321"/>
    </row>
    <row r="322" spans="1:90" s="225" customFormat="1" outlineLevel="1">
      <c r="A322" s="1348"/>
      <c r="B322" s="374" t="s">
        <v>80</v>
      </c>
      <c r="I322" s="583"/>
      <c r="J322" s="335">
        <f>J321/I321-1</f>
        <v>0.64942212438084757</v>
      </c>
      <c r="K322" s="333">
        <v>0.05</v>
      </c>
      <c r="L322" s="333">
        <v>0.2</v>
      </c>
      <c r="M322" s="333">
        <v>0.15</v>
      </c>
      <c r="N322" s="333">
        <f>M322*0.9</f>
        <v>0.13500000000000001</v>
      </c>
      <c r="O322" s="333">
        <f>N322*0.9</f>
        <v>0.12150000000000001</v>
      </c>
      <c r="P322" s="333">
        <f>O322*0.9</f>
        <v>0.10935000000000002</v>
      </c>
      <c r="Q322" s="333">
        <f>P322*0.9</f>
        <v>9.8415000000000016E-2</v>
      </c>
      <c r="R322" s="333">
        <f>Q322*0.9</f>
        <v>8.8573500000000013E-2</v>
      </c>
      <c r="V322" s="218"/>
      <c r="W322" s="218"/>
      <c r="X322" s="218"/>
      <c r="Y322" s="277"/>
      <c r="Z322" s="218"/>
      <c r="AA322" s="218"/>
      <c r="AB322" s="218"/>
      <c r="AC322" s="277"/>
      <c r="AD322" s="218"/>
      <c r="AE322" s="218"/>
      <c r="AF322" s="218"/>
      <c r="AG322" s="277"/>
      <c r="AH322" s="218"/>
      <c r="AI322" s="218"/>
      <c r="AJ322" s="218"/>
      <c r="AK322" s="277"/>
      <c r="AL322" s="218"/>
      <c r="AM322" s="218"/>
      <c r="AN322" s="218"/>
      <c r="AO322" s="277"/>
      <c r="AP322" s="583"/>
      <c r="AQ322" s="583"/>
      <c r="AR322" s="583"/>
      <c r="AS322" s="593"/>
      <c r="AT322" s="301">
        <f t="shared" ref="AT322:AZ322" si="665">AT321/AP321-1</f>
        <v>0.30487804878048785</v>
      </c>
      <c r="AU322" s="301">
        <f t="shared" si="665"/>
        <v>0.77608142493638677</v>
      </c>
      <c r="AV322" s="301">
        <f t="shared" si="665"/>
        <v>0.60952380952380958</v>
      </c>
      <c r="AW322" s="335">
        <f t="shared" si="665"/>
        <v>0.87934560327198374</v>
      </c>
      <c r="AX322" s="301">
        <f t="shared" si="665"/>
        <v>0.20560747663551404</v>
      </c>
      <c r="AY322" s="301">
        <f t="shared" si="665"/>
        <v>0.27077363896848139</v>
      </c>
      <c r="AZ322" s="301">
        <f t="shared" si="665"/>
        <v>-8.6390532544378673E-2</v>
      </c>
      <c r="BA322" s="359">
        <f>BA321/AW321-1</f>
        <v>-8.2861806311207986E-2</v>
      </c>
      <c r="BB322" s="381">
        <v>0.2</v>
      </c>
      <c r="BC322" s="381">
        <v>0.15</v>
      </c>
      <c r="BD322" s="381">
        <v>0.3</v>
      </c>
      <c r="BE322" s="142">
        <f>BE321/BA321-1</f>
        <v>0.16102509343299487</v>
      </c>
      <c r="BF322" s="583"/>
      <c r="BG322" s="301"/>
      <c r="CG322"/>
      <c r="CH322"/>
      <c r="CI322"/>
      <c r="CJ322"/>
      <c r="CK322"/>
      <c r="CL322"/>
    </row>
    <row r="323" spans="1:90" s="225" customFormat="1" outlineLevel="1">
      <c r="A323" s="1348"/>
      <c r="B323" s="374"/>
      <c r="I323" s="583"/>
      <c r="J323" s="335"/>
      <c r="K323" s="332"/>
      <c r="L323" s="332"/>
      <c r="M323" s="332"/>
      <c r="N323" s="332"/>
      <c r="O323" s="332"/>
      <c r="P323" s="332"/>
      <c r="Q323" s="332"/>
      <c r="R323" s="332"/>
      <c r="V323" s="218"/>
      <c r="W323" s="218"/>
      <c r="X323" s="218"/>
      <c r="Y323" s="277"/>
      <c r="Z323" s="218"/>
      <c r="AA323" s="218"/>
      <c r="AB323" s="218"/>
      <c r="AC323" s="277"/>
      <c r="AD323" s="218"/>
      <c r="AE323" s="218"/>
      <c r="AF323" s="218"/>
      <c r="AG323" s="277"/>
      <c r="AH323" s="218"/>
      <c r="AI323" s="218"/>
      <c r="AJ323" s="218"/>
      <c r="AK323" s="277"/>
      <c r="AL323" s="218"/>
      <c r="AM323" s="218"/>
      <c r="AN323" s="218"/>
      <c r="AO323" s="277"/>
      <c r="AP323" s="583"/>
      <c r="AQ323" s="583"/>
      <c r="AR323" s="583"/>
      <c r="AS323" s="593"/>
      <c r="AT323" s="301"/>
      <c r="AU323" s="301"/>
      <c r="AV323" s="301"/>
      <c r="AW323" s="335"/>
      <c r="AX323" s="301"/>
      <c r="AY323" s="301"/>
      <c r="AZ323" s="583"/>
      <c r="BA323" s="593"/>
      <c r="BB323" s="301"/>
      <c r="BC323" s="301"/>
      <c r="BD323" s="583"/>
      <c r="BE323" s="583"/>
      <c r="BF323" s="583"/>
      <c r="BG323" s="301"/>
      <c r="CG323"/>
      <c r="CH323"/>
      <c r="CI323"/>
      <c r="CJ323"/>
      <c r="CK323"/>
      <c r="CL323"/>
    </row>
    <row r="324" spans="1:90" outlineLevel="1">
      <c r="B324" s="374" t="s">
        <v>892</v>
      </c>
      <c r="C324" s="357"/>
      <c r="E324" s="450"/>
      <c r="F324" s="450"/>
      <c r="G324" s="450"/>
      <c r="H324" s="454">
        <f>H325*AVERAGE(G326:H326)</f>
        <v>355.29300000000001</v>
      </c>
      <c r="I324" s="454">
        <f>I325*AVERAGE(H326:I326)</f>
        <v>410.23182499999996</v>
      </c>
      <c r="J324" s="725">
        <f>J325*AVERAGE(I326:J326)</f>
        <v>460.79528249999998</v>
      </c>
      <c r="K324" s="454">
        <f>K325*AVERAGE(J326:K326)</f>
        <v>506.87481074999999</v>
      </c>
      <c r="L324" s="454">
        <f t="shared" ref="L324:R324" si="666">L325*AVERAGE(K326:L326)</f>
        <v>557.5622918250001</v>
      </c>
      <c r="M324" s="454">
        <f t="shared" si="666"/>
        <v>613.31852100750018</v>
      </c>
      <c r="N324" s="454">
        <f t="shared" si="666"/>
        <v>674.65037310825028</v>
      </c>
      <c r="O324" s="454">
        <f t="shared" si="666"/>
        <v>742.11541041907537</v>
      </c>
      <c r="P324" s="454">
        <f t="shared" si="666"/>
        <v>816.32695146098285</v>
      </c>
      <c r="Q324" s="454">
        <f t="shared" si="666"/>
        <v>897.95964660708125</v>
      </c>
      <c r="R324" s="454">
        <f t="shared" si="666"/>
        <v>987.75561126778962</v>
      </c>
      <c r="AO324" s="223"/>
      <c r="BG324" s="15"/>
    </row>
    <row r="325" spans="1:90" outlineLevel="1">
      <c r="B325" s="401" t="s">
        <v>13</v>
      </c>
      <c r="C325" s="357"/>
      <c r="E325" s="450"/>
      <c r="F325" s="450"/>
      <c r="G325" s="450"/>
      <c r="H325" s="609">
        <v>2.5000000000000001E-2</v>
      </c>
      <c r="I325" s="610">
        <f>H325</f>
        <v>2.5000000000000001E-2</v>
      </c>
      <c r="J325" s="1407">
        <f>I325</f>
        <v>2.5000000000000001E-2</v>
      </c>
      <c r="K325" s="610">
        <f>J325</f>
        <v>2.5000000000000001E-2</v>
      </c>
      <c r="L325" s="610">
        <f t="shared" ref="L325:R325" si="667">K325</f>
        <v>2.5000000000000001E-2</v>
      </c>
      <c r="M325" s="610">
        <f t="shared" si="667"/>
        <v>2.5000000000000001E-2</v>
      </c>
      <c r="N325" s="610">
        <f t="shared" si="667"/>
        <v>2.5000000000000001E-2</v>
      </c>
      <c r="O325" s="610">
        <f t="shared" si="667"/>
        <v>2.5000000000000001E-2</v>
      </c>
      <c r="P325" s="610">
        <f t="shared" si="667"/>
        <v>2.5000000000000001E-2</v>
      </c>
      <c r="Q325" s="610">
        <f t="shared" si="667"/>
        <v>2.5000000000000001E-2</v>
      </c>
      <c r="R325" s="610">
        <f t="shared" si="667"/>
        <v>2.5000000000000001E-2</v>
      </c>
      <c r="BG325" s="15"/>
    </row>
    <row r="326" spans="1:90" outlineLevel="1">
      <c r="B326" s="401" t="s">
        <v>14</v>
      </c>
      <c r="C326" s="357"/>
      <c r="E326" s="450"/>
      <c r="F326" s="307">
        <f>F597</f>
        <v>4426</v>
      </c>
      <c r="G326" s="307">
        <f>G597</f>
        <v>13159</v>
      </c>
      <c r="H326" s="454">
        <f>G326*(1+H327)</f>
        <v>15264.439999999999</v>
      </c>
      <c r="I326" s="454">
        <f>H326*(1+I327)</f>
        <v>17554.105999999996</v>
      </c>
      <c r="J326" s="725">
        <f>I326*(1+J327)</f>
        <v>19309.516599999999</v>
      </c>
      <c r="K326" s="454">
        <f>J326*(1+K327)</f>
        <v>21240.468260000001</v>
      </c>
      <c r="L326" s="454">
        <f t="shared" ref="L326:R326" si="668">K326*(1+L327)</f>
        <v>23364.515086000003</v>
      </c>
      <c r="M326" s="454">
        <f t="shared" si="668"/>
        <v>25700.966594600006</v>
      </c>
      <c r="N326" s="454">
        <f t="shared" si="668"/>
        <v>28271.063254060009</v>
      </c>
      <c r="O326" s="454">
        <f t="shared" si="668"/>
        <v>31098.169579466012</v>
      </c>
      <c r="P326" s="454">
        <f t="shared" si="668"/>
        <v>34207.986537412617</v>
      </c>
      <c r="Q326" s="454">
        <f t="shared" si="668"/>
        <v>37628.785191153882</v>
      </c>
      <c r="R326" s="454">
        <f t="shared" si="668"/>
        <v>41391.663710269277</v>
      </c>
      <c r="BG326" s="15"/>
    </row>
    <row r="327" spans="1:90" outlineLevel="1">
      <c r="B327" s="357" t="s">
        <v>15</v>
      </c>
      <c r="C327" s="357"/>
      <c r="E327" s="450"/>
      <c r="F327" s="450"/>
      <c r="G327" s="450"/>
      <c r="H327" s="611">
        <v>0.16</v>
      </c>
      <c r="I327" s="611">
        <v>0.15</v>
      </c>
      <c r="J327" s="1408">
        <v>0.1</v>
      </c>
      <c r="K327" s="611">
        <v>0.1</v>
      </c>
      <c r="L327" s="611">
        <f>K327</f>
        <v>0.1</v>
      </c>
      <c r="M327" s="611">
        <f t="shared" ref="M327:R327" si="669">L327</f>
        <v>0.1</v>
      </c>
      <c r="N327" s="611">
        <f t="shared" si="669"/>
        <v>0.1</v>
      </c>
      <c r="O327" s="611">
        <f t="shared" si="669"/>
        <v>0.1</v>
      </c>
      <c r="P327" s="611">
        <f t="shared" si="669"/>
        <v>0.1</v>
      </c>
      <c r="Q327" s="611">
        <f t="shared" si="669"/>
        <v>0.1</v>
      </c>
      <c r="R327" s="611">
        <f t="shared" si="669"/>
        <v>0.1</v>
      </c>
      <c r="S327" s="450"/>
      <c r="BG327" s="15"/>
    </row>
    <row r="328" spans="1:90" outlineLevel="1">
      <c r="B328" s="357"/>
      <c r="C328" s="357"/>
      <c r="E328" s="450"/>
      <c r="F328" s="450"/>
      <c r="G328" s="450"/>
      <c r="H328" s="450"/>
      <c r="I328" s="450"/>
      <c r="J328" s="1360"/>
      <c r="K328" s="450"/>
      <c r="L328" s="450"/>
      <c r="M328" s="450"/>
      <c r="N328" s="450"/>
      <c r="O328" s="450"/>
      <c r="P328" s="450"/>
      <c r="Q328" s="450"/>
      <c r="R328" s="450"/>
      <c r="S328" s="450"/>
      <c r="BG328" s="15"/>
    </row>
    <row r="329" spans="1:90" outlineLevel="1">
      <c r="B329" s="374" t="s">
        <v>891</v>
      </c>
      <c r="C329" s="357"/>
      <c r="E329" s="490">
        <v>27</v>
      </c>
      <c r="F329" s="490">
        <v>277</v>
      </c>
      <c r="G329" s="490">
        <v>1764</v>
      </c>
      <c r="H329" s="454">
        <f>SUM(AL329:AO329)</f>
        <v>1568</v>
      </c>
      <c r="I329" s="307">
        <f>SUM(AP329:AS329)</f>
        <v>1122</v>
      </c>
      <c r="J329" s="493">
        <f>SUM(AT329:AW329)</f>
        <v>1826</v>
      </c>
      <c r="K329" s="454">
        <f t="shared" ref="K329:R329" si="670">(J329)*(1+K330)</f>
        <v>2191.1999999999998</v>
      </c>
      <c r="L329" s="454">
        <f t="shared" si="670"/>
        <v>2519.8799999999997</v>
      </c>
      <c r="M329" s="454">
        <f t="shared" si="670"/>
        <v>2771.8679999999999</v>
      </c>
      <c r="N329" s="454">
        <f t="shared" si="670"/>
        <v>3021.3361199999999</v>
      </c>
      <c r="O329" s="454">
        <f t="shared" si="670"/>
        <v>3266.0643457199999</v>
      </c>
      <c r="P329" s="454">
        <f t="shared" si="670"/>
        <v>3504.1604365229878</v>
      </c>
      <c r="Q329" s="454">
        <f t="shared" si="670"/>
        <v>3734.068402763261</v>
      </c>
      <c r="R329" s="454">
        <f t="shared" si="670"/>
        <v>3954.5614078780286</v>
      </c>
      <c r="AH329" s="490">
        <v>187</v>
      </c>
      <c r="AI329" s="490">
        <v>204</v>
      </c>
      <c r="AJ329" s="490">
        <v>243</v>
      </c>
      <c r="AK329" s="491">
        <v>430</v>
      </c>
      <c r="AL329" s="612">
        <v>527</v>
      </c>
      <c r="AM329" s="354">
        <f>958-AL329</f>
        <v>431</v>
      </c>
      <c r="AN329" s="354">
        <v>344</v>
      </c>
      <c r="AO329" s="613">
        <v>266</v>
      </c>
      <c r="AP329" s="490">
        <v>364</v>
      </c>
      <c r="AQ329" s="490">
        <v>463</v>
      </c>
      <c r="AR329" s="490">
        <v>502</v>
      </c>
      <c r="AS329" s="491">
        <v>-207</v>
      </c>
      <c r="AT329" s="490">
        <v>372</v>
      </c>
      <c r="AU329" s="490">
        <v>413</v>
      </c>
      <c r="AV329" s="490">
        <v>512</v>
      </c>
      <c r="AW329" s="614">
        <v>529</v>
      </c>
      <c r="BG329" s="15"/>
    </row>
    <row r="330" spans="1:90" outlineLevel="1">
      <c r="B330" s="401" t="s">
        <v>80</v>
      </c>
      <c r="C330" s="357"/>
      <c r="F330" s="15">
        <f>F329/E329-1</f>
        <v>9.2592592592592595</v>
      </c>
      <c r="G330" s="15">
        <f>G329/F329-1</f>
        <v>5.3682310469314078</v>
      </c>
      <c r="H330" s="15">
        <f>H329/G329-1</f>
        <v>-0.11111111111111116</v>
      </c>
      <c r="I330" s="15">
        <f>I329/H329-1</f>
        <v>-0.28443877551020413</v>
      </c>
      <c r="J330" s="435">
        <f>J329/I329-1</f>
        <v>0.62745098039215685</v>
      </c>
      <c r="K330" s="615">
        <v>0.2</v>
      </c>
      <c r="L330" s="615">
        <v>0.15</v>
      </c>
      <c r="M330" s="615">
        <v>0.1</v>
      </c>
      <c r="N330" s="615">
        <f>M330*0.9</f>
        <v>9.0000000000000011E-2</v>
      </c>
      <c r="O330" s="615">
        <f>N330*0.9</f>
        <v>8.1000000000000016E-2</v>
      </c>
      <c r="P330" s="615">
        <f>O330*0.9</f>
        <v>7.290000000000002E-2</v>
      </c>
      <c r="Q330" s="615">
        <f>P330*0.9</f>
        <v>6.5610000000000016E-2</v>
      </c>
      <c r="R330" s="615">
        <f>Q330*0.9</f>
        <v>5.9049000000000018E-2</v>
      </c>
      <c r="AL330" s="142"/>
      <c r="BG330" s="15"/>
    </row>
    <row r="331" spans="1:90" outlineLevel="1">
      <c r="B331" s="357"/>
      <c r="C331" s="357"/>
      <c r="E331" s="450"/>
      <c r="F331" s="450"/>
      <c r="G331" s="450"/>
      <c r="H331" s="450"/>
      <c r="I331" s="450"/>
      <c r="J331" s="1360"/>
      <c r="K331" s="450"/>
      <c r="L331" s="450"/>
      <c r="M331" s="450"/>
      <c r="N331" s="450"/>
      <c r="O331" s="450"/>
      <c r="P331" s="450"/>
      <c r="Q331" s="450"/>
      <c r="R331" s="450"/>
      <c r="BG331" s="15"/>
    </row>
    <row r="332" spans="1:90" s="225" customFormat="1">
      <c r="A332" s="1348"/>
      <c r="B332" s="374"/>
      <c r="I332" s="583"/>
      <c r="J332" s="335"/>
      <c r="K332" s="332"/>
      <c r="L332" s="332"/>
      <c r="M332" s="332"/>
      <c r="N332" s="332"/>
      <c r="O332" s="332"/>
      <c r="P332" s="332"/>
      <c r="Q332" s="332"/>
      <c r="R332" s="332"/>
      <c r="V332" s="218"/>
      <c r="W332" s="218"/>
      <c r="X332" s="218"/>
      <c r="Y332" s="277"/>
      <c r="Z332" s="218"/>
      <c r="AA332" s="218"/>
      <c r="AB332" s="218"/>
      <c r="AC332" s="277"/>
      <c r="AD332" s="218"/>
      <c r="AE332" s="218"/>
      <c r="AF332" s="218"/>
      <c r="AG332" s="277"/>
      <c r="AH332" s="218"/>
      <c r="AI332" s="218"/>
      <c r="AJ332" s="218"/>
      <c r="AK332" s="277"/>
      <c r="AL332" s="218"/>
      <c r="AM332" s="218"/>
      <c r="AN332" s="218"/>
      <c r="AO332" s="277"/>
      <c r="AP332" s="583"/>
      <c r="AQ332" s="583"/>
      <c r="AR332" s="583"/>
      <c r="AS332" s="593"/>
      <c r="AT332" s="301"/>
      <c r="AU332" s="301"/>
      <c r="AV332" s="301"/>
      <c r="AW332" s="335"/>
      <c r="AX332" s="301"/>
      <c r="AY332" s="301"/>
      <c r="AZ332" s="583"/>
      <c r="BA332" s="593"/>
      <c r="BB332" s="301"/>
      <c r="BC332" s="301"/>
      <c r="BD332" s="583"/>
      <c r="BE332" s="583"/>
      <c r="BF332" s="583"/>
      <c r="BG332" s="301"/>
      <c r="CG332"/>
      <c r="CH332"/>
      <c r="CI332"/>
      <c r="CJ332"/>
      <c r="CK332"/>
      <c r="CL332"/>
    </row>
    <row r="333" spans="1:90">
      <c r="B333" s="268"/>
      <c r="J333" s="725"/>
      <c r="K333" s="454"/>
      <c r="L333" s="454"/>
      <c r="M333" s="454"/>
      <c r="N333" s="454"/>
      <c r="O333" s="454"/>
      <c r="P333" s="454"/>
      <c r="Q333" s="454"/>
      <c r="R333" s="454"/>
      <c r="BG333" s="15"/>
    </row>
    <row r="334" spans="1:90" s="138" customFormat="1">
      <c r="A334" s="1348"/>
      <c r="B334" s="616" t="s">
        <v>440</v>
      </c>
      <c r="C334" s="617"/>
      <c r="D334" s="617"/>
      <c r="E334" s="617"/>
      <c r="F334" s="617"/>
      <c r="G334" s="617"/>
      <c r="H334" s="617"/>
      <c r="I334" s="617"/>
      <c r="J334" s="1409"/>
      <c r="K334" s="1383"/>
      <c r="L334" s="617"/>
      <c r="M334" s="617"/>
      <c r="N334" s="617"/>
      <c r="O334" s="617"/>
      <c r="P334" s="617"/>
      <c r="Q334" s="617"/>
      <c r="R334" s="617"/>
      <c r="S334" s="220"/>
      <c r="T334" s="618"/>
      <c r="U334" s="220"/>
      <c r="V334" s="619"/>
      <c r="W334" s="619"/>
      <c r="X334" s="619"/>
      <c r="Y334" s="620"/>
      <c r="Z334" s="619"/>
      <c r="AA334" s="619"/>
      <c r="AB334" s="619"/>
      <c r="AC334" s="620"/>
      <c r="AD334" s="619"/>
      <c r="AE334" s="619"/>
      <c r="AF334" s="619"/>
      <c r="AG334" s="620"/>
      <c r="AH334" s="619"/>
      <c r="AI334" s="619"/>
      <c r="AJ334" s="621"/>
      <c r="AK334" s="620"/>
      <c r="AL334" s="621"/>
      <c r="AM334" s="621"/>
      <c r="AN334" s="621"/>
      <c r="AO334" s="622"/>
      <c r="AP334" s="623"/>
      <c r="AQ334" s="623"/>
      <c r="AR334" s="623"/>
      <c r="AS334" s="624"/>
      <c r="AT334" s="623"/>
      <c r="AU334" s="623"/>
      <c r="AV334" s="623"/>
      <c r="AW334" s="624"/>
      <c r="AX334" s="623"/>
      <c r="AY334" s="623"/>
      <c r="AZ334" s="623"/>
      <c r="BA334" s="624"/>
      <c r="BB334" s="623"/>
      <c r="BC334" s="623"/>
      <c r="BD334" s="623"/>
      <c r="BE334" s="623"/>
      <c r="BF334" s="1284"/>
      <c r="BG334" s="1285"/>
      <c r="BH334" s="220"/>
      <c r="BI334" s="220"/>
      <c r="BJ334" s="1286"/>
      <c r="BK334" s="1286"/>
      <c r="BL334" s="1286"/>
      <c r="BM334" s="1286"/>
      <c r="BN334" s="1286"/>
      <c r="BO334" s="1286"/>
      <c r="BP334" s="1286"/>
      <c r="BQ334" s="1286"/>
      <c r="BR334" s="220"/>
      <c r="BS334" s="220"/>
      <c r="BT334" s="220"/>
      <c r="BU334" s="220"/>
      <c r="BV334" s="220"/>
      <c r="BW334" s="220"/>
      <c r="BX334" s="220"/>
      <c r="BY334" s="220"/>
      <c r="BZ334" s="220"/>
      <c r="CA334" s="220"/>
      <c r="CB334" s="220"/>
      <c r="CC334" s="220"/>
      <c r="CG334"/>
      <c r="CH334"/>
      <c r="CI334"/>
      <c r="CJ334"/>
      <c r="CK334"/>
      <c r="CL334"/>
    </row>
    <row r="335" spans="1:90" s="225" customFormat="1">
      <c r="A335" s="1348"/>
      <c r="B335" s="625" t="s">
        <v>625</v>
      </c>
      <c r="C335" s="626"/>
      <c r="D335" s="626"/>
      <c r="E335" s="626"/>
      <c r="F335" s="626"/>
      <c r="G335" s="627"/>
      <c r="H335" s="628"/>
      <c r="I335" s="629"/>
      <c r="J335" s="1410"/>
      <c r="K335" s="629"/>
      <c r="L335" s="629"/>
      <c r="M335" s="629"/>
      <c r="N335" s="629"/>
      <c r="O335" s="629"/>
      <c r="P335" s="629"/>
      <c r="Q335" s="629"/>
      <c r="R335" s="629"/>
      <c r="T335" s="630"/>
      <c r="V335" s="630"/>
      <c r="W335" s="630"/>
      <c r="X335" s="630"/>
      <c r="Y335" s="631"/>
      <c r="Z335" s="630"/>
      <c r="AA335" s="630"/>
      <c r="AB335" s="630"/>
      <c r="AC335" s="631"/>
      <c r="AD335" s="626"/>
      <c r="AE335" s="626"/>
      <c r="AF335" s="626"/>
      <c r="AG335" s="632"/>
      <c r="AH335" s="626"/>
      <c r="AI335" s="626"/>
      <c r="AJ335" s="626"/>
      <c r="AK335" s="633"/>
      <c r="AL335" s="634"/>
      <c r="AM335" s="634"/>
      <c r="AN335" s="635"/>
      <c r="AO335" s="636"/>
      <c r="AP335" s="630"/>
      <c r="AQ335" s="630"/>
      <c r="AR335" s="637"/>
      <c r="AS335" s="638"/>
      <c r="AT335" s="639"/>
      <c r="AU335" s="637"/>
      <c r="AV335" s="637"/>
      <c r="AW335" s="640"/>
      <c r="AX335" s="641"/>
      <c r="AY335" s="642"/>
      <c r="AZ335" s="642"/>
      <c r="BA335" s="1544"/>
      <c r="BB335" s="641"/>
      <c r="BC335" s="642"/>
      <c r="BD335" s="642"/>
      <c r="BE335" s="642"/>
      <c r="BF335" s="283"/>
      <c r="CG335"/>
      <c r="CH335"/>
      <c r="CI335"/>
      <c r="CJ335"/>
      <c r="CK335"/>
      <c r="CL335"/>
    </row>
    <row r="336" spans="1:90" s="226" customFormat="1" ht="12.75" customHeight="1" outlineLevel="1">
      <c r="A336" s="1348" t="s">
        <v>572</v>
      </c>
      <c r="B336" s="273" t="s">
        <v>91</v>
      </c>
      <c r="C336" s="643">
        <v>6670</v>
      </c>
      <c r="D336" s="643">
        <f t="shared" ref="D336:R336" si="671">D19</f>
        <v>11903</v>
      </c>
      <c r="E336" s="643">
        <f t="shared" si="671"/>
        <v>20025</v>
      </c>
      <c r="F336" s="643">
        <f t="shared" si="671"/>
        <v>34517</v>
      </c>
      <c r="G336" s="643">
        <f t="shared" si="671"/>
        <v>52504</v>
      </c>
      <c r="H336" s="643">
        <f t="shared" si="671"/>
        <v>76204</v>
      </c>
      <c r="I336" s="643">
        <f t="shared" si="671"/>
        <v>101143</v>
      </c>
      <c r="J336" s="644">
        <f t="shared" si="671"/>
        <v>158273</v>
      </c>
      <c r="K336" s="643">
        <f t="shared" si="671"/>
        <v>248344.72960419999</v>
      </c>
      <c r="L336" s="643">
        <f t="shared" si="671"/>
        <v>338216.75367454573</v>
      </c>
      <c r="M336" s="643">
        <f t="shared" si="671"/>
        <v>439958.68699306762</v>
      </c>
      <c r="N336" s="643">
        <f t="shared" si="671"/>
        <v>537372.51758970472</v>
      </c>
      <c r="O336" s="643">
        <f t="shared" si="671"/>
        <v>646791.66165817413</v>
      </c>
      <c r="P336" s="643">
        <f t="shared" si="671"/>
        <v>786164.16224977071</v>
      </c>
      <c r="Q336" s="643">
        <f t="shared" si="671"/>
        <v>905274.26396225637</v>
      </c>
      <c r="R336" s="643">
        <f t="shared" si="671"/>
        <v>1029217.6741948476</v>
      </c>
      <c r="T336" s="15">
        <f>(M336/J336)^(1/3)-1</f>
        <v>0.40605298799489575</v>
      </c>
      <c r="V336" s="643"/>
      <c r="W336" s="643"/>
      <c r="X336" s="643"/>
      <c r="Y336" s="644"/>
      <c r="Z336" s="643">
        <f t="shared" ref="Z336:BE336" si="672">Z19</f>
        <v>4103</v>
      </c>
      <c r="AA336" s="643">
        <f t="shared" si="672"/>
        <v>4352</v>
      </c>
      <c r="AB336" s="643">
        <f t="shared" si="672"/>
        <v>6485</v>
      </c>
      <c r="AC336" s="316">
        <f t="shared" si="672"/>
        <v>5085</v>
      </c>
      <c r="AD336" s="314">
        <f t="shared" si="672"/>
        <v>6793</v>
      </c>
      <c r="AE336" s="314">
        <f t="shared" si="672"/>
        <v>7457</v>
      </c>
      <c r="AF336" s="314">
        <f t="shared" si="672"/>
        <v>11593</v>
      </c>
      <c r="AG336" s="409">
        <f t="shared" si="672"/>
        <v>8674</v>
      </c>
      <c r="AH336" s="314">
        <f t="shared" si="672"/>
        <v>10778</v>
      </c>
      <c r="AI336" s="314">
        <f t="shared" si="672"/>
        <v>10950</v>
      </c>
      <c r="AJ336" s="314">
        <f t="shared" si="672"/>
        <v>18745</v>
      </c>
      <c r="AK336" s="409">
        <f t="shared" si="672"/>
        <v>12031</v>
      </c>
      <c r="AL336" s="315">
        <f t="shared" si="672"/>
        <v>15771</v>
      </c>
      <c r="AM336" s="315">
        <f t="shared" si="672"/>
        <v>16829</v>
      </c>
      <c r="AN336" s="315">
        <f t="shared" si="672"/>
        <v>26179</v>
      </c>
      <c r="AO336" s="316">
        <f t="shared" si="672"/>
        <v>17425</v>
      </c>
      <c r="AP336" s="315">
        <f t="shared" si="672"/>
        <v>20245</v>
      </c>
      <c r="AQ336" s="315">
        <f t="shared" si="672"/>
        <v>22171</v>
      </c>
      <c r="AR336" s="315">
        <f t="shared" si="672"/>
        <v>34543</v>
      </c>
      <c r="AS336" s="316">
        <f t="shared" si="672"/>
        <v>24184</v>
      </c>
      <c r="AT336" s="315">
        <f t="shared" si="672"/>
        <v>32154</v>
      </c>
      <c r="AU336" s="315">
        <f t="shared" si="672"/>
        <v>34292</v>
      </c>
      <c r="AV336" s="315">
        <f t="shared" si="672"/>
        <v>53248</v>
      </c>
      <c r="AW336" s="316">
        <f t="shared" si="672"/>
        <v>38579</v>
      </c>
      <c r="AX336" s="315">
        <f t="shared" si="672"/>
        <v>50184</v>
      </c>
      <c r="AY336" s="315">
        <f t="shared" si="672"/>
        <v>55122</v>
      </c>
      <c r="AZ336" s="315">
        <f t="shared" si="672"/>
        <v>83028</v>
      </c>
      <c r="BA336" s="316">
        <f t="shared" si="672"/>
        <v>60010.729604199965</v>
      </c>
      <c r="BB336" s="315">
        <f t="shared" si="672"/>
        <v>73193.721998000008</v>
      </c>
      <c r="BC336" s="315">
        <f t="shared" si="672"/>
        <v>77801.103734880002</v>
      </c>
      <c r="BD336" s="315">
        <f t="shared" si="672"/>
        <v>107891.55708879998</v>
      </c>
      <c r="BE336" s="315">
        <f t="shared" si="672"/>
        <v>79330.370852865715</v>
      </c>
      <c r="BF336" s="304"/>
      <c r="CG336"/>
      <c r="CH336"/>
      <c r="CI336"/>
      <c r="CJ336"/>
      <c r="CK336"/>
      <c r="CL336"/>
    </row>
    <row r="337" spans="1:90" ht="12.75" customHeight="1" outlineLevel="1">
      <c r="B337" s="141" t="s">
        <v>92</v>
      </c>
      <c r="C337" s="645">
        <v>-1634</v>
      </c>
      <c r="D337" s="645">
        <v>-3497</v>
      </c>
      <c r="E337" s="645">
        <v>-6554</v>
      </c>
      <c r="F337" s="645">
        <v>-9719</v>
      </c>
      <c r="G337" s="645">
        <v>-13369</v>
      </c>
      <c r="H337" s="646">
        <f>SUM(AL337:AO337)</f>
        <v>-23834</v>
      </c>
      <c r="I337" s="646">
        <f>SUM(AP337:AS337)</f>
        <v>-34355</v>
      </c>
      <c r="J337" s="1411">
        <f>SUM(AT337:AW337)</f>
        <v>-59483</v>
      </c>
      <c r="K337" s="647">
        <f t="shared" ref="K337:R337" si="673">-K336*K393</f>
        <v>-100579.615489701</v>
      </c>
      <c r="L337" s="647">
        <f t="shared" si="673"/>
        <v>-135286.7014698183</v>
      </c>
      <c r="M337" s="647">
        <f t="shared" si="673"/>
        <v>-181702.93772813692</v>
      </c>
      <c r="N337" s="647">
        <f t="shared" si="673"/>
        <v>-221934.84976454804</v>
      </c>
      <c r="O337" s="647">
        <f t="shared" si="673"/>
        <v>-267124.95626482589</v>
      </c>
      <c r="P337" s="647">
        <f t="shared" si="673"/>
        <v>-324685.79900915531</v>
      </c>
      <c r="Q337" s="647">
        <f t="shared" si="673"/>
        <v>-373878.27101641189</v>
      </c>
      <c r="R337" s="647">
        <f t="shared" si="673"/>
        <v>-425066.89944247203</v>
      </c>
      <c r="V337" s="141"/>
      <c r="W337" s="141"/>
      <c r="X337" s="648"/>
      <c r="Y337" s="649"/>
      <c r="Z337" s="650">
        <v>-1356</v>
      </c>
      <c r="AA337" s="650">
        <v>-1441</v>
      </c>
      <c r="AB337" s="650">
        <v>-2027</v>
      </c>
      <c r="AC337" s="651">
        <v>-1730</v>
      </c>
      <c r="AD337" s="650">
        <v>-2158</v>
      </c>
      <c r="AE337" s="650">
        <v>-2373</v>
      </c>
      <c r="AF337" s="650">
        <v>-2911</v>
      </c>
      <c r="AG337" s="651">
        <v>-2277</v>
      </c>
      <c r="AH337" s="650">
        <v>-2727</v>
      </c>
      <c r="AI337" s="650">
        <v>-3001</v>
      </c>
      <c r="AJ337" s="650">
        <v>-4171</v>
      </c>
      <c r="AK337" s="651">
        <v>-3470</v>
      </c>
      <c r="AL337" s="650">
        <v>-4585</v>
      </c>
      <c r="AM337" s="461">
        <v>-5596</v>
      </c>
      <c r="AN337" s="461">
        <v>-7520</v>
      </c>
      <c r="AO337" s="492">
        <v>-6133</v>
      </c>
      <c r="AP337" s="307">
        <f>Reported!P192</f>
        <v>-6711</v>
      </c>
      <c r="AQ337" s="307">
        <f>Reported!Q192</f>
        <v>-7131</v>
      </c>
      <c r="AR337" s="307">
        <f>Reported!R192</f>
        <v>-10951</v>
      </c>
      <c r="AS337" s="493">
        <f>Reported!S192</f>
        <v>-9562</v>
      </c>
      <c r="AT337" s="307">
        <f>Reported!T192</f>
        <v>-11744</v>
      </c>
      <c r="AU337" s="307">
        <f>Reported!U192</f>
        <v>-13123</v>
      </c>
      <c r="AV337" s="307">
        <f>Reported!V192</f>
        <v>-19126</v>
      </c>
      <c r="AW337" s="493">
        <f>Reported!W192</f>
        <v>-15490</v>
      </c>
      <c r="AX337" s="307">
        <f>Reported!X192</f>
        <v>-17460</v>
      </c>
      <c r="AY337" s="307">
        <f>Reported!Y192</f>
        <v>-22002</v>
      </c>
      <c r="AZ337" s="307">
        <f>Reported!Z192</f>
        <v>-35078</v>
      </c>
      <c r="BA337" s="1540">
        <f>K337-SUM(AX337:AZ337)</f>
        <v>-26039.615489700998</v>
      </c>
      <c r="BB337" s="311">
        <f>-BB336*BB393</f>
        <v>-29643.457409190007</v>
      </c>
      <c r="BC337" s="311">
        <f>-BC336*BC393</f>
        <v>-31898.452531300798</v>
      </c>
      <c r="BD337" s="311">
        <f>-BD336*BD393</f>
        <v>-43156.622835519993</v>
      </c>
      <c r="BE337" s="469">
        <f>L337-SUM(BB337:BD337)</f>
        <v>-30588.1686938075</v>
      </c>
      <c r="BF337" s="360"/>
      <c r="BY337" s="653"/>
      <c r="BZ337" s="450"/>
    </row>
    <row r="338" spans="1:90" s="13" customFormat="1" ht="12.75" customHeight="1" outlineLevel="1">
      <c r="A338" s="1349"/>
      <c r="B338" s="13" t="s">
        <v>113</v>
      </c>
      <c r="C338" s="440">
        <f t="shared" ref="C338:R338" si="674">C336+C337</f>
        <v>5036</v>
      </c>
      <c r="D338" s="440">
        <f t="shared" si="674"/>
        <v>8406</v>
      </c>
      <c r="E338" s="440">
        <f t="shared" si="674"/>
        <v>13471</v>
      </c>
      <c r="F338" s="440">
        <f t="shared" si="674"/>
        <v>24798</v>
      </c>
      <c r="G338" s="440">
        <f t="shared" si="674"/>
        <v>39135</v>
      </c>
      <c r="H338" s="440">
        <f t="shared" si="674"/>
        <v>52370</v>
      </c>
      <c r="I338" s="440">
        <f t="shared" si="674"/>
        <v>66788</v>
      </c>
      <c r="J338" s="566">
        <f t="shared" si="674"/>
        <v>98790</v>
      </c>
      <c r="K338" s="440">
        <f t="shared" si="674"/>
        <v>147765.11411449901</v>
      </c>
      <c r="L338" s="440">
        <f t="shared" si="674"/>
        <v>202930.05220472743</v>
      </c>
      <c r="M338" s="440">
        <f t="shared" si="674"/>
        <v>258255.7492649307</v>
      </c>
      <c r="N338" s="440">
        <f t="shared" si="674"/>
        <v>315437.66782515671</v>
      </c>
      <c r="O338" s="440">
        <f t="shared" si="674"/>
        <v>379666.70539334824</v>
      </c>
      <c r="P338" s="440">
        <f t="shared" si="674"/>
        <v>461478.36324061541</v>
      </c>
      <c r="Q338" s="440">
        <f t="shared" si="674"/>
        <v>531395.99294584454</v>
      </c>
      <c r="R338" s="440">
        <f t="shared" si="674"/>
        <v>604150.77475237555</v>
      </c>
      <c r="T338" s="15">
        <f>(M338/J338)^(1/3)-1</f>
        <v>0.3775657537590158</v>
      </c>
      <c r="U338" s="314"/>
      <c r="V338" s="314"/>
      <c r="W338" s="314"/>
      <c r="X338" s="654"/>
      <c r="Y338" s="655"/>
      <c r="Z338" s="654">
        <f t="shared" ref="Z338:BA338" si="675">Z336+Z337</f>
        <v>2747</v>
      </c>
      <c r="AA338" s="654">
        <f t="shared" si="675"/>
        <v>2911</v>
      </c>
      <c r="AB338" s="654">
        <f t="shared" si="675"/>
        <v>4458</v>
      </c>
      <c r="AC338" s="655">
        <f t="shared" si="675"/>
        <v>3355</v>
      </c>
      <c r="AD338" s="654">
        <f t="shared" si="675"/>
        <v>4635</v>
      </c>
      <c r="AE338" s="654">
        <f t="shared" si="675"/>
        <v>5084</v>
      </c>
      <c r="AF338" s="654">
        <f t="shared" si="675"/>
        <v>8682</v>
      </c>
      <c r="AG338" s="655">
        <f t="shared" si="675"/>
        <v>6397</v>
      </c>
      <c r="AH338" s="654">
        <f t="shared" si="675"/>
        <v>8051</v>
      </c>
      <c r="AI338" s="654">
        <f t="shared" si="675"/>
        <v>7949</v>
      </c>
      <c r="AJ338" s="654">
        <f t="shared" si="675"/>
        <v>14574</v>
      </c>
      <c r="AK338" s="655">
        <f t="shared" si="675"/>
        <v>8561</v>
      </c>
      <c r="AL338" s="654">
        <f t="shared" si="675"/>
        <v>11186</v>
      </c>
      <c r="AM338" s="654">
        <f t="shared" si="675"/>
        <v>11233</v>
      </c>
      <c r="AN338" s="654">
        <f t="shared" si="675"/>
        <v>18659</v>
      </c>
      <c r="AO338" s="655">
        <f t="shared" si="675"/>
        <v>11292</v>
      </c>
      <c r="AP338" s="654">
        <f t="shared" si="675"/>
        <v>13534</v>
      </c>
      <c r="AQ338" s="654">
        <f t="shared" si="675"/>
        <v>15040</v>
      </c>
      <c r="AR338" s="654">
        <f t="shared" si="675"/>
        <v>23592</v>
      </c>
      <c r="AS338" s="655">
        <f t="shared" si="675"/>
        <v>14622</v>
      </c>
      <c r="AT338" s="654">
        <f t="shared" si="675"/>
        <v>20410</v>
      </c>
      <c r="AU338" s="654">
        <f t="shared" si="675"/>
        <v>21169</v>
      </c>
      <c r="AV338" s="654">
        <f t="shared" si="675"/>
        <v>34122</v>
      </c>
      <c r="AW338" s="655">
        <f t="shared" si="675"/>
        <v>23089</v>
      </c>
      <c r="AX338" s="654">
        <f>AX336+AX337</f>
        <v>32724</v>
      </c>
      <c r="AY338" s="654">
        <f>AY336+AY337</f>
        <v>33120</v>
      </c>
      <c r="AZ338" s="654">
        <f>AZ336+AZ337</f>
        <v>47950</v>
      </c>
      <c r="BA338" s="655">
        <f t="shared" si="675"/>
        <v>33971.114114498967</v>
      </c>
      <c r="BB338" s="654">
        <f>BB336+BB337</f>
        <v>43550.264588810001</v>
      </c>
      <c r="BC338" s="654">
        <f>BC336+BC337</f>
        <v>45902.651203579204</v>
      </c>
      <c r="BD338" s="654">
        <f>BD336+BD337</f>
        <v>64734.934253279986</v>
      </c>
      <c r="BE338" s="654">
        <f>BE336+BE337</f>
        <v>48742.202159058215</v>
      </c>
      <c r="BH338" s="289"/>
      <c r="BV338" s="289"/>
      <c r="BW338" s="289"/>
      <c r="BY338" s="657"/>
      <c r="BZ338" s="658"/>
      <c r="CA338" s="14"/>
      <c r="CB338" s="14"/>
      <c r="CC338" s="14"/>
      <c r="CD338" s="14"/>
      <c r="CE338" s="14"/>
      <c r="CF338" s="14"/>
      <c r="CG338"/>
      <c r="CH338"/>
      <c r="CI338"/>
      <c r="CJ338"/>
      <c r="CK338"/>
      <c r="CL338"/>
    </row>
    <row r="339" spans="1:90" s="13" customFormat="1" ht="12.75" customHeight="1" outlineLevel="2">
      <c r="A339" s="1349"/>
      <c r="B339" s="268" t="s">
        <v>741</v>
      </c>
      <c r="C339" s="440"/>
      <c r="D339" s="440"/>
      <c r="E339" s="440"/>
      <c r="F339" s="440"/>
      <c r="G339" s="440"/>
      <c r="H339" s="440"/>
      <c r="I339" s="538"/>
      <c r="J339" s="1412" t="s">
        <v>744</v>
      </c>
      <c r="K339" s="302"/>
      <c r="L339" s="440"/>
      <c r="M339" s="440"/>
      <c r="N339" s="440"/>
      <c r="O339" s="440"/>
      <c r="P339" s="440"/>
      <c r="Q339" s="440"/>
      <c r="R339" s="440"/>
      <c r="T339" s="15"/>
      <c r="U339" s="314"/>
      <c r="V339" s="314"/>
      <c r="W339" s="314"/>
      <c r="X339" s="654"/>
      <c r="Y339" s="655"/>
      <c r="Z339" s="654"/>
      <c r="AA339" s="654"/>
      <c r="AB339" s="654"/>
      <c r="AC339" s="655"/>
      <c r="AD339" s="654"/>
      <c r="AE339" s="654"/>
      <c r="AF339" s="654"/>
      <c r="AG339" s="655"/>
      <c r="AH339" s="654"/>
      <c r="AI339" s="654"/>
      <c r="AJ339" s="654"/>
      <c r="AK339" s="655"/>
      <c r="AL339" s="654"/>
      <c r="AM339" s="654"/>
      <c r="AN339" s="654"/>
      <c r="AO339" s="655"/>
      <c r="AP339" s="654"/>
      <c r="AQ339" s="654"/>
      <c r="AR339" s="654"/>
      <c r="AS339" s="655"/>
      <c r="AT339" s="654"/>
      <c r="AU339" s="654"/>
      <c r="AV339" s="654"/>
      <c r="AW339" s="655"/>
      <c r="AX339" s="654"/>
      <c r="AY339" s="654"/>
      <c r="AZ339" s="654"/>
      <c r="BA339" s="655"/>
      <c r="BB339" s="654"/>
      <c r="BC339" s="654"/>
      <c r="BD339" s="654"/>
      <c r="BE339" s="654"/>
      <c r="BH339" s="289"/>
      <c r="BV339" s="289"/>
      <c r="BW339" s="289"/>
      <c r="BY339" s="657"/>
      <c r="BZ339" s="658"/>
      <c r="CA339" s="14"/>
      <c r="CB339" s="14"/>
      <c r="CC339" s="14"/>
      <c r="CD339" s="14"/>
      <c r="CE339" s="14"/>
      <c r="CF339" s="14"/>
      <c r="CG339"/>
      <c r="CH339"/>
      <c r="CI339"/>
      <c r="CJ339"/>
      <c r="CK339"/>
      <c r="CL339"/>
    </row>
    <row r="340" spans="1:90" s="13" customFormat="1" ht="12.75" customHeight="1" outlineLevel="2">
      <c r="A340" s="1349"/>
      <c r="B340" s="268" t="s">
        <v>743</v>
      </c>
      <c r="C340" s="440"/>
      <c r="D340" s="440"/>
      <c r="E340" s="440"/>
      <c r="F340" s="440"/>
      <c r="G340" s="440"/>
      <c r="H340" s="440"/>
      <c r="I340" s="538"/>
      <c r="J340" s="1412" t="s">
        <v>742</v>
      </c>
      <c r="K340" s="440"/>
      <c r="L340" s="440"/>
      <c r="M340" s="440"/>
      <c r="N340" s="440"/>
      <c r="O340" s="440"/>
      <c r="P340" s="440"/>
      <c r="Q340" s="440"/>
      <c r="R340" s="440"/>
      <c r="T340" s="15"/>
      <c r="U340" s="314"/>
      <c r="V340" s="314"/>
      <c r="W340" s="314"/>
      <c r="X340" s="654"/>
      <c r="Y340" s="655"/>
      <c r="Z340" s="654"/>
      <c r="AA340" s="654"/>
      <c r="AB340" s="654"/>
      <c r="AC340" s="655"/>
      <c r="AD340" s="654"/>
      <c r="AE340" s="654"/>
      <c r="AF340" s="654"/>
      <c r="AG340" s="655"/>
      <c r="AH340" s="654"/>
      <c r="AI340" s="654"/>
      <c r="AJ340" s="654"/>
      <c r="AK340" s="655"/>
      <c r="AL340" s="654"/>
      <c r="AM340" s="654"/>
      <c r="AN340" s="654"/>
      <c r="AO340" s="655"/>
      <c r="AP340" s="654"/>
      <c r="AQ340" s="654"/>
      <c r="AR340" s="654"/>
      <c r="AS340" s="655"/>
      <c r="AT340" s="654"/>
      <c r="AU340" s="654"/>
      <c r="AV340" s="654"/>
      <c r="AW340" s="655"/>
      <c r="AX340" s="654"/>
      <c r="AY340" s="654"/>
      <c r="AZ340" s="654"/>
      <c r="BA340" s="655"/>
      <c r="BB340" s="654"/>
      <c r="BC340" s="654"/>
      <c r="BD340" s="654"/>
      <c r="BE340" s="654"/>
      <c r="BH340" s="289"/>
      <c r="BV340" s="289"/>
      <c r="BW340" s="289"/>
      <c r="BY340" s="657"/>
      <c r="BZ340" s="658"/>
      <c r="CA340" s="14"/>
      <c r="CB340" s="14"/>
      <c r="CC340" s="14"/>
      <c r="CD340" s="14"/>
      <c r="CE340" s="14"/>
      <c r="CF340" s="14"/>
      <c r="CG340"/>
      <c r="CH340"/>
      <c r="CI340"/>
      <c r="CJ340"/>
      <c r="CK340"/>
      <c r="CL340"/>
    </row>
    <row r="341" spans="1:90" s="13" customFormat="1" ht="12.75" customHeight="1" outlineLevel="2">
      <c r="A341" s="1349"/>
      <c r="B341" s="268" t="s">
        <v>746</v>
      </c>
      <c r="C341" s="440"/>
      <c r="D341" s="440"/>
      <c r="E341" s="440"/>
      <c r="F341" s="440"/>
      <c r="G341" s="440"/>
      <c r="H341" s="440"/>
      <c r="I341" s="538"/>
      <c r="J341" s="1412" t="s">
        <v>745</v>
      </c>
      <c r="K341" s="440"/>
      <c r="L341" s="440"/>
      <c r="M341" s="440"/>
      <c r="N341" s="440"/>
      <c r="O341" s="440"/>
      <c r="P341" s="440"/>
      <c r="Q341" s="440"/>
      <c r="R341" s="440"/>
      <c r="T341" s="15"/>
      <c r="U341" s="314"/>
      <c r="V341" s="314"/>
      <c r="W341" s="314"/>
      <c r="X341" s="654"/>
      <c r="Y341" s="655"/>
      <c r="Z341" s="654"/>
      <c r="AA341" s="654"/>
      <c r="AB341" s="654"/>
      <c r="AC341" s="655"/>
      <c r="AD341" s="654"/>
      <c r="AE341" s="654"/>
      <c r="AF341" s="654"/>
      <c r="AG341" s="655"/>
      <c r="AH341" s="654"/>
      <c r="AI341" s="654"/>
      <c r="AJ341" s="654"/>
      <c r="AK341" s="655"/>
      <c r="AL341" s="654"/>
      <c r="AM341" s="654"/>
      <c r="AN341" s="654"/>
      <c r="AO341" s="655"/>
      <c r="AP341" s="654"/>
      <c r="AQ341" s="654"/>
      <c r="AR341" s="654"/>
      <c r="AS341" s="655"/>
      <c r="AT341" s="654"/>
      <c r="AU341" s="654"/>
      <c r="AV341" s="654"/>
      <c r="AW341" s="655"/>
      <c r="AX341" s="654"/>
      <c r="AY341" s="654"/>
      <c r="AZ341" s="654"/>
      <c r="BA341" s="655"/>
      <c r="BB341" s="654"/>
      <c r="BC341" s="654"/>
      <c r="BD341" s="654"/>
      <c r="BE341" s="654"/>
      <c r="BH341" s="289"/>
      <c r="BV341" s="289"/>
      <c r="BW341" s="289"/>
      <c r="BY341" s="657"/>
      <c r="BZ341" s="658"/>
      <c r="CA341" s="14"/>
      <c r="CB341" s="14"/>
      <c r="CC341" s="14"/>
      <c r="CD341" s="14"/>
      <c r="CE341" s="14"/>
      <c r="CF341" s="14"/>
      <c r="CG341"/>
      <c r="CH341"/>
      <c r="CI341"/>
      <c r="CJ341"/>
      <c r="CK341"/>
      <c r="CL341"/>
    </row>
    <row r="342" spans="1:90" s="13" customFormat="1" ht="12.75" customHeight="1" outlineLevel="2">
      <c r="A342" s="1349"/>
      <c r="B342" s="268" t="s">
        <v>888</v>
      </c>
      <c r="C342" s="440"/>
      <c r="D342" s="440"/>
      <c r="E342" s="440"/>
      <c r="F342" s="440"/>
      <c r="G342" s="440"/>
      <c r="H342" s="440"/>
      <c r="I342" s="550">
        <f>J342-3526</f>
        <v>918</v>
      </c>
      <c r="J342" s="668">
        <v>4444</v>
      </c>
      <c r="K342" s="440"/>
      <c r="L342" s="440"/>
      <c r="M342" s="440"/>
      <c r="N342" s="440"/>
      <c r="O342" s="440"/>
      <c r="P342" s="440"/>
      <c r="Q342" s="440"/>
      <c r="R342" s="440"/>
      <c r="T342" s="15"/>
      <c r="U342" s="314"/>
      <c r="V342" s="314"/>
      <c r="W342" s="314"/>
      <c r="X342" s="654"/>
      <c r="Y342" s="655"/>
      <c r="Z342" s="654"/>
      <c r="AA342" s="654"/>
      <c r="AB342" s="654"/>
      <c r="AC342" s="655"/>
      <c r="AD342" s="654"/>
      <c r="AE342" s="654"/>
      <c r="AF342" s="654"/>
      <c r="AG342" s="655"/>
      <c r="AH342" s="654"/>
      <c r="AI342" s="654"/>
      <c r="AJ342" s="654"/>
      <c r="AK342" s="655"/>
      <c r="AL342" s="654"/>
      <c r="AM342" s="654"/>
      <c r="AN342" s="654"/>
      <c r="AO342" s="655"/>
      <c r="AP342" s="654"/>
      <c r="AQ342" s="654"/>
      <c r="AR342" s="654"/>
      <c r="AS342" s="655"/>
      <c r="AT342" s="654"/>
      <c r="AU342" s="654"/>
      <c r="AV342" s="654"/>
      <c r="AW342" s="655"/>
      <c r="AX342" s="654"/>
      <c r="AY342" s="654"/>
      <c r="AZ342" s="654"/>
      <c r="BA342" s="655"/>
      <c r="BB342" s="654"/>
      <c r="BC342" s="654"/>
      <c r="BD342" s="654"/>
      <c r="BE342" s="654"/>
      <c r="BH342" s="289"/>
      <c r="BV342" s="289"/>
      <c r="BW342" s="289"/>
      <c r="BY342" s="657"/>
      <c r="BZ342" s="658"/>
      <c r="CA342" s="14"/>
      <c r="CB342" s="14"/>
      <c r="CC342" s="14"/>
      <c r="CD342" s="14"/>
      <c r="CE342" s="14"/>
      <c r="CF342" s="14"/>
      <c r="CG342"/>
      <c r="CH342"/>
      <c r="CI342"/>
      <c r="CJ342"/>
      <c r="CK342"/>
      <c r="CL342"/>
    </row>
    <row r="343" spans="1:90" s="13" customFormat="1" ht="12.75" customHeight="1" outlineLevel="1">
      <c r="A343" s="1349"/>
      <c r="C343" s="440"/>
      <c r="D343" s="440"/>
      <c r="E343" s="440"/>
      <c r="F343" s="440"/>
      <c r="G343" s="440"/>
      <c r="H343" s="440"/>
      <c r="I343" s="440"/>
      <c r="J343" s="593"/>
      <c r="K343" s="440"/>
      <c r="L343" s="440"/>
      <c r="M343" s="440"/>
      <c r="N343" s="440"/>
      <c r="O343" s="440"/>
      <c r="P343" s="440"/>
      <c r="Q343" s="440"/>
      <c r="R343" s="440"/>
      <c r="T343" s="15"/>
      <c r="U343" s="314"/>
      <c r="V343" s="314"/>
      <c r="W343" s="314"/>
      <c r="X343" s="654"/>
      <c r="Y343" s="655"/>
      <c r="Z343" s="654"/>
      <c r="AA343" s="654"/>
      <c r="AB343" s="654"/>
      <c r="AC343" s="655"/>
      <c r="AD343" s="654"/>
      <c r="AE343" s="654"/>
      <c r="AF343" s="654"/>
      <c r="AG343" s="655"/>
      <c r="AH343" s="654"/>
      <c r="AI343" s="654"/>
      <c r="AJ343" s="654"/>
      <c r="AK343" s="655"/>
      <c r="AL343" s="654"/>
      <c r="AM343" s="654"/>
      <c r="AN343" s="654"/>
      <c r="AO343" s="655"/>
      <c r="AP343" s="654"/>
      <c r="AQ343" s="654"/>
      <c r="AR343" s="654"/>
      <c r="AS343" s="655"/>
      <c r="AT343" s="654"/>
      <c r="AU343" s="654"/>
      <c r="AV343" s="654"/>
      <c r="AW343" s="655"/>
      <c r="AX343" s="654"/>
      <c r="AY343" s="654"/>
      <c r="AZ343" s="654"/>
      <c r="BA343" s="655"/>
      <c r="BB343" s="654"/>
      <c r="BC343" s="654"/>
      <c r="BD343" s="654"/>
      <c r="BE343" s="654"/>
      <c r="BH343" s="289"/>
      <c r="BV343" s="289"/>
      <c r="BW343" s="289"/>
      <c r="BY343" s="657"/>
      <c r="BZ343" s="658"/>
      <c r="CA343" s="14"/>
      <c r="CB343" s="14"/>
      <c r="CC343" s="14"/>
      <c r="CD343" s="14"/>
      <c r="CE343" s="14"/>
      <c r="CF343" s="14"/>
      <c r="CG343"/>
      <c r="CH343"/>
      <c r="CI343"/>
      <c r="CJ343"/>
      <c r="CK343"/>
      <c r="CL343"/>
    </row>
    <row r="344" spans="1:90" ht="12.75" customHeight="1" outlineLevel="1">
      <c r="A344" s="1348" t="s">
        <v>573</v>
      </c>
      <c r="B344" s="141" t="s">
        <v>363</v>
      </c>
      <c r="C344" s="645">
        <v>-1135</v>
      </c>
      <c r="D344" s="645">
        <v>-2062</v>
      </c>
      <c r="E344" s="645">
        <v>-2897</v>
      </c>
      <c r="F344" s="645">
        <v>-3753</v>
      </c>
      <c r="G344" s="645">
        <v>-5093</v>
      </c>
      <c r="H344" s="646">
        <f>SUM(AL344:AO344)</f>
        <v>-10658</v>
      </c>
      <c r="I344" s="646">
        <f>SUM(AP344:AS344)</f>
        <v>-13788</v>
      </c>
      <c r="J344" s="1411">
        <f>SUM(AT344:AW344)</f>
        <v>-17060</v>
      </c>
      <c r="K344" s="647">
        <f t="shared" ref="K344:R345" si="676">-K$336*K394</f>
        <v>-21854.336205169599</v>
      </c>
      <c r="L344" s="647">
        <f t="shared" si="676"/>
        <v>-28748.424062336388</v>
      </c>
      <c r="M344" s="647">
        <f t="shared" si="676"/>
        <v>-35196.694959445413</v>
      </c>
      <c r="N344" s="647">
        <f t="shared" si="676"/>
        <v>-40840.311336817555</v>
      </c>
      <c r="O344" s="647">
        <f t="shared" si="676"/>
        <v>-43981.832992755844</v>
      </c>
      <c r="P344" s="647">
        <f t="shared" si="676"/>
        <v>-47169.849734986245</v>
      </c>
      <c r="Q344" s="647">
        <f t="shared" si="676"/>
        <v>-54316.455837735382</v>
      </c>
      <c r="R344" s="647">
        <f t="shared" si="676"/>
        <v>-61753.06045169085</v>
      </c>
      <c r="V344" s="141"/>
      <c r="W344" s="141"/>
      <c r="X344" s="141"/>
      <c r="Y344" s="398"/>
      <c r="Z344" s="650">
        <v>-640</v>
      </c>
      <c r="AA344" s="650">
        <v>-692</v>
      </c>
      <c r="AB344" s="650">
        <v>-816</v>
      </c>
      <c r="AC344" s="651">
        <v>-749</v>
      </c>
      <c r="AD344" s="650">
        <v>-848</v>
      </c>
      <c r="AE344" s="650">
        <v>-888</v>
      </c>
      <c r="AF344" s="650">
        <v>-1163</v>
      </c>
      <c r="AG344" s="651">
        <v>-854</v>
      </c>
      <c r="AH344" s="650">
        <v>-1018</v>
      </c>
      <c r="AI344" s="650">
        <v>-1168</v>
      </c>
      <c r="AJ344" s="650">
        <v>-1707</v>
      </c>
      <c r="AK344" s="651">
        <v>-1200</v>
      </c>
      <c r="AL344" s="650">
        <v>-1952</v>
      </c>
      <c r="AM344" s="659">
        <v>-2581</v>
      </c>
      <c r="AN344" s="659">
        <v>-3083</v>
      </c>
      <c r="AO344" s="660">
        <v>-3042</v>
      </c>
      <c r="AP344" s="584">
        <f>Reported!P193</f>
        <v>-3241</v>
      </c>
      <c r="AQ344" s="584">
        <f>Reported!Q193</f>
        <v>-3225</v>
      </c>
      <c r="AR344" s="584">
        <f>Reported!R193</f>
        <v>-3749</v>
      </c>
      <c r="AS344" s="585">
        <f>Reported!S193</f>
        <v>-3573</v>
      </c>
      <c r="AT344" s="584">
        <f>Reported!T193</f>
        <v>-3988</v>
      </c>
      <c r="AU344" s="584">
        <f>Reported!U193</f>
        <v>-4134</v>
      </c>
      <c r="AV344" s="584">
        <f>Reported!V193</f>
        <v>-4420</v>
      </c>
      <c r="AW344" s="585">
        <f>Reported!W193</f>
        <v>-4518</v>
      </c>
      <c r="AX344" s="584">
        <f>Reported!X193</f>
        <v>-4696</v>
      </c>
      <c r="AY344" s="584">
        <f>Reported!Y193</f>
        <v>-5083</v>
      </c>
      <c r="AZ344" s="584">
        <f>Reported!Z193</f>
        <v>-6289</v>
      </c>
      <c r="BA344" s="1540">
        <f>K344-SUM(AX344:AZ344)</f>
        <v>-5786.3362051695985</v>
      </c>
      <c r="BB344" s="351">
        <f>-BB336*BB394</f>
        <v>-5489.5291498500001</v>
      </c>
      <c r="BC344" s="351">
        <f>-BC336*BC394</f>
        <v>-7780.1103734880007</v>
      </c>
      <c r="BD344" s="351">
        <f>-BD336*BD394</f>
        <v>-7660.3005533047981</v>
      </c>
      <c r="BE344" s="469">
        <f>L344-SUM(BB344:BD344)</f>
        <v>-7818.4839856935869</v>
      </c>
      <c r="BF344" s="360"/>
      <c r="BY344" s="350"/>
      <c r="BZ344" s="450"/>
    </row>
    <row r="345" spans="1:90" ht="12.75" customHeight="1" outlineLevel="1">
      <c r="B345" s="141" t="s">
        <v>364</v>
      </c>
      <c r="C345" s="645">
        <v>-2335</v>
      </c>
      <c r="D345" s="645">
        <v>-3154</v>
      </c>
      <c r="E345" s="645">
        <v>-3058</v>
      </c>
      <c r="F345" s="645">
        <v>-3613</v>
      </c>
      <c r="G345" s="645">
        <v>-4545</v>
      </c>
      <c r="H345" s="646">
        <f>SUM(AL345:AO345)</f>
        <v>-8513</v>
      </c>
      <c r="I345" s="646">
        <f>SUM(AP345:AS345)</f>
        <v>-11307</v>
      </c>
      <c r="J345" s="1411">
        <f>SUM(AT345:AW345)</f>
        <v>-16314</v>
      </c>
      <c r="K345" s="647">
        <f t="shared" si="676"/>
        <v>-28559.643904483</v>
      </c>
      <c r="L345" s="647">
        <f t="shared" si="676"/>
        <v>-36527.409396850941</v>
      </c>
      <c r="M345" s="647">
        <f t="shared" si="676"/>
        <v>-45315.744760285961</v>
      </c>
      <c r="N345" s="647">
        <f t="shared" si="676"/>
        <v>-50513.016653432242</v>
      </c>
      <c r="O345" s="647">
        <f t="shared" si="676"/>
        <v>-56917.666225919318</v>
      </c>
      <c r="P345" s="647">
        <f t="shared" si="676"/>
        <v>-69182.44627797982</v>
      </c>
      <c r="Q345" s="647">
        <f t="shared" si="676"/>
        <v>-79664.135228678555</v>
      </c>
      <c r="R345" s="647">
        <f t="shared" si="676"/>
        <v>-90571.155329146583</v>
      </c>
      <c r="V345" s="141"/>
      <c r="W345" s="141"/>
      <c r="X345" s="141"/>
      <c r="Y345" s="398"/>
      <c r="Z345" s="650">
        <v>-662</v>
      </c>
      <c r="AA345" s="650">
        <v>-826</v>
      </c>
      <c r="AB345" s="650">
        <v>-929</v>
      </c>
      <c r="AC345" s="651">
        <v>-641</v>
      </c>
      <c r="AD345" s="650">
        <v>-869</v>
      </c>
      <c r="AE345" s="650">
        <v>-974</v>
      </c>
      <c r="AF345" s="650">
        <v>-1249</v>
      </c>
      <c r="AG345" s="651">
        <v>-521</v>
      </c>
      <c r="AH345" s="650">
        <v>-713</v>
      </c>
      <c r="AI345" s="650">
        <v>-657</v>
      </c>
      <c r="AJ345" s="650">
        <v>-1897</v>
      </c>
      <c r="AK345" s="651">
        <v>-1278</v>
      </c>
      <c r="AL345" s="650">
        <v>-1212</v>
      </c>
      <c r="AM345" s="659">
        <v>-1749</v>
      </c>
      <c r="AN345" s="659">
        <v>-3021</v>
      </c>
      <c r="AO345" s="660">
        <v>-2531</v>
      </c>
      <c r="AP345" s="584">
        <f>Reported!P194</f>
        <v>-2241</v>
      </c>
      <c r="AQ345" s="584">
        <f>Reported!Q194</f>
        <v>-2564</v>
      </c>
      <c r="AR345" s="584">
        <f>Reported!R194</f>
        <v>-3641</v>
      </c>
      <c r="AS345" s="585">
        <f>Reported!S194</f>
        <v>-2861</v>
      </c>
      <c r="AT345" s="584">
        <f>Reported!T194</f>
        <v>-3614</v>
      </c>
      <c r="AU345" s="584">
        <f>Reported!U194</f>
        <v>-3878</v>
      </c>
      <c r="AV345" s="584">
        <f>Reported!V194</f>
        <v>-4490</v>
      </c>
      <c r="AW345" s="585">
        <f>Reported!W194</f>
        <v>-4332</v>
      </c>
      <c r="AX345" s="584">
        <f>Reported!X194</f>
        <v>-4850</v>
      </c>
      <c r="AY345" s="584">
        <f>Reported!Y194</f>
        <v>-6266</v>
      </c>
      <c r="AZ345" s="584">
        <f>Reported!Z194</f>
        <v>-8542</v>
      </c>
      <c r="BA345" s="1540">
        <f>K345-SUM(AX345:AZ345)</f>
        <v>-8901.6439044830004</v>
      </c>
      <c r="BB345" s="351">
        <f>-BB336*BB395</f>
        <v>-9149.215249750001</v>
      </c>
      <c r="BC345" s="351">
        <f>-BC336*BC395</f>
        <v>-7780.1103734880007</v>
      </c>
      <c r="BD345" s="351">
        <f>-BD336*BD395</f>
        <v>-9710.2401379919975</v>
      </c>
      <c r="BE345" s="469">
        <f>L345-SUM(BB345:BD345)</f>
        <v>-9887.8436356209422</v>
      </c>
      <c r="BF345" s="360"/>
      <c r="BY345" s="350"/>
      <c r="BZ345" s="450"/>
    </row>
    <row r="346" spans="1:90" ht="12.75" customHeight="1" outlineLevel="1">
      <c r="B346" s="141" t="s">
        <v>365</v>
      </c>
      <c r="C346" s="645">
        <v>-1000</v>
      </c>
      <c r="D346" s="645">
        <v>-1724</v>
      </c>
      <c r="E346" s="645">
        <v>-2211</v>
      </c>
      <c r="F346" s="645">
        <v>-2889</v>
      </c>
      <c r="G346" s="645">
        <v>-4218</v>
      </c>
      <c r="H346" s="646">
        <f>SUM(AL346:AO346)</f>
        <v>-7800</v>
      </c>
      <c r="I346" s="646">
        <f>SUM(AP346:AS346)</f>
        <v>-9205</v>
      </c>
      <c r="J346" s="1411">
        <f>SUM(AT346:AW346)</f>
        <v>-12239</v>
      </c>
      <c r="K346" s="661">
        <f>K350-K338-K344-K345</f>
        <v>-18730.2825645921</v>
      </c>
      <c r="L346" s="661">
        <f t="shared" ref="L346:R346" si="677">L350-L338-L344-L345</f>
        <v>-31190.332543683602</v>
      </c>
      <c r="M346" s="661">
        <f t="shared" si="677"/>
        <v>-40032.888582105035</v>
      </c>
      <c r="N346" s="661">
        <f t="shared" si="677"/>
        <v>-53904.077121879956</v>
      </c>
      <c r="O346" s="661">
        <f t="shared" si="677"/>
        <v>-68285.971352750756</v>
      </c>
      <c r="P346" s="661">
        <f t="shared" si="677"/>
        <v>-89751.567648165801</v>
      </c>
      <c r="Q346" s="661">
        <f t="shared" si="677"/>
        <v>-107439.63737770377</v>
      </c>
      <c r="R346" s="661">
        <f t="shared" si="677"/>
        <v>-126569.37850269456</v>
      </c>
      <c r="V346" s="141"/>
      <c r="W346" s="141"/>
      <c r="X346" s="141"/>
      <c r="Y346" s="398"/>
      <c r="Z346" s="650">
        <v>-524</v>
      </c>
      <c r="AA346" s="650">
        <v>-534</v>
      </c>
      <c r="AB346" s="650">
        <v>-583</v>
      </c>
      <c r="AC346" s="651">
        <v>-570</v>
      </c>
      <c r="AD346" s="650">
        <v>-537</v>
      </c>
      <c r="AE346" s="650">
        <v>-804</v>
      </c>
      <c r="AF346" s="650">
        <v>-1003</v>
      </c>
      <c r="AG346" s="651">
        <v>-545</v>
      </c>
      <c r="AH346" s="650">
        <v>-865</v>
      </c>
      <c r="AI346" s="650">
        <v>-793</v>
      </c>
      <c r="AJ346" s="650">
        <v>-2046</v>
      </c>
      <c r="AK346" s="651">
        <v>-514</v>
      </c>
      <c r="AL346" s="650">
        <v>-944</v>
      </c>
      <c r="AM346" s="659">
        <v>-1960</v>
      </c>
      <c r="AN346" s="659">
        <v>-2419</v>
      </c>
      <c r="AO346" s="660">
        <v>-2477</v>
      </c>
      <c r="AP346" s="584">
        <f>Reported!P195</f>
        <v>-2244</v>
      </c>
      <c r="AQ346" s="584">
        <f>Reported!Q195</f>
        <v>-2128</v>
      </c>
      <c r="AR346" s="584">
        <f>Reported!R195</f>
        <v>-2500</v>
      </c>
      <c r="AS346" s="585">
        <f>Reported!S195</f>
        <v>-2333</v>
      </c>
      <c r="AT346" s="584">
        <f>Reported!T195</f>
        <v>-2743</v>
      </c>
      <c r="AU346" s="584">
        <f>Reported!U195</f>
        <v>-2815</v>
      </c>
      <c r="AV346" s="584">
        <f>Reported!V195</f>
        <v>-3287</v>
      </c>
      <c r="AW346" s="585">
        <f>Reported!W195</f>
        <v>-3394</v>
      </c>
      <c r="AX346" s="584">
        <f>Reported!X195</f>
        <v>-3679</v>
      </c>
      <c r="AY346" s="584">
        <f>Reported!Y195</f>
        <v>-3439</v>
      </c>
      <c r="AZ346" s="584">
        <f>Reported!Z195</f>
        <v>-4572</v>
      </c>
      <c r="BA346" s="1540">
        <f>K346-SUM(AX346:AZ346)</f>
        <v>-7040.2825645921002</v>
      </c>
      <c r="BB346" s="583">
        <f>BB350-BB338-BB344-BB345</f>
        <v>-5852.6907520679943</v>
      </c>
      <c r="BC346" s="583">
        <f>BC350-BC338-BC344-BC345</f>
        <v>-8105.6504439768041</v>
      </c>
      <c r="BD346" s="583">
        <f>BD350-BD338-BD344-BD345</f>
        <v>-7575.3006298687906</v>
      </c>
      <c r="BE346" s="469">
        <f>L346-SUM(BB346:BD346)</f>
        <v>-9656.6907177700123</v>
      </c>
      <c r="BF346" s="360"/>
      <c r="BY346" s="350"/>
      <c r="BZ346" s="450"/>
    </row>
    <row r="347" spans="1:90" s="13" customFormat="1" ht="12.75" customHeight="1" outlineLevel="1">
      <c r="A347" s="1349"/>
      <c r="B347" s="13" t="s">
        <v>85</v>
      </c>
      <c r="C347" s="20">
        <f t="shared" ref="C347:R347" si="678">SUM(C344:C346)</f>
        <v>-4470</v>
      </c>
      <c r="D347" s="20">
        <f t="shared" si="678"/>
        <v>-6940</v>
      </c>
      <c r="E347" s="20">
        <f t="shared" si="678"/>
        <v>-8166</v>
      </c>
      <c r="F347" s="20">
        <f t="shared" si="678"/>
        <v>-10255</v>
      </c>
      <c r="G347" s="20">
        <f t="shared" si="678"/>
        <v>-13856</v>
      </c>
      <c r="H347" s="20">
        <f t="shared" si="678"/>
        <v>-26971</v>
      </c>
      <c r="I347" s="20">
        <f t="shared" si="678"/>
        <v>-34300</v>
      </c>
      <c r="J347" s="673">
        <f t="shared" si="678"/>
        <v>-45613</v>
      </c>
      <c r="K347" s="20">
        <f t="shared" si="678"/>
        <v>-69144.262674244703</v>
      </c>
      <c r="L347" s="20">
        <f t="shared" si="678"/>
        <v>-96466.16600287093</v>
      </c>
      <c r="M347" s="20">
        <f t="shared" si="678"/>
        <v>-120545.3283018364</v>
      </c>
      <c r="N347" s="20">
        <f t="shared" si="678"/>
        <v>-145257.40511212975</v>
      </c>
      <c r="O347" s="20">
        <f t="shared" si="678"/>
        <v>-169185.47057142592</v>
      </c>
      <c r="P347" s="20">
        <f t="shared" si="678"/>
        <v>-206103.86366113188</v>
      </c>
      <c r="Q347" s="20">
        <f t="shared" si="678"/>
        <v>-241420.2284441177</v>
      </c>
      <c r="R347" s="20">
        <f t="shared" si="678"/>
        <v>-278893.594283532</v>
      </c>
      <c r="T347" s="15">
        <f>(M347/J347)^(1/3)-1</f>
        <v>0.38257038202044447</v>
      </c>
      <c r="U347" s="314"/>
      <c r="V347" s="314"/>
      <c r="W347" s="14"/>
      <c r="X347" s="654"/>
      <c r="Y347" s="655"/>
      <c r="Z347" s="654">
        <f t="shared" ref="Z347:BA347" si="679">SUM(Z344:Z346)</f>
        <v>-1826</v>
      </c>
      <c r="AA347" s="654">
        <f t="shared" si="679"/>
        <v>-2052</v>
      </c>
      <c r="AB347" s="654">
        <f t="shared" si="679"/>
        <v>-2328</v>
      </c>
      <c r="AC347" s="655">
        <f t="shared" si="679"/>
        <v>-1960</v>
      </c>
      <c r="AD347" s="654">
        <f t="shared" si="679"/>
        <v>-2254</v>
      </c>
      <c r="AE347" s="654">
        <f t="shared" si="679"/>
        <v>-2666</v>
      </c>
      <c r="AF347" s="654">
        <f t="shared" si="679"/>
        <v>-3415</v>
      </c>
      <c r="AG347" s="655">
        <f t="shared" si="679"/>
        <v>-1920</v>
      </c>
      <c r="AH347" s="654">
        <f t="shared" si="679"/>
        <v>-2596</v>
      </c>
      <c r="AI347" s="654">
        <f t="shared" si="679"/>
        <v>-2618</v>
      </c>
      <c r="AJ347" s="654">
        <f t="shared" si="679"/>
        <v>-5650</v>
      </c>
      <c r="AK347" s="655">
        <f t="shared" si="679"/>
        <v>-2992</v>
      </c>
      <c r="AL347" s="654">
        <f t="shared" si="679"/>
        <v>-4108</v>
      </c>
      <c r="AM347" s="654">
        <f t="shared" si="679"/>
        <v>-6290</v>
      </c>
      <c r="AN347" s="654">
        <f t="shared" si="679"/>
        <v>-8523</v>
      </c>
      <c r="AO347" s="655">
        <f t="shared" si="679"/>
        <v>-8050</v>
      </c>
      <c r="AP347" s="654">
        <f t="shared" si="679"/>
        <v>-7726</v>
      </c>
      <c r="AQ347" s="654">
        <f t="shared" si="679"/>
        <v>-7917</v>
      </c>
      <c r="AR347" s="654">
        <f t="shared" si="679"/>
        <v>-9890</v>
      </c>
      <c r="AS347" s="655">
        <f t="shared" si="679"/>
        <v>-8767</v>
      </c>
      <c r="AT347" s="654">
        <f t="shared" si="679"/>
        <v>-10345</v>
      </c>
      <c r="AU347" s="654">
        <f t="shared" si="679"/>
        <v>-10827</v>
      </c>
      <c r="AV347" s="654">
        <f t="shared" si="679"/>
        <v>-12197</v>
      </c>
      <c r="AW347" s="655">
        <f t="shared" si="679"/>
        <v>-12244</v>
      </c>
      <c r="AX347" s="654">
        <f>SUM(AX344:AX346)</f>
        <v>-13225</v>
      </c>
      <c r="AY347" s="654">
        <f>SUM(AY344:AY346)</f>
        <v>-14788</v>
      </c>
      <c r="AZ347" s="654">
        <f>SUM(AZ344:AZ346)</f>
        <v>-19403</v>
      </c>
      <c r="BA347" s="655">
        <f t="shared" si="679"/>
        <v>-21728.262674244699</v>
      </c>
      <c r="BB347" s="654">
        <f>SUM(BB344:BB346)</f>
        <v>-20491.435151667996</v>
      </c>
      <c r="BC347" s="654">
        <f>SUM(BC344:BC346)</f>
        <v>-23665.871190952807</v>
      </c>
      <c r="BD347" s="654">
        <f>SUM(BD344:BD346)</f>
        <v>-24945.841321165586</v>
      </c>
      <c r="BE347" s="654">
        <f>SUM(BE344:BE346)</f>
        <v>-27363.018339084541</v>
      </c>
      <c r="BF347" s="360"/>
      <c r="BH347" s="289"/>
      <c r="BV347" s="289"/>
      <c r="BW347" s="289"/>
      <c r="BY347" s="657"/>
      <c r="BZ347" s="658"/>
      <c r="CA347" s="14"/>
      <c r="CB347" s="14"/>
      <c r="CC347" s="14"/>
      <c r="CD347" s="14"/>
      <c r="CE347" s="14"/>
      <c r="CF347" s="14"/>
      <c r="CG347"/>
      <c r="CH347"/>
      <c r="CI347"/>
      <c r="CJ347"/>
      <c r="CK347"/>
      <c r="CL347"/>
    </row>
    <row r="348" spans="1:90" ht="12.75" customHeight="1" outlineLevel="1">
      <c r="B348" s="662"/>
      <c r="C348" s="663"/>
      <c r="D348" s="664"/>
      <c r="E348" s="664"/>
      <c r="F348" s="664"/>
      <c r="G348" s="664"/>
      <c r="H348" s="664"/>
      <c r="I348" s="664"/>
      <c r="J348" s="1368"/>
      <c r="K348" s="664"/>
      <c r="L348" s="664"/>
      <c r="M348" s="664"/>
      <c r="N348" s="664"/>
      <c r="O348" s="664"/>
      <c r="P348" s="664"/>
      <c r="Q348" s="664"/>
      <c r="R348" s="664"/>
      <c r="V348" s="141"/>
      <c r="W348" s="141"/>
      <c r="X348" s="141"/>
      <c r="Y348" s="398"/>
      <c r="Z348" s="15"/>
      <c r="AA348" s="15"/>
      <c r="AB348" s="15"/>
      <c r="AC348" s="435"/>
      <c r="AD348" s="15"/>
      <c r="AE348" s="15"/>
      <c r="AF348" s="15"/>
      <c r="AG348" s="435"/>
      <c r="AH348" s="15"/>
      <c r="AI348" s="15"/>
      <c r="AJ348" s="15"/>
      <c r="AK348" s="435"/>
      <c r="AL348" s="15"/>
      <c r="AM348" s="15"/>
      <c r="AN348" s="15"/>
      <c r="AO348" s="435"/>
      <c r="AP348" s="15"/>
      <c r="AQ348" s="15"/>
      <c r="AR348" s="15"/>
      <c r="AS348" s="435"/>
      <c r="AT348" s="15"/>
      <c r="AU348" s="15"/>
      <c r="AV348" s="15"/>
      <c r="AW348" s="435"/>
      <c r="AX348" s="15"/>
      <c r="AY348" s="15"/>
      <c r="AZ348" s="15"/>
      <c r="BA348" s="335"/>
      <c r="BB348" s="301"/>
      <c r="BC348" s="301"/>
      <c r="BD348" s="301"/>
      <c r="BE348" s="301"/>
      <c r="BF348" s="141"/>
      <c r="BY348" s="665"/>
      <c r="BZ348" s="450"/>
    </row>
    <row r="349" spans="1:90" ht="12.75" customHeight="1" outlineLevel="1">
      <c r="B349" s="141" t="s">
        <v>132</v>
      </c>
      <c r="C349" s="454">
        <f t="shared" ref="C349:M349" si="680">C350-C504</f>
        <v>566</v>
      </c>
      <c r="D349" s="454">
        <f t="shared" si="680"/>
        <v>1466</v>
      </c>
      <c r="E349" s="454">
        <f t="shared" si="680"/>
        <v>6020</v>
      </c>
      <c r="F349" s="454">
        <f t="shared" si="680"/>
        <v>15348</v>
      </c>
      <c r="G349" s="454">
        <f t="shared" si="680"/>
        <v>26618</v>
      </c>
      <c r="H349" s="454">
        <f t="shared" si="680"/>
        <v>27725</v>
      </c>
      <c r="I349" s="454">
        <f t="shared" si="680"/>
        <v>36258</v>
      </c>
      <c r="J349" s="725">
        <f t="shared" si="680"/>
        <v>58461</v>
      </c>
      <c r="K349" s="454">
        <f t="shared" si="680"/>
        <v>87922.435491546712</v>
      </c>
      <c r="L349" s="454">
        <f t="shared" si="680"/>
        <v>126616.05663175799</v>
      </c>
      <c r="M349" s="454">
        <f t="shared" si="680"/>
        <v>170018.32101803261</v>
      </c>
      <c r="N349" s="664"/>
      <c r="O349" s="664"/>
      <c r="P349" s="664"/>
      <c r="Q349" s="664"/>
      <c r="R349" s="664"/>
      <c r="V349" s="141"/>
      <c r="W349" s="141"/>
      <c r="X349" s="141"/>
      <c r="Y349" s="398"/>
      <c r="Z349" s="454">
        <f t="shared" ref="Z349:BE349" si="681">Z350-Z504</f>
        <v>1099.75</v>
      </c>
      <c r="AA349" s="454">
        <f t="shared" si="681"/>
        <v>1037.75</v>
      </c>
      <c r="AB349" s="454">
        <f t="shared" si="681"/>
        <v>2308.75</v>
      </c>
      <c r="AC349" s="454">
        <f t="shared" si="681"/>
        <v>1573.75</v>
      </c>
      <c r="AD349" s="454">
        <f t="shared" si="681"/>
        <v>2582.25</v>
      </c>
      <c r="AE349" s="454">
        <f t="shared" si="681"/>
        <v>2619.25</v>
      </c>
      <c r="AF349" s="454">
        <f t="shared" si="681"/>
        <v>5468.25</v>
      </c>
      <c r="AG349" s="725">
        <f t="shared" si="681"/>
        <v>4678.25</v>
      </c>
      <c r="AH349" s="454">
        <f t="shared" si="681"/>
        <v>5698</v>
      </c>
      <c r="AI349" s="454">
        <f t="shared" si="681"/>
        <v>5641</v>
      </c>
      <c r="AJ349" s="454">
        <f t="shared" si="681"/>
        <v>9318</v>
      </c>
      <c r="AK349" s="725">
        <f t="shared" si="681"/>
        <v>5961</v>
      </c>
      <c r="AL349" s="454">
        <f t="shared" si="681"/>
        <v>7501</v>
      </c>
      <c r="AM349" s="454">
        <f t="shared" si="681"/>
        <v>5483</v>
      </c>
      <c r="AN349" s="454">
        <f t="shared" si="681"/>
        <v>10790</v>
      </c>
      <c r="AO349" s="725">
        <f t="shared" si="681"/>
        <v>3951</v>
      </c>
      <c r="AP349" s="454">
        <f t="shared" si="681"/>
        <v>6590</v>
      </c>
      <c r="AQ349" s="454">
        <f t="shared" si="681"/>
        <v>7982</v>
      </c>
      <c r="AR349" s="454">
        <f t="shared" si="681"/>
        <v>14741</v>
      </c>
      <c r="AS349" s="725">
        <f t="shared" si="681"/>
        <v>6945</v>
      </c>
      <c r="AT349" s="454">
        <f t="shared" si="681"/>
        <v>11269</v>
      </c>
      <c r="AU349" s="454">
        <f t="shared" si="681"/>
        <v>11624</v>
      </c>
      <c r="AV349" s="454">
        <f t="shared" si="681"/>
        <v>23277</v>
      </c>
      <c r="AW349" s="725">
        <f t="shared" si="681"/>
        <v>12291</v>
      </c>
      <c r="AX349" s="454">
        <f t="shared" si="681"/>
        <v>21105</v>
      </c>
      <c r="AY349" s="454">
        <f t="shared" si="681"/>
        <v>20345</v>
      </c>
      <c r="AZ349" s="454">
        <f t="shared" si="681"/>
        <v>31068</v>
      </c>
      <c r="BA349" s="725">
        <f t="shared" si="681"/>
        <v>15404.435491546668</v>
      </c>
      <c r="BB349" s="454">
        <f t="shared" si="681"/>
        <v>28096.872044617383</v>
      </c>
      <c r="BC349" s="454">
        <f t="shared" si="681"/>
        <v>27274.822620101775</v>
      </c>
      <c r="BD349" s="454">
        <f t="shared" si="681"/>
        <v>44827.135539589777</v>
      </c>
      <c r="BE349" s="454">
        <f t="shared" si="681"/>
        <v>26417.226427449052</v>
      </c>
      <c r="BF349" s="141"/>
      <c r="BY349" s="665"/>
      <c r="BZ349" s="450"/>
    </row>
    <row r="350" spans="1:90" ht="12.75" customHeight="1" outlineLevel="1">
      <c r="B350" s="13" t="s">
        <v>715</v>
      </c>
      <c r="C350" s="20">
        <f t="shared" ref="C350:J350" si="682">C338+C347</f>
        <v>566</v>
      </c>
      <c r="D350" s="20">
        <f t="shared" si="682"/>
        <v>1466</v>
      </c>
      <c r="E350" s="20">
        <f t="shared" si="682"/>
        <v>5305</v>
      </c>
      <c r="F350" s="20">
        <f t="shared" si="682"/>
        <v>14543</v>
      </c>
      <c r="G350" s="20">
        <f t="shared" si="682"/>
        <v>25279</v>
      </c>
      <c r="H350" s="20">
        <f t="shared" si="682"/>
        <v>25399</v>
      </c>
      <c r="I350" s="20">
        <f t="shared" si="682"/>
        <v>32488</v>
      </c>
      <c r="J350" s="673">
        <f t="shared" si="682"/>
        <v>53177</v>
      </c>
      <c r="K350" s="446">
        <f t="shared" ref="K350:R350" si="683">K67+K474</f>
        <v>78620.851440254308</v>
      </c>
      <c r="L350" s="446">
        <f t="shared" si="683"/>
        <v>106463.8862018565</v>
      </c>
      <c r="M350" s="446">
        <f t="shared" si="683"/>
        <v>137710.42096309428</v>
      </c>
      <c r="N350" s="446">
        <f t="shared" si="683"/>
        <v>170180.26271302695</v>
      </c>
      <c r="O350" s="446">
        <f t="shared" si="683"/>
        <v>210481.23482192232</v>
      </c>
      <c r="P350" s="446">
        <f t="shared" si="683"/>
        <v>255374.49957948356</v>
      </c>
      <c r="Q350" s="446">
        <f t="shared" si="683"/>
        <v>289975.76450172684</v>
      </c>
      <c r="R350" s="446">
        <f t="shared" si="683"/>
        <v>325257.18046884355</v>
      </c>
      <c r="S350" s="20"/>
      <c r="T350" s="15">
        <f>(M350/J350)^(1/3)-1</f>
        <v>0.37324383405499395</v>
      </c>
      <c r="V350" s="141"/>
      <c r="W350" s="141"/>
      <c r="X350" s="141"/>
      <c r="Y350" s="398"/>
      <c r="Z350" s="20">
        <f t="shared" ref="Z350:BA350" si="684">Z338+Z347</f>
        <v>921</v>
      </c>
      <c r="AA350" s="20">
        <f t="shared" si="684"/>
        <v>859</v>
      </c>
      <c r="AB350" s="20">
        <f t="shared" si="684"/>
        <v>2130</v>
      </c>
      <c r="AC350" s="20">
        <f t="shared" si="684"/>
        <v>1395</v>
      </c>
      <c r="AD350" s="20">
        <f t="shared" si="684"/>
        <v>2381</v>
      </c>
      <c r="AE350" s="20">
        <f t="shared" si="684"/>
        <v>2418</v>
      </c>
      <c r="AF350" s="20">
        <f t="shared" si="684"/>
        <v>5267</v>
      </c>
      <c r="AG350" s="673">
        <f t="shared" si="684"/>
        <v>4477</v>
      </c>
      <c r="AH350" s="20">
        <f t="shared" si="684"/>
        <v>5455</v>
      </c>
      <c r="AI350" s="20">
        <f t="shared" si="684"/>
        <v>5331</v>
      </c>
      <c r="AJ350" s="20">
        <f t="shared" si="684"/>
        <v>8924</v>
      </c>
      <c r="AK350" s="673">
        <f t="shared" si="684"/>
        <v>5569</v>
      </c>
      <c r="AL350" s="20">
        <f t="shared" si="684"/>
        <v>7078</v>
      </c>
      <c r="AM350" s="20">
        <f t="shared" si="684"/>
        <v>4943</v>
      </c>
      <c r="AN350" s="20">
        <f t="shared" si="684"/>
        <v>10136</v>
      </c>
      <c r="AO350" s="673">
        <f t="shared" si="684"/>
        <v>3242</v>
      </c>
      <c r="AP350" s="20">
        <f t="shared" si="684"/>
        <v>5808</v>
      </c>
      <c r="AQ350" s="20">
        <f t="shared" si="684"/>
        <v>7123</v>
      </c>
      <c r="AR350" s="20">
        <f t="shared" si="684"/>
        <v>13702</v>
      </c>
      <c r="AS350" s="673">
        <f t="shared" si="684"/>
        <v>5855</v>
      </c>
      <c r="AT350" s="20">
        <f t="shared" si="684"/>
        <v>10065</v>
      </c>
      <c r="AU350" s="20">
        <f t="shared" si="684"/>
        <v>10342</v>
      </c>
      <c r="AV350" s="20">
        <f t="shared" si="684"/>
        <v>21925</v>
      </c>
      <c r="AW350" s="673">
        <f t="shared" si="684"/>
        <v>10845</v>
      </c>
      <c r="AX350" s="20">
        <f>AX338+AX347</f>
        <v>19499</v>
      </c>
      <c r="AY350" s="20">
        <f>AY338+AY347</f>
        <v>18332</v>
      </c>
      <c r="AZ350" s="20">
        <f>AZ338+AZ347</f>
        <v>28547</v>
      </c>
      <c r="BA350" s="673">
        <f t="shared" si="684"/>
        <v>12242.851440254268</v>
      </c>
      <c r="BB350" s="446">
        <f>BB67+BB474</f>
        <v>23058.829437142005</v>
      </c>
      <c r="BC350" s="446">
        <f>BC67+BC474</f>
        <v>22236.780012626397</v>
      </c>
      <c r="BD350" s="446">
        <f>BD67+BD474</f>
        <v>39789.092932114399</v>
      </c>
      <c r="BE350" s="20">
        <f>BE338+BE347</f>
        <v>21379.183819973674</v>
      </c>
      <c r="BF350" s="141"/>
      <c r="BY350" s="665"/>
      <c r="BZ350" s="450"/>
    </row>
    <row r="351" spans="1:90" ht="12.75" customHeight="1" outlineLevel="1">
      <c r="B351" s="141" t="s">
        <v>94</v>
      </c>
      <c r="C351" s="650">
        <v>-131</v>
      </c>
      <c r="D351" s="650">
        <v>-144</v>
      </c>
      <c r="E351" s="650">
        <v>-155</v>
      </c>
      <c r="F351" s="650">
        <v>-130</v>
      </c>
      <c r="G351" s="650">
        <v>-315</v>
      </c>
      <c r="H351" s="646">
        <f>SUM(AL351:AO351)</f>
        <v>-2089</v>
      </c>
      <c r="I351" s="646">
        <f>SUM(AP351:AS351)</f>
        <v>-2931</v>
      </c>
      <c r="J351" s="1411">
        <f>SUM(AT351:AW351)</f>
        <v>-5122</v>
      </c>
      <c r="K351" s="648">
        <f>-Model!K730</f>
        <v>-7060.423156647912</v>
      </c>
      <c r="L351" s="648">
        <f>-Model!L730</f>
        <v>-6803.1539828249925</v>
      </c>
      <c r="M351" s="648">
        <f>-Model!M730</f>
        <v>-6871.1924785312403</v>
      </c>
      <c r="N351" s="648">
        <f>-Model!N730</f>
        <v>-5460.2309742374891</v>
      </c>
      <c r="O351" s="648">
        <f>-Model!O730</f>
        <v>-4246.846313295825</v>
      </c>
      <c r="P351" s="648">
        <f>-Model!P730</f>
        <v>-3640.1539828249929</v>
      </c>
      <c r="Q351" s="648">
        <f>-Model!Q730</f>
        <v>-3640.1539828249929</v>
      </c>
      <c r="R351" s="648">
        <f>-Model!R730</f>
        <v>-3640.1539828249929</v>
      </c>
      <c r="V351" s="141"/>
      <c r="W351" s="141"/>
      <c r="X351" s="141"/>
      <c r="Y351" s="398"/>
      <c r="Z351" s="666">
        <v>-36</v>
      </c>
      <c r="AA351" s="666">
        <v>-44</v>
      </c>
      <c r="AB351" s="666">
        <v>-39</v>
      </c>
      <c r="AC351" s="667">
        <v>-36</v>
      </c>
      <c r="AD351" s="666">
        <v>-37</v>
      </c>
      <c r="AE351" s="666">
        <v>-37</v>
      </c>
      <c r="AF351" s="666">
        <v>-31</v>
      </c>
      <c r="AG351" s="667">
        <v>-25</v>
      </c>
      <c r="AH351" s="666">
        <v>-35</v>
      </c>
      <c r="AI351" s="666">
        <v>-39</v>
      </c>
      <c r="AJ351" s="666">
        <v>-123</v>
      </c>
      <c r="AK351" s="667">
        <v>-118</v>
      </c>
      <c r="AL351" s="550">
        <v>-234</v>
      </c>
      <c r="AM351" s="550">
        <v>-598</v>
      </c>
      <c r="AN351" s="550">
        <v>-614</v>
      </c>
      <c r="AO351" s="668">
        <v>-643</v>
      </c>
      <c r="AP351" s="584">
        <f>Reported!P196</f>
        <v>-647</v>
      </c>
      <c r="AQ351" s="584">
        <f>Reported!Q196</f>
        <v>-728</v>
      </c>
      <c r="AR351" s="584">
        <f>Reported!R196</f>
        <v>-813</v>
      </c>
      <c r="AS351" s="585">
        <f>Reported!S196</f>
        <v>-743</v>
      </c>
      <c r="AT351" s="584">
        <f>Reported!T196</f>
        <v>-1251</v>
      </c>
      <c r="AU351" s="584">
        <f>Reported!U196</f>
        <v>-1297</v>
      </c>
      <c r="AV351" s="584">
        <f>Reported!V196</f>
        <v>-1261</v>
      </c>
      <c r="AW351" s="585">
        <f>Reported!W196</f>
        <v>-1313</v>
      </c>
      <c r="AX351" s="584">
        <f>Reported!X196</f>
        <v>-1986</v>
      </c>
      <c r="AY351" s="584">
        <f>Reported!Y196</f>
        <v>-1748</v>
      </c>
      <c r="AZ351" s="584">
        <f>Reported!Z196</f>
        <v>-2057</v>
      </c>
      <c r="BA351" s="1540">
        <f>K351-SUM(AX351:AZ351)</f>
        <v>-1269.423156647912</v>
      </c>
      <c r="BB351" s="351">
        <f>L351/4</f>
        <v>-1700.7884957062481</v>
      </c>
      <c r="BC351" s="351">
        <f>BB351</f>
        <v>-1700.7884957062481</v>
      </c>
      <c r="BD351" s="351">
        <f>BC351</f>
        <v>-1700.7884957062481</v>
      </c>
      <c r="BE351" s="469">
        <f>L351-SUM(BB351:BD351)</f>
        <v>-1700.7884957062479</v>
      </c>
      <c r="BF351" s="141"/>
      <c r="BY351" s="350"/>
      <c r="BZ351" s="450"/>
    </row>
    <row r="352" spans="1:90" ht="12.75" customHeight="1" outlineLevel="1">
      <c r="B352" s="141" t="s">
        <v>95</v>
      </c>
      <c r="C352" s="650">
        <v>-1308</v>
      </c>
      <c r="D352" s="650">
        <v>0</v>
      </c>
      <c r="E352" s="650">
        <v>-135</v>
      </c>
      <c r="F352" s="650">
        <v>-175</v>
      </c>
      <c r="G352" s="650">
        <v>-44</v>
      </c>
      <c r="H352" s="646">
        <f>SUM(AL352:AO352)</f>
        <v>-175</v>
      </c>
      <c r="I352" s="646">
        <f>SUM(AP352:AS352)</f>
        <v>-455</v>
      </c>
      <c r="J352" s="1411">
        <f>SUM(AT352:AW352)</f>
        <v>0</v>
      </c>
      <c r="K352" s="648">
        <f>Model!K753</f>
        <v>0</v>
      </c>
      <c r="L352" s="648">
        <f>Model!L753</f>
        <v>0</v>
      </c>
      <c r="M352" s="648">
        <f>Model!M753</f>
        <v>0</v>
      </c>
      <c r="N352" s="648">
        <f>Model!N753</f>
        <v>0</v>
      </c>
      <c r="O352" s="648">
        <f>Model!O753</f>
        <v>0</v>
      </c>
      <c r="P352" s="648">
        <f>Model!P753</f>
        <v>0</v>
      </c>
      <c r="Q352" s="648">
        <f>Model!Q753</f>
        <v>0</v>
      </c>
      <c r="R352" s="648">
        <f>Model!R753</f>
        <v>0</v>
      </c>
      <c r="V352" s="141"/>
      <c r="W352" s="141"/>
      <c r="X352" s="141"/>
      <c r="Y352" s="398"/>
      <c r="Z352" s="141"/>
      <c r="AA352" s="141"/>
      <c r="AB352" s="669">
        <v>-135</v>
      </c>
      <c r="AC352" s="398"/>
      <c r="AD352" s="650"/>
      <c r="AE352" s="650"/>
      <c r="AF352" s="650">
        <v>-175</v>
      </c>
      <c r="AG352" s="651"/>
      <c r="AH352" s="650"/>
      <c r="AI352" s="650">
        <v>-44</v>
      </c>
      <c r="AJ352" s="350"/>
      <c r="AK352" s="670"/>
      <c r="AL352" s="350"/>
      <c r="AM352" s="350"/>
      <c r="AN352" s="550">
        <v>-175</v>
      </c>
      <c r="AO352" s="670"/>
      <c r="AP352" s="350"/>
      <c r="AQ352" s="350"/>
      <c r="AR352" s="584">
        <f>Reported!R197</f>
        <v>-455</v>
      </c>
      <c r="AS352" s="585"/>
      <c r="AT352" s="584"/>
      <c r="AU352" s="584"/>
      <c r="AV352" s="584"/>
      <c r="AW352" s="585"/>
      <c r="AX352" s="584"/>
      <c r="AY352" s="584"/>
      <c r="AZ352" s="584">
        <f>-Reported!Z197</f>
        <v>-494</v>
      </c>
      <c r="BA352" s="593"/>
      <c r="BB352" s="583"/>
      <c r="BC352" s="583"/>
      <c r="BD352" s="583"/>
      <c r="BE352" s="583"/>
      <c r="BF352" s="141"/>
      <c r="BY352" s="350"/>
      <c r="BZ352" s="450"/>
    </row>
    <row r="353" spans="1:90" ht="12.75" customHeight="1" outlineLevel="1">
      <c r="B353" s="141" t="s">
        <v>96</v>
      </c>
      <c r="C353" s="650">
        <v>0</v>
      </c>
      <c r="D353" s="650">
        <v>0</v>
      </c>
      <c r="E353" s="650">
        <v>0</v>
      </c>
      <c r="F353" s="650">
        <v>-3487</v>
      </c>
      <c r="G353" s="650">
        <v>0</v>
      </c>
      <c r="H353" s="646"/>
      <c r="I353" s="646"/>
      <c r="J353" s="1411"/>
      <c r="K353" s="648"/>
      <c r="L353" s="648"/>
      <c r="M353" s="648"/>
      <c r="N353" s="648"/>
      <c r="O353" s="648"/>
      <c r="P353" s="648"/>
      <c r="Q353" s="648"/>
      <c r="R353" s="648"/>
      <c r="V353" s="141"/>
      <c r="W353" s="141"/>
      <c r="X353" s="141"/>
      <c r="Y353" s="398"/>
      <c r="Z353" s="141"/>
      <c r="AA353" s="141"/>
      <c r="AB353" s="141"/>
      <c r="AC353" s="398"/>
      <c r="AD353" s="666">
        <v>0</v>
      </c>
      <c r="AE353" s="666">
        <v>-3487</v>
      </c>
      <c r="AF353" s="666"/>
      <c r="AG353" s="667"/>
      <c r="AH353" s="666"/>
      <c r="AI353" s="666"/>
      <c r="AJ353" s="666"/>
      <c r="AK353" s="667"/>
      <c r="AL353" s="350"/>
      <c r="AM353" s="350"/>
      <c r="AN353" s="350"/>
      <c r="AO353" s="670"/>
      <c r="AP353" s="350"/>
      <c r="AQ353" s="350"/>
      <c r="AR353" s="350"/>
      <c r="AS353" s="670"/>
      <c r="AT353" s="350"/>
      <c r="AU353" s="350"/>
      <c r="AV353" s="350"/>
      <c r="AW353" s="670"/>
      <c r="AX353" s="350"/>
      <c r="AY353" s="350"/>
      <c r="AZ353" s="350"/>
      <c r="BA353" s="593"/>
      <c r="BB353" s="583"/>
      <c r="BC353" s="583"/>
      <c r="BD353" s="583"/>
      <c r="BE353" s="583"/>
      <c r="BF353" s="141"/>
      <c r="BY353" s="350"/>
      <c r="BZ353" s="450"/>
    </row>
    <row r="354" spans="1:90" s="13" customFormat="1" ht="12.75" customHeight="1">
      <c r="A354" s="1349"/>
      <c r="B354" s="13" t="s">
        <v>115</v>
      </c>
      <c r="C354" s="20">
        <f>C350+SUM(C351:C353)</f>
        <v>-873</v>
      </c>
      <c r="D354" s="20">
        <f>D350+SUM(D351:D353)</f>
        <v>1322</v>
      </c>
      <c r="E354" s="20">
        <f t="shared" ref="E354:J354" si="685">E350+SUM(E351:E353)</f>
        <v>5015</v>
      </c>
      <c r="F354" s="20">
        <f t="shared" si="685"/>
        <v>10751</v>
      </c>
      <c r="G354" s="20">
        <f t="shared" si="685"/>
        <v>24920</v>
      </c>
      <c r="H354" s="20">
        <f t="shared" si="685"/>
        <v>23135</v>
      </c>
      <c r="I354" s="20">
        <f t="shared" si="685"/>
        <v>29102</v>
      </c>
      <c r="J354" s="673">
        <f t="shared" si="685"/>
        <v>48055</v>
      </c>
      <c r="K354" s="20">
        <f t="shared" ref="K354:R354" si="686">K350+SUM(K351:K353)</f>
        <v>71560.428283606394</v>
      </c>
      <c r="L354" s="20">
        <f t="shared" si="686"/>
        <v>99660.732219031503</v>
      </c>
      <c r="M354" s="20">
        <f t="shared" si="686"/>
        <v>130839.22848456303</v>
      </c>
      <c r="N354" s="20">
        <f t="shared" si="686"/>
        <v>164720.03173878946</v>
      </c>
      <c r="O354" s="20">
        <f t="shared" si="686"/>
        <v>206234.38850862649</v>
      </c>
      <c r="P354" s="20">
        <f t="shared" si="686"/>
        <v>251734.34559665856</v>
      </c>
      <c r="Q354" s="20">
        <f t="shared" si="686"/>
        <v>286335.61051890184</v>
      </c>
      <c r="R354" s="20">
        <f t="shared" si="686"/>
        <v>321617.02648601856</v>
      </c>
      <c r="T354" s="15">
        <f>(M354/J354)^(1/3)-1</f>
        <v>0.39636771048449959</v>
      </c>
      <c r="U354" s="314"/>
      <c r="V354" s="314"/>
      <c r="W354" s="314"/>
      <c r="X354" s="654"/>
      <c r="Y354" s="655"/>
      <c r="Z354" s="671">
        <v>885</v>
      </c>
      <c r="AA354" s="671">
        <v>815</v>
      </c>
      <c r="AB354" s="671">
        <v>1956</v>
      </c>
      <c r="AC354" s="672">
        <v>1359</v>
      </c>
      <c r="AD354" s="20">
        <f t="shared" ref="AD354:BE354" si="687">AD350+SUM(AD351:AD353)</f>
        <v>2344</v>
      </c>
      <c r="AE354" s="20">
        <f t="shared" si="687"/>
        <v>-1106</v>
      </c>
      <c r="AF354" s="20">
        <f t="shared" si="687"/>
        <v>5061</v>
      </c>
      <c r="AG354" s="673">
        <f t="shared" si="687"/>
        <v>4452</v>
      </c>
      <c r="AH354" s="20">
        <f t="shared" si="687"/>
        <v>5420</v>
      </c>
      <c r="AI354" s="20">
        <f t="shared" si="687"/>
        <v>5248</v>
      </c>
      <c r="AJ354" s="20">
        <f t="shared" si="687"/>
        <v>8801</v>
      </c>
      <c r="AK354" s="673">
        <f t="shared" si="687"/>
        <v>5451</v>
      </c>
      <c r="AL354" s="20">
        <f t="shared" si="687"/>
        <v>6844</v>
      </c>
      <c r="AM354" s="20">
        <f t="shared" si="687"/>
        <v>4345</v>
      </c>
      <c r="AN354" s="20">
        <f t="shared" si="687"/>
        <v>9347</v>
      </c>
      <c r="AO354" s="673">
        <f t="shared" si="687"/>
        <v>2599</v>
      </c>
      <c r="AP354" s="20">
        <f t="shared" si="687"/>
        <v>5161</v>
      </c>
      <c r="AQ354" s="20">
        <f t="shared" si="687"/>
        <v>6395</v>
      </c>
      <c r="AR354" s="20">
        <f t="shared" si="687"/>
        <v>12434</v>
      </c>
      <c r="AS354" s="673">
        <f t="shared" si="687"/>
        <v>5112</v>
      </c>
      <c r="AT354" s="20">
        <f t="shared" si="687"/>
        <v>8814</v>
      </c>
      <c r="AU354" s="20">
        <f t="shared" si="687"/>
        <v>9045</v>
      </c>
      <c r="AV354" s="20">
        <f t="shared" si="687"/>
        <v>20664</v>
      </c>
      <c r="AW354" s="673">
        <f t="shared" si="687"/>
        <v>9532</v>
      </c>
      <c r="AX354" s="20">
        <f t="shared" si="687"/>
        <v>17513</v>
      </c>
      <c r="AY354" s="20">
        <f t="shared" si="687"/>
        <v>16584</v>
      </c>
      <c r="AZ354" s="20">
        <f t="shared" ref="AZ354" si="688">AZ350+SUM(AZ351:AZ353)</f>
        <v>25996</v>
      </c>
      <c r="BA354" s="673">
        <f t="shared" si="687"/>
        <v>10973.428283606356</v>
      </c>
      <c r="BB354" s="20">
        <f t="shared" si="687"/>
        <v>21358.040941435756</v>
      </c>
      <c r="BC354" s="20">
        <f t="shared" si="687"/>
        <v>20535.991516920149</v>
      </c>
      <c r="BD354" s="20">
        <f t="shared" si="687"/>
        <v>38088.304436408151</v>
      </c>
      <c r="BE354" s="20">
        <f t="shared" si="687"/>
        <v>19678.395324267425</v>
      </c>
      <c r="BH354" s="289"/>
      <c r="BV354" s="289"/>
      <c r="BW354" s="289"/>
      <c r="BY354" s="657"/>
      <c r="BZ354" s="658"/>
      <c r="CA354" s="14"/>
      <c r="CB354" s="14"/>
      <c r="CC354" s="14"/>
      <c r="CD354" s="14"/>
      <c r="CE354" s="14"/>
      <c r="CF354" s="14"/>
      <c r="CG354"/>
      <c r="CH354"/>
      <c r="CI354"/>
      <c r="CJ354"/>
      <c r="CK354"/>
      <c r="CL354"/>
    </row>
    <row r="355" spans="1:90" ht="12.75" customHeight="1" outlineLevel="1">
      <c r="C355" s="350"/>
      <c r="H355" s="350"/>
      <c r="I355" s="350"/>
      <c r="J355" s="670"/>
      <c r="V355" s="141"/>
      <c r="W355" s="141"/>
      <c r="X355" s="141"/>
      <c r="Y355" s="398"/>
      <c r="Z355" s="141"/>
      <c r="AA355" s="141"/>
      <c r="AB355" s="141"/>
      <c r="AC355" s="398"/>
      <c r="AD355" s="141"/>
      <c r="AE355" s="141"/>
      <c r="AF355" s="141"/>
      <c r="AG355" s="398"/>
      <c r="AH355" s="141"/>
      <c r="AI355" s="141"/>
      <c r="AJ355" s="141"/>
      <c r="AK355" s="670"/>
      <c r="AL355" s="141"/>
      <c r="AM355" s="141"/>
      <c r="AN355" s="141"/>
      <c r="AO355" s="398"/>
      <c r="AP355" s="141"/>
      <c r="AQ355" s="141"/>
      <c r="AR355" s="141"/>
      <c r="AS355" s="398"/>
      <c r="AT355" s="141"/>
      <c r="AU355" s="141"/>
      <c r="AV355" s="141"/>
      <c r="AW355" s="398"/>
      <c r="AX355" s="141"/>
      <c r="AY355" s="141"/>
      <c r="AZ355" s="141"/>
      <c r="BA355" s="278"/>
      <c r="BB355" s="225"/>
      <c r="BC355" s="225"/>
      <c r="BD355" s="225"/>
      <c r="BE355" s="225"/>
      <c r="BF355" s="141"/>
    </row>
    <row r="356" spans="1:90" ht="12.75" customHeight="1" outlineLevel="1">
      <c r="B356" s="141" t="s">
        <v>97</v>
      </c>
      <c r="C356" s="645">
        <v>384</v>
      </c>
      <c r="D356" s="645">
        <v>549</v>
      </c>
      <c r="E356" s="645">
        <v>258</v>
      </c>
      <c r="F356" s="645">
        <v>39</v>
      </c>
      <c r="G356" s="645">
        <v>1648</v>
      </c>
      <c r="H356" s="584">
        <f>SUM(AL356:AO356)</f>
        <v>9455</v>
      </c>
      <c r="I356" s="1370">
        <f>SUM(AP356:AS356)</f>
        <v>52254</v>
      </c>
      <c r="J356" s="585">
        <f>SUM(AT356:AW356)</f>
        <v>8559</v>
      </c>
      <c r="K356" s="350">
        <f>Model!K570</f>
        <v>31374.42</v>
      </c>
      <c r="L356" s="350">
        <f>Model!L570</f>
        <v>9847.5784559123185</v>
      </c>
      <c r="M356" s="350">
        <f>Model!M570</f>
        <v>10894.899585064315</v>
      </c>
      <c r="N356" s="350">
        <f>Model!N570</f>
        <v>13162.852638638033</v>
      </c>
      <c r="O356" s="350">
        <f>Model!O570</f>
        <v>17562.006676396799</v>
      </c>
      <c r="P356" s="350">
        <f>Model!P570</f>
        <v>23804.351079766733</v>
      </c>
      <c r="Q356" s="350">
        <f>Model!Q570</f>
        <v>31550.968557342112</v>
      </c>
      <c r="R356" s="350">
        <f>Model!R570</f>
        <v>40176.941361777135</v>
      </c>
      <c r="V356" s="141"/>
      <c r="W356" s="141"/>
      <c r="X356" s="141"/>
      <c r="Y356" s="398"/>
      <c r="Z356" s="141"/>
      <c r="AA356" s="141"/>
      <c r="AB356" s="141"/>
      <c r="AC356" s="398"/>
      <c r="AD356" s="650"/>
      <c r="AE356" s="650"/>
      <c r="AF356" s="650"/>
      <c r="AG356" s="651"/>
      <c r="AH356" s="573">
        <v>466</v>
      </c>
      <c r="AI356" s="573">
        <v>318</v>
      </c>
      <c r="AJ356" s="573">
        <v>296</v>
      </c>
      <c r="AK356" s="574">
        <v>568</v>
      </c>
      <c r="AL356" s="573">
        <v>6828</v>
      </c>
      <c r="AM356" s="573">
        <v>468</v>
      </c>
      <c r="AN356" s="573">
        <v>313</v>
      </c>
      <c r="AO356" s="574">
        <v>1846</v>
      </c>
      <c r="AP356" s="584">
        <f>Reported!P200</f>
        <v>27382</v>
      </c>
      <c r="AQ356" s="584">
        <f>Reported!Q200</f>
        <v>18150</v>
      </c>
      <c r="AR356" s="584">
        <f>Reported!R200</f>
        <v>2944</v>
      </c>
      <c r="AS356" s="585">
        <f>Reported!S200</f>
        <v>3778</v>
      </c>
      <c r="AT356" s="584">
        <f>Reported!T200</f>
        <v>750</v>
      </c>
      <c r="AU356" s="584">
        <f>Reported!U200</f>
        <v>419</v>
      </c>
      <c r="AV356" s="584">
        <f>Reported!V200</f>
        <v>837</v>
      </c>
      <c r="AW356" s="585">
        <f>Reported!W200</f>
        <v>6553</v>
      </c>
      <c r="AX356" s="584">
        <f>Reported!X200</f>
        <v>1472</v>
      </c>
      <c r="AY356" s="584">
        <f>Reported!Y200</f>
        <v>3435</v>
      </c>
      <c r="AZ356" s="1376">
        <f>Reported!Z200</f>
        <v>23643</v>
      </c>
      <c r="BA356" s="593">
        <f>Model!BA570</f>
        <v>2824.4199999999983</v>
      </c>
      <c r="BB356" s="583">
        <f>Model!BB570</f>
        <v>2461.8946139780796</v>
      </c>
      <c r="BC356" s="583">
        <f>Model!BC570</f>
        <v>2461.8946139780796</v>
      </c>
      <c r="BD356" s="583">
        <f>Model!BD570</f>
        <v>2461.8946139780796</v>
      </c>
      <c r="BE356" s="583">
        <f>Model!BE570</f>
        <v>2461.8946139780801</v>
      </c>
      <c r="BF356" s="141"/>
      <c r="BY356" s="350"/>
      <c r="BZ356" s="450"/>
    </row>
    <row r="357" spans="1:90" ht="12.75" customHeight="1" outlineLevel="1">
      <c r="B357" s="141" t="s">
        <v>98</v>
      </c>
      <c r="C357" s="645">
        <v>0</v>
      </c>
      <c r="D357" s="645">
        <v>-4</v>
      </c>
      <c r="E357" s="645">
        <v>-68</v>
      </c>
      <c r="F357" s="645">
        <v>-1572</v>
      </c>
      <c r="G357" s="645">
        <v>-2195</v>
      </c>
      <c r="H357" s="584">
        <f>SUM(AL357:AO357)</f>
        <v>-2750</v>
      </c>
      <c r="I357" s="584">
        <f>SUM(AP357:AS357)</f>
        <v>-1946</v>
      </c>
      <c r="J357" s="585">
        <f>SUM(AT357:AW357)</f>
        <v>-2671</v>
      </c>
      <c r="K357" s="350">
        <f>Model!K577</f>
        <v>-3775.1431386696081</v>
      </c>
      <c r="L357" s="350">
        <f>Model!L577</f>
        <v>-4870.1442656149911</v>
      </c>
      <c r="M357" s="350">
        <f>Model!M577</f>
        <v>-4536.4529180841355</v>
      </c>
      <c r="N357" s="350">
        <f>Model!N577</f>
        <v>-4924.0378192355165</v>
      </c>
      <c r="O357" s="350">
        <f>Model!O577</f>
        <v>-5093.1734159381604</v>
      </c>
      <c r="P357" s="350">
        <f>Model!P577</f>
        <v>-5296.6202954424825</v>
      </c>
      <c r="Q357" s="350">
        <f>Model!Q577</f>
        <v>-5507.9918586506228</v>
      </c>
      <c r="R357" s="350">
        <f>Model!R577</f>
        <v>-5706.7464375085892</v>
      </c>
      <c r="S357" s="350"/>
      <c r="V357" s="141"/>
      <c r="W357" s="141"/>
      <c r="X357" s="141"/>
      <c r="Y357" s="398"/>
      <c r="Z357" s="141"/>
      <c r="AA357" s="141"/>
      <c r="AB357" s="141"/>
      <c r="AC357" s="398"/>
      <c r="AD357" s="650"/>
      <c r="AE357" s="650"/>
      <c r="AF357" s="650"/>
      <c r="AG357" s="667"/>
      <c r="AH357" s="666">
        <v>-1081</v>
      </c>
      <c r="AI357" s="666">
        <v>-374</v>
      </c>
      <c r="AJ357" s="666">
        <v>-387</v>
      </c>
      <c r="AK357" s="668">
        <v>-353</v>
      </c>
      <c r="AL357" s="550">
        <v>-410</v>
      </c>
      <c r="AM357" s="550">
        <v>-521</v>
      </c>
      <c r="AN357" s="550">
        <v>-1344</v>
      </c>
      <c r="AO357" s="668">
        <v>-475</v>
      </c>
      <c r="AP357" s="584">
        <f>Reported!P201</f>
        <v>-477</v>
      </c>
      <c r="AQ357" s="584">
        <f>Reported!Q201</f>
        <v>-484</v>
      </c>
      <c r="AR357" s="584">
        <f>Reported!R201</f>
        <v>-475</v>
      </c>
      <c r="AS357" s="585">
        <f>Reported!S201</f>
        <v>-510</v>
      </c>
      <c r="AT357" s="584">
        <f>Reported!T201</f>
        <v>-626</v>
      </c>
      <c r="AU357" s="584">
        <f>Reported!U201</f>
        <v>-668</v>
      </c>
      <c r="AV357" s="584">
        <f>Reported!V201</f>
        <v>-701</v>
      </c>
      <c r="AW357" s="585">
        <f>Reported!W201</f>
        <v>-676</v>
      </c>
      <c r="AX357" s="584">
        <f>Reported!X201</f>
        <v>-800</v>
      </c>
      <c r="AY357" s="584">
        <f>Reported!Y201</f>
        <v>-747</v>
      </c>
      <c r="AZ357" s="584">
        <f>Reported!Z201</f>
        <v>-844</v>
      </c>
      <c r="BA357" s="593">
        <f>Model!BA577</f>
        <v>-1384.1431386696081</v>
      </c>
      <c r="BB357" s="583">
        <f>Model!BB577</f>
        <v>-1217.5360664037478</v>
      </c>
      <c r="BC357" s="583">
        <f>Model!BC577</f>
        <v>-1217.5360664037478</v>
      </c>
      <c r="BD357" s="583">
        <f>Model!BD577</f>
        <v>-1217.5360664037478</v>
      </c>
      <c r="BE357" s="583">
        <f>Model!BE577</f>
        <v>-1217.536066403748</v>
      </c>
      <c r="BF357" s="141"/>
      <c r="BY357" s="350"/>
      <c r="BZ357" s="450"/>
    </row>
    <row r="358" spans="1:90" ht="12.75" customHeight="1" outlineLevel="1">
      <c r="B358" s="141" t="s">
        <v>99</v>
      </c>
      <c r="C358" s="645">
        <v>200</v>
      </c>
      <c r="D358" s="645">
        <v>68</v>
      </c>
      <c r="E358" s="645">
        <v>327</v>
      </c>
      <c r="F358" s="645">
        <v>894</v>
      </c>
      <c r="G358" s="645">
        <v>2429</v>
      </c>
      <c r="H358" s="584">
        <f>SUM(AL358:AO358)</f>
        <v>2486</v>
      </c>
      <c r="I358" s="584">
        <f>SUM(AP358:AS358)</f>
        <v>2058</v>
      </c>
      <c r="J358" s="1413">
        <f>SUM(AT358:AW358)</f>
        <v>6086</v>
      </c>
      <c r="K358" s="350">
        <f>Model!K583</f>
        <v>1825.8000000000002</v>
      </c>
      <c r="L358" s="350">
        <f>Model!L583</f>
        <v>-547.74000000000012</v>
      </c>
      <c r="M358" s="350">
        <f>Model!M583</f>
        <v>-547.74000000000012</v>
      </c>
      <c r="N358" s="350">
        <f>Model!N583</f>
        <v>-547.74000000000012</v>
      </c>
      <c r="O358" s="350">
        <f>Model!O583</f>
        <v>-547.74000000000012</v>
      </c>
      <c r="P358" s="350">
        <f>Model!P583</f>
        <v>-547.74000000000012</v>
      </c>
      <c r="Q358" s="350">
        <f>Model!Q583</f>
        <v>-547.74000000000012</v>
      </c>
      <c r="R358" s="350">
        <f>Model!R583</f>
        <v>-547.74000000000012</v>
      </c>
      <c r="V358" s="141"/>
      <c r="W358" s="141"/>
      <c r="X358" s="141"/>
      <c r="Y358" s="398"/>
      <c r="Z358" s="141"/>
      <c r="AA358" s="141"/>
      <c r="AB358" s="141"/>
      <c r="AC358" s="398"/>
      <c r="AD358" s="650"/>
      <c r="AE358" s="650"/>
      <c r="AF358" s="650"/>
      <c r="AG358" s="651"/>
      <c r="AH358" s="674">
        <v>241</v>
      </c>
      <c r="AI358" s="674">
        <v>389</v>
      </c>
      <c r="AJ358" s="674">
        <v>548</v>
      </c>
      <c r="AK358" s="675">
        <v>1251</v>
      </c>
      <c r="AL358" s="608">
        <v>711</v>
      </c>
      <c r="AM358" s="608">
        <v>378</v>
      </c>
      <c r="AN358" s="608">
        <v>901</v>
      </c>
      <c r="AO358" s="675">
        <v>496</v>
      </c>
      <c r="AP358" s="584">
        <f>Reported!P202</f>
        <v>551</v>
      </c>
      <c r="AQ358" s="584">
        <f>Reported!Q202</f>
        <v>429</v>
      </c>
      <c r="AR358" s="584">
        <f>Reported!R202</f>
        <v>1607</v>
      </c>
      <c r="AS358" s="585">
        <f>Reported!S202</f>
        <v>-529</v>
      </c>
      <c r="AT358" s="584">
        <f>Reported!T202</f>
        <v>1763</v>
      </c>
      <c r="AU358" s="584">
        <f>Reported!U202</f>
        <v>868</v>
      </c>
      <c r="AV358" s="584">
        <f>Reported!V202</f>
        <v>3015</v>
      </c>
      <c r="AW358" s="585">
        <f>Reported!W202</f>
        <v>440</v>
      </c>
      <c r="AX358" s="584">
        <f>Reported!X202</f>
        <v>1887</v>
      </c>
      <c r="AY358" s="584">
        <f>Reported!Y202</f>
        <v>1737</v>
      </c>
      <c r="AZ358" s="584">
        <f>Reported!Z202</f>
        <v>-348</v>
      </c>
      <c r="BA358" s="593">
        <f>Model!BA583</f>
        <v>-1450.1999999999998</v>
      </c>
      <c r="BB358" s="583">
        <f>Model!BB583</f>
        <v>250</v>
      </c>
      <c r="BC358" s="583">
        <f>Model!BC583</f>
        <v>-250</v>
      </c>
      <c r="BD358" s="583">
        <f>Model!BD583</f>
        <v>-250</v>
      </c>
      <c r="BE358" s="583">
        <f>Model!BE583</f>
        <v>-297.74000000000012</v>
      </c>
      <c r="BF358" s="141"/>
      <c r="BY358" s="350"/>
      <c r="BZ358" s="450"/>
    </row>
    <row r="359" spans="1:90" s="13" customFormat="1" ht="12.75" customHeight="1" outlineLevel="1">
      <c r="A359" s="1349"/>
      <c r="B359" s="13" t="s">
        <v>101</v>
      </c>
      <c r="C359" s="20">
        <f>SUM(C356:C358)+C354</f>
        <v>-289</v>
      </c>
      <c r="D359" s="20">
        <f>SUM(D356:D358)+D354</f>
        <v>1935</v>
      </c>
      <c r="E359" s="20">
        <f>SUM(E356:E358)+E354</f>
        <v>5532</v>
      </c>
      <c r="F359" s="20">
        <f>SUM(F356:F358)+F354</f>
        <v>10112</v>
      </c>
      <c r="G359" s="20">
        <f>SUM(G356:G358)+G354</f>
        <v>26802</v>
      </c>
      <c r="H359" s="314">
        <f>SUM(AL359:AO359)</f>
        <v>32326</v>
      </c>
      <c r="I359" s="20">
        <f>SUM(I356:I358)+I354</f>
        <v>81468</v>
      </c>
      <c r="J359" s="673">
        <f>SUM(AT359:AW359)</f>
        <v>60029</v>
      </c>
      <c r="K359" s="20">
        <f t="shared" ref="K359:R359" si="689">SUM(K356:K358)+K354</f>
        <v>100985.50514493679</v>
      </c>
      <c r="L359" s="20">
        <f t="shared" si="689"/>
        <v>104090.42640932884</v>
      </c>
      <c r="M359" s="20">
        <f t="shared" si="689"/>
        <v>136649.93515154321</v>
      </c>
      <c r="N359" s="20">
        <f t="shared" si="689"/>
        <v>172411.10655819197</v>
      </c>
      <c r="O359" s="20">
        <f t="shared" si="689"/>
        <v>218155.48176908513</v>
      </c>
      <c r="P359" s="20">
        <f t="shared" si="689"/>
        <v>269694.33638098283</v>
      </c>
      <c r="Q359" s="20">
        <f t="shared" si="689"/>
        <v>311830.84721759334</v>
      </c>
      <c r="R359" s="20">
        <f t="shared" si="689"/>
        <v>355539.48141028709</v>
      </c>
      <c r="T359" s="14"/>
      <c r="U359" s="314"/>
      <c r="V359" s="14"/>
      <c r="W359" s="14"/>
      <c r="X359" s="20"/>
      <c r="Y359" s="673"/>
      <c r="Z359" s="20"/>
      <c r="AA359" s="20"/>
      <c r="AB359" s="20"/>
      <c r="AC359" s="673"/>
      <c r="AD359" s="20"/>
      <c r="AE359" s="20"/>
      <c r="AF359" s="20"/>
      <c r="AG359" s="673"/>
      <c r="AH359" s="20">
        <f t="shared" ref="AH359:BE359" si="690">AH354+SUM(AH356:AH358)</f>
        <v>5046</v>
      </c>
      <c r="AI359" s="20">
        <f t="shared" si="690"/>
        <v>5581</v>
      </c>
      <c r="AJ359" s="20">
        <f t="shared" si="690"/>
        <v>9258</v>
      </c>
      <c r="AK359" s="673">
        <f t="shared" si="690"/>
        <v>6917</v>
      </c>
      <c r="AL359" s="20">
        <f t="shared" si="690"/>
        <v>13973</v>
      </c>
      <c r="AM359" s="20">
        <f t="shared" si="690"/>
        <v>4670</v>
      </c>
      <c r="AN359" s="20">
        <f t="shared" si="690"/>
        <v>9217</v>
      </c>
      <c r="AO359" s="673">
        <f t="shared" si="690"/>
        <v>4466</v>
      </c>
      <c r="AP359" s="20">
        <f t="shared" si="690"/>
        <v>32617</v>
      </c>
      <c r="AQ359" s="20">
        <f t="shared" si="690"/>
        <v>24490</v>
      </c>
      <c r="AR359" s="20">
        <f t="shared" si="690"/>
        <v>16510</v>
      </c>
      <c r="AS359" s="673">
        <f t="shared" si="690"/>
        <v>7851</v>
      </c>
      <c r="AT359" s="20">
        <f t="shared" si="690"/>
        <v>10701</v>
      </c>
      <c r="AU359" s="20">
        <f t="shared" si="690"/>
        <v>9664</v>
      </c>
      <c r="AV359" s="20">
        <f t="shared" si="690"/>
        <v>23815</v>
      </c>
      <c r="AW359" s="673">
        <f t="shared" si="690"/>
        <v>15849</v>
      </c>
      <c r="AX359" s="20">
        <f t="shared" si="690"/>
        <v>20072</v>
      </c>
      <c r="AY359" s="20">
        <f t="shared" si="690"/>
        <v>21009</v>
      </c>
      <c r="AZ359" s="20">
        <f t="shared" ref="AZ359" si="691">AZ354+SUM(AZ356:AZ358)</f>
        <v>48447</v>
      </c>
      <c r="BA359" s="566">
        <f t="shared" si="690"/>
        <v>10963.505144936746</v>
      </c>
      <c r="BB359" s="440">
        <f t="shared" si="690"/>
        <v>22852.399489010088</v>
      </c>
      <c r="BC359" s="440">
        <f t="shared" si="690"/>
        <v>21530.35006449448</v>
      </c>
      <c r="BD359" s="440">
        <f t="shared" si="690"/>
        <v>39082.662983982482</v>
      </c>
      <c r="BE359" s="440">
        <f t="shared" si="690"/>
        <v>20625.013871841758</v>
      </c>
      <c r="BH359" s="289"/>
      <c r="BV359" s="289"/>
      <c r="BW359" s="289"/>
      <c r="BY359" s="20"/>
      <c r="BZ359" s="658"/>
      <c r="CA359" s="14"/>
      <c r="CB359" s="14"/>
      <c r="CC359" s="14"/>
      <c r="CD359" s="14"/>
      <c r="CE359" s="14"/>
      <c r="CF359" s="14"/>
      <c r="CG359"/>
      <c r="CH359"/>
      <c r="CI359"/>
      <c r="CJ359"/>
      <c r="CK359"/>
      <c r="CL359"/>
    </row>
    <row r="360" spans="1:90" ht="12.75" customHeight="1" outlineLevel="1">
      <c r="B360" s="13" t="s">
        <v>102</v>
      </c>
      <c r="C360" s="645">
        <v>-181</v>
      </c>
      <c r="D360" s="645">
        <v>-327</v>
      </c>
      <c r="E360" s="645">
        <v>-842</v>
      </c>
      <c r="F360" s="645">
        <v>-1457</v>
      </c>
      <c r="G360" s="645">
        <v>-3196</v>
      </c>
      <c r="H360" s="646">
        <f>SUM(AL360:AO360)</f>
        <v>-6416</v>
      </c>
      <c r="I360" s="646">
        <f>SUM(AP360:AS360)</f>
        <v>-8449</v>
      </c>
      <c r="J360" s="1411">
        <f>SUM(AT360:AW360)</f>
        <v>-13776</v>
      </c>
      <c r="K360" s="648">
        <f t="shared" ref="K360:R360" si="692">-K359*K397</f>
        <v>-16157.680823189887</v>
      </c>
      <c r="L360" s="648">
        <f t="shared" si="692"/>
        <v>-20818.08528186577</v>
      </c>
      <c r="M360" s="648">
        <f t="shared" si="692"/>
        <v>-31429.485084854939</v>
      </c>
      <c r="N360" s="648">
        <f t="shared" si="692"/>
        <v>-39654.554508384157</v>
      </c>
      <c r="O360" s="648">
        <f t="shared" si="692"/>
        <v>-50175.760806889586</v>
      </c>
      <c r="P360" s="648">
        <f t="shared" si="692"/>
        <v>-62029.697367626053</v>
      </c>
      <c r="Q360" s="648">
        <f t="shared" si="692"/>
        <v>-71721.094860046476</v>
      </c>
      <c r="R360" s="648">
        <f t="shared" si="692"/>
        <v>-81774.080724366038</v>
      </c>
      <c r="V360" s="141"/>
      <c r="W360" s="141"/>
      <c r="X360" s="141"/>
      <c r="Y360" s="398"/>
      <c r="Z360" s="141"/>
      <c r="AA360" s="141"/>
      <c r="AB360" s="141"/>
      <c r="AC360" s="398"/>
      <c r="AD360" s="650"/>
      <c r="AE360" s="650"/>
      <c r="AF360" s="650"/>
      <c r="AG360" s="651"/>
      <c r="AH360" s="573">
        <v>-591</v>
      </c>
      <c r="AI360" s="573">
        <v>-637</v>
      </c>
      <c r="AJ360" s="573">
        <v>-741</v>
      </c>
      <c r="AK360" s="676">
        <v>-1227</v>
      </c>
      <c r="AL360" s="573">
        <v>-1445</v>
      </c>
      <c r="AM360" s="573">
        <v>-1339</v>
      </c>
      <c r="AN360" s="573">
        <v>-2429</v>
      </c>
      <c r="AO360" s="574">
        <v>-1203</v>
      </c>
      <c r="AP360" s="584">
        <f>Reported!P204</f>
        <v>-1394</v>
      </c>
      <c r="AQ360" s="584">
        <f>Reported!Q204</f>
        <v>-1671</v>
      </c>
      <c r="AR360" s="584">
        <f>Reported!R204</f>
        <v>-3559</v>
      </c>
      <c r="AS360" s="585">
        <f>Reported!S204</f>
        <v>-1825</v>
      </c>
      <c r="AT360" s="584">
        <f>Reported!T204</f>
        <v>-2091</v>
      </c>
      <c r="AU360" s="584">
        <f>Reported!U204</f>
        <v>-2022</v>
      </c>
      <c r="AV360" s="584">
        <f>Reported!V204</f>
        <v>-5110</v>
      </c>
      <c r="AW360" s="585">
        <f>Reported!W204</f>
        <v>-4553</v>
      </c>
      <c r="AX360" s="584">
        <f>Reported!X204</f>
        <v>-4653</v>
      </c>
      <c r="AY360" s="584">
        <f>Reported!Y204</f>
        <v>-2719</v>
      </c>
      <c r="AZ360" s="584">
        <f>Reported!Z204</f>
        <v>-6663</v>
      </c>
      <c r="BA360" s="1540">
        <f>K360-SUM(AX360:AZ360)</f>
        <v>-2122.6808231898867</v>
      </c>
      <c r="BB360" s="351">
        <f>-BB359*BB397</f>
        <v>-4570.4798978020181</v>
      </c>
      <c r="BC360" s="351">
        <f>-BC359*BC397</f>
        <v>-4306.0700128988965</v>
      </c>
      <c r="BD360" s="351">
        <f>-BD359*BD397</f>
        <v>-7816.5325967964964</v>
      </c>
      <c r="BE360" s="469">
        <f>L360-SUM(BB360:BD360)</f>
        <v>-4125.0027743683568</v>
      </c>
      <c r="BF360" s="350"/>
      <c r="BY360" s="350"/>
      <c r="BZ360" s="450"/>
    </row>
    <row r="361" spans="1:90" ht="12.75" customHeight="1" outlineLevel="1">
      <c r="C361" s="350"/>
      <c r="V361" s="141"/>
      <c r="W361" s="141"/>
      <c r="X361" s="141"/>
      <c r="Y361" s="398"/>
      <c r="Z361" s="141"/>
      <c r="AA361" s="141"/>
      <c r="AB361" s="141"/>
      <c r="AC361" s="398"/>
      <c r="AD361" s="141"/>
      <c r="AE361" s="141"/>
      <c r="AF361" s="141"/>
      <c r="AG361" s="398"/>
      <c r="AH361" s="141"/>
      <c r="AI361" s="141"/>
      <c r="AJ361" s="141"/>
      <c r="AK361" s="670"/>
      <c r="AL361" s="141"/>
      <c r="AM361" s="141"/>
      <c r="AN361" s="141"/>
      <c r="AO361" s="398"/>
      <c r="AP361" s="141"/>
      <c r="AQ361" s="141"/>
      <c r="AR361" s="141"/>
      <c r="AS361" s="398"/>
      <c r="AT361" s="141"/>
      <c r="AU361" s="141"/>
      <c r="AV361" s="141"/>
      <c r="AW361" s="398"/>
      <c r="AX361" s="141"/>
      <c r="AY361" s="141"/>
      <c r="AZ361" s="141"/>
      <c r="BA361" s="278"/>
      <c r="BB361" s="225"/>
      <c r="BC361" s="225"/>
      <c r="BD361" s="225"/>
      <c r="BE361" s="225"/>
      <c r="BF361" s="141"/>
    </row>
    <row r="362" spans="1:90" ht="12.75" customHeight="1" outlineLevel="2">
      <c r="B362" s="677" t="s">
        <v>610</v>
      </c>
      <c r="C362" s="350"/>
      <c r="H362" s="550">
        <v>0</v>
      </c>
      <c r="I362" s="584">
        <f t="shared" ref="I362:I369" si="693">SUM(AP362:AS362)</f>
        <v>-867</v>
      </c>
      <c r="J362" s="585">
        <f t="shared" ref="J362:J369" si="694">SUM(AT362:AW362)</f>
        <v>-990</v>
      </c>
      <c r="K362" s="678">
        <v>-1700</v>
      </c>
      <c r="L362" s="678">
        <v>-1600</v>
      </c>
      <c r="M362" s="678">
        <v>-1600</v>
      </c>
      <c r="N362" s="678">
        <v>-1400</v>
      </c>
      <c r="O362" s="678">
        <v>-1000</v>
      </c>
      <c r="P362" s="678">
        <v>-500</v>
      </c>
      <c r="Q362" s="678">
        <v>-300</v>
      </c>
      <c r="R362" s="678">
        <v>-200</v>
      </c>
      <c r="V362" s="141"/>
      <c r="W362" s="141"/>
      <c r="X362" s="141"/>
      <c r="Y362" s="398"/>
      <c r="Z362" s="141"/>
      <c r="AA362" s="141"/>
      <c r="AB362" s="141"/>
      <c r="AC362" s="398"/>
      <c r="AD362" s="141"/>
      <c r="AE362" s="141"/>
      <c r="AF362" s="141"/>
      <c r="AG362" s="398"/>
      <c r="AH362" s="141"/>
      <c r="AI362" s="141"/>
      <c r="AJ362" s="141"/>
      <c r="AK362" s="670"/>
      <c r="AL362" s="141"/>
      <c r="AM362" s="141"/>
      <c r="AN362" s="141"/>
      <c r="AO362" s="398"/>
      <c r="AP362" s="584">
        <f>Reported!P165</f>
        <v>0</v>
      </c>
      <c r="AQ362" s="584">
        <f>Reported!Q165</f>
        <v>0</v>
      </c>
      <c r="AR362" s="584">
        <f>Reported!R165</f>
        <v>-105</v>
      </c>
      <c r="AS362" s="585">
        <f>Reported!S165</f>
        <v>-762</v>
      </c>
      <c r="AT362" s="584">
        <f>Reported!T165</f>
        <v>-245</v>
      </c>
      <c r="AU362" s="584">
        <f>Reported!U165</f>
        <v>-3</v>
      </c>
      <c r="AV362" s="584">
        <f>Reported!V165</f>
        <v>-237</v>
      </c>
      <c r="AW362" s="585">
        <f>Reported!W165</f>
        <v>-505</v>
      </c>
      <c r="AX362" s="584">
        <f>Reported!X165</f>
        <v>-391</v>
      </c>
      <c r="AY362" s="584">
        <f>Reported!Y165</f>
        <v>-369</v>
      </c>
      <c r="AZ362" s="584">
        <f>Reported!Z165</f>
        <v>-580</v>
      </c>
      <c r="BA362" s="1519">
        <f>K362-SUM(AX362:AZ362)</f>
        <v>-360</v>
      </c>
      <c r="BB362" s="679">
        <v>-300</v>
      </c>
      <c r="BC362" s="679">
        <v>-400</v>
      </c>
      <c r="BD362" s="679">
        <v>-500</v>
      </c>
      <c r="BE362" s="469">
        <f>L362-SUM(BB362:BD362)</f>
        <v>-400</v>
      </c>
      <c r="BF362" s="141"/>
    </row>
    <row r="363" spans="1:90" ht="12.75" customHeight="1" outlineLevel="2">
      <c r="B363" s="677" t="s">
        <v>611</v>
      </c>
      <c r="C363" s="350"/>
      <c r="H363" s="550">
        <v>-99</v>
      </c>
      <c r="I363" s="584">
        <f t="shared" si="693"/>
        <v>-391</v>
      </c>
      <c r="J363" s="585">
        <f t="shared" si="694"/>
        <v>0</v>
      </c>
      <c r="V363" s="141"/>
      <c r="W363" s="141"/>
      <c r="X363" s="141"/>
      <c r="Y363" s="398"/>
      <c r="Z363" s="141"/>
      <c r="AA363" s="141"/>
      <c r="AB363" s="141"/>
      <c r="AC363" s="398"/>
      <c r="AD363" s="141"/>
      <c r="AE363" s="141"/>
      <c r="AF363" s="141"/>
      <c r="AG363" s="398"/>
      <c r="AH363" s="141"/>
      <c r="AI363" s="141"/>
      <c r="AJ363" s="141"/>
      <c r="AK363" s="670"/>
      <c r="AL363" s="141"/>
      <c r="AM363" s="141"/>
      <c r="AN363" s="141"/>
      <c r="AO363" s="398"/>
      <c r="AP363" s="584">
        <f>Reported!P166</f>
        <v>-95</v>
      </c>
      <c r="AQ363" s="584">
        <f>Reported!Q166</f>
        <v>-63</v>
      </c>
      <c r="AR363" s="584">
        <f>Reported!R166</f>
        <v>-81</v>
      </c>
      <c r="AS363" s="585">
        <f>Reported!S166</f>
        <v>-152</v>
      </c>
      <c r="AT363" s="584">
        <f>Reported!T166</f>
        <v>0</v>
      </c>
      <c r="AU363" s="584">
        <f>Reported!U166</f>
        <v>0</v>
      </c>
      <c r="AV363" s="584">
        <f>Reported!V166</f>
        <v>0</v>
      </c>
      <c r="AW363" s="585">
        <f>Reported!W166</f>
        <v>0</v>
      </c>
      <c r="AX363" s="584">
        <f>Reported!X166</f>
        <v>0</v>
      </c>
      <c r="AY363" s="584">
        <f>Reported!Y166</f>
        <v>0</v>
      </c>
      <c r="AZ363" s="584">
        <f>Reported!Z166</f>
        <v>0</v>
      </c>
      <c r="BA363" s="278"/>
      <c r="BB363" s="225"/>
      <c r="BC363" s="225"/>
      <c r="BD363" s="225"/>
      <c r="BE363" s="225"/>
      <c r="BF363" s="141"/>
    </row>
    <row r="364" spans="1:90" ht="12.75" customHeight="1" outlineLevel="2">
      <c r="B364" s="677" t="s">
        <v>889</v>
      </c>
      <c r="C364" s="350"/>
      <c r="H364" s="550">
        <v>-90</v>
      </c>
      <c r="I364" s="584">
        <f t="shared" si="693"/>
        <v>-295</v>
      </c>
      <c r="J364" s="585">
        <f t="shared" si="694"/>
        <v>-1056</v>
      </c>
      <c r="K364" s="678">
        <f>AX364+AY364</f>
        <v>-518</v>
      </c>
      <c r="L364" s="350"/>
      <c r="M364" s="350"/>
      <c r="N364" s="350"/>
      <c r="O364" s="350"/>
      <c r="P364" s="350"/>
      <c r="Q364" s="350"/>
      <c r="R364" s="350"/>
      <c r="V364" s="141"/>
      <c r="W364" s="141"/>
      <c r="X364" s="141"/>
      <c r="Y364" s="398"/>
      <c r="Z364" s="141"/>
      <c r="AA364" s="141"/>
      <c r="AB364" s="141"/>
      <c r="AC364" s="398"/>
      <c r="AD364" s="141"/>
      <c r="AE364" s="141"/>
      <c r="AF364" s="141"/>
      <c r="AG364" s="398"/>
      <c r="AH364" s="141"/>
      <c r="AI364" s="141"/>
      <c r="AJ364" s="141"/>
      <c r="AK364" s="670"/>
      <c r="AL364" s="141"/>
      <c r="AM364" s="141"/>
      <c r="AN364" s="141"/>
      <c r="AO364" s="398"/>
      <c r="AP364" s="584">
        <f>Reported!P167</f>
        <v>-59</v>
      </c>
      <c r="AQ364" s="584">
        <f>Reported!Q167</f>
        <v>-56</v>
      </c>
      <c r="AR364" s="584">
        <f>Reported!R167</f>
        <v>-86</v>
      </c>
      <c r="AS364" s="585">
        <f>Reported!S167</f>
        <v>-94</v>
      </c>
      <c r="AT364" s="584">
        <f>Reported!T167</f>
        <v>-227</v>
      </c>
      <c r="AU364" s="584">
        <f>Reported!U167</f>
        <v>-220</v>
      </c>
      <c r="AV364" s="584">
        <f>Reported!V167</f>
        <v>-234</v>
      </c>
      <c r="AW364" s="585">
        <f>Reported!W167</f>
        <v>-375</v>
      </c>
      <c r="AX364" s="584">
        <f>Reported!X167</f>
        <v>-245</v>
      </c>
      <c r="AY364" s="584">
        <f>Reported!Y167</f>
        <v>-273</v>
      </c>
      <c r="AZ364" s="584">
        <f>Reported!Z167</f>
        <v>0</v>
      </c>
      <c r="BA364" s="1519"/>
      <c r="BB364" s="489"/>
      <c r="BC364" s="489"/>
      <c r="BD364" s="489"/>
      <c r="BE364" s="469"/>
      <c r="BF364" s="141"/>
    </row>
    <row r="365" spans="1:90" ht="12.75" customHeight="1" outlineLevel="2">
      <c r="B365" s="677" t="s">
        <v>617</v>
      </c>
      <c r="C365" s="350"/>
      <c r="H365" s="550">
        <v>-275</v>
      </c>
      <c r="I365" s="584">
        <f t="shared" si="693"/>
        <v>62</v>
      </c>
      <c r="J365" s="585">
        <f t="shared" si="694"/>
        <v>-838</v>
      </c>
      <c r="K365" s="678">
        <v>-30</v>
      </c>
      <c r="L365" s="678">
        <v>100</v>
      </c>
      <c r="M365" s="678">
        <f>L365</f>
        <v>100</v>
      </c>
      <c r="N365" s="678">
        <f t="shared" ref="N365:R365" si="695">M365</f>
        <v>100</v>
      </c>
      <c r="O365" s="678">
        <f t="shared" si="695"/>
        <v>100</v>
      </c>
      <c r="P365" s="678">
        <f t="shared" si="695"/>
        <v>100</v>
      </c>
      <c r="Q365" s="678">
        <f t="shared" si="695"/>
        <v>100</v>
      </c>
      <c r="R365" s="678">
        <f t="shared" si="695"/>
        <v>100</v>
      </c>
      <c r="V365" s="141"/>
      <c r="W365" s="141"/>
      <c r="X365" s="141"/>
      <c r="Y365" s="398"/>
      <c r="Z365" s="141"/>
      <c r="AA365" s="141"/>
      <c r="AB365" s="141"/>
      <c r="AC365" s="398"/>
      <c r="AD365" s="141"/>
      <c r="AE365" s="141"/>
      <c r="AF365" s="141"/>
      <c r="AG365" s="398"/>
      <c r="AH365" s="141"/>
      <c r="AI365" s="141"/>
      <c r="AJ365" s="141"/>
      <c r="AK365" s="670"/>
      <c r="AL365" s="141"/>
      <c r="AM365" s="141"/>
      <c r="AN365" s="141"/>
      <c r="AO365" s="398"/>
      <c r="AP365" s="584">
        <f>Reported!P168</f>
        <v>-140</v>
      </c>
      <c r="AQ365" s="584">
        <f>Reported!Q168</f>
        <v>217</v>
      </c>
      <c r="AR365" s="584">
        <f>Reported!R168</f>
        <v>87</v>
      </c>
      <c r="AS365" s="585">
        <f>Reported!S168</f>
        <v>-102</v>
      </c>
      <c r="AT365" s="584">
        <f>Reported!T168</f>
        <v>-264</v>
      </c>
      <c r="AU365" s="584">
        <f>Reported!U168</f>
        <v>-160</v>
      </c>
      <c r="AV365" s="584">
        <f>Reported!V168</f>
        <v>-373</v>
      </c>
      <c r="AW365" s="585">
        <f>Reported!W168</f>
        <v>-41</v>
      </c>
      <c r="AX365" s="584">
        <f>Reported!X168</f>
        <v>-311</v>
      </c>
      <c r="AY365" s="584">
        <f>Reported!Y168</f>
        <v>190</v>
      </c>
      <c r="AZ365" s="584">
        <f>Reported!Z168</f>
        <v>681</v>
      </c>
      <c r="BA365" s="1519">
        <f>K365-SUM(AX365:AZ365)</f>
        <v>-590</v>
      </c>
      <c r="BB365" s="679">
        <v>50</v>
      </c>
      <c r="BC365" s="679">
        <f>BB365</f>
        <v>50</v>
      </c>
      <c r="BD365" s="679">
        <f>BC365</f>
        <v>50</v>
      </c>
      <c r="BE365" s="469">
        <f>L365-SUM(BB365:BD365)</f>
        <v>-50</v>
      </c>
      <c r="BF365" s="141"/>
    </row>
    <row r="366" spans="1:90" ht="12.75" customHeight="1" outlineLevel="2">
      <c r="B366" s="677" t="s">
        <v>893</v>
      </c>
      <c r="C366" s="350"/>
      <c r="H366" s="550"/>
      <c r="I366" s="584"/>
      <c r="J366" s="585"/>
      <c r="K366" s="678"/>
      <c r="L366" s="678">
        <f>SUM(AX586:BA586)*1.2-BB586/0.8</f>
        <v>2863.4</v>
      </c>
      <c r="M366" s="678">
        <f>L366*1.1</f>
        <v>3149.7400000000002</v>
      </c>
      <c r="N366" s="678">
        <f>M366*1.1</f>
        <v>3464.7140000000004</v>
      </c>
      <c r="O366" s="678">
        <f t="shared" ref="O366:R366" si="696">N366*1.1</f>
        <v>3811.1854000000008</v>
      </c>
      <c r="P366" s="678">
        <f t="shared" si="696"/>
        <v>4192.3039400000016</v>
      </c>
      <c r="Q366" s="678">
        <f t="shared" si="696"/>
        <v>4611.5343340000018</v>
      </c>
      <c r="R366" s="678">
        <f t="shared" si="696"/>
        <v>5072.6877674000025</v>
      </c>
      <c r="V366" s="141"/>
      <c r="W366" s="141"/>
      <c r="X366" s="141"/>
      <c r="Y366" s="398"/>
      <c r="Z366" s="141"/>
      <c r="AA366" s="141"/>
      <c r="AB366" s="141"/>
      <c r="AC366" s="398"/>
      <c r="AD366" s="141"/>
      <c r="AE366" s="141"/>
      <c r="AF366" s="141"/>
      <c r="AG366" s="398"/>
      <c r="AH366" s="141"/>
      <c r="AI366" s="141"/>
      <c r="AJ366" s="141"/>
      <c r="AK366" s="670"/>
      <c r="AL366" s="141"/>
      <c r="AM366" s="141"/>
      <c r="AN366" s="141"/>
      <c r="AO366" s="398"/>
      <c r="AP366" s="584"/>
      <c r="AQ366" s="584"/>
      <c r="AR366" s="584"/>
      <c r="AS366" s="585"/>
      <c r="AT366" s="584"/>
      <c r="AU366" s="584"/>
      <c r="AV366" s="584"/>
      <c r="AW366" s="585"/>
      <c r="AX366" s="584"/>
      <c r="AY366" s="584"/>
      <c r="AZ366" s="584"/>
      <c r="BA366" s="1519"/>
      <c r="BB366" s="679">
        <v>0</v>
      </c>
      <c r="BC366" s="679">
        <f>$L$366/3</f>
        <v>954.4666666666667</v>
      </c>
      <c r="BD366" s="679">
        <f>$L$366/3</f>
        <v>954.4666666666667</v>
      </c>
      <c r="BE366" s="469">
        <f>L366-SUM(BB366:BD366)</f>
        <v>954.4666666666667</v>
      </c>
      <c r="BF366" s="141"/>
    </row>
    <row r="367" spans="1:90" ht="12.75" customHeight="1" outlineLevel="2">
      <c r="B367" s="305" t="s">
        <v>637</v>
      </c>
      <c r="C367" s="350"/>
      <c r="H367" s="550">
        <v>-438</v>
      </c>
      <c r="I367" s="584">
        <f t="shared" si="693"/>
        <v>827</v>
      </c>
      <c r="J367" s="585">
        <f t="shared" si="694"/>
        <v>-438</v>
      </c>
      <c r="K367" s="678">
        <v>-18230</v>
      </c>
      <c r="L367" s="1260"/>
      <c r="M367" s="1260"/>
      <c r="N367" s="1260"/>
      <c r="O367" s="1260"/>
      <c r="P367" s="1260"/>
      <c r="Q367" s="1260"/>
      <c r="R367" s="1260"/>
      <c r="V367" s="141"/>
      <c r="W367" s="141"/>
      <c r="X367" s="141"/>
      <c r="Y367" s="398"/>
      <c r="Z367" s="141"/>
      <c r="AA367" s="141"/>
      <c r="AB367" s="141"/>
      <c r="AC367" s="398"/>
      <c r="AD367" s="141"/>
      <c r="AE367" s="141"/>
      <c r="AF367" s="141"/>
      <c r="AG367" s="398"/>
      <c r="AH367" s="141"/>
      <c r="AI367" s="141"/>
      <c r="AJ367" s="141"/>
      <c r="AK367" s="670"/>
      <c r="AL367" s="141"/>
      <c r="AM367" s="141"/>
      <c r="AN367" s="141"/>
      <c r="AO367" s="398"/>
      <c r="AP367" s="584">
        <f>Reported!P169</f>
        <v>79</v>
      </c>
      <c r="AQ367" s="584">
        <f>Reported!Q169</f>
        <v>3</v>
      </c>
      <c r="AR367" s="584">
        <f>Reported!R169</f>
        <v>0</v>
      </c>
      <c r="AS367" s="585">
        <f>Reported!S169</f>
        <v>745</v>
      </c>
      <c r="AT367" s="584">
        <f>Reported!T169</f>
        <v>-239</v>
      </c>
      <c r="AU367" s="584">
        <f>Reported!U169</f>
        <v>46</v>
      </c>
      <c r="AV367" s="584">
        <f>Reported!V169</f>
        <v>-245</v>
      </c>
      <c r="AW367" s="585">
        <f>Reported!W169</f>
        <v>0</v>
      </c>
      <c r="AX367" s="584">
        <f>Reported!X169</f>
        <v>-29</v>
      </c>
      <c r="AY367" s="584">
        <f>Reported!Y169</f>
        <v>-14</v>
      </c>
      <c r="AZ367" s="1376">
        <f>Reported!Z169</f>
        <v>-18163</v>
      </c>
      <c r="BA367" s="1519">
        <f>K367-SUM(AX367:AZ367)</f>
        <v>-24</v>
      </c>
      <c r="BB367" s="225"/>
      <c r="BC367" s="225"/>
      <c r="BD367" s="225"/>
      <c r="BE367" s="225"/>
      <c r="BF367" s="141"/>
    </row>
    <row r="368" spans="1:90" ht="12.75" customHeight="1" outlineLevel="2">
      <c r="B368" s="305" t="s">
        <v>82</v>
      </c>
      <c r="C368" s="350"/>
      <c r="H368" s="550">
        <v>-688</v>
      </c>
      <c r="I368" s="584">
        <f t="shared" si="693"/>
        <v>-1066</v>
      </c>
      <c r="J368" s="585">
        <f t="shared" si="694"/>
        <v>-1705</v>
      </c>
      <c r="K368" s="678">
        <v>-1700</v>
      </c>
      <c r="L368" s="678">
        <v>-1800</v>
      </c>
      <c r="M368" s="678">
        <v>-1500</v>
      </c>
      <c r="N368" s="678">
        <v>-1499</v>
      </c>
      <c r="O368" s="678">
        <v>-1498</v>
      </c>
      <c r="P368" s="678">
        <v>-1497</v>
      </c>
      <c r="Q368" s="678">
        <v>-1496</v>
      </c>
      <c r="R368" s="678">
        <v>-1495</v>
      </c>
      <c r="V368" s="141"/>
      <c r="W368" s="141"/>
      <c r="X368" s="141"/>
      <c r="Y368" s="398"/>
      <c r="Z368" s="141"/>
      <c r="AA368" s="141"/>
      <c r="AB368" s="141"/>
      <c r="AC368" s="398"/>
      <c r="AD368" s="141"/>
      <c r="AE368" s="141"/>
      <c r="AF368" s="141"/>
      <c r="AG368" s="398"/>
      <c r="AH368" s="141"/>
      <c r="AI368" s="141"/>
      <c r="AJ368" s="141"/>
      <c r="AK368" s="670"/>
      <c r="AL368" s="141"/>
      <c r="AM368" s="141"/>
      <c r="AN368" s="141"/>
      <c r="AO368" s="398"/>
      <c r="AP368" s="584">
        <f>Reported!P170</f>
        <v>-192</v>
      </c>
      <c r="AQ368" s="584">
        <f>Reported!Q170</f>
        <v>-217</v>
      </c>
      <c r="AR368" s="584">
        <f>Reported!R170</f>
        <v>-310</v>
      </c>
      <c r="AS368" s="585">
        <f>Reported!S170</f>
        <v>-347</v>
      </c>
      <c r="AT368" s="584">
        <f>Reported!T170</f>
        <v>-493</v>
      </c>
      <c r="AU368" s="584">
        <f>Reported!U170</f>
        <v>-230</v>
      </c>
      <c r="AV368" s="584">
        <f>Reported!V170</f>
        <v>-459</v>
      </c>
      <c r="AW368" s="585">
        <f>Reported!W170</f>
        <v>-523</v>
      </c>
      <c r="AX368" s="584">
        <f>Reported!X170</f>
        <v>-412</v>
      </c>
      <c r="AY368" s="584">
        <f>Reported!Y170</f>
        <v>-416</v>
      </c>
      <c r="AZ368" s="584">
        <f>Reported!Z170</f>
        <v>-390</v>
      </c>
      <c r="BA368" s="1519">
        <f>K368-SUM(AX368:AZ368)</f>
        <v>-482</v>
      </c>
      <c r="BB368" s="679">
        <v>-400</v>
      </c>
      <c r="BC368" s="679">
        <v>-500</v>
      </c>
      <c r="BD368" s="679">
        <v>-400</v>
      </c>
      <c r="BE368" s="469">
        <f>L368-SUM(BB368:BD368)</f>
        <v>-500</v>
      </c>
      <c r="BF368" s="141"/>
    </row>
    <row r="369" spans="1:90" ht="12.75" customHeight="1" outlineLevel="1">
      <c r="B369" s="13" t="s">
        <v>103</v>
      </c>
      <c r="C369" s="645">
        <v>-33</v>
      </c>
      <c r="D369" s="645">
        <v>0</v>
      </c>
      <c r="E369" s="645">
        <v>-25</v>
      </c>
      <c r="F369" s="645">
        <v>-6</v>
      </c>
      <c r="G369" s="645">
        <v>-203</v>
      </c>
      <c r="H369" s="584">
        <f>SUM(AL369:AO369)</f>
        <v>-1590</v>
      </c>
      <c r="I369" s="584">
        <f t="shared" si="693"/>
        <v>-1730</v>
      </c>
      <c r="J369" s="585">
        <f t="shared" si="694"/>
        <v>-5027</v>
      </c>
      <c r="K369" s="350">
        <f>K362+K364+K365+K368+K367</f>
        <v>-22178</v>
      </c>
      <c r="L369" s="350">
        <f>L362+L364+L365+L368+L366</f>
        <v>-436.59999999999991</v>
      </c>
      <c r="M369" s="350">
        <f t="shared" ref="M369:R369" si="697">M362+M364+M365+M368+M366</f>
        <v>149.74000000000024</v>
      </c>
      <c r="N369" s="350">
        <f t="shared" si="697"/>
        <v>665.7140000000004</v>
      </c>
      <c r="O369" s="350">
        <f t="shared" si="697"/>
        <v>1413.1854000000008</v>
      </c>
      <c r="P369" s="350">
        <f t="shared" si="697"/>
        <v>2295.3039400000016</v>
      </c>
      <c r="Q369" s="350">
        <f t="shared" si="697"/>
        <v>2915.5343340000018</v>
      </c>
      <c r="R369" s="350">
        <f t="shared" si="697"/>
        <v>3477.6877674000025</v>
      </c>
      <c r="V369" s="141"/>
      <c r="W369" s="141"/>
      <c r="X369" s="141"/>
      <c r="Y369" s="398"/>
      <c r="Z369" s="141"/>
      <c r="AA369" s="141"/>
      <c r="AB369" s="141"/>
      <c r="AC369" s="398"/>
      <c r="AD369" s="674">
        <v>-1.5</v>
      </c>
      <c r="AE369" s="674">
        <v>-1.5</v>
      </c>
      <c r="AF369" s="674">
        <v>-1.5</v>
      </c>
      <c r="AG369" s="680">
        <v>-1.5</v>
      </c>
      <c r="AH369" s="608">
        <v>-7</v>
      </c>
      <c r="AI369" s="608">
        <v>-7</v>
      </c>
      <c r="AJ369" s="608">
        <v>-160</v>
      </c>
      <c r="AK369" s="675">
        <v>-29</v>
      </c>
      <c r="AL369" s="608">
        <v>-90</v>
      </c>
      <c r="AM369" s="608">
        <v>-301</v>
      </c>
      <c r="AN369" s="608">
        <v>-805</v>
      </c>
      <c r="AO369" s="675">
        <v>-394</v>
      </c>
      <c r="AP369" s="584">
        <f>Reported!P205</f>
        <v>-407</v>
      </c>
      <c r="AQ369" s="584">
        <f>Reported!Q205</f>
        <v>-116</v>
      </c>
      <c r="AR369" s="584">
        <f>Reported!R205</f>
        <v>-495</v>
      </c>
      <c r="AS369" s="585">
        <f>Reported!S205</f>
        <v>-712</v>
      </c>
      <c r="AT369" s="584">
        <f>Reported!T205</f>
        <v>-1468</v>
      </c>
      <c r="AU369" s="584">
        <f>Reported!U205</f>
        <v>-567</v>
      </c>
      <c r="AV369" s="584">
        <f>Reported!V205</f>
        <v>-1548</v>
      </c>
      <c r="AW369" s="585">
        <f>Reported!W205</f>
        <v>-1444</v>
      </c>
      <c r="AX369" s="584">
        <f>Reported!X205</f>
        <v>-1388</v>
      </c>
      <c r="AY369" s="584">
        <f>Reported!Y205</f>
        <v>-882</v>
      </c>
      <c r="AZ369" s="584">
        <f>Reported!Z205</f>
        <v>-18452</v>
      </c>
      <c r="BA369" s="593">
        <f t="shared" ref="BA369" si="698">BA362+BA364+BA365+BA368</f>
        <v>-1432</v>
      </c>
      <c r="BB369" s="583">
        <f>BB362+BB364+BB365+BB368+BB366</f>
        <v>-650</v>
      </c>
      <c r="BC369" s="583">
        <f t="shared" ref="BC369:BE369" si="699">BC362+BC364+BC365+BC368+BC366</f>
        <v>104.4666666666667</v>
      </c>
      <c r="BD369" s="583">
        <f t="shared" si="699"/>
        <v>104.4666666666667</v>
      </c>
      <c r="BE369" s="583">
        <f t="shared" si="699"/>
        <v>4.466666666666697</v>
      </c>
      <c r="BF369" s="141"/>
      <c r="BY369" s="350"/>
      <c r="BZ369" s="450"/>
    </row>
    <row r="370" spans="1:90" s="13" customFormat="1" ht="12.75" customHeight="1" outlineLevel="1">
      <c r="A370" s="1349"/>
      <c r="B370" s="13" t="s">
        <v>104</v>
      </c>
      <c r="C370" s="20">
        <f>SUM(C360:C369)+C359</f>
        <v>-503</v>
      </c>
      <c r="D370" s="20">
        <f>SUM(D360:D369)+D359</f>
        <v>1608</v>
      </c>
      <c r="E370" s="20">
        <f>SUM(E360:E369)+E359</f>
        <v>4665</v>
      </c>
      <c r="F370" s="20">
        <f t="shared" ref="F370:R370" si="700">F359+F360+F369</f>
        <v>8649</v>
      </c>
      <c r="G370" s="20">
        <f t="shared" si="700"/>
        <v>23403</v>
      </c>
      <c r="H370" s="20">
        <f t="shared" si="700"/>
        <v>24320</v>
      </c>
      <c r="I370" s="20">
        <f t="shared" si="700"/>
        <v>71289</v>
      </c>
      <c r="J370" s="673">
        <f t="shared" si="700"/>
        <v>41226</v>
      </c>
      <c r="K370" s="20">
        <f t="shared" si="700"/>
        <v>62649.824321746899</v>
      </c>
      <c r="L370" s="20">
        <f t="shared" si="700"/>
        <v>82835.741127463058</v>
      </c>
      <c r="M370" s="20">
        <f t="shared" si="700"/>
        <v>105370.19006668827</v>
      </c>
      <c r="N370" s="20">
        <f t="shared" si="700"/>
        <v>133422.2660498078</v>
      </c>
      <c r="O370" s="20">
        <f t="shared" si="700"/>
        <v>169392.90636219553</v>
      </c>
      <c r="P370" s="20">
        <f t="shared" si="700"/>
        <v>209959.94295335677</v>
      </c>
      <c r="Q370" s="20">
        <f t="shared" si="700"/>
        <v>243025.28669154688</v>
      </c>
      <c r="R370" s="20">
        <f t="shared" si="700"/>
        <v>277243.08845332108</v>
      </c>
      <c r="T370" s="14"/>
      <c r="U370" s="314"/>
      <c r="V370" s="314"/>
      <c r="W370" s="314"/>
      <c r="X370" s="20"/>
      <c r="Y370" s="673"/>
      <c r="Z370" s="20"/>
      <c r="AA370" s="20"/>
      <c r="AB370" s="20"/>
      <c r="AC370" s="673"/>
      <c r="AD370" s="446">
        <f>Model!AD378-SUM(Model!AD373,Model!AD376:AD377)</f>
        <v>1783.25</v>
      </c>
      <c r="AE370" s="446">
        <f>Model!AE378-SUM(Model!AE373,Model!AE376:AE377)</f>
        <v>-1498.75</v>
      </c>
      <c r="AF370" s="446">
        <f>Model!AF378-SUM(Model!AF373,Model!AF376:AF377)</f>
        <v>4106.25</v>
      </c>
      <c r="AG370" s="447">
        <f>Model!AG378-SUM(Model!AG373,Model!AG376:AG377)</f>
        <v>4258.25</v>
      </c>
      <c r="AH370" s="20">
        <f t="shared" ref="AH370:AW370" si="701">AH359+AH360+AH369</f>
        <v>4448</v>
      </c>
      <c r="AI370" s="20">
        <f t="shared" si="701"/>
        <v>4937</v>
      </c>
      <c r="AJ370" s="20">
        <f t="shared" si="701"/>
        <v>8357</v>
      </c>
      <c r="AK370" s="673">
        <f t="shared" si="701"/>
        <v>5661</v>
      </c>
      <c r="AL370" s="20">
        <f t="shared" si="701"/>
        <v>12438</v>
      </c>
      <c r="AM370" s="20">
        <f t="shared" si="701"/>
        <v>3030</v>
      </c>
      <c r="AN370" s="20">
        <f t="shared" si="701"/>
        <v>5983</v>
      </c>
      <c r="AO370" s="673">
        <f t="shared" si="701"/>
        <v>2869</v>
      </c>
      <c r="AP370" s="20">
        <f t="shared" si="701"/>
        <v>30816</v>
      </c>
      <c r="AQ370" s="20">
        <f t="shared" si="701"/>
        <v>22703</v>
      </c>
      <c r="AR370" s="20">
        <f t="shared" si="701"/>
        <v>12456</v>
      </c>
      <c r="AS370" s="673">
        <f t="shared" si="701"/>
        <v>5314</v>
      </c>
      <c r="AT370" s="20">
        <f t="shared" si="701"/>
        <v>7142</v>
      </c>
      <c r="AU370" s="20">
        <f t="shared" si="701"/>
        <v>7075</v>
      </c>
      <c r="AV370" s="20">
        <f t="shared" si="701"/>
        <v>17157</v>
      </c>
      <c r="AW370" s="673">
        <f t="shared" si="701"/>
        <v>9852</v>
      </c>
      <c r="AX370" s="20">
        <f>AX359+AX360+AX369</f>
        <v>14031</v>
      </c>
      <c r="AY370" s="20">
        <f>AY359+AY360+AY369</f>
        <v>17408</v>
      </c>
      <c r="AZ370" s="20">
        <f>AZ359+AZ360+AZ369</f>
        <v>23332</v>
      </c>
      <c r="BA370" s="673">
        <f t="shared" ref="BA370:BE370" si="702">BA359+BA360+BA369</f>
        <v>7408.8243217468589</v>
      </c>
      <c r="BB370" s="20">
        <f t="shared" si="702"/>
        <v>17631.919591208069</v>
      </c>
      <c r="BC370" s="20">
        <f t="shared" si="702"/>
        <v>17328.746718262249</v>
      </c>
      <c r="BD370" s="20">
        <f t="shared" si="702"/>
        <v>31370.597053852653</v>
      </c>
      <c r="BE370" s="20">
        <f t="shared" si="702"/>
        <v>16504.477764140069</v>
      </c>
      <c r="BH370" s="289"/>
      <c r="BV370" s="289"/>
      <c r="BW370" s="289"/>
      <c r="BY370" s="289"/>
      <c r="BZ370" s="658"/>
      <c r="CA370" s="14"/>
      <c r="CB370" s="14"/>
      <c r="CC370" s="14"/>
      <c r="CD370" s="14"/>
      <c r="CE370" s="14"/>
      <c r="CF370" s="14"/>
      <c r="CG370"/>
      <c r="CH370"/>
      <c r="CI370"/>
      <c r="CJ370"/>
      <c r="CK370"/>
      <c r="CL370"/>
    </row>
    <row r="371" spans="1:90" s="681" customFormat="1" ht="12.75" customHeight="1" outlineLevel="1">
      <c r="A371" s="1350"/>
      <c r="B371" s="681" t="s">
        <v>668</v>
      </c>
      <c r="C371" s="682"/>
      <c r="D371" s="682"/>
      <c r="E371" s="682"/>
      <c r="F371" s="682"/>
      <c r="G371" s="682"/>
      <c r="H371" s="682"/>
      <c r="I371" s="265">
        <f>SUM(AP370:AS370)-I370</f>
        <v>0</v>
      </c>
      <c r="J371" s="1390">
        <f>SUM(AT370:AW370)-J370</f>
        <v>0</v>
      </c>
      <c r="K371" s="265"/>
      <c r="L371" s="682"/>
      <c r="M371" s="682"/>
      <c r="N371" s="682"/>
      <c r="O371" s="682"/>
      <c r="P371" s="682"/>
      <c r="Q371" s="682"/>
      <c r="R371" s="682"/>
      <c r="T371" s="664"/>
      <c r="U371" s="321"/>
      <c r="V371" s="321"/>
      <c r="W371" s="321"/>
      <c r="X371" s="682"/>
      <c r="Y371" s="683"/>
      <c r="Z371" s="682"/>
      <c r="AA371" s="682"/>
      <c r="AB371" s="682"/>
      <c r="AC371" s="683"/>
      <c r="AD371" s="682"/>
      <c r="AE371" s="682"/>
      <c r="AF371" s="682"/>
      <c r="AG371" s="683"/>
      <c r="AH371" s="682"/>
      <c r="AI371" s="682"/>
      <c r="AJ371" s="682"/>
      <c r="AK371" s="683"/>
      <c r="AL371" s="684"/>
      <c r="AM371" s="684"/>
      <c r="AN371" s="682"/>
      <c r="AO371" s="683"/>
      <c r="AP371" s="682"/>
      <c r="AQ371" s="682"/>
      <c r="AR371" s="682"/>
      <c r="AS371" s="683"/>
      <c r="AT371" s="682"/>
      <c r="AU371" s="682"/>
      <c r="AV371" s="682"/>
      <c r="AW371" s="683"/>
      <c r="AX371" s="682"/>
      <c r="AY371" s="682"/>
      <c r="AZ371" s="682"/>
      <c r="BA371" s="1545"/>
      <c r="BB371" s="684"/>
      <c r="BC371" s="684"/>
      <c r="BD371" s="684"/>
      <c r="BE371" s="684"/>
      <c r="BH371" s="320"/>
      <c r="BV371" s="320"/>
      <c r="BW371" s="320"/>
      <c r="BY371" s="320"/>
      <c r="BZ371" s="685"/>
      <c r="CA371" s="664"/>
      <c r="CB371" s="664"/>
      <c r="CC371" s="664"/>
      <c r="CD371" s="664"/>
      <c r="CE371" s="664"/>
      <c r="CF371" s="664"/>
      <c r="CG371"/>
      <c r="CH371"/>
      <c r="CI371"/>
      <c r="CJ371"/>
      <c r="CK371"/>
      <c r="CL371"/>
    </row>
    <row r="372" spans="1:90" s="13" customFormat="1" ht="12.75" customHeight="1" outlineLevel="1">
      <c r="A372" s="1349"/>
      <c r="C372" s="20"/>
      <c r="D372" s="20"/>
      <c r="E372" s="20"/>
      <c r="F372" s="20"/>
      <c r="G372" s="20"/>
      <c r="H372" s="314"/>
      <c r="I372" s="20"/>
      <c r="J372" s="673"/>
      <c r="K372" s="14"/>
      <c r="L372" s="265"/>
      <c r="M372" s="20"/>
      <c r="N372" s="265"/>
      <c r="O372" s="265"/>
      <c r="P372" s="265"/>
      <c r="Q372" s="265"/>
      <c r="R372" s="265"/>
      <c r="T372" s="14"/>
      <c r="U372" s="314"/>
      <c r="V372" s="314"/>
      <c r="W372" s="314"/>
      <c r="X372" s="20"/>
      <c r="Y372" s="673"/>
      <c r="Z372" s="20"/>
      <c r="AA372" s="20"/>
      <c r="AB372" s="20"/>
      <c r="AC372" s="673"/>
      <c r="AD372" s="20"/>
      <c r="AE372" s="20"/>
      <c r="AF372" s="20"/>
      <c r="AG372" s="673"/>
      <c r="AH372" s="20"/>
      <c r="AI372" s="20"/>
      <c r="AJ372" s="20"/>
      <c r="AK372" s="673"/>
      <c r="AL372" s="440"/>
      <c r="AM372" s="440"/>
      <c r="AN372" s="20"/>
      <c r="AO372" s="673"/>
      <c r="AP372" s="20"/>
      <c r="AQ372" s="20"/>
      <c r="AR372" s="20"/>
      <c r="AS372" s="673"/>
      <c r="AT372" s="20"/>
      <c r="AU372" s="20"/>
      <c r="AV372" s="20"/>
      <c r="AW372" s="673"/>
      <c r="AX372" s="20"/>
      <c r="AY372" s="20"/>
      <c r="AZ372" s="20"/>
      <c r="BA372" s="566"/>
      <c r="BB372" s="440"/>
      <c r="BC372" s="440"/>
      <c r="BD372" s="440"/>
      <c r="BE372" s="440"/>
      <c r="BH372" s="289"/>
      <c r="BV372" s="289"/>
      <c r="BW372" s="289"/>
      <c r="BY372" s="289"/>
      <c r="BZ372" s="658"/>
      <c r="CA372" s="14"/>
      <c r="CB372" s="14"/>
      <c r="CC372" s="14"/>
      <c r="CD372" s="14"/>
      <c r="CE372" s="14"/>
      <c r="CF372" s="14"/>
      <c r="CG372"/>
      <c r="CH372"/>
      <c r="CI372"/>
      <c r="CJ372"/>
      <c r="CK372"/>
      <c r="CL372"/>
    </row>
    <row r="373" spans="1:90" ht="12.75" customHeight="1" outlineLevel="1">
      <c r="B373" s="141" t="s">
        <v>683</v>
      </c>
      <c r="C373" s="650">
        <v>-299</v>
      </c>
      <c r="D373" s="650">
        <v>-425</v>
      </c>
      <c r="E373" s="650">
        <v>-437</v>
      </c>
      <c r="F373" s="645">
        <v>-117</v>
      </c>
      <c r="G373" s="645">
        <v>-88</v>
      </c>
      <c r="H373" s="646">
        <f>SUM(AL373:AO373)</f>
        <v>-59</v>
      </c>
      <c r="I373" s="646">
        <f>SUM(AP373:AS373)</f>
        <v>171</v>
      </c>
      <c r="J373" s="1411">
        <f>SUM(AT373:AW373)</f>
        <v>2449</v>
      </c>
      <c r="K373" s="648">
        <f t="shared" ref="K373:R373" si="703">K336*K374</f>
        <v>2235.1025664377999</v>
      </c>
      <c r="L373" s="648">
        <f t="shared" si="703"/>
        <v>3382.1675367454573</v>
      </c>
      <c r="M373" s="648">
        <f t="shared" si="703"/>
        <v>5719.4629309098791</v>
      </c>
      <c r="N373" s="648">
        <f t="shared" si="703"/>
        <v>5373.7251758970469</v>
      </c>
      <c r="O373" s="648">
        <f t="shared" si="703"/>
        <v>6467.9166165817414</v>
      </c>
      <c r="P373" s="648">
        <f t="shared" si="703"/>
        <v>7861.6416224977074</v>
      </c>
      <c r="Q373" s="648">
        <f t="shared" si="703"/>
        <v>9052.7426396225637</v>
      </c>
      <c r="R373" s="648">
        <f t="shared" si="703"/>
        <v>10292.176741948477</v>
      </c>
      <c r="V373" s="141"/>
      <c r="W373" s="141"/>
      <c r="X373" s="141"/>
      <c r="Y373" s="398"/>
      <c r="Z373" s="141"/>
      <c r="AA373" s="141"/>
      <c r="AB373" s="141"/>
      <c r="AC373" s="398"/>
      <c r="AD373" s="350">
        <f>Model!$F373/4</f>
        <v>-29.25</v>
      </c>
      <c r="AE373" s="350">
        <f>Model!$F373/4</f>
        <v>-29.25</v>
      </c>
      <c r="AF373" s="350">
        <f>Model!$F373/4</f>
        <v>-29.25</v>
      </c>
      <c r="AG373" s="670">
        <f>Model!$F373/4</f>
        <v>-29.25</v>
      </c>
      <c r="AH373" s="686">
        <v>-4</v>
      </c>
      <c r="AI373" s="686">
        <v>6</v>
      </c>
      <c r="AJ373" s="686">
        <v>-31</v>
      </c>
      <c r="AK373" s="670">
        <f>G373-SUM(AH373:AJ373)</f>
        <v>-59</v>
      </c>
      <c r="AL373" s="686">
        <v>-34</v>
      </c>
      <c r="AM373" s="659">
        <v>-2</v>
      </c>
      <c r="AN373" s="686">
        <v>-47</v>
      </c>
      <c r="AO373" s="687">
        <v>24</v>
      </c>
      <c r="AP373" s="584">
        <f>Reported!P208</f>
        <v>27</v>
      </c>
      <c r="AQ373" s="584">
        <f>Reported!Q208</f>
        <v>51</v>
      </c>
      <c r="AR373" s="584">
        <f>Reported!R208</f>
        <v>42</v>
      </c>
      <c r="AS373" s="585">
        <f>Reported!S208</f>
        <v>51</v>
      </c>
      <c r="AT373" s="584">
        <f>Reported!T208</f>
        <v>408</v>
      </c>
      <c r="AU373" s="584">
        <f>Reported!U208</f>
        <v>548</v>
      </c>
      <c r="AV373" s="584">
        <f>Reported!V208</f>
        <v>698</v>
      </c>
      <c r="AW373" s="585">
        <f>Reported!W208</f>
        <v>795</v>
      </c>
      <c r="AX373" s="584">
        <f>Reported!X208</f>
        <v>652</v>
      </c>
      <c r="AY373" s="584">
        <f>Reported!Y208</f>
        <v>260</v>
      </c>
      <c r="AZ373" s="584">
        <f>Reported!Z208</f>
        <v>741</v>
      </c>
      <c r="BA373" s="1519">
        <f>K373-SUM(AX373:AZ373)</f>
        <v>582.10256643779985</v>
      </c>
      <c r="BB373" s="583">
        <f>BB336*BB374</f>
        <v>658.74349798200001</v>
      </c>
      <c r="BC373" s="583">
        <f>BC336*BC374</f>
        <v>700.20993361391993</v>
      </c>
      <c r="BD373" s="583">
        <f>BD336*BD374</f>
        <v>971.02401379919968</v>
      </c>
      <c r="BE373" s="469">
        <f>L373-SUM(BB373:BD373)</f>
        <v>1052.1900913503378</v>
      </c>
      <c r="BF373" s="350"/>
      <c r="BZ373" s="450"/>
    </row>
    <row r="374" spans="1:90" ht="12.75" customHeight="1" outlineLevel="1">
      <c r="B374" s="268" t="s">
        <v>682</v>
      </c>
      <c r="C374" s="650"/>
      <c r="D374" s="650"/>
      <c r="E374" s="650"/>
      <c r="F374" s="332">
        <f>F373/F336</f>
        <v>-3.3896340933453079E-3</v>
      </c>
      <c r="G374" s="332">
        <f>G373/G336</f>
        <v>-1.6760627761694348E-3</v>
      </c>
      <c r="H374" s="332">
        <f>H373/H336</f>
        <v>-7.7423757283082248E-4</v>
      </c>
      <c r="I374" s="332">
        <f>I373/I336</f>
        <v>1.6906755781418389E-3</v>
      </c>
      <c r="J374" s="336">
        <f>J373/J336</f>
        <v>1.5473264549228233E-2</v>
      </c>
      <c r="K374" s="688">
        <v>8.9999999999999993E-3</v>
      </c>
      <c r="L374" s="688">
        <v>0.01</v>
      </c>
      <c r="M374" s="688">
        <v>1.2999999999999999E-2</v>
      </c>
      <c r="N374" s="688">
        <v>0.01</v>
      </c>
      <c r="O374" s="688">
        <f t="shared" ref="O374:R374" si="704">N374</f>
        <v>0.01</v>
      </c>
      <c r="P374" s="688">
        <f t="shared" si="704"/>
        <v>0.01</v>
      </c>
      <c r="Q374" s="688">
        <f t="shared" si="704"/>
        <v>0.01</v>
      </c>
      <c r="R374" s="688">
        <f t="shared" si="704"/>
        <v>0.01</v>
      </c>
      <c r="V374" s="141"/>
      <c r="W374" s="141"/>
      <c r="X374" s="141"/>
      <c r="Y374" s="398"/>
      <c r="Z374" s="141"/>
      <c r="AA374" s="141"/>
      <c r="AB374" s="141"/>
      <c r="AC374" s="398"/>
      <c r="AD374" s="350"/>
      <c r="AE374" s="350"/>
      <c r="AF374" s="350"/>
      <c r="AG374" s="670"/>
      <c r="AH374" s="686"/>
      <c r="AI374" s="686"/>
      <c r="AJ374" s="686"/>
      <c r="AK374" s="670"/>
      <c r="AL374" s="686"/>
      <c r="AM374" s="659"/>
      <c r="AN374" s="686"/>
      <c r="AO374" s="687"/>
      <c r="AP374" s="689"/>
      <c r="AQ374" s="689"/>
      <c r="AR374" s="689"/>
      <c r="AS374" s="690"/>
      <c r="AT374" s="689"/>
      <c r="AU374" s="689"/>
      <c r="AV374" s="689"/>
      <c r="AW374" s="690"/>
      <c r="AX374" s="332">
        <f>AX373/AX336</f>
        <v>1.2992188745416865E-2</v>
      </c>
      <c r="AY374" s="332">
        <f>AY373/AY336</f>
        <v>4.7168099851239067E-3</v>
      </c>
      <c r="AZ374" s="332">
        <f>AZ373/AZ336</f>
        <v>8.9247001011706888E-3</v>
      </c>
      <c r="BA374" s="1417">
        <f>BA373/BA336</f>
        <v>9.6999748257861583E-3</v>
      </c>
      <c r="BB374" s="691">
        <v>8.9999999999999993E-3</v>
      </c>
      <c r="BC374" s="691">
        <f>BB374</f>
        <v>8.9999999999999993E-3</v>
      </c>
      <c r="BD374" s="691">
        <f>BC374</f>
        <v>8.9999999999999993E-3</v>
      </c>
      <c r="BE374" s="685">
        <f>BE373/BE336</f>
        <v>1.326339559538727E-2</v>
      </c>
      <c r="BF374" s="141"/>
      <c r="BZ374" s="450"/>
    </row>
    <row r="375" spans="1:90" ht="12.75" customHeight="1" outlineLevel="2">
      <c r="B375" s="141" t="s">
        <v>105</v>
      </c>
      <c r="C375" s="360">
        <f t="shared" ref="C375:R375" si="705">C373+C370</f>
        <v>-802</v>
      </c>
      <c r="D375" s="360">
        <f t="shared" si="705"/>
        <v>1183</v>
      </c>
      <c r="E375" s="360">
        <f t="shared" si="705"/>
        <v>4228</v>
      </c>
      <c r="F375" s="360">
        <f t="shared" si="705"/>
        <v>8532</v>
      </c>
      <c r="G375" s="360">
        <f t="shared" si="705"/>
        <v>23315</v>
      </c>
      <c r="H375" s="360">
        <f t="shared" si="705"/>
        <v>24261</v>
      </c>
      <c r="I375" s="360">
        <f t="shared" si="705"/>
        <v>71460</v>
      </c>
      <c r="J375" s="451">
        <f t="shared" si="705"/>
        <v>43675</v>
      </c>
      <c r="K375" s="360">
        <f t="shared" si="705"/>
        <v>64884.926888184702</v>
      </c>
      <c r="L375" s="360">
        <f t="shared" si="705"/>
        <v>86217.908664208517</v>
      </c>
      <c r="M375" s="360">
        <f t="shared" si="705"/>
        <v>111089.65299759815</v>
      </c>
      <c r="N375" s="360">
        <f t="shared" si="705"/>
        <v>138795.99122570484</v>
      </c>
      <c r="O375" s="360">
        <f t="shared" si="705"/>
        <v>175860.82297877726</v>
      </c>
      <c r="P375" s="360">
        <f t="shared" si="705"/>
        <v>217821.58457585447</v>
      </c>
      <c r="Q375" s="360">
        <f t="shared" si="705"/>
        <v>252078.02933116944</v>
      </c>
      <c r="R375" s="360">
        <f t="shared" si="705"/>
        <v>287535.26519526955</v>
      </c>
      <c r="V375" s="141"/>
      <c r="W375" s="141"/>
      <c r="X375" s="141"/>
      <c r="Y375" s="398"/>
      <c r="Z375" s="141"/>
      <c r="AA375" s="141"/>
      <c r="AB375" s="141"/>
      <c r="AC375" s="670"/>
      <c r="AD375" s="350">
        <f>AD373+Model!AD370</f>
        <v>1754</v>
      </c>
      <c r="AE375" s="350">
        <f>AE373+Model!AE370</f>
        <v>-1528</v>
      </c>
      <c r="AF375" s="350">
        <f>AF373+Model!AF370</f>
        <v>4077</v>
      </c>
      <c r="AG375" s="670">
        <f>AG373+Model!AG370</f>
        <v>4229</v>
      </c>
      <c r="AH375" s="350">
        <f t="shared" ref="AH375:BA375" si="706">AH373+AH370</f>
        <v>4444</v>
      </c>
      <c r="AI375" s="350">
        <f t="shared" si="706"/>
        <v>4943</v>
      </c>
      <c r="AJ375" s="350">
        <f t="shared" si="706"/>
        <v>8326</v>
      </c>
      <c r="AK375" s="670">
        <f t="shared" si="706"/>
        <v>5602</v>
      </c>
      <c r="AL375" s="350">
        <f t="shared" si="706"/>
        <v>12404</v>
      </c>
      <c r="AM375" s="350">
        <f t="shared" si="706"/>
        <v>3028</v>
      </c>
      <c r="AN375" s="350">
        <f t="shared" si="706"/>
        <v>5936</v>
      </c>
      <c r="AO375" s="670">
        <f t="shared" si="706"/>
        <v>2893</v>
      </c>
      <c r="AP375" s="584">
        <f t="shared" si="706"/>
        <v>30843</v>
      </c>
      <c r="AQ375" s="584">
        <f t="shared" si="706"/>
        <v>22754</v>
      </c>
      <c r="AR375" s="584">
        <f t="shared" si="706"/>
        <v>12498</v>
      </c>
      <c r="AS375" s="585">
        <f t="shared" si="706"/>
        <v>5365</v>
      </c>
      <c r="AT375" s="584">
        <f t="shared" si="706"/>
        <v>7550</v>
      </c>
      <c r="AU375" s="584">
        <f t="shared" si="706"/>
        <v>7623</v>
      </c>
      <c r="AV375" s="584">
        <f t="shared" si="706"/>
        <v>17855</v>
      </c>
      <c r="AW375" s="585">
        <f t="shared" si="706"/>
        <v>10647</v>
      </c>
      <c r="AX375" s="584">
        <f>AX373+AX370</f>
        <v>14683</v>
      </c>
      <c r="AY375" s="584">
        <f>AY373+AY370</f>
        <v>17668</v>
      </c>
      <c r="AZ375" s="584">
        <f>AZ373+AZ370</f>
        <v>24073</v>
      </c>
      <c r="BA375" s="593">
        <f t="shared" si="706"/>
        <v>7990.9268881846583</v>
      </c>
      <c r="BB375" s="583">
        <f>BB373+BB370</f>
        <v>18290.663089190068</v>
      </c>
      <c r="BC375" s="583">
        <f>BC373+BC370</f>
        <v>18028.956651876171</v>
      </c>
      <c r="BD375" s="583">
        <f>BD373+BD370</f>
        <v>32341.621067651853</v>
      </c>
      <c r="BE375" s="583">
        <f>BE373+BE370</f>
        <v>17556.667855490407</v>
      </c>
      <c r="BF375" s="141"/>
      <c r="BY375" s="350"/>
      <c r="BZ375" s="450"/>
    </row>
    <row r="376" spans="1:90" ht="12.75" customHeight="1" outlineLevel="2">
      <c r="B376" s="141" t="s">
        <v>106</v>
      </c>
      <c r="C376" s="650">
        <v>0</v>
      </c>
      <c r="D376" s="650">
        <v>0</v>
      </c>
      <c r="E376" s="650">
        <v>0</v>
      </c>
      <c r="F376" s="645">
        <v>-17</v>
      </c>
      <c r="G376" s="645">
        <v>-31</v>
      </c>
      <c r="H376" s="646">
        <f>SUM(AL376:AO376)</f>
        <v>-15</v>
      </c>
      <c r="I376" s="646">
        <v>0</v>
      </c>
      <c r="J376" s="1411">
        <v>0</v>
      </c>
      <c r="K376" s="692"/>
      <c r="L376" s="692"/>
      <c r="M376" s="692"/>
      <c r="N376" s="692"/>
      <c r="O376" s="692"/>
      <c r="P376" s="692"/>
      <c r="Q376" s="692"/>
      <c r="R376" s="692"/>
      <c r="V376" s="141"/>
      <c r="W376" s="141"/>
      <c r="X376" s="141"/>
      <c r="Y376" s="398"/>
      <c r="Z376" s="141"/>
      <c r="AA376" s="141"/>
      <c r="AB376" s="141"/>
      <c r="AC376" s="398"/>
      <c r="AD376" s="350">
        <f>Model!$F376/4</f>
        <v>-4.25</v>
      </c>
      <c r="AE376" s="350">
        <f>Model!$F376/4</f>
        <v>-4.25</v>
      </c>
      <c r="AF376" s="350">
        <f>Model!$F376/4</f>
        <v>-4.25</v>
      </c>
      <c r="AG376" s="670">
        <f>Model!$F376/4</f>
        <v>-4.25</v>
      </c>
      <c r="AH376" s="686">
        <v>-8</v>
      </c>
      <c r="AI376" s="686">
        <v>-8</v>
      </c>
      <c r="AJ376" s="686">
        <v>-7.75</v>
      </c>
      <c r="AK376" s="670">
        <f>G376-SUM(AH376:AJ376)</f>
        <v>-7.25</v>
      </c>
      <c r="AL376" s="686">
        <v>-8</v>
      </c>
      <c r="AM376" s="693">
        <v>-7</v>
      </c>
      <c r="AN376" s="686">
        <v>0</v>
      </c>
      <c r="AO376" s="687">
        <v>0</v>
      </c>
      <c r="AP376" s="141"/>
      <c r="AQ376" s="141"/>
      <c r="AR376" s="141"/>
      <c r="AS376" s="398"/>
      <c r="AT376" s="141"/>
      <c r="AU376" s="584"/>
      <c r="AV376" s="584"/>
      <c r="AW376" s="585"/>
      <c r="AX376" s="584"/>
      <c r="AY376" s="584"/>
      <c r="AZ376" s="584"/>
      <c r="BA376" s="278"/>
      <c r="BB376" s="225"/>
      <c r="BC376" s="583"/>
      <c r="BD376" s="225"/>
      <c r="BE376" s="225"/>
      <c r="BF376" s="141"/>
      <c r="BZ376" s="450"/>
    </row>
    <row r="377" spans="1:90" ht="12.75" customHeight="1" outlineLevel="2">
      <c r="B377" s="141" t="s">
        <v>107</v>
      </c>
      <c r="C377" s="650">
        <v>0</v>
      </c>
      <c r="D377" s="650">
        <v>0</v>
      </c>
      <c r="E377" s="650">
        <v>0</v>
      </c>
      <c r="F377" s="645">
        <v>-111</v>
      </c>
      <c r="G377" s="645">
        <v>-208</v>
      </c>
      <c r="H377" s="646">
        <f>SUM(AL377:AO377)</f>
        <v>-97</v>
      </c>
      <c r="I377" s="646">
        <v>0</v>
      </c>
      <c r="J377" s="1411">
        <v>0</v>
      </c>
      <c r="K377" s="692"/>
      <c r="L377" s="692"/>
      <c r="M377" s="692"/>
      <c r="N377" s="692"/>
      <c r="O377" s="692"/>
      <c r="P377" s="692"/>
      <c r="Q377" s="692"/>
      <c r="R377" s="692"/>
      <c r="V377" s="141"/>
      <c r="W377" s="141"/>
      <c r="X377" s="141"/>
      <c r="Y377" s="398"/>
      <c r="Z377" s="141"/>
      <c r="AA377" s="141"/>
      <c r="AB377" s="141"/>
      <c r="AC377" s="398"/>
      <c r="AD377" s="350">
        <f>Model!$F377/4</f>
        <v>-27.75</v>
      </c>
      <c r="AE377" s="350">
        <f>Model!$F377/4</f>
        <v>-27.75</v>
      </c>
      <c r="AF377" s="350">
        <f>Model!$F377/4</f>
        <v>-27.75</v>
      </c>
      <c r="AG377" s="670">
        <f>Model!$F377/4</f>
        <v>-27.75</v>
      </c>
      <c r="AH377" s="686">
        <v>-52</v>
      </c>
      <c r="AI377" s="686">
        <v>-52</v>
      </c>
      <c r="AJ377" s="686">
        <v>-52</v>
      </c>
      <c r="AK377" s="670">
        <f>G377-SUM(AH377:AJ377)</f>
        <v>-52</v>
      </c>
      <c r="AL377" s="686">
        <v>-52</v>
      </c>
      <c r="AM377" s="693">
        <v>-45</v>
      </c>
      <c r="AN377" s="686">
        <v>0</v>
      </c>
      <c r="AO377" s="687">
        <v>0</v>
      </c>
      <c r="AP377" s="141"/>
      <c r="AQ377" s="141"/>
      <c r="AR377" s="141"/>
      <c r="AS377" s="398"/>
      <c r="AT377" s="141"/>
      <c r="AU377" s="141"/>
      <c r="AV377" s="141"/>
      <c r="AW377" s="398"/>
      <c r="AX377" s="141"/>
      <c r="AY377" s="141"/>
      <c r="AZ377" s="141"/>
      <c r="BA377" s="278"/>
      <c r="BB377" s="225"/>
      <c r="BC377" s="225"/>
      <c r="BD377" s="225"/>
      <c r="BE377" s="225"/>
      <c r="BF377" s="141"/>
      <c r="BZ377" s="450"/>
    </row>
    <row r="378" spans="1:90" s="13" customFormat="1" ht="12.75" customHeight="1" outlineLevel="1">
      <c r="A378" s="1349"/>
      <c r="B378" s="13" t="s">
        <v>108</v>
      </c>
      <c r="C378" s="497">
        <f t="shared" ref="C378:R378" si="707">SUM(C376:C377)+C375</f>
        <v>-802</v>
      </c>
      <c r="D378" s="497">
        <f t="shared" si="707"/>
        <v>1183</v>
      </c>
      <c r="E378" s="497">
        <f t="shared" si="707"/>
        <v>4228</v>
      </c>
      <c r="F378" s="497">
        <f t="shared" si="707"/>
        <v>8404</v>
      </c>
      <c r="G378" s="497">
        <f t="shared" si="707"/>
        <v>23076</v>
      </c>
      <c r="H378" s="497">
        <f t="shared" si="707"/>
        <v>24149</v>
      </c>
      <c r="I378" s="497">
        <f t="shared" si="707"/>
        <v>71460</v>
      </c>
      <c r="J378" s="546">
        <f t="shared" si="707"/>
        <v>43675</v>
      </c>
      <c r="K378" s="497">
        <f t="shared" si="707"/>
        <v>64884.926888184702</v>
      </c>
      <c r="L378" s="497">
        <f t="shared" si="707"/>
        <v>86217.908664208517</v>
      </c>
      <c r="M378" s="497">
        <f t="shared" si="707"/>
        <v>111089.65299759815</v>
      </c>
      <c r="N378" s="497">
        <f t="shared" si="707"/>
        <v>138795.99122570484</v>
      </c>
      <c r="O378" s="497">
        <f t="shared" si="707"/>
        <v>175860.82297877726</v>
      </c>
      <c r="P378" s="497">
        <f t="shared" si="707"/>
        <v>217821.58457585447</v>
      </c>
      <c r="Q378" s="497">
        <f t="shared" si="707"/>
        <v>252078.02933116944</v>
      </c>
      <c r="R378" s="497">
        <f t="shared" si="707"/>
        <v>287535.26519526955</v>
      </c>
      <c r="T378" s="15">
        <f>(M378/J378)^(1/3)-1</f>
        <v>0.36504478094399384</v>
      </c>
      <c r="U378" s="694"/>
      <c r="V378" s="694"/>
      <c r="W378" s="694"/>
      <c r="X378" s="20"/>
      <c r="Y378" s="673"/>
      <c r="Z378" s="695">
        <v>775</v>
      </c>
      <c r="AA378" s="695">
        <v>560</v>
      </c>
      <c r="AB378" s="695">
        <v>1502</v>
      </c>
      <c r="AC378" s="696">
        <v>1391</v>
      </c>
      <c r="AD378" s="538">
        <v>1722</v>
      </c>
      <c r="AE378" s="538">
        <v>-1560</v>
      </c>
      <c r="AF378" s="538">
        <v>4045</v>
      </c>
      <c r="AG378" s="697">
        <v>4197</v>
      </c>
      <c r="AH378" s="20">
        <f>SUM(AH376:AH377)+AH375</f>
        <v>4384</v>
      </c>
      <c r="AI378" s="20">
        <f>SUM(AI376:AI377)+AI375</f>
        <v>4883</v>
      </c>
      <c r="AJ378" s="20">
        <f>SUM(AJ376:AJ377)+AJ375</f>
        <v>8266.25</v>
      </c>
      <c r="AK378" s="673">
        <v>5543</v>
      </c>
      <c r="AL378" s="20">
        <f t="shared" ref="AL378:BA378" si="708">SUM(AL376:AL377)+AL375</f>
        <v>12344</v>
      </c>
      <c r="AM378" s="20">
        <f t="shared" si="708"/>
        <v>2976</v>
      </c>
      <c r="AN378" s="20">
        <f t="shared" si="708"/>
        <v>5936</v>
      </c>
      <c r="AO378" s="673">
        <f t="shared" si="708"/>
        <v>2893</v>
      </c>
      <c r="AP378" s="20">
        <f t="shared" si="708"/>
        <v>30843</v>
      </c>
      <c r="AQ378" s="20">
        <f t="shared" si="708"/>
        <v>22754</v>
      </c>
      <c r="AR378" s="20">
        <f t="shared" si="708"/>
        <v>12498</v>
      </c>
      <c r="AS378" s="673">
        <f t="shared" si="708"/>
        <v>5365</v>
      </c>
      <c r="AT378" s="20">
        <f t="shared" si="708"/>
        <v>7550</v>
      </c>
      <c r="AU378" s="20">
        <f t="shared" si="708"/>
        <v>7623</v>
      </c>
      <c r="AV378" s="20">
        <f t="shared" si="708"/>
        <v>17855</v>
      </c>
      <c r="AW378" s="673">
        <f t="shared" si="708"/>
        <v>10647</v>
      </c>
      <c r="AX378" s="20">
        <f>SUM(AX376:AX377)+AX375</f>
        <v>14683</v>
      </c>
      <c r="AY378" s="20">
        <f>SUM(AY376:AY377)+AY375</f>
        <v>17668</v>
      </c>
      <c r="AZ378" s="20">
        <f>SUM(AZ376:AZ377)+AZ375</f>
        <v>24073</v>
      </c>
      <c r="BA378" s="566">
        <f t="shared" si="708"/>
        <v>7990.9268881846583</v>
      </c>
      <c r="BB378" s="440">
        <f>SUM(BB376:BB377)+BB375</f>
        <v>18290.663089190068</v>
      </c>
      <c r="BC378" s="440">
        <f>SUM(BC376:BC377)+BC375</f>
        <v>18028.956651876171</v>
      </c>
      <c r="BD378" s="440">
        <f>SUM(BD376:BD377)+BD375</f>
        <v>32341.621067651853</v>
      </c>
      <c r="BE378" s="440">
        <f>SUM(BE376:BE377)+BE375</f>
        <v>17556.667855490407</v>
      </c>
      <c r="BY378" s="20"/>
      <c r="BZ378" s="658"/>
      <c r="CG378"/>
      <c r="CH378"/>
      <c r="CI378"/>
      <c r="CJ378"/>
      <c r="CK378"/>
      <c r="CL378"/>
    </row>
    <row r="379" spans="1:90" ht="12.75" customHeight="1" outlineLevel="1">
      <c r="H379" s="275"/>
      <c r="I379" s="275"/>
      <c r="V379" s="141"/>
      <c r="W379" s="141"/>
      <c r="X379" s="141"/>
      <c r="Y379" s="398"/>
      <c r="Z379" s="141"/>
      <c r="AA379" s="141"/>
      <c r="AB379" s="141"/>
      <c r="AC379" s="398"/>
      <c r="AD379" s="141"/>
      <c r="AE379" s="141"/>
      <c r="AF379" s="141"/>
      <c r="AG379" s="398"/>
      <c r="AH379" s="141"/>
      <c r="AI379" s="141"/>
      <c r="AJ379" s="141"/>
      <c r="AK379" s="398"/>
      <c r="AL379" s="141"/>
      <c r="AM379" s="141"/>
      <c r="AN379" s="141"/>
      <c r="AO379" s="398"/>
      <c r="AP379" s="141"/>
      <c r="AQ379" s="141"/>
      <c r="AR379" s="141"/>
      <c r="AS379" s="398"/>
      <c r="AT379" s="141"/>
      <c r="AU379" s="141"/>
      <c r="AV379" s="141"/>
      <c r="AW379" s="398"/>
      <c r="AX379" s="141"/>
      <c r="AY379" s="141"/>
      <c r="AZ379" s="141"/>
      <c r="BA379" s="278"/>
      <c r="BB379" s="225"/>
      <c r="BC379" s="225"/>
      <c r="BD379" s="225"/>
      <c r="BE379" s="225"/>
      <c r="BF379" s="141"/>
    </row>
    <row r="380" spans="1:90" ht="12.75" customHeight="1" outlineLevel="2">
      <c r="B380" s="13" t="s">
        <v>707</v>
      </c>
      <c r="H380" s="275"/>
      <c r="V380" s="141"/>
      <c r="W380" s="141"/>
      <c r="X380" s="141"/>
      <c r="Y380" s="398"/>
      <c r="Z380" s="141"/>
      <c r="AA380" s="141"/>
      <c r="AB380" s="141"/>
      <c r="AC380" s="398"/>
      <c r="AD380" s="141"/>
      <c r="AE380" s="141"/>
      <c r="AF380" s="141"/>
      <c r="AG380" s="398"/>
      <c r="AH380" s="141"/>
      <c r="AI380" s="141"/>
      <c r="AJ380" s="141"/>
      <c r="AK380" s="398"/>
      <c r="AL380" s="141"/>
      <c r="AM380" s="141"/>
      <c r="AN380" s="141"/>
      <c r="AO380" s="398"/>
      <c r="AP380" s="15"/>
      <c r="AQ380" s="15"/>
      <c r="AR380" s="15"/>
      <c r="AS380" s="398"/>
      <c r="AT380" s="141"/>
      <c r="AU380" s="141"/>
      <c r="AV380" s="141"/>
      <c r="AW380" s="398"/>
      <c r="AX380" s="141"/>
      <c r="AY380" s="141"/>
      <c r="AZ380" s="141"/>
      <c r="BA380" s="278"/>
      <c r="BB380" s="225"/>
      <c r="BC380" s="225"/>
      <c r="BD380" s="225"/>
      <c r="BE380" s="225"/>
      <c r="BF380" s="141"/>
      <c r="BZ380" s="450"/>
    </row>
    <row r="381" spans="1:90" s="13" customFormat="1" ht="12.75" customHeight="1" outlineLevel="2">
      <c r="A381" s="1349"/>
      <c r="B381" s="698" t="s">
        <v>5</v>
      </c>
      <c r="C381" s="699">
        <v>-0.34</v>
      </c>
      <c r="D381" s="699">
        <v>0.49</v>
      </c>
      <c r="E381" s="699">
        <v>1.71</v>
      </c>
      <c r="F381" s="699">
        <v>3.66</v>
      </c>
      <c r="G381" s="700">
        <f>Reported!B215</f>
        <v>10.61</v>
      </c>
      <c r="H381" s="700">
        <f>Reported!C215</f>
        <v>10.33</v>
      </c>
      <c r="I381" s="700">
        <f>Reported!D215</f>
        <v>29.07</v>
      </c>
      <c r="J381" s="1414">
        <f>Reported!E215</f>
        <v>17.52</v>
      </c>
      <c r="K381" s="701">
        <f t="shared" ref="K381:R382" si="709">K$378/K386</f>
        <v>25.375411375903287</v>
      </c>
      <c r="L381" s="701">
        <f>L$378/L386</f>
        <v>33.384538914418009</v>
      </c>
      <c r="M381" s="701">
        <f t="shared" si="709"/>
        <v>42.589263966965653</v>
      </c>
      <c r="N381" s="701">
        <f t="shared" si="709"/>
        <v>52.684404245412949</v>
      </c>
      <c r="O381" s="701">
        <f t="shared" si="709"/>
        <v>66.092606275782927</v>
      </c>
      <c r="P381" s="701">
        <f t="shared" si="709"/>
        <v>81.0519216832448</v>
      </c>
      <c r="Q381" s="701">
        <f t="shared" si="709"/>
        <v>92.870123755846038</v>
      </c>
      <c r="R381" s="701">
        <f t="shared" si="709"/>
        <v>104.88436965687605</v>
      </c>
      <c r="T381" s="15">
        <f>(M381/J381)^(1/3)-1</f>
        <v>0.34458628662523494</v>
      </c>
      <c r="X381" s="20"/>
      <c r="Y381" s="673"/>
      <c r="Z381" s="20"/>
      <c r="AA381" s="20"/>
      <c r="AB381" s="20"/>
      <c r="AC381" s="673"/>
      <c r="AD381" s="20"/>
      <c r="AE381" s="20"/>
      <c r="AF381" s="20"/>
      <c r="AG381" s="673"/>
      <c r="AH381" s="702">
        <v>2.02</v>
      </c>
      <c r="AI381" s="702">
        <v>2.2599999999999998</v>
      </c>
      <c r="AJ381" s="702">
        <v>3.79</v>
      </c>
      <c r="AK381" s="703">
        <v>2.5299999999999998</v>
      </c>
      <c r="AL381" s="702">
        <v>5.62</v>
      </c>
      <c r="AM381" s="702">
        <v>1.33</v>
      </c>
      <c r="AN381" s="702">
        <v>2.42</v>
      </c>
      <c r="AO381" s="703">
        <v>1.18</v>
      </c>
      <c r="AP381" s="704">
        <f t="shared" ref="AP381:BA381" si="710">AP378/AP386</f>
        <v>12.451756156641098</v>
      </c>
      <c r="AQ381" s="704">
        <f t="shared" si="710"/>
        <v>9.2458350264120277</v>
      </c>
      <c r="AR381" s="704">
        <f t="shared" si="710"/>
        <v>5.109566639411284</v>
      </c>
      <c r="AS381" s="705">
        <f t="shared" si="710"/>
        <v>2.1915849673202614</v>
      </c>
      <c r="AT381" s="704">
        <f t="shared" si="710"/>
        <v>3.0529720986655882</v>
      </c>
      <c r="AU381" s="704">
        <f t="shared" si="710"/>
        <v>3.0762711864406778</v>
      </c>
      <c r="AV381" s="704">
        <f t="shared" si="710"/>
        <v>7.1851106639839033</v>
      </c>
      <c r="AW381" s="705">
        <f t="shared" si="710"/>
        <v>4.2367688022284122</v>
      </c>
      <c r="AX381" s="704">
        <f>AX378/AX386</f>
        <v>5.7738891073535195</v>
      </c>
      <c r="AY381" s="704">
        <f>AY378/AY386</f>
        <v>6.9231974921630091</v>
      </c>
      <c r="AZ381" s="704">
        <f>AZ378/AZ386</f>
        <v>9.4145482987876417</v>
      </c>
      <c r="BA381" s="1546">
        <f t="shared" si="710"/>
        <v>3.1251180634277116</v>
      </c>
      <c r="BB381" s="698">
        <f>BB378/BB386</f>
        <v>7.0823493997026477</v>
      </c>
      <c r="BC381" s="698">
        <f>BC378/BC386</f>
        <v>6.9810137389794544</v>
      </c>
      <c r="BD381" s="698">
        <f>BD378/BD386</f>
        <v>12.523037543087641</v>
      </c>
      <c r="BE381" s="698">
        <f>BE378/BE386</f>
        <v>6.798138232648256</v>
      </c>
      <c r="BZ381" s="658"/>
      <c r="CG381"/>
      <c r="CH381"/>
      <c r="CI381"/>
      <c r="CJ381"/>
      <c r="CK381"/>
      <c r="CL381"/>
    </row>
    <row r="382" spans="1:90" s="13" customFormat="1" ht="12.75" customHeight="1" outlineLevel="2">
      <c r="A382" s="1349"/>
      <c r="B382" s="698" t="s">
        <v>6</v>
      </c>
      <c r="C382" s="699">
        <v>-0.34</v>
      </c>
      <c r="D382" s="699">
        <v>0.48</v>
      </c>
      <c r="E382" s="699">
        <v>1.67</v>
      </c>
      <c r="F382" s="699">
        <v>3.57</v>
      </c>
      <c r="G382" s="700">
        <f>Reported!B216</f>
        <v>10</v>
      </c>
      <c r="H382" s="700">
        <f>Reported!C216</f>
        <v>9.6999999999999993</v>
      </c>
      <c r="I382" s="700">
        <f>Reported!D216</f>
        <v>27.89</v>
      </c>
      <c r="J382" s="1414">
        <f>Reported!E216</f>
        <v>16.97</v>
      </c>
      <c r="K382" s="701">
        <f t="shared" si="709"/>
        <v>24.812591544238892</v>
      </c>
      <c r="L382" s="701">
        <f>L$378/L387</f>
        <v>32.806487130012847</v>
      </c>
      <c r="M382" s="701">
        <f t="shared" si="709"/>
        <v>42.060050857305868</v>
      </c>
      <c r="N382" s="701">
        <f t="shared" si="709"/>
        <v>52.029749179692288</v>
      </c>
      <c r="O382" s="701">
        <f t="shared" si="709"/>
        <v>65.271341233028082</v>
      </c>
      <c r="P382" s="701">
        <f t="shared" si="709"/>
        <v>80.044772568125964</v>
      </c>
      <c r="Q382" s="701">
        <f t="shared" si="709"/>
        <v>91.716121962684213</v>
      </c>
      <c r="R382" s="701">
        <f t="shared" si="709"/>
        <v>103.58107915005077</v>
      </c>
      <c r="T382" s="15">
        <f>(M382/J382)^(1/3)-1</f>
        <v>0.35330592651406501</v>
      </c>
      <c r="X382" s="20"/>
      <c r="Y382" s="673"/>
      <c r="Z382" s="20"/>
      <c r="AA382" s="20"/>
      <c r="AB382" s="20"/>
      <c r="AC382" s="673"/>
      <c r="AD382" s="20"/>
      <c r="AE382" s="20"/>
      <c r="AF382" s="20"/>
      <c r="AG382" s="673"/>
      <c r="AH382" s="702">
        <v>1.93</v>
      </c>
      <c r="AI382" s="702">
        <v>2.13</v>
      </c>
      <c r="AJ382" s="702">
        <v>3.55</v>
      </c>
      <c r="AK382" s="703">
        <v>2.37</v>
      </c>
      <c r="AL382" s="702">
        <v>5.21</v>
      </c>
      <c r="AM382" s="702">
        <v>1.24</v>
      </c>
      <c r="AN382" s="702">
        <v>2.29</v>
      </c>
      <c r="AO382" s="703">
        <v>1.1200000000000001</v>
      </c>
      <c r="AP382" s="704">
        <f t="shared" ref="AP382:BA382" si="711">AP378/AP387</f>
        <v>11.917697063369397</v>
      </c>
      <c r="AQ382" s="704">
        <f t="shared" si="711"/>
        <v>8.8744149765990645</v>
      </c>
      <c r="AR382" s="704">
        <f t="shared" si="711"/>
        <v>4.9011764705882355</v>
      </c>
      <c r="AS382" s="705">
        <f t="shared" si="711"/>
        <v>2.1072270227808327</v>
      </c>
      <c r="AT382" s="704">
        <f t="shared" si="711"/>
        <v>2.940031152647975</v>
      </c>
      <c r="AU382" s="704">
        <f t="shared" si="711"/>
        <v>2.9707716289945441</v>
      </c>
      <c r="AV382" s="704">
        <f t="shared" si="711"/>
        <v>6.9447685725398678</v>
      </c>
      <c r="AW382" s="705">
        <f t="shared" si="711"/>
        <v>4.1251452925222782</v>
      </c>
      <c r="AX382" s="704">
        <f>AX378/AX387</f>
        <v>5.6494805694497883</v>
      </c>
      <c r="AY382" s="704">
        <f>AY378/AY387</f>
        <v>6.7771384733410054</v>
      </c>
      <c r="AZ382" s="704">
        <f>AZ378/AZ387</f>
        <v>9.2057361376673033</v>
      </c>
      <c r="BA382" s="1546">
        <f t="shared" si="711"/>
        <v>3.0558037813325654</v>
      </c>
      <c r="BB382" s="698">
        <f>BB378/BB387</f>
        <v>6.9597188395270564</v>
      </c>
      <c r="BC382" s="698">
        <f>BC378/BC387</f>
        <v>6.8601378011952372</v>
      </c>
      <c r="BD382" s="698">
        <f>BD378/BD387</f>
        <v>12.306201713288949</v>
      </c>
      <c r="BE382" s="698">
        <f>BE378/BE387</f>
        <v>6.6804287760016008</v>
      </c>
      <c r="BZ382" s="658"/>
      <c r="CG382"/>
      <c r="CH382"/>
      <c r="CI382"/>
      <c r="CJ382"/>
      <c r="CK382"/>
      <c r="CL382"/>
    </row>
    <row r="383" spans="1:90" s="13" customFormat="1" ht="12.75" customHeight="1" outlineLevel="2">
      <c r="A383" s="1349"/>
      <c r="B383" s="698" t="s">
        <v>4</v>
      </c>
      <c r="C383" s="701">
        <f>C381/Model!C6</f>
        <v>-4.977247047676886E-2</v>
      </c>
      <c r="D383" s="701">
        <f>D381/Model!D6</f>
        <v>7.5798317758630829E-2</v>
      </c>
      <c r="E383" s="701">
        <f>E381/Model!E6</f>
        <v>0.26733559972614257</v>
      </c>
      <c r="F383" s="701">
        <f>F381/Model!F6</f>
        <v>0.58207495579763269</v>
      </c>
      <c r="G383" s="701">
        <v>1.71</v>
      </c>
      <c r="H383" s="701">
        <f>H381/Model!H6</f>
        <v>1.6663978060977578</v>
      </c>
      <c r="I383" s="701">
        <f>I381/Model!I6</f>
        <v>4.5083746898263026</v>
      </c>
      <c r="J383" s="1379">
        <f>J381/Model!J6</f>
        <v>2.5453277545327753</v>
      </c>
      <c r="K383" s="701">
        <f>K381/Model!K6</f>
        <v>3.6643193322604022</v>
      </c>
      <c r="L383" s="701">
        <f>L381/Model!L6</f>
        <v>4.8208720454033225</v>
      </c>
      <c r="M383" s="701">
        <f>M381/Model!M6</f>
        <v>6.1500742190564113</v>
      </c>
      <c r="N383" s="701">
        <f>N381/Model!N6</f>
        <v>7.6078562087238906</v>
      </c>
      <c r="O383" s="701">
        <f>O381/Model!O6</f>
        <v>9.5440586679830925</v>
      </c>
      <c r="P383" s="701">
        <f>P381/Model!P6</f>
        <v>11.704248618519104</v>
      </c>
      <c r="Q383" s="701">
        <f>Q381/Model!Q6</f>
        <v>13.41084819579004</v>
      </c>
      <c r="R383" s="701">
        <f>R381/Model!R6</f>
        <v>15.145757351173435</v>
      </c>
      <c r="Y383" s="556"/>
      <c r="AC383" s="556"/>
      <c r="AG383" s="556"/>
      <c r="AH383" s="706">
        <f t="shared" ref="AH383:BE383" si="712">AH381/AH6</f>
        <v>0.33018104313977031</v>
      </c>
      <c r="AI383" s="706">
        <f t="shared" si="712"/>
        <v>0.36941047400786176</v>
      </c>
      <c r="AJ383" s="706">
        <f t="shared" si="712"/>
        <v>0.61949809579194526</v>
      </c>
      <c r="AK383" s="1488">
        <f t="shared" si="712"/>
        <v>0.41354358373446476</v>
      </c>
      <c r="AL383" s="706">
        <f t="shared" si="712"/>
        <v>0.90659783836102603</v>
      </c>
      <c r="AM383" s="706">
        <f t="shared" si="712"/>
        <v>0.21455073398935315</v>
      </c>
      <c r="AN383" s="706">
        <f t="shared" si="712"/>
        <v>0.39038554605581544</v>
      </c>
      <c r="AO383" s="1488">
        <f t="shared" si="712"/>
        <v>0.19035328278754637</v>
      </c>
      <c r="AP383" s="706">
        <f t="shared" si="712"/>
        <v>1.9311036223078624</v>
      </c>
      <c r="AQ383" s="706">
        <f t="shared" si="712"/>
        <v>1.4339074172475228</v>
      </c>
      <c r="AR383" s="706">
        <f t="shared" si="712"/>
        <v>0.7924265879980279</v>
      </c>
      <c r="AS383" s="1488">
        <f t="shared" si="712"/>
        <v>0.33988600609805542</v>
      </c>
      <c r="AT383" s="706">
        <f t="shared" si="712"/>
        <v>0.44353964706322468</v>
      </c>
      <c r="AU383" s="706">
        <f t="shared" si="712"/>
        <v>0.44692456799754149</v>
      </c>
      <c r="AV383" s="706">
        <f t="shared" si="712"/>
        <v>1.0438619630381076</v>
      </c>
      <c r="AW383" s="1488">
        <f t="shared" si="712"/>
        <v>0.61552312910105944</v>
      </c>
      <c r="AX383" s="706">
        <f t="shared" si="712"/>
        <v>0.83377460033985829</v>
      </c>
      <c r="AY383" s="706">
        <f t="shared" si="712"/>
        <v>0.99973971005964024</v>
      </c>
      <c r="AZ383" s="706">
        <f t="shared" si="712"/>
        <v>1.359501559391717</v>
      </c>
      <c r="BA383" s="1488">
        <f t="shared" si="712"/>
        <v>0.4512805867765648</v>
      </c>
      <c r="BB383" s="706">
        <f t="shared" si="712"/>
        <v>1.0227219349751115</v>
      </c>
      <c r="BC383" s="706">
        <f t="shared" si="712"/>
        <v>1.00808862656743</v>
      </c>
      <c r="BD383" s="706">
        <f t="shared" si="712"/>
        <v>1.8083808726480346</v>
      </c>
      <c r="BE383" s="706">
        <f t="shared" si="712"/>
        <v>0.98168061121274441</v>
      </c>
      <c r="CG383"/>
      <c r="CH383"/>
      <c r="CI383"/>
      <c r="CJ383"/>
      <c r="CK383"/>
      <c r="CL383"/>
    </row>
    <row r="384" spans="1:90" s="13" customFormat="1" ht="12.75" customHeight="1" outlineLevel="2">
      <c r="A384" s="1349"/>
      <c r="B384" s="698" t="s">
        <v>7</v>
      </c>
      <c r="C384" s="701">
        <f>C382/Model!C6</f>
        <v>-4.977247047676886E-2</v>
      </c>
      <c r="D384" s="701">
        <f>D382/Model!D6</f>
        <v>7.4251413314577144E-2</v>
      </c>
      <c r="E384" s="701">
        <f>E382/Model!E6</f>
        <v>0.2610821354050632</v>
      </c>
      <c r="F384" s="701">
        <f>F382/Model!F6</f>
        <v>0.56776163721244488</v>
      </c>
      <c r="G384" s="701">
        <v>1.61</v>
      </c>
      <c r="H384" s="701">
        <f>H382/Model!H6</f>
        <v>1.5647685110501692</v>
      </c>
      <c r="I384" s="701">
        <f>I382/Model!I6</f>
        <v>4.3253722084367245</v>
      </c>
      <c r="J384" s="1379">
        <f>J382/Model!J6</f>
        <v>2.4654230590423056</v>
      </c>
      <c r="K384" s="701">
        <f>K382/Model!K6</f>
        <v>3.5830457103594062</v>
      </c>
      <c r="L384" s="701">
        <f>L382/Model!L6</f>
        <v>4.7373988635397613</v>
      </c>
      <c r="M384" s="701">
        <f>M382/Model!M6</f>
        <v>6.0736535534015683</v>
      </c>
      <c r="N384" s="701">
        <f>N382/Model!N6</f>
        <v>7.5133211811830014</v>
      </c>
      <c r="O384" s="701">
        <f>O382/Model!O6</f>
        <v>9.4254644379823933</v>
      </c>
      <c r="P384" s="701">
        <f>P382/Model!P6</f>
        <v>11.558811923195083</v>
      </c>
      <c r="Q384" s="701">
        <f>Q382/Model!Q6</f>
        <v>13.244205337571726</v>
      </c>
      <c r="R384" s="701">
        <f>R382/Model!R6</f>
        <v>14.957556555964008</v>
      </c>
      <c r="Y384" s="556"/>
      <c r="AC384" s="556"/>
      <c r="AG384" s="556"/>
      <c r="AH384" s="706">
        <f t="shared" ref="AH384:BE384" si="713">AH382/AH6</f>
        <v>0.31547000656423596</v>
      </c>
      <c r="AI384" s="706">
        <f t="shared" si="713"/>
        <v>0.34816119895431219</v>
      </c>
      <c r="AJ384" s="706">
        <f t="shared" si="713"/>
        <v>0.58026866492385365</v>
      </c>
      <c r="AK384" s="1488">
        <f t="shared" si="713"/>
        <v>0.38739062982240374</v>
      </c>
      <c r="AL384" s="706">
        <f t="shared" si="713"/>
        <v>0.84045813840942085</v>
      </c>
      <c r="AM384" s="706">
        <f t="shared" si="713"/>
        <v>0.20003226326826909</v>
      </c>
      <c r="AN384" s="706">
        <f t="shared" si="713"/>
        <v>0.36941442168091632</v>
      </c>
      <c r="AO384" s="1488">
        <f t="shared" si="713"/>
        <v>0.18067430230682371</v>
      </c>
      <c r="AP384" s="706">
        <f t="shared" si="713"/>
        <v>1.8482780805473631</v>
      </c>
      <c r="AQ384" s="706">
        <f t="shared" si="713"/>
        <v>1.3763050522020881</v>
      </c>
      <c r="AR384" s="706">
        <f t="shared" si="713"/>
        <v>0.76010801342869649</v>
      </c>
      <c r="AS384" s="1488">
        <f t="shared" si="713"/>
        <v>0.32680319832208943</v>
      </c>
      <c r="AT384" s="706">
        <f t="shared" si="713"/>
        <v>0.42713144360878297</v>
      </c>
      <c r="AU384" s="706">
        <f t="shared" si="713"/>
        <v>0.43159745888460949</v>
      </c>
      <c r="AV384" s="706">
        <f t="shared" si="713"/>
        <v>1.0089447600737835</v>
      </c>
      <c r="AW384" s="1488">
        <f t="shared" si="713"/>
        <v>0.59930632445988463</v>
      </c>
      <c r="AX384" s="706">
        <f t="shared" si="713"/>
        <v>0.81580946851260472</v>
      </c>
      <c r="AY384" s="706">
        <f t="shared" si="713"/>
        <v>0.97864815499509095</v>
      </c>
      <c r="AZ384" s="706">
        <f t="shared" si="713"/>
        <v>1.3293481787245203</v>
      </c>
      <c r="BA384" s="1488">
        <f t="shared" si="713"/>
        <v>0.44127130416354732</v>
      </c>
      <c r="BB384" s="706">
        <f t="shared" si="713"/>
        <v>1.0050135508342319</v>
      </c>
      <c r="BC384" s="706">
        <f t="shared" si="713"/>
        <v>0.99063361750111723</v>
      </c>
      <c r="BD384" s="706">
        <f t="shared" si="713"/>
        <v>1.7770688394641081</v>
      </c>
      <c r="BE384" s="706">
        <f t="shared" si="713"/>
        <v>0.96468285574030321</v>
      </c>
      <c r="CG384"/>
      <c r="CH384"/>
      <c r="CI384"/>
      <c r="CJ384"/>
      <c r="CK384"/>
      <c r="CL384"/>
    </row>
    <row r="385" spans="1:90" s="226" customFormat="1" ht="12.75" customHeight="1" outlineLevel="2">
      <c r="A385" s="1349"/>
      <c r="C385" s="698"/>
      <c r="D385" s="698"/>
      <c r="E385" s="698"/>
      <c r="F385" s="698"/>
      <c r="G385" s="303"/>
      <c r="H385" s="303"/>
      <c r="I385" s="303"/>
      <c r="J385" s="338"/>
      <c r="K385" s="303"/>
      <c r="L385" s="303"/>
      <c r="N385" s="303"/>
      <c r="O385" s="303"/>
      <c r="P385" s="303"/>
      <c r="Q385" s="303"/>
      <c r="R385" s="303"/>
      <c r="Y385" s="293"/>
      <c r="AC385" s="293"/>
      <c r="AG385" s="293"/>
      <c r="AK385" s="293"/>
      <c r="AO385" s="293"/>
      <c r="AQ385" s="707"/>
      <c r="AS385" s="293"/>
      <c r="AW385" s="293"/>
      <c r="BA385" s="293"/>
      <c r="CG385"/>
      <c r="CH385"/>
      <c r="CI385"/>
      <c r="CJ385"/>
      <c r="CK385"/>
      <c r="CL385"/>
    </row>
    <row r="386" spans="1:90" ht="12.75" customHeight="1" outlineLevel="2">
      <c r="B386" s="225" t="s">
        <v>360</v>
      </c>
      <c r="C386" s="454">
        <f>C$378/C381</f>
        <v>2358.8235294117644</v>
      </c>
      <c r="D386" s="454">
        <f>D$378/D381</f>
        <v>2414.2857142857142</v>
      </c>
      <c r="E386" s="669">
        <v>2479</v>
      </c>
      <c r="F386" s="669">
        <v>2294</v>
      </c>
      <c r="G386" s="669">
        <v>2175</v>
      </c>
      <c r="H386" s="669">
        <v>2337</v>
      </c>
      <c r="I386" s="669">
        <v>2458</v>
      </c>
      <c r="J386" s="1415">
        <v>2493</v>
      </c>
      <c r="K386" s="708">
        <v>2557</v>
      </c>
      <c r="L386" s="708">
        <f t="shared" ref="L386:R387" si="714">K386*(1+1%)</f>
        <v>2582.5700000000002</v>
      </c>
      <c r="M386" s="708">
        <f t="shared" si="714"/>
        <v>2608.3957</v>
      </c>
      <c r="N386" s="708">
        <f t="shared" si="714"/>
        <v>2634.4796569999999</v>
      </c>
      <c r="O386" s="708">
        <f t="shared" si="714"/>
        <v>2660.8244535700001</v>
      </c>
      <c r="P386" s="708">
        <f t="shared" si="714"/>
        <v>2687.4326981057002</v>
      </c>
      <c r="Q386" s="708">
        <f t="shared" si="714"/>
        <v>2714.3070250867572</v>
      </c>
      <c r="R386" s="708">
        <f t="shared" si="714"/>
        <v>2741.450095337625</v>
      </c>
      <c r="V386" s="141"/>
      <c r="W386" s="141"/>
      <c r="X386" s="141"/>
      <c r="Y386" s="398"/>
      <c r="Z386" s="141"/>
      <c r="AA386" s="141"/>
      <c r="AB386" s="141"/>
      <c r="AC386" s="398"/>
      <c r="AD386" s="141"/>
      <c r="AE386" s="141"/>
      <c r="AF386" s="141"/>
      <c r="AG386" s="398"/>
      <c r="AH386" s="674">
        <v>2166</v>
      </c>
      <c r="AI386" s="674">
        <v>2317</v>
      </c>
      <c r="AJ386" s="550">
        <v>2180</v>
      </c>
      <c r="AK386" s="680">
        <v>2188</v>
      </c>
      <c r="AL386" s="674">
        <v>2198</v>
      </c>
      <c r="AM386" s="674">
        <v>2438</v>
      </c>
      <c r="AN386" s="686">
        <v>2450</v>
      </c>
      <c r="AO386" s="687">
        <v>2461</v>
      </c>
      <c r="AP386" s="545">
        <f>Reported!P219</f>
        <v>2477</v>
      </c>
      <c r="AQ386" s="545">
        <f>Reported!Q219</f>
        <v>2461</v>
      </c>
      <c r="AR386" s="545">
        <f>Reported!R219</f>
        <v>2446</v>
      </c>
      <c r="AS386" s="709">
        <f>Reported!S219</f>
        <v>2448</v>
      </c>
      <c r="AT386" s="545">
        <f>Reported!T219</f>
        <v>2473</v>
      </c>
      <c r="AU386" s="545">
        <f>Reported!U219</f>
        <v>2478</v>
      </c>
      <c r="AV386" s="545">
        <f>Reported!V219</f>
        <v>2485</v>
      </c>
      <c r="AW386" s="709">
        <f>Reported!W219</f>
        <v>2513</v>
      </c>
      <c r="AX386" s="545">
        <f>Reported!X219</f>
        <v>2543</v>
      </c>
      <c r="AY386" s="545">
        <f>Reported!Y219</f>
        <v>2552</v>
      </c>
      <c r="AZ386" s="545">
        <f>Reported!Z219</f>
        <v>2557</v>
      </c>
      <c r="BA386" s="748">
        <f>AZ386</f>
        <v>2557</v>
      </c>
      <c r="BB386" s="708">
        <f>L386</f>
        <v>2582.5700000000002</v>
      </c>
      <c r="BC386" s="452">
        <f t="shared" ref="BC386:BE387" si="715">BB386</f>
        <v>2582.5700000000002</v>
      </c>
      <c r="BD386" s="452">
        <f t="shared" si="715"/>
        <v>2582.5700000000002</v>
      </c>
      <c r="BE386" s="452">
        <f t="shared" si="715"/>
        <v>2582.5700000000002</v>
      </c>
      <c r="BF386" s="141"/>
    </row>
    <row r="387" spans="1:90" ht="12.75" customHeight="1" outlineLevel="2">
      <c r="B387" s="225" t="s">
        <v>361</v>
      </c>
      <c r="C387" s="454">
        <f>C$378/C382</f>
        <v>2358.8235294117644</v>
      </c>
      <c r="D387" s="454">
        <f>D$378/D382</f>
        <v>2464.5833333333335</v>
      </c>
      <c r="E387" s="669">
        <v>2522</v>
      </c>
      <c r="F387" s="669">
        <v>2389</v>
      </c>
      <c r="G387" s="669">
        <v>2332</v>
      </c>
      <c r="H387" s="669">
        <v>2500</v>
      </c>
      <c r="I387" s="669">
        <v>2562</v>
      </c>
      <c r="J387" s="1415">
        <v>2573</v>
      </c>
      <c r="K387" s="708">
        <v>2615</v>
      </c>
      <c r="L387" s="708">
        <f>K387*(1+0.5%)</f>
        <v>2628.0749999999998</v>
      </c>
      <c r="M387" s="708">
        <f>L387*(1+0.5%)</f>
        <v>2641.2153749999993</v>
      </c>
      <c r="N387" s="708">
        <f t="shared" si="714"/>
        <v>2667.6275287499993</v>
      </c>
      <c r="O387" s="708">
        <f t="shared" si="714"/>
        <v>2694.3038040374995</v>
      </c>
      <c r="P387" s="708">
        <f t="shared" si="714"/>
        <v>2721.2468420778746</v>
      </c>
      <c r="Q387" s="708">
        <f t="shared" si="714"/>
        <v>2748.4593104986534</v>
      </c>
      <c r="R387" s="708">
        <f t="shared" si="714"/>
        <v>2775.9439036036401</v>
      </c>
      <c r="V387" s="141"/>
      <c r="W387" s="141"/>
      <c r="X387" s="141"/>
      <c r="Y387" s="398"/>
      <c r="Z387" s="360"/>
      <c r="AA387" s="360"/>
      <c r="AB387" s="360"/>
      <c r="AC387" s="451"/>
      <c r="AD387" s="360"/>
      <c r="AE387" s="360"/>
      <c r="AF387" s="360"/>
      <c r="AG387" s="451"/>
      <c r="AH387" s="674">
        <v>2305</v>
      </c>
      <c r="AI387" s="674">
        <v>2317</v>
      </c>
      <c r="AJ387" s="550">
        <v>2343</v>
      </c>
      <c r="AK387" s="680">
        <v>2363</v>
      </c>
      <c r="AL387" s="674">
        <v>2384</v>
      </c>
      <c r="AM387" s="674">
        <v>2438</v>
      </c>
      <c r="AN387" s="686">
        <v>2588</v>
      </c>
      <c r="AO387" s="687">
        <v>2585</v>
      </c>
      <c r="AP387" s="545">
        <f>Reported!P220</f>
        <v>2588</v>
      </c>
      <c r="AQ387" s="545">
        <f>Reported!Q220</f>
        <v>2564</v>
      </c>
      <c r="AR387" s="545">
        <f>Reported!R220</f>
        <v>2550</v>
      </c>
      <c r="AS387" s="709">
        <f>Reported!S220</f>
        <v>2546</v>
      </c>
      <c r="AT387" s="545">
        <f>Reported!T220</f>
        <v>2568</v>
      </c>
      <c r="AU387" s="545">
        <f>Reported!U220</f>
        <v>2566</v>
      </c>
      <c r="AV387" s="545">
        <f>Reported!V220</f>
        <v>2571</v>
      </c>
      <c r="AW387" s="709">
        <f>Reported!W220</f>
        <v>2581</v>
      </c>
      <c r="AX387" s="545">
        <f>Reported!X220</f>
        <v>2599</v>
      </c>
      <c r="AY387" s="545">
        <f>Reported!Y220</f>
        <v>2607</v>
      </c>
      <c r="AZ387" s="545">
        <f>Reported!Z220</f>
        <v>2615</v>
      </c>
      <c r="BA387" s="748">
        <f>$K387</f>
        <v>2615</v>
      </c>
      <c r="BB387" s="708">
        <f>L387</f>
        <v>2628.0749999999998</v>
      </c>
      <c r="BC387" s="452">
        <f t="shared" si="715"/>
        <v>2628.0749999999998</v>
      </c>
      <c r="BD387" s="452">
        <f t="shared" si="715"/>
        <v>2628.0749999999998</v>
      </c>
      <c r="BE387" s="452">
        <f t="shared" si="715"/>
        <v>2628.0749999999998</v>
      </c>
      <c r="BF387" s="141"/>
    </row>
    <row r="388" spans="1:90" ht="12.75" customHeight="1" outlineLevel="2">
      <c r="B388" s="225" t="s">
        <v>773</v>
      </c>
      <c r="C388" s="454"/>
      <c r="D388" s="454"/>
      <c r="E388" s="669">
        <f>E386</f>
        <v>2479</v>
      </c>
      <c r="F388" s="669">
        <f t="shared" ref="F388:R388" si="716">F386</f>
        <v>2294</v>
      </c>
      <c r="G388" s="669">
        <f t="shared" si="716"/>
        <v>2175</v>
      </c>
      <c r="H388" s="669">
        <f t="shared" si="716"/>
        <v>2337</v>
      </c>
      <c r="I388" s="669">
        <f t="shared" si="716"/>
        <v>2458</v>
      </c>
      <c r="J388" s="1415">
        <f t="shared" si="716"/>
        <v>2493</v>
      </c>
      <c r="K388" s="452">
        <f t="shared" si="716"/>
        <v>2557</v>
      </c>
      <c r="L388" s="452">
        <f t="shared" si="716"/>
        <v>2582.5700000000002</v>
      </c>
      <c r="M388" s="452">
        <f t="shared" si="716"/>
        <v>2608.3957</v>
      </c>
      <c r="N388" s="708">
        <f t="shared" si="716"/>
        <v>2634.4796569999999</v>
      </c>
      <c r="O388" s="708">
        <f t="shared" si="716"/>
        <v>2660.8244535700001</v>
      </c>
      <c r="P388" s="708">
        <f t="shared" si="716"/>
        <v>2687.4326981057002</v>
      </c>
      <c r="Q388" s="708">
        <f t="shared" si="716"/>
        <v>2714.3070250867572</v>
      </c>
      <c r="R388" s="708">
        <f t="shared" si="716"/>
        <v>2741.450095337625</v>
      </c>
      <c r="V388" s="141"/>
      <c r="W388" s="141"/>
      <c r="X388" s="141"/>
      <c r="Y388" s="398"/>
      <c r="Z388" s="360"/>
      <c r="AA388" s="360"/>
      <c r="AB388" s="360"/>
      <c r="AC388" s="451"/>
      <c r="AD388" s="360"/>
      <c r="AE388" s="360"/>
      <c r="AF388" s="360"/>
      <c r="AG388" s="451"/>
      <c r="AH388" s="674"/>
      <c r="AI388" s="674"/>
      <c r="AJ388" s="550"/>
      <c r="AK388" s="680"/>
      <c r="AL388" s="674"/>
      <c r="AM388" s="674"/>
      <c r="AN388" s="686"/>
      <c r="AO388" s="687"/>
      <c r="AP388" s="545"/>
      <c r="AQ388" s="545"/>
      <c r="AR388" s="545"/>
      <c r="AS388" s="709"/>
      <c r="AT388" s="545"/>
      <c r="AU388" s="545"/>
      <c r="AV388" s="545"/>
      <c r="AW388" s="709"/>
      <c r="AX388" s="452"/>
      <c r="AY388" s="452"/>
      <c r="AZ388" s="452"/>
      <c r="BA388" s="748"/>
      <c r="BB388" s="452"/>
      <c r="BC388" s="452"/>
      <c r="BD388" s="452"/>
      <c r="BE388" s="452"/>
      <c r="BF388" s="141"/>
    </row>
    <row r="389" spans="1:90" ht="12.75" customHeight="1" outlineLevel="2">
      <c r="B389" s="225" t="s">
        <v>772</v>
      </c>
      <c r="C389" s="454"/>
      <c r="D389" s="454"/>
      <c r="E389" s="669"/>
      <c r="F389" s="669"/>
      <c r="G389" s="669"/>
      <c r="H389" s="669"/>
      <c r="I389" s="669"/>
      <c r="J389" s="1415"/>
      <c r="K389" s="452">
        <f>K386</f>
        <v>2557</v>
      </c>
      <c r="L389" s="452"/>
      <c r="M389" s="452"/>
      <c r="N389" s="708"/>
      <c r="O389" s="708"/>
      <c r="P389" s="708"/>
      <c r="Q389" s="708"/>
      <c r="R389" s="708"/>
      <c r="V389" s="141"/>
      <c r="W389" s="141"/>
      <c r="X389" s="141"/>
      <c r="Y389" s="398"/>
      <c r="Z389" s="360"/>
      <c r="AA389" s="360"/>
      <c r="AB389" s="360"/>
      <c r="AC389" s="451"/>
      <c r="AD389" s="360"/>
      <c r="AE389" s="360"/>
      <c r="AF389" s="360"/>
      <c r="AG389" s="451"/>
      <c r="AH389" s="674"/>
      <c r="AI389" s="674"/>
      <c r="AJ389" s="550"/>
      <c r="AK389" s="680"/>
      <c r="AL389" s="674"/>
      <c r="AM389" s="674"/>
      <c r="AN389" s="686"/>
      <c r="AO389" s="687"/>
      <c r="AP389" s="545"/>
      <c r="AQ389" s="545"/>
      <c r="AR389" s="545"/>
      <c r="AS389" s="709"/>
      <c r="AT389" s="545"/>
      <c r="AU389" s="545"/>
      <c r="AV389" s="545"/>
      <c r="AW389" s="709"/>
      <c r="AX389" s="452"/>
      <c r="AY389" s="452"/>
      <c r="AZ389" s="452"/>
      <c r="BA389" s="748"/>
      <c r="BB389" s="452"/>
      <c r="BC389" s="452"/>
      <c r="BD389" s="452"/>
      <c r="BE389" s="452"/>
      <c r="BF389" s="141"/>
    </row>
    <row r="390" spans="1:90" ht="12.75" customHeight="1" outlineLevel="2">
      <c r="B390" s="225" t="s">
        <v>774</v>
      </c>
      <c r="C390" s="454"/>
      <c r="D390" s="454"/>
      <c r="E390" s="669"/>
      <c r="F390" s="669"/>
      <c r="G390" s="669"/>
      <c r="H390" s="669"/>
      <c r="I390" s="669"/>
      <c r="J390" s="1415"/>
      <c r="K390" s="452">
        <f>K387</f>
        <v>2615</v>
      </c>
      <c r="L390" s="452"/>
      <c r="M390" s="452"/>
      <c r="N390" s="708"/>
      <c r="O390" s="708"/>
      <c r="P390" s="708"/>
      <c r="Q390" s="708"/>
      <c r="R390" s="708"/>
      <c r="V390" s="141"/>
      <c r="W390" s="141"/>
      <c r="X390" s="141"/>
      <c r="Y390" s="398"/>
      <c r="Z390" s="360"/>
      <c r="AA390" s="360"/>
      <c r="AB390" s="360"/>
      <c r="AC390" s="451"/>
      <c r="AD390" s="360"/>
      <c r="AE390" s="360"/>
      <c r="AF390" s="360"/>
      <c r="AG390" s="451"/>
      <c r="AH390" s="674"/>
      <c r="AI390" s="674"/>
      <c r="AJ390" s="550"/>
      <c r="AK390" s="680"/>
      <c r="AL390" s="674"/>
      <c r="AM390" s="674"/>
      <c r="AN390" s="686"/>
      <c r="AO390" s="687"/>
      <c r="AP390" s="545"/>
      <c r="AQ390" s="545"/>
      <c r="AR390" s="545"/>
      <c r="AS390" s="709"/>
      <c r="AT390" s="545"/>
      <c r="AU390" s="545"/>
      <c r="AV390" s="545"/>
      <c r="AW390" s="709"/>
      <c r="AX390" s="452"/>
      <c r="AY390" s="452"/>
      <c r="AZ390" s="452"/>
      <c r="BA390" s="748"/>
      <c r="BB390" s="452"/>
      <c r="BC390" s="452"/>
      <c r="BD390" s="452"/>
      <c r="BE390" s="452"/>
      <c r="BF390" s="141"/>
    </row>
    <row r="391" spans="1:90" ht="12.75" customHeight="1" outlineLevel="1">
      <c r="B391" s="225"/>
      <c r="C391" s="454"/>
      <c r="D391" s="454"/>
      <c r="E391" s="669"/>
      <c r="F391" s="669"/>
      <c r="G391" s="669"/>
      <c r="H391" s="669"/>
      <c r="I391" s="669"/>
      <c r="J391" s="1416"/>
      <c r="K391" s="452"/>
      <c r="L391" s="452"/>
      <c r="M391" s="452"/>
      <c r="N391" s="452"/>
      <c r="O391" s="452"/>
      <c r="P391" s="452"/>
      <c r="Q391" s="452"/>
      <c r="R391" s="452"/>
      <c r="V391" s="141"/>
      <c r="W391" s="141"/>
      <c r="X391" s="141"/>
      <c r="Y391" s="398"/>
      <c r="Z391" s="360"/>
      <c r="AA391" s="360"/>
      <c r="AB391" s="360"/>
      <c r="AC391" s="451"/>
      <c r="AD391" s="360"/>
      <c r="AE391" s="360"/>
      <c r="AF391" s="360"/>
      <c r="AG391" s="451"/>
      <c r="AH391" s="674"/>
      <c r="AI391" s="674"/>
      <c r="AJ391" s="550"/>
      <c r="AK391" s="680"/>
      <c r="AL391" s="674"/>
      <c r="AM391" s="674"/>
      <c r="AN391" s="686"/>
      <c r="AO391" s="687"/>
      <c r="AP391" s="545"/>
      <c r="AQ391" s="545"/>
      <c r="AR391" s="545"/>
      <c r="AS391" s="709"/>
      <c r="AT391" s="545"/>
      <c r="AU391" s="545"/>
      <c r="AV391" s="545"/>
      <c r="AW391" s="709"/>
      <c r="AX391" s="452"/>
      <c r="AY391" s="452"/>
      <c r="AZ391" s="452"/>
      <c r="BA391" s="748"/>
      <c r="BB391" s="452"/>
      <c r="BC391" s="452"/>
      <c r="BD391" s="452"/>
      <c r="BE391" s="452"/>
      <c r="BF391" s="141"/>
    </row>
    <row r="392" spans="1:90" s="13" customFormat="1">
      <c r="A392" s="1349"/>
      <c r="B392" s="12" t="s">
        <v>856</v>
      </c>
      <c r="C392" s="20"/>
      <c r="D392" s="20"/>
      <c r="E392" s="20"/>
      <c r="F392" s="20"/>
      <c r="G392" s="20"/>
      <c r="H392" s="314"/>
      <c r="I392" s="20"/>
      <c r="J392" s="673"/>
      <c r="K392" s="20"/>
      <c r="L392" s="20"/>
      <c r="M392" s="20"/>
      <c r="N392" s="20"/>
      <c r="O392" s="20"/>
      <c r="P392" s="20"/>
      <c r="Q392" s="20"/>
      <c r="R392" s="20"/>
      <c r="T392" s="14"/>
      <c r="U392" s="314"/>
      <c r="V392" s="314"/>
      <c r="W392" s="314"/>
      <c r="X392" s="20"/>
      <c r="Y392" s="673"/>
      <c r="Z392" s="20"/>
      <c r="AA392" s="20"/>
      <c r="AB392" s="20"/>
      <c r="AC392" s="673"/>
      <c r="AD392" s="20"/>
      <c r="AE392" s="20"/>
      <c r="AF392" s="20"/>
      <c r="AG392" s="673"/>
      <c r="AH392" s="20"/>
      <c r="AI392" s="20"/>
      <c r="AJ392" s="20"/>
      <c r="AK392" s="673"/>
      <c r="AL392" s="440"/>
      <c r="AM392" s="440"/>
      <c r="AN392" s="20"/>
      <c r="AO392" s="673"/>
      <c r="AP392" s="20"/>
      <c r="AQ392" s="20"/>
      <c r="AR392" s="20"/>
      <c r="AS392" s="673"/>
      <c r="AT392" s="20"/>
      <c r="AU392" s="20"/>
      <c r="AV392" s="20"/>
      <c r="AW392" s="673"/>
      <c r="AX392" s="440"/>
      <c r="AY392" s="440"/>
      <c r="AZ392" s="440"/>
      <c r="BA392" s="566"/>
      <c r="BB392" s="440"/>
      <c r="BC392" s="440"/>
      <c r="BD392" s="440"/>
      <c r="BE392" s="440"/>
      <c r="BH392" s="289"/>
      <c r="BV392" s="289"/>
      <c r="BW392" s="289"/>
      <c r="BY392" s="289"/>
      <c r="BZ392" s="658"/>
      <c r="CA392" s="14"/>
      <c r="CB392" s="14"/>
      <c r="CC392" s="14"/>
      <c r="CD392" s="14"/>
      <c r="CE392" s="14"/>
      <c r="CF392" s="14"/>
      <c r="CG392"/>
      <c r="CH392"/>
      <c r="CI392"/>
      <c r="CJ392"/>
      <c r="CK392"/>
      <c r="CL392"/>
    </row>
    <row r="393" spans="1:90" s="450" customFormat="1" ht="12.75" customHeight="1" outlineLevel="1">
      <c r="A393" s="1358"/>
      <c r="B393" s="1359" t="s">
        <v>853</v>
      </c>
      <c r="C393" s="450">
        <f t="shared" ref="C393:J393" si="717">-C337/C$336</f>
        <v>0.2449775112443778</v>
      </c>
      <c r="D393" s="450">
        <f t="shared" si="717"/>
        <v>0.29379148113920861</v>
      </c>
      <c r="E393" s="450">
        <f t="shared" si="717"/>
        <v>0.32729088639200998</v>
      </c>
      <c r="F393" s="450">
        <f t="shared" si="717"/>
        <v>0.281571399600197</v>
      </c>
      <c r="G393" s="450">
        <f t="shared" si="717"/>
        <v>0.25462821880237696</v>
      </c>
      <c r="H393" s="450">
        <f t="shared" si="717"/>
        <v>0.31276573408220043</v>
      </c>
      <c r="I393" s="450">
        <f t="shared" si="717"/>
        <v>0.33966759933954893</v>
      </c>
      <c r="J393" s="1360">
        <f t="shared" si="717"/>
        <v>0.37582531448825762</v>
      </c>
      <c r="K393" s="688">
        <v>0.40500000000000003</v>
      </c>
      <c r="L393" s="688">
        <v>0.4</v>
      </c>
      <c r="M393" s="688">
        <v>0.41299999999999998</v>
      </c>
      <c r="N393" s="688">
        <f>M393</f>
        <v>0.41299999999999998</v>
      </c>
      <c r="O393" s="688">
        <f>N393</f>
        <v>0.41299999999999998</v>
      </c>
      <c r="P393" s="688">
        <f>O393</f>
        <v>0.41299999999999998</v>
      </c>
      <c r="Q393" s="688">
        <f>P393</f>
        <v>0.41299999999999998</v>
      </c>
      <c r="R393" s="688">
        <f>Q393</f>
        <v>0.41299999999999998</v>
      </c>
      <c r="S393" s="1367"/>
      <c r="Y393" s="1360"/>
      <c r="Z393" s="450">
        <f t="shared" ref="Z393:BA393" si="718">-Z337/Z336</f>
        <v>0.33048988544967095</v>
      </c>
      <c r="AA393" s="450">
        <f t="shared" si="718"/>
        <v>0.33111213235294118</v>
      </c>
      <c r="AB393" s="450">
        <f t="shared" si="718"/>
        <v>0.3125674633770239</v>
      </c>
      <c r="AC393" s="1360">
        <f t="shared" si="718"/>
        <v>0.34021632251720746</v>
      </c>
      <c r="AD393" s="450">
        <f t="shared" si="718"/>
        <v>0.31767996466951276</v>
      </c>
      <c r="AE393" s="450">
        <f t="shared" si="718"/>
        <v>0.31822448705913908</v>
      </c>
      <c r="AF393" s="450">
        <f t="shared" si="718"/>
        <v>0.25109980160441647</v>
      </c>
      <c r="AG393" s="1360">
        <f t="shared" si="718"/>
        <v>0.26250864652985934</v>
      </c>
      <c r="AH393" s="450">
        <f t="shared" si="718"/>
        <v>0.25301540174429393</v>
      </c>
      <c r="AI393" s="450">
        <f t="shared" si="718"/>
        <v>0.27406392694063925</v>
      </c>
      <c r="AJ393" s="450">
        <f t="shared" si="718"/>
        <v>0.22251267004534542</v>
      </c>
      <c r="AK393" s="1360">
        <f t="shared" si="718"/>
        <v>0.28842157759122267</v>
      </c>
      <c r="AL393" s="450">
        <f t="shared" si="718"/>
        <v>0.29072347980470487</v>
      </c>
      <c r="AM393" s="450">
        <f t="shared" si="718"/>
        <v>0.3325212430922812</v>
      </c>
      <c r="AN393" s="450">
        <f t="shared" si="718"/>
        <v>0.28725314183123879</v>
      </c>
      <c r="AO393" s="1360">
        <f t="shared" si="718"/>
        <v>0.3519655667144907</v>
      </c>
      <c r="AP393" s="450">
        <f t="shared" si="718"/>
        <v>0.33148925660656953</v>
      </c>
      <c r="AQ393" s="450">
        <f t="shared" si="718"/>
        <v>0.32163637183708449</v>
      </c>
      <c r="AR393" s="450">
        <f t="shared" si="718"/>
        <v>0.31702515705063256</v>
      </c>
      <c r="AS393" s="1360">
        <f t="shared" si="718"/>
        <v>0.39538537876281837</v>
      </c>
      <c r="AT393" s="450">
        <f t="shared" si="718"/>
        <v>0.36524227156807865</v>
      </c>
      <c r="AU393" s="450">
        <f t="shared" si="718"/>
        <v>0.38268400793187918</v>
      </c>
      <c r="AV393" s="450">
        <f t="shared" si="718"/>
        <v>0.35918719951923078</v>
      </c>
      <c r="AW393" s="1360">
        <f t="shared" si="718"/>
        <v>0.40151377692527024</v>
      </c>
      <c r="AX393" s="450">
        <f t="shared" si="718"/>
        <v>0.34791965566714489</v>
      </c>
      <c r="AY393" s="450">
        <f t="shared" si="718"/>
        <v>0.3991509742026777</v>
      </c>
      <c r="AZ393" s="450">
        <f t="shared" si="718"/>
        <v>0.42248398130751069</v>
      </c>
      <c r="BA393" s="1360">
        <f t="shared" si="718"/>
        <v>0.43391599571351597</v>
      </c>
      <c r="BB393" s="688">
        <v>0.40500000000000003</v>
      </c>
      <c r="BC393" s="688">
        <v>0.41</v>
      </c>
      <c r="BD393" s="688">
        <v>0.4</v>
      </c>
      <c r="BE393" s="450">
        <f>-BE337/BE336</f>
        <v>0.38557954998772753</v>
      </c>
      <c r="CG393"/>
      <c r="CH393"/>
      <c r="CI393"/>
      <c r="CJ393"/>
      <c r="CK393"/>
      <c r="CL393"/>
    </row>
    <row r="394" spans="1:90" s="13" customFormat="1" ht="12.75" customHeight="1" outlineLevel="1">
      <c r="A394" s="1349"/>
      <c r="B394" s="476" t="s">
        <v>666</v>
      </c>
      <c r="C394" s="450">
        <f t="shared" ref="C394:J396" si="719">-C344/C$336</f>
        <v>0.17016491754122939</v>
      </c>
      <c r="D394" s="450">
        <f t="shared" si="719"/>
        <v>0.17323363857850962</v>
      </c>
      <c r="E394" s="450">
        <f t="shared" si="719"/>
        <v>0.14466916354556805</v>
      </c>
      <c r="F394" s="450">
        <f t="shared" si="719"/>
        <v>0.10872903207115335</v>
      </c>
      <c r="G394" s="450">
        <f t="shared" si="719"/>
        <v>9.700213317080604E-2</v>
      </c>
      <c r="H394" s="450">
        <f t="shared" si="719"/>
        <v>0.13986142459713402</v>
      </c>
      <c r="I394" s="450">
        <f t="shared" si="719"/>
        <v>0.13632184135333142</v>
      </c>
      <c r="J394" s="1360">
        <f t="shared" si="719"/>
        <v>0.10778844149033631</v>
      </c>
      <c r="K394" s="688">
        <v>8.7999999999999995E-2</v>
      </c>
      <c r="L394" s="688">
        <v>8.5000000000000006E-2</v>
      </c>
      <c r="M394" s="688">
        <v>0.08</v>
      </c>
      <c r="N394" s="688">
        <v>7.5999999999999998E-2</v>
      </c>
      <c r="O394" s="688">
        <v>6.8000000000000005E-2</v>
      </c>
      <c r="P394" s="688">
        <v>0.06</v>
      </c>
      <c r="Q394" s="688">
        <f>P394</f>
        <v>0.06</v>
      </c>
      <c r="R394" s="688">
        <f>Q394</f>
        <v>0.06</v>
      </c>
      <c r="T394" s="14"/>
      <c r="U394" s="314"/>
      <c r="V394" s="314"/>
      <c r="W394" s="314"/>
      <c r="X394" s="20"/>
      <c r="Y394" s="673"/>
      <c r="Z394" s="15">
        <f t="shared" ref="Z394:BA394" si="720">-Z344/Z336</f>
        <v>0.15598342676090665</v>
      </c>
      <c r="AA394" s="15">
        <f t="shared" si="720"/>
        <v>0.15900735294117646</v>
      </c>
      <c r="AB394" s="15">
        <f t="shared" si="720"/>
        <v>0.12582883577486506</v>
      </c>
      <c r="AC394" s="435">
        <f t="shared" si="720"/>
        <v>0.14729596853490659</v>
      </c>
      <c r="AD394" s="15">
        <f t="shared" si="720"/>
        <v>0.1248343883409392</v>
      </c>
      <c r="AE394" s="15">
        <f t="shared" si="720"/>
        <v>0.11908274104867909</v>
      </c>
      <c r="AF394" s="15">
        <f t="shared" si="720"/>
        <v>0.10031915811265418</v>
      </c>
      <c r="AG394" s="435">
        <f t="shared" si="720"/>
        <v>9.8455153331796177E-2</v>
      </c>
      <c r="AH394" s="15">
        <f t="shared" si="720"/>
        <v>9.4451660790499159E-2</v>
      </c>
      <c r="AI394" s="15">
        <f t="shared" si="720"/>
        <v>0.10666666666666667</v>
      </c>
      <c r="AJ394" s="15">
        <f t="shared" si="720"/>
        <v>9.1064283809015739E-2</v>
      </c>
      <c r="AK394" s="435">
        <f t="shared" si="720"/>
        <v>9.9742332308203813E-2</v>
      </c>
      <c r="AL394" s="15">
        <f t="shared" si="720"/>
        <v>0.12377147929744468</v>
      </c>
      <c r="AM394" s="15">
        <f t="shared" si="720"/>
        <v>0.15336621308455642</v>
      </c>
      <c r="AN394" s="15">
        <f t="shared" si="720"/>
        <v>0.11776614843958898</v>
      </c>
      <c r="AO394" s="435">
        <f t="shared" si="720"/>
        <v>0.17457675753228122</v>
      </c>
      <c r="AP394" s="15">
        <f t="shared" si="720"/>
        <v>0.16008891084218327</v>
      </c>
      <c r="AQ394" s="15">
        <f t="shared" si="720"/>
        <v>0.14546028595913582</v>
      </c>
      <c r="AR394" s="15">
        <f t="shared" si="720"/>
        <v>0.10853139565179631</v>
      </c>
      <c r="AS394" s="435">
        <f t="shared" si="720"/>
        <v>0.14774230896460469</v>
      </c>
      <c r="AT394" s="15">
        <f t="shared" si="720"/>
        <v>0.12402811469801579</v>
      </c>
      <c r="AU394" s="15">
        <f t="shared" si="720"/>
        <v>0.12055289863525021</v>
      </c>
      <c r="AV394" s="15">
        <f t="shared" si="720"/>
        <v>8.30078125E-2</v>
      </c>
      <c r="AW394" s="435">
        <f t="shared" si="720"/>
        <v>0.11711034500635061</v>
      </c>
      <c r="AX394" s="450">
        <f t="shared" si="720"/>
        <v>9.357564163876933E-2</v>
      </c>
      <c r="AY394" s="450">
        <f t="shared" si="720"/>
        <v>9.2213635209172376E-2</v>
      </c>
      <c r="AZ394" s="450">
        <f t="shared" si="720"/>
        <v>7.5745531627884569E-2</v>
      </c>
      <c r="BA394" s="1360">
        <f t="shared" si="720"/>
        <v>9.6421693975949102E-2</v>
      </c>
      <c r="BB394" s="688">
        <v>7.4999999999999997E-2</v>
      </c>
      <c r="BC394" s="688">
        <v>0.1</v>
      </c>
      <c r="BD394" s="688">
        <v>7.0999999999999994E-2</v>
      </c>
      <c r="BE394" s="450">
        <f>-BE344/BE336</f>
        <v>9.8555999444330758E-2</v>
      </c>
      <c r="BH394" s="289"/>
      <c r="BV394" s="289"/>
      <c r="BW394" s="289"/>
      <c r="BY394" s="289"/>
      <c r="BZ394" s="658"/>
      <c r="CA394" s="14"/>
      <c r="CB394" s="14"/>
      <c r="CC394" s="14"/>
      <c r="CD394" s="14"/>
      <c r="CE394" s="14"/>
      <c r="CF394" s="14"/>
      <c r="CG394"/>
      <c r="CH394"/>
      <c r="CI394"/>
      <c r="CJ394"/>
      <c r="CK394"/>
      <c r="CL394"/>
    </row>
    <row r="395" spans="1:90" s="13" customFormat="1" ht="12.75" customHeight="1" outlineLevel="1">
      <c r="A395" s="1349"/>
      <c r="B395" s="476" t="s">
        <v>667</v>
      </c>
      <c r="C395" s="450">
        <f t="shared" si="719"/>
        <v>0.35007496251874065</v>
      </c>
      <c r="D395" s="450">
        <f t="shared" si="719"/>
        <v>0.26497521633201715</v>
      </c>
      <c r="E395" s="450">
        <f t="shared" si="719"/>
        <v>0.15270911360799</v>
      </c>
      <c r="F395" s="450">
        <f t="shared" si="719"/>
        <v>0.10467305965176579</v>
      </c>
      <c r="G395" s="450">
        <f t="shared" si="719"/>
        <v>8.6564833155569093E-2</v>
      </c>
      <c r="H395" s="450">
        <f t="shared" si="719"/>
        <v>0.11171329588997952</v>
      </c>
      <c r="I395" s="450">
        <f t="shared" si="719"/>
        <v>0.1117922149827472</v>
      </c>
      <c r="J395" s="1360">
        <f t="shared" si="719"/>
        <v>0.10307506649902384</v>
      </c>
      <c r="K395" s="688">
        <v>0.115</v>
      </c>
      <c r="L395" s="688">
        <v>0.108</v>
      </c>
      <c r="M395" s="688">
        <v>0.10299999999999999</v>
      </c>
      <c r="N395" s="688">
        <v>9.4E-2</v>
      </c>
      <c r="O395" s="688">
        <v>8.7999999999999995E-2</v>
      </c>
      <c r="P395" s="688">
        <f>O395</f>
        <v>8.7999999999999995E-2</v>
      </c>
      <c r="Q395" s="688">
        <f>P395</f>
        <v>8.7999999999999995E-2</v>
      </c>
      <c r="R395" s="688">
        <f>Q395</f>
        <v>8.7999999999999995E-2</v>
      </c>
      <c r="T395" s="14"/>
      <c r="U395" s="314"/>
      <c r="V395" s="314"/>
      <c r="W395" s="314"/>
      <c r="X395" s="20"/>
      <c r="Y395" s="673"/>
      <c r="Z395" s="15">
        <f t="shared" ref="Z395:BA395" si="721">-Z345/Z336</f>
        <v>0.16134535705581282</v>
      </c>
      <c r="AA395" s="15">
        <f t="shared" si="721"/>
        <v>0.18979779411764705</v>
      </c>
      <c r="AB395" s="15">
        <f t="shared" si="721"/>
        <v>0.14325366229760986</v>
      </c>
      <c r="AC395" s="435">
        <f t="shared" si="721"/>
        <v>0.12605703048180925</v>
      </c>
      <c r="AD395" s="15">
        <f t="shared" si="721"/>
        <v>0.12792580597674078</v>
      </c>
      <c r="AE395" s="15">
        <f t="shared" si="721"/>
        <v>0.13061552903312323</v>
      </c>
      <c r="AF395" s="15">
        <f t="shared" si="721"/>
        <v>0.1077374277581299</v>
      </c>
      <c r="AG395" s="435">
        <f t="shared" si="721"/>
        <v>6.0064560756283143E-2</v>
      </c>
      <c r="AH395" s="15">
        <f t="shared" si="721"/>
        <v>6.6153275190202268E-2</v>
      </c>
      <c r="AI395" s="15">
        <f t="shared" si="721"/>
        <v>0.06</v>
      </c>
      <c r="AJ395" s="15">
        <f t="shared" si="721"/>
        <v>0.10120032008535609</v>
      </c>
      <c r="AK395" s="435">
        <f t="shared" si="721"/>
        <v>0.10622558390823705</v>
      </c>
      <c r="AL395" s="15">
        <f t="shared" si="721"/>
        <v>7.6849914399847827E-2</v>
      </c>
      <c r="AM395" s="15">
        <f t="shared" si="721"/>
        <v>0.10392774377562541</v>
      </c>
      <c r="AN395" s="15">
        <f t="shared" si="721"/>
        <v>0.11539783796172505</v>
      </c>
      <c r="AO395" s="435">
        <f t="shared" si="721"/>
        <v>0.14525107604017218</v>
      </c>
      <c r="AP395" s="15">
        <f t="shared" si="721"/>
        <v>0.11069399851815263</v>
      </c>
      <c r="AQ395" s="15">
        <f t="shared" si="721"/>
        <v>0.11564656533309278</v>
      </c>
      <c r="AR395" s="15">
        <f t="shared" si="721"/>
        <v>0.10540485771357438</v>
      </c>
      <c r="AS395" s="435">
        <f t="shared" si="721"/>
        <v>0.11830135626860734</v>
      </c>
      <c r="AT395" s="15">
        <f t="shared" si="721"/>
        <v>0.11239659140386889</v>
      </c>
      <c r="AU395" s="15">
        <f t="shared" si="721"/>
        <v>0.11308760060655547</v>
      </c>
      <c r="AV395" s="15">
        <f t="shared" si="721"/>
        <v>8.4322415865384609E-2</v>
      </c>
      <c r="AW395" s="435">
        <f t="shared" si="721"/>
        <v>0.11228906918271599</v>
      </c>
      <c r="AX395" s="450">
        <f t="shared" si="721"/>
        <v>9.6644348796429136E-2</v>
      </c>
      <c r="AY395" s="450">
        <f t="shared" si="721"/>
        <v>0.11367512064148616</v>
      </c>
      <c r="AZ395" s="450">
        <f t="shared" si="721"/>
        <v>0.10288095582213229</v>
      </c>
      <c r="BA395" s="1360">
        <f t="shared" si="721"/>
        <v>0.14833420561945646</v>
      </c>
      <c r="BB395" s="688">
        <v>0.125</v>
      </c>
      <c r="BC395" s="688">
        <v>0.1</v>
      </c>
      <c r="BD395" s="688">
        <v>0.09</v>
      </c>
      <c r="BE395" s="450">
        <f>-BE345/BE336</f>
        <v>0.12464133886327036</v>
      </c>
      <c r="BH395" s="289"/>
      <c r="BV395" s="289"/>
      <c r="BW395" s="289"/>
      <c r="BY395" s="289"/>
      <c r="BZ395" s="658"/>
      <c r="CA395" s="14"/>
      <c r="CB395" s="14"/>
      <c r="CC395" s="14"/>
      <c r="CD395" s="14"/>
      <c r="CE395" s="14"/>
      <c r="CF395" s="14"/>
      <c r="CG395"/>
      <c r="CH395"/>
      <c r="CI395"/>
      <c r="CJ395"/>
      <c r="CK395"/>
      <c r="CL395"/>
    </row>
    <row r="396" spans="1:90" s="13" customFormat="1" ht="12.75" customHeight="1" outlineLevel="1">
      <c r="A396" s="1349"/>
      <c r="B396" s="476" t="s">
        <v>93</v>
      </c>
      <c r="C396" s="450">
        <f t="shared" si="719"/>
        <v>0.14992503748125938</v>
      </c>
      <c r="D396" s="450">
        <f t="shared" si="719"/>
        <v>0.1448374359405192</v>
      </c>
      <c r="E396" s="450">
        <f t="shared" si="719"/>
        <v>0.11041198501872659</v>
      </c>
      <c r="F396" s="450">
        <f t="shared" si="719"/>
        <v>8.3697887997218764E-2</v>
      </c>
      <c r="G396" s="450">
        <f t="shared" si="719"/>
        <v>8.0336736248666774E-2</v>
      </c>
      <c r="H396" s="450">
        <f t="shared" si="719"/>
        <v>0.10235683166237992</v>
      </c>
      <c r="I396" s="450">
        <f t="shared" si="719"/>
        <v>9.1009758460793136E-2</v>
      </c>
      <c r="J396" s="1360">
        <f t="shared" si="719"/>
        <v>7.7328413563905407E-2</v>
      </c>
      <c r="K396" s="450">
        <f t="shared" ref="K396:R396" si="722">-K346/K$336</f>
        <v>7.542049551220005E-2</v>
      </c>
      <c r="L396" s="450">
        <f t="shared" si="722"/>
        <v>9.2219951273309717E-2</v>
      </c>
      <c r="M396" s="450">
        <f t="shared" si="722"/>
        <v>9.0992381252232954E-2</v>
      </c>
      <c r="N396" s="450">
        <f t="shared" si="722"/>
        <v>0.100310446398818</v>
      </c>
      <c r="O396" s="450">
        <f t="shared" si="722"/>
        <v>0.10557645591423769</v>
      </c>
      <c r="P396" s="450">
        <f t="shared" si="722"/>
        <v>0.11416390107547411</v>
      </c>
      <c r="Q396" s="450">
        <f t="shared" si="722"/>
        <v>0.11868186433076733</v>
      </c>
      <c r="R396" s="450">
        <f t="shared" si="722"/>
        <v>0.12297629711976062</v>
      </c>
      <c r="T396" s="14"/>
      <c r="U396" s="314"/>
      <c r="V396" s="314"/>
      <c r="W396" s="314"/>
      <c r="X396" s="20"/>
      <c r="Y396" s="673"/>
      <c r="Z396" s="15">
        <f t="shared" ref="Z396:BE396" si="723">-Z346/Z336</f>
        <v>0.12771143066049231</v>
      </c>
      <c r="AA396" s="15">
        <f t="shared" si="723"/>
        <v>0.12270220588235294</v>
      </c>
      <c r="AB396" s="15">
        <f t="shared" si="723"/>
        <v>8.9899768696993065E-2</v>
      </c>
      <c r="AC396" s="435">
        <f t="shared" si="723"/>
        <v>0.11209439528023599</v>
      </c>
      <c r="AD396" s="15">
        <f t="shared" si="723"/>
        <v>7.9051965258354187E-2</v>
      </c>
      <c r="AE396" s="15">
        <f t="shared" si="723"/>
        <v>0.10781815743596621</v>
      </c>
      <c r="AF396" s="15">
        <f t="shared" si="723"/>
        <v>8.6517726214094717E-2</v>
      </c>
      <c r="AG396" s="435">
        <f t="shared" si="723"/>
        <v>6.2831450311275072E-2</v>
      </c>
      <c r="AH396" s="15">
        <f t="shared" si="723"/>
        <v>8.0256077194284653E-2</v>
      </c>
      <c r="AI396" s="15">
        <f t="shared" si="723"/>
        <v>7.2420091324200908E-2</v>
      </c>
      <c r="AJ396" s="15">
        <f t="shared" si="723"/>
        <v>0.1091491064283809</v>
      </c>
      <c r="AK396" s="435">
        <f t="shared" si="723"/>
        <v>4.2722965672013967E-2</v>
      </c>
      <c r="AL396" s="15">
        <f t="shared" si="723"/>
        <v>5.9856699004501933E-2</v>
      </c>
      <c r="AM396" s="15">
        <f t="shared" si="723"/>
        <v>0.11646562481430864</v>
      </c>
      <c r="AN396" s="15">
        <f t="shared" si="723"/>
        <v>9.2402307192788108E-2</v>
      </c>
      <c r="AO396" s="435">
        <f t="shared" si="723"/>
        <v>0.14215208034433285</v>
      </c>
      <c r="AP396" s="15">
        <f t="shared" si="723"/>
        <v>0.11084218325512472</v>
      </c>
      <c r="AQ396" s="15">
        <f t="shared" si="723"/>
        <v>9.5981236750710394E-2</v>
      </c>
      <c r="AR396" s="15">
        <f t="shared" si="723"/>
        <v>7.2373563384766817E-2</v>
      </c>
      <c r="AS396" s="435">
        <f t="shared" si="723"/>
        <v>9.646873966258683E-2</v>
      </c>
      <c r="AT396" s="15">
        <f t="shared" si="723"/>
        <v>8.5308204266965226E-2</v>
      </c>
      <c r="AU396" s="15">
        <f t="shared" si="723"/>
        <v>8.2089116995217537E-2</v>
      </c>
      <c r="AV396" s="15">
        <f t="shared" si="723"/>
        <v>6.1730018028846152E-2</v>
      </c>
      <c r="AW396" s="435">
        <f t="shared" si="723"/>
        <v>8.7975323362451077E-2</v>
      </c>
      <c r="AX396" s="450">
        <f t="shared" si="723"/>
        <v>7.3310218396301613E-2</v>
      </c>
      <c r="AY396" s="450">
        <f t="shared" si="723"/>
        <v>6.2388882841696601E-2</v>
      </c>
      <c r="AZ396" s="450">
        <f t="shared" si="723"/>
        <v>5.5065760948113891E-2</v>
      </c>
      <c r="BA396" s="1360">
        <f t="shared" si="723"/>
        <v>0.11731706331561369</v>
      </c>
      <c r="BB396" s="15">
        <f t="shared" si="723"/>
        <v>7.9961649610166247E-2</v>
      </c>
      <c r="BC396" s="15">
        <f t="shared" si="723"/>
        <v>0.10418426031072946</v>
      </c>
      <c r="BD396" s="15">
        <f t="shared" si="723"/>
        <v>7.0212172613598967E-2</v>
      </c>
      <c r="BE396" s="15">
        <f t="shared" si="723"/>
        <v>0.12172753781373727</v>
      </c>
      <c r="BH396" s="289"/>
      <c r="BV396" s="289"/>
      <c r="BW396" s="289"/>
      <c r="BY396" s="289"/>
      <c r="BZ396" s="658"/>
      <c r="CA396" s="14"/>
      <c r="CB396" s="14"/>
      <c r="CC396" s="14"/>
      <c r="CD396" s="14"/>
      <c r="CE396" s="14"/>
      <c r="CF396" s="14"/>
      <c r="CG396"/>
      <c r="CH396"/>
      <c r="CI396"/>
      <c r="CJ396"/>
      <c r="CK396"/>
      <c r="CL396"/>
    </row>
    <row r="397" spans="1:90" s="13" customFormat="1" ht="12.75" customHeight="1" outlineLevel="1">
      <c r="A397" s="1349"/>
      <c r="B397" s="453" t="s">
        <v>852</v>
      </c>
      <c r="C397" s="658"/>
      <c r="D397" s="658">
        <f t="shared" ref="D397:J397" si="724">-D360/D359</f>
        <v>0.16899224806201552</v>
      </c>
      <c r="E397" s="658">
        <f t="shared" si="724"/>
        <v>0.15220535068691252</v>
      </c>
      <c r="F397" s="658">
        <f t="shared" si="724"/>
        <v>0.14408623417721519</v>
      </c>
      <c r="G397" s="658">
        <f t="shared" si="724"/>
        <v>0.11924483247518843</v>
      </c>
      <c r="H397" s="658">
        <f t="shared" si="724"/>
        <v>0.1984780053207944</v>
      </c>
      <c r="I397" s="658">
        <f t="shared" si="724"/>
        <v>0.10370943192419109</v>
      </c>
      <c r="J397" s="1357">
        <f t="shared" si="724"/>
        <v>0.22948908027786569</v>
      </c>
      <c r="K397" s="1355">
        <v>0.16</v>
      </c>
      <c r="L397" s="1355">
        <v>0.2</v>
      </c>
      <c r="M397" s="1355">
        <v>0.23</v>
      </c>
      <c r="N397" s="1355">
        <f>M397</f>
        <v>0.23</v>
      </c>
      <c r="O397" s="1355">
        <f>N397</f>
        <v>0.23</v>
      </c>
      <c r="P397" s="1355">
        <f>O397</f>
        <v>0.23</v>
      </c>
      <c r="Q397" s="1355">
        <f>P397</f>
        <v>0.23</v>
      </c>
      <c r="R397" s="1355">
        <f>Q397</f>
        <v>0.23</v>
      </c>
      <c r="T397" s="14"/>
      <c r="U397" s="314"/>
      <c r="V397" s="314"/>
      <c r="W397" s="314"/>
      <c r="X397" s="20"/>
      <c r="Y397" s="673"/>
      <c r="Z397" s="14"/>
      <c r="AA397" s="14"/>
      <c r="AB397" s="14"/>
      <c r="AC397" s="1356"/>
      <c r="AD397" s="14"/>
      <c r="AE397" s="14"/>
      <c r="AF397" s="14"/>
      <c r="AG397" s="1356"/>
      <c r="AH397" s="14">
        <f t="shared" ref="AH397:BA397" si="725">-AH360/AH359</f>
        <v>0.11712247324613555</v>
      </c>
      <c r="AI397" s="14">
        <f t="shared" si="725"/>
        <v>0.11413725138864003</v>
      </c>
      <c r="AJ397" s="14">
        <f t="shared" si="725"/>
        <v>8.0038885288399225E-2</v>
      </c>
      <c r="AK397" s="1356">
        <f t="shared" si="725"/>
        <v>0.17738904149197629</v>
      </c>
      <c r="AL397" s="14">
        <f t="shared" si="725"/>
        <v>0.10341372647248265</v>
      </c>
      <c r="AM397" s="14">
        <f t="shared" si="725"/>
        <v>0.2867237687366167</v>
      </c>
      <c r="AN397" s="14">
        <f t="shared" si="725"/>
        <v>0.26353477270261472</v>
      </c>
      <c r="AO397" s="1356">
        <f t="shared" si="725"/>
        <v>0.26936856247201074</v>
      </c>
      <c r="AP397" s="14">
        <f t="shared" si="725"/>
        <v>4.2738449274917989E-2</v>
      </c>
      <c r="AQ397" s="14">
        <f t="shared" si="725"/>
        <v>6.8231931400571669E-2</v>
      </c>
      <c r="AR397" s="14">
        <f t="shared" si="725"/>
        <v>0.21556632344033919</v>
      </c>
      <c r="AS397" s="1356">
        <f t="shared" si="725"/>
        <v>0.23245446439943956</v>
      </c>
      <c r="AT397" s="14">
        <f t="shared" si="725"/>
        <v>0.19540229885057472</v>
      </c>
      <c r="AU397" s="14">
        <f t="shared" si="725"/>
        <v>0.20923013245033112</v>
      </c>
      <c r="AV397" s="14">
        <f t="shared" si="725"/>
        <v>0.21457064875078732</v>
      </c>
      <c r="AW397" s="1356">
        <f t="shared" si="725"/>
        <v>0.2872736450249227</v>
      </c>
      <c r="AX397" s="658">
        <f t="shared" si="725"/>
        <v>0.23181546432841771</v>
      </c>
      <c r="AY397" s="658">
        <f t="shared" si="725"/>
        <v>0.12942072445142558</v>
      </c>
      <c r="AZ397" s="658">
        <f t="shared" si="725"/>
        <v>0.13753173571118954</v>
      </c>
      <c r="BA397" s="1357">
        <f t="shared" si="725"/>
        <v>0.19361333762589605</v>
      </c>
      <c r="BB397" s="1361">
        <v>0.2</v>
      </c>
      <c r="BC397" s="1361">
        <f>BB397</f>
        <v>0.2</v>
      </c>
      <c r="BD397" s="1361">
        <f>BC397</f>
        <v>0.2</v>
      </c>
      <c r="BE397" s="658">
        <f>-BE360/BE359</f>
        <v>0.20000000000000023</v>
      </c>
      <c r="BH397" s="289"/>
      <c r="BV397" s="289"/>
      <c r="BW397" s="289"/>
      <c r="BY397" s="289"/>
      <c r="BZ397" s="658"/>
      <c r="CA397" s="14"/>
      <c r="CB397" s="14"/>
      <c r="CC397" s="14"/>
      <c r="CD397" s="14"/>
      <c r="CE397" s="14"/>
      <c r="CF397" s="14"/>
      <c r="CG397"/>
      <c r="CH397"/>
      <c r="CI397"/>
      <c r="CJ397"/>
      <c r="CK397"/>
      <c r="CL397"/>
    </row>
    <row r="398" spans="1:90" s="710" customFormat="1" ht="12.75" customHeight="1" outlineLevel="1">
      <c r="A398" s="1352"/>
      <c r="B398" s="711" t="s">
        <v>701</v>
      </c>
      <c r="C398" s="712"/>
      <c r="D398" s="712"/>
      <c r="E398" s="712"/>
      <c r="F398" s="712"/>
      <c r="G398" s="712"/>
      <c r="H398" s="712"/>
      <c r="I398" s="685">
        <f t="shared" ref="I398:R398" si="726">-I360/I62</f>
        <v>0.14558205251912607</v>
      </c>
      <c r="J398" s="1417">
        <f t="shared" si="726"/>
        <v>0.1671195652173913</v>
      </c>
      <c r="K398" s="685">
        <f t="shared" si="726"/>
        <v>0.14092529616207417</v>
      </c>
      <c r="L398" s="685">
        <f t="shared" si="726"/>
        <v>0.14231831585447507</v>
      </c>
      <c r="M398" s="685">
        <f t="shared" si="726"/>
        <v>0.1723391276696957</v>
      </c>
      <c r="N398" s="685">
        <f t="shared" si="726"/>
        <v>0.18358098385955848</v>
      </c>
      <c r="O398" s="685">
        <f t="shared" si="726"/>
        <v>0.19689769655190095</v>
      </c>
      <c r="P398" s="685">
        <f t="shared" si="726"/>
        <v>0.20499657835339249</v>
      </c>
      <c r="Q398" s="685">
        <f t="shared" si="726"/>
        <v>0.21033885308302178</v>
      </c>
      <c r="R398" s="685">
        <f t="shared" si="726"/>
        <v>0.21539158814159207</v>
      </c>
      <c r="T398" s="713"/>
      <c r="U398" s="714"/>
      <c r="V398" s="714"/>
      <c r="W398" s="714"/>
      <c r="X398" s="715"/>
      <c r="Y398" s="716"/>
      <c r="Z398" s="717"/>
      <c r="AA398" s="717"/>
      <c r="AB398" s="717"/>
      <c r="AC398" s="718"/>
      <c r="AD398" s="717"/>
      <c r="AE398" s="717"/>
      <c r="AF398" s="717"/>
      <c r="AG398" s="718"/>
      <c r="AH398" s="717"/>
      <c r="AI398" s="717"/>
      <c r="AJ398" s="717"/>
      <c r="AK398" s="718"/>
      <c r="AL398" s="717"/>
      <c r="AM398" s="717"/>
      <c r="AN398" s="717"/>
      <c r="AO398" s="718"/>
      <c r="AP398" s="717"/>
      <c r="AQ398" s="717"/>
      <c r="AR398" s="717"/>
      <c r="AS398" s="718"/>
      <c r="AT398" s="717"/>
      <c r="AU398" s="717"/>
      <c r="AV398" s="717"/>
      <c r="AW398" s="718"/>
      <c r="AX398" s="685">
        <f t="shared" ref="AX398:BE398" si="727">-AX360/AX62</f>
        <v>0.17252502780867632</v>
      </c>
      <c r="AY398" s="685">
        <f t="shared" si="727"/>
        <v>0.1029378359960627</v>
      </c>
      <c r="AZ398" s="685">
        <f t="shared" si="727"/>
        <v>0.17293018427199586</v>
      </c>
      <c r="BA398" s="1417">
        <f t="shared" si="727"/>
        <v>9.3344752959386851E-2</v>
      </c>
      <c r="BB398" s="685">
        <f t="shared" si="727"/>
        <v>0.13974905638341653</v>
      </c>
      <c r="BC398" s="685">
        <f t="shared" si="727"/>
        <v>0.13090854770735266</v>
      </c>
      <c r="BD398" s="685">
        <f t="shared" si="727"/>
        <v>0.15539998703263444</v>
      </c>
      <c r="BE398" s="685">
        <f t="shared" si="727"/>
        <v>0.13577908219925511</v>
      </c>
      <c r="BH398" s="719"/>
      <c r="BV398" s="719"/>
      <c r="BW398" s="719"/>
      <c r="BY398" s="719"/>
      <c r="BZ398" s="720"/>
      <c r="CA398" s="713"/>
      <c r="CB398" s="713"/>
      <c r="CC398" s="713"/>
      <c r="CD398" s="713"/>
      <c r="CE398" s="713"/>
      <c r="CF398" s="713"/>
      <c r="CG398"/>
      <c r="CH398"/>
      <c r="CI398"/>
      <c r="CJ398"/>
      <c r="CK398"/>
      <c r="CL398"/>
    </row>
    <row r="399" spans="1:90" s="13" customFormat="1" ht="12.75" customHeight="1" outlineLevel="1">
      <c r="A399" s="1349"/>
      <c r="B399" s="144"/>
      <c r="C399" s="20"/>
      <c r="D399" s="20"/>
      <c r="E399" s="20"/>
      <c r="F399" s="20"/>
      <c r="G399" s="20"/>
      <c r="H399" s="314"/>
      <c r="I399" s="20"/>
      <c r="J399" s="673"/>
      <c r="K399" s="20"/>
      <c r="L399" s="20"/>
      <c r="M399" s="20"/>
      <c r="N399" s="20"/>
      <c r="O399" s="20"/>
      <c r="P399" s="20"/>
      <c r="Q399" s="20"/>
      <c r="R399" s="20"/>
      <c r="T399" s="14"/>
      <c r="U399" s="314"/>
      <c r="V399" s="314"/>
      <c r="W399" s="314"/>
      <c r="X399" s="20"/>
      <c r="Y399" s="673"/>
      <c r="Z399" s="20"/>
      <c r="AA399" s="20"/>
      <c r="AB399" s="20"/>
      <c r="AC399" s="673"/>
      <c r="AD399" s="20"/>
      <c r="AE399" s="20"/>
      <c r="AF399" s="20"/>
      <c r="AG399" s="673"/>
      <c r="AH399" s="20"/>
      <c r="AI399" s="20"/>
      <c r="AJ399" s="20"/>
      <c r="AK399" s="673"/>
      <c r="AL399" s="440"/>
      <c r="AM399" s="440"/>
      <c r="AN399" s="20"/>
      <c r="AO399" s="673"/>
      <c r="AP399" s="20"/>
      <c r="AQ399" s="20"/>
      <c r="AR399" s="20"/>
      <c r="AS399" s="673"/>
      <c r="AT399" s="20"/>
      <c r="AU399" s="20"/>
      <c r="AV399" s="20"/>
      <c r="AW399" s="673"/>
      <c r="AX399" s="440"/>
      <c r="AY399" s="440"/>
      <c r="AZ399" s="440"/>
      <c r="BA399" s="566"/>
      <c r="BB399" s="440"/>
      <c r="BC399" s="440"/>
      <c r="BD399" s="440"/>
      <c r="BE399" s="440"/>
      <c r="BH399" s="289"/>
      <c r="BV399" s="289"/>
      <c r="BW399" s="289"/>
      <c r="BY399" s="289"/>
      <c r="BZ399" s="658"/>
      <c r="CA399" s="14"/>
      <c r="CB399" s="14"/>
      <c r="CC399" s="14"/>
      <c r="CD399" s="14"/>
      <c r="CE399" s="14"/>
      <c r="CF399" s="14"/>
      <c r="CG399"/>
      <c r="CH399"/>
      <c r="CI399"/>
      <c r="CJ399"/>
      <c r="CK399"/>
      <c r="CL399"/>
    </row>
    <row r="400" spans="1:90" s="13" customFormat="1" ht="12.75" customHeight="1" outlineLevel="1">
      <c r="A400" s="1349"/>
      <c r="B400" s="1371" t="s">
        <v>869</v>
      </c>
      <c r="C400" s="20"/>
      <c r="D400" s="20"/>
      <c r="E400" s="20"/>
      <c r="F400" s="20"/>
      <c r="G400" s="20"/>
      <c r="H400" s="314"/>
      <c r="I400" s="20"/>
      <c r="J400" s="673"/>
      <c r="K400" s="20"/>
      <c r="L400" s="20"/>
      <c r="M400" s="20"/>
      <c r="N400" s="20"/>
      <c r="O400" s="20"/>
      <c r="P400" s="20"/>
      <c r="Q400" s="20"/>
      <c r="R400" s="20"/>
      <c r="T400" s="14"/>
      <c r="U400" s="314"/>
      <c r="V400" s="314"/>
      <c r="W400" s="314"/>
      <c r="X400" s="20"/>
      <c r="Y400" s="673"/>
      <c r="Z400" s="20"/>
      <c r="AA400" s="20"/>
      <c r="AB400" s="20"/>
      <c r="AC400" s="673"/>
      <c r="AD400" s="20"/>
      <c r="AE400" s="20"/>
      <c r="AF400" s="20"/>
      <c r="AG400" s="673"/>
      <c r="AH400" s="20"/>
      <c r="AI400" s="20"/>
      <c r="AJ400" s="20"/>
      <c r="AK400" s="673"/>
      <c r="AL400" s="440"/>
      <c r="AM400" s="440"/>
      <c r="AN400" s="20"/>
      <c r="AO400" s="673"/>
      <c r="AP400" s="20"/>
      <c r="AQ400" s="20"/>
      <c r="AR400" s="20"/>
      <c r="AS400" s="673"/>
      <c r="AT400" s="20"/>
      <c r="AU400" s="20"/>
      <c r="AV400" s="20"/>
      <c r="AW400" s="673"/>
      <c r="AX400" s="440"/>
      <c r="AY400" s="440"/>
      <c r="AZ400" s="440"/>
      <c r="BA400" s="566"/>
      <c r="BB400" s="440"/>
      <c r="BC400" s="440"/>
      <c r="BD400" s="440"/>
      <c r="BE400" s="440"/>
      <c r="BH400" s="289"/>
      <c r="BV400" s="289"/>
      <c r="BW400" s="289"/>
      <c r="BY400" s="289"/>
      <c r="BZ400" s="658"/>
      <c r="CA400" s="14"/>
      <c r="CB400" s="14"/>
      <c r="CC400" s="14"/>
      <c r="CD400" s="14"/>
      <c r="CE400" s="14"/>
      <c r="CF400" s="14"/>
      <c r="CG400"/>
      <c r="CH400"/>
      <c r="CI400"/>
      <c r="CJ400"/>
      <c r="CK400"/>
      <c r="CL400"/>
    </row>
    <row r="401" spans="1:90" s="13" customFormat="1" ht="12.75" customHeight="1" outlineLevel="1">
      <c r="A401" s="1349"/>
      <c r="B401" s="139" t="s">
        <v>91</v>
      </c>
      <c r="C401" s="658">
        <f t="shared" ref="C401:J403" si="728">C336/C$336</f>
        <v>1</v>
      </c>
      <c r="D401" s="658">
        <f t="shared" si="728"/>
        <v>1</v>
      </c>
      <c r="E401" s="658">
        <f t="shared" si="728"/>
        <v>1</v>
      </c>
      <c r="F401" s="658">
        <f t="shared" si="728"/>
        <v>1</v>
      </c>
      <c r="G401" s="658">
        <f t="shared" si="728"/>
        <v>1</v>
      </c>
      <c r="H401" s="658">
        <f t="shared" si="728"/>
        <v>1</v>
      </c>
      <c r="I401" s="658">
        <f t="shared" si="728"/>
        <v>1</v>
      </c>
      <c r="J401" s="1357">
        <f t="shared" si="728"/>
        <v>1</v>
      </c>
      <c r="K401" s="658">
        <f t="shared" ref="K401:R401" si="729">K336/K$336</f>
        <v>1</v>
      </c>
      <c r="L401" s="658">
        <f t="shared" si="729"/>
        <v>1</v>
      </c>
      <c r="M401" s="658">
        <f t="shared" si="729"/>
        <v>1</v>
      </c>
      <c r="N401" s="658">
        <f t="shared" si="729"/>
        <v>1</v>
      </c>
      <c r="O401" s="658">
        <f t="shared" si="729"/>
        <v>1</v>
      </c>
      <c r="P401" s="658">
        <f t="shared" si="729"/>
        <v>1</v>
      </c>
      <c r="Q401" s="658">
        <f t="shared" si="729"/>
        <v>1</v>
      </c>
      <c r="R401" s="658">
        <f t="shared" si="729"/>
        <v>1</v>
      </c>
      <c r="S401" s="658"/>
      <c r="T401" s="658"/>
      <c r="U401" s="658"/>
      <c r="V401" s="658" t="e">
        <f t="shared" ref="V401:BE401" si="730">V336/V$336</f>
        <v>#DIV/0!</v>
      </c>
      <c r="W401" s="658" t="e">
        <f t="shared" si="730"/>
        <v>#DIV/0!</v>
      </c>
      <c r="X401" s="658" t="e">
        <f t="shared" si="730"/>
        <v>#DIV/0!</v>
      </c>
      <c r="Y401" s="658" t="e">
        <f t="shared" si="730"/>
        <v>#DIV/0!</v>
      </c>
      <c r="Z401" s="658">
        <f t="shared" si="730"/>
        <v>1</v>
      </c>
      <c r="AA401" s="658">
        <f t="shared" si="730"/>
        <v>1</v>
      </c>
      <c r="AB401" s="658">
        <f t="shared" si="730"/>
        <v>1</v>
      </c>
      <c r="AC401" s="658">
        <f t="shared" si="730"/>
        <v>1</v>
      </c>
      <c r="AD401" s="658">
        <f t="shared" si="730"/>
        <v>1</v>
      </c>
      <c r="AE401" s="658">
        <f t="shared" si="730"/>
        <v>1</v>
      </c>
      <c r="AF401" s="658">
        <f t="shared" si="730"/>
        <v>1</v>
      </c>
      <c r="AG401" s="1357">
        <f t="shared" si="730"/>
        <v>1</v>
      </c>
      <c r="AH401" s="658">
        <f t="shared" si="730"/>
        <v>1</v>
      </c>
      <c r="AI401" s="658">
        <f t="shared" si="730"/>
        <v>1</v>
      </c>
      <c r="AJ401" s="658">
        <f t="shared" si="730"/>
        <v>1</v>
      </c>
      <c r="AK401" s="1357">
        <f t="shared" si="730"/>
        <v>1</v>
      </c>
      <c r="AL401" s="658">
        <f t="shared" si="730"/>
        <v>1</v>
      </c>
      <c r="AM401" s="658">
        <f t="shared" si="730"/>
        <v>1</v>
      </c>
      <c r="AN401" s="658">
        <f t="shared" si="730"/>
        <v>1</v>
      </c>
      <c r="AO401" s="1357">
        <f t="shared" si="730"/>
        <v>1</v>
      </c>
      <c r="AP401" s="658">
        <f t="shared" si="730"/>
        <v>1</v>
      </c>
      <c r="AQ401" s="658">
        <f t="shared" si="730"/>
        <v>1</v>
      </c>
      <c r="AR401" s="658">
        <f t="shared" si="730"/>
        <v>1</v>
      </c>
      <c r="AS401" s="1357">
        <f t="shared" si="730"/>
        <v>1</v>
      </c>
      <c r="AT401" s="658">
        <f t="shared" si="730"/>
        <v>1</v>
      </c>
      <c r="AU401" s="658">
        <f t="shared" si="730"/>
        <v>1</v>
      </c>
      <c r="AV401" s="658">
        <f t="shared" si="730"/>
        <v>1</v>
      </c>
      <c r="AW401" s="1357">
        <f t="shared" si="730"/>
        <v>1</v>
      </c>
      <c r="AX401" s="658">
        <f t="shared" si="730"/>
        <v>1</v>
      </c>
      <c r="AY401" s="658">
        <f t="shared" si="730"/>
        <v>1</v>
      </c>
      <c r="AZ401" s="658">
        <f t="shared" si="730"/>
        <v>1</v>
      </c>
      <c r="BA401" s="1357">
        <f t="shared" si="730"/>
        <v>1</v>
      </c>
      <c r="BB401" s="658">
        <f t="shared" si="730"/>
        <v>1</v>
      </c>
      <c r="BC401" s="658">
        <f t="shared" si="730"/>
        <v>1</v>
      </c>
      <c r="BD401" s="658">
        <f t="shared" si="730"/>
        <v>1</v>
      </c>
      <c r="BE401" s="658">
        <f t="shared" si="730"/>
        <v>1</v>
      </c>
      <c r="BH401" s="289"/>
      <c r="BV401" s="289"/>
      <c r="BW401" s="289"/>
      <c r="BY401" s="289"/>
      <c r="BZ401" s="658"/>
      <c r="CA401" s="14"/>
      <c r="CB401" s="14"/>
      <c r="CC401" s="14"/>
      <c r="CD401" s="14"/>
      <c r="CE401" s="14"/>
      <c r="CF401" s="14"/>
      <c r="CG401"/>
      <c r="CH401"/>
      <c r="CI401"/>
      <c r="CJ401"/>
      <c r="CK401"/>
      <c r="CL401"/>
    </row>
    <row r="402" spans="1:90" s="13" customFormat="1" ht="12.75" customHeight="1" outlineLevel="1">
      <c r="A402" s="1349"/>
      <c r="B402" s="11" t="s">
        <v>857</v>
      </c>
      <c r="C402" s="450">
        <f t="shared" si="728"/>
        <v>-0.2449775112443778</v>
      </c>
      <c r="D402" s="450">
        <f t="shared" si="728"/>
        <v>-0.29379148113920861</v>
      </c>
      <c r="E402" s="450">
        <f t="shared" si="728"/>
        <v>-0.32729088639200998</v>
      </c>
      <c r="F402" s="450">
        <f t="shared" si="728"/>
        <v>-0.281571399600197</v>
      </c>
      <c r="G402" s="450">
        <f t="shared" si="728"/>
        <v>-0.25462821880237696</v>
      </c>
      <c r="H402" s="450">
        <f t="shared" si="728"/>
        <v>-0.31276573408220043</v>
      </c>
      <c r="I402" s="450">
        <f t="shared" si="728"/>
        <v>-0.33966759933954893</v>
      </c>
      <c r="J402" s="1360">
        <f t="shared" si="728"/>
        <v>-0.37582531448825762</v>
      </c>
      <c r="K402" s="450">
        <f t="shared" ref="K402:R402" si="731">K337/K$336</f>
        <v>-0.40500000000000003</v>
      </c>
      <c r="L402" s="450">
        <f t="shared" si="731"/>
        <v>-0.4</v>
      </c>
      <c r="M402" s="450">
        <f t="shared" si="731"/>
        <v>-0.41299999999999998</v>
      </c>
      <c r="N402" s="450">
        <f t="shared" si="731"/>
        <v>-0.41299999999999998</v>
      </c>
      <c r="O402" s="450">
        <f t="shared" si="731"/>
        <v>-0.41299999999999998</v>
      </c>
      <c r="P402" s="450">
        <f t="shared" si="731"/>
        <v>-0.41299999999999998</v>
      </c>
      <c r="Q402" s="450">
        <f t="shared" si="731"/>
        <v>-0.41300000000000003</v>
      </c>
      <c r="R402" s="450">
        <f t="shared" si="731"/>
        <v>-0.41299999999999998</v>
      </c>
      <c r="S402" s="450"/>
      <c r="T402" s="450"/>
      <c r="U402" s="450"/>
      <c r="V402" s="450" t="e">
        <f t="shared" ref="V402:BE402" si="732">V337/V$336</f>
        <v>#DIV/0!</v>
      </c>
      <c r="W402" s="450" t="e">
        <f t="shared" si="732"/>
        <v>#DIV/0!</v>
      </c>
      <c r="X402" s="450" t="e">
        <f t="shared" si="732"/>
        <v>#DIV/0!</v>
      </c>
      <c r="Y402" s="450" t="e">
        <f t="shared" si="732"/>
        <v>#DIV/0!</v>
      </c>
      <c r="Z402" s="450">
        <f t="shared" si="732"/>
        <v>-0.33048988544967095</v>
      </c>
      <c r="AA402" s="450">
        <f t="shared" si="732"/>
        <v>-0.33111213235294118</v>
      </c>
      <c r="AB402" s="450">
        <f t="shared" si="732"/>
        <v>-0.3125674633770239</v>
      </c>
      <c r="AC402" s="450">
        <f t="shared" si="732"/>
        <v>-0.34021632251720746</v>
      </c>
      <c r="AD402" s="450">
        <f t="shared" si="732"/>
        <v>-0.31767996466951276</v>
      </c>
      <c r="AE402" s="450">
        <f t="shared" si="732"/>
        <v>-0.31822448705913908</v>
      </c>
      <c r="AF402" s="450">
        <f t="shared" si="732"/>
        <v>-0.25109980160441647</v>
      </c>
      <c r="AG402" s="1360">
        <f t="shared" si="732"/>
        <v>-0.26250864652985934</v>
      </c>
      <c r="AH402" s="450">
        <f t="shared" si="732"/>
        <v>-0.25301540174429393</v>
      </c>
      <c r="AI402" s="450">
        <f t="shared" si="732"/>
        <v>-0.27406392694063925</v>
      </c>
      <c r="AJ402" s="450">
        <f t="shared" si="732"/>
        <v>-0.22251267004534542</v>
      </c>
      <c r="AK402" s="1360">
        <f t="shared" si="732"/>
        <v>-0.28842157759122267</v>
      </c>
      <c r="AL402" s="450">
        <f t="shared" si="732"/>
        <v>-0.29072347980470487</v>
      </c>
      <c r="AM402" s="450">
        <f t="shared" si="732"/>
        <v>-0.3325212430922812</v>
      </c>
      <c r="AN402" s="450">
        <f t="shared" si="732"/>
        <v>-0.28725314183123879</v>
      </c>
      <c r="AO402" s="1360">
        <f t="shared" si="732"/>
        <v>-0.3519655667144907</v>
      </c>
      <c r="AP402" s="450">
        <f t="shared" si="732"/>
        <v>-0.33148925660656953</v>
      </c>
      <c r="AQ402" s="450">
        <f t="shared" si="732"/>
        <v>-0.32163637183708449</v>
      </c>
      <c r="AR402" s="450">
        <f t="shared" si="732"/>
        <v>-0.31702515705063256</v>
      </c>
      <c r="AS402" s="1360">
        <f t="shared" si="732"/>
        <v>-0.39538537876281837</v>
      </c>
      <c r="AT402" s="450">
        <f t="shared" si="732"/>
        <v>-0.36524227156807865</v>
      </c>
      <c r="AU402" s="450">
        <f t="shared" si="732"/>
        <v>-0.38268400793187918</v>
      </c>
      <c r="AV402" s="450">
        <f t="shared" si="732"/>
        <v>-0.35918719951923078</v>
      </c>
      <c r="AW402" s="1360">
        <f t="shared" si="732"/>
        <v>-0.40151377692527024</v>
      </c>
      <c r="AX402" s="450">
        <f t="shared" si="732"/>
        <v>-0.34791965566714489</v>
      </c>
      <c r="AY402" s="450">
        <f t="shared" si="732"/>
        <v>-0.3991509742026777</v>
      </c>
      <c r="AZ402" s="450">
        <f t="shared" si="732"/>
        <v>-0.42248398130751069</v>
      </c>
      <c r="BA402" s="1360">
        <f t="shared" si="732"/>
        <v>-0.43391599571351597</v>
      </c>
      <c r="BB402" s="450">
        <f t="shared" si="732"/>
        <v>-0.40500000000000003</v>
      </c>
      <c r="BC402" s="450">
        <f t="shared" si="732"/>
        <v>-0.41</v>
      </c>
      <c r="BD402" s="450">
        <f t="shared" si="732"/>
        <v>-0.4</v>
      </c>
      <c r="BE402" s="450">
        <f t="shared" si="732"/>
        <v>-0.38557954998772753</v>
      </c>
      <c r="BH402" s="289"/>
      <c r="BV402" s="289"/>
      <c r="BW402" s="289"/>
      <c r="BY402" s="289"/>
      <c r="BZ402" s="658"/>
      <c r="CA402" s="14"/>
      <c r="CB402" s="14"/>
      <c r="CC402" s="14"/>
      <c r="CD402" s="14"/>
      <c r="CE402" s="14"/>
      <c r="CF402" s="14"/>
      <c r="CG402"/>
      <c r="CH402"/>
      <c r="CI402"/>
      <c r="CJ402"/>
      <c r="CK402"/>
      <c r="CL402"/>
    </row>
    <row r="403" spans="1:90" s="13" customFormat="1" ht="12.75" customHeight="1" outlineLevel="1">
      <c r="A403" s="1349"/>
      <c r="B403" s="12" t="s">
        <v>36</v>
      </c>
      <c r="C403" s="658">
        <f t="shared" si="728"/>
        <v>0.75502248875562217</v>
      </c>
      <c r="D403" s="658">
        <f t="shared" si="728"/>
        <v>0.70620851886079139</v>
      </c>
      <c r="E403" s="658">
        <f t="shared" si="728"/>
        <v>0.67270911360799002</v>
      </c>
      <c r="F403" s="658">
        <f t="shared" si="728"/>
        <v>0.71842860039980294</v>
      </c>
      <c r="G403" s="658">
        <f t="shared" si="728"/>
        <v>0.74537178119762304</v>
      </c>
      <c r="H403" s="658">
        <f t="shared" si="728"/>
        <v>0.68723426591779957</v>
      </c>
      <c r="I403" s="658">
        <f t="shared" si="728"/>
        <v>0.66033240066045107</v>
      </c>
      <c r="J403" s="1357">
        <f t="shared" si="728"/>
        <v>0.62417468551174238</v>
      </c>
      <c r="K403" s="658">
        <f t="shared" ref="K403:R403" si="733">K338/K$336</f>
        <v>0.59500000000000008</v>
      </c>
      <c r="L403" s="658">
        <f t="shared" si="733"/>
        <v>0.6</v>
      </c>
      <c r="M403" s="658">
        <f t="shared" si="733"/>
        <v>0.58699999999999997</v>
      </c>
      <c r="N403" s="658">
        <f t="shared" si="733"/>
        <v>0.58700000000000008</v>
      </c>
      <c r="O403" s="658">
        <f t="shared" si="733"/>
        <v>0.58700000000000008</v>
      </c>
      <c r="P403" s="658">
        <f t="shared" si="733"/>
        <v>0.58699999999999997</v>
      </c>
      <c r="Q403" s="658">
        <f t="shared" si="733"/>
        <v>0.58700000000000008</v>
      </c>
      <c r="R403" s="658">
        <f t="shared" si="733"/>
        <v>0.58699999999999997</v>
      </c>
      <c r="S403" s="658"/>
      <c r="T403" s="658"/>
      <c r="U403" s="658"/>
      <c r="V403" s="658" t="e">
        <f t="shared" ref="V403:BE403" si="734">V338/V$336</f>
        <v>#DIV/0!</v>
      </c>
      <c r="W403" s="658" t="e">
        <f t="shared" si="734"/>
        <v>#DIV/0!</v>
      </c>
      <c r="X403" s="658" t="e">
        <f t="shared" si="734"/>
        <v>#DIV/0!</v>
      </c>
      <c r="Y403" s="658" t="e">
        <f t="shared" si="734"/>
        <v>#DIV/0!</v>
      </c>
      <c r="Z403" s="658">
        <f t="shared" si="734"/>
        <v>0.66951011455032905</v>
      </c>
      <c r="AA403" s="658">
        <f t="shared" si="734"/>
        <v>0.66888786764705888</v>
      </c>
      <c r="AB403" s="658">
        <f t="shared" si="734"/>
        <v>0.6874325366229761</v>
      </c>
      <c r="AC403" s="658">
        <f t="shared" si="734"/>
        <v>0.65978367748279254</v>
      </c>
      <c r="AD403" s="658">
        <f t="shared" si="734"/>
        <v>0.68232003533048724</v>
      </c>
      <c r="AE403" s="658">
        <f t="shared" si="734"/>
        <v>0.68177551294086092</v>
      </c>
      <c r="AF403" s="658">
        <f t="shared" si="734"/>
        <v>0.74890019839558353</v>
      </c>
      <c r="AG403" s="1357">
        <f t="shared" si="734"/>
        <v>0.73749135347014061</v>
      </c>
      <c r="AH403" s="658">
        <f t="shared" si="734"/>
        <v>0.74698459825570607</v>
      </c>
      <c r="AI403" s="658">
        <f t="shared" si="734"/>
        <v>0.7259360730593607</v>
      </c>
      <c r="AJ403" s="658">
        <f t="shared" si="734"/>
        <v>0.77748732995465453</v>
      </c>
      <c r="AK403" s="1357">
        <f t="shared" si="734"/>
        <v>0.71157842240877733</v>
      </c>
      <c r="AL403" s="658">
        <f t="shared" si="734"/>
        <v>0.70927652019529519</v>
      </c>
      <c r="AM403" s="658">
        <f t="shared" si="734"/>
        <v>0.66747875690771885</v>
      </c>
      <c r="AN403" s="658">
        <f t="shared" si="734"/>
        <v>0.71274685816876127</v>
      </c>
      <c r="AO403" s="1357">
        <f t="shared" si="734"/>
        <v>0.64803443328550936</v>
      </c>
      <c r="AP403" s="658">
        <f t="shared" si="734"/>
        <v>0.66851074339343053</v>
      </c>
      <c r="AQ403" s="658">
        <f t="shared" si="734"/>
        <v>0.67836362816291551</v>
      </c>
      <c r="AR403" s="658">
        <f t="shared" si="734"/>
        <v>0.6829748429493675</v>
      </c>
      <c r="AS403" s="1357">
        <f t="shared" si="734"/>
        <v>0.60461462123718157</v>
      </c>
      <c r="AT403" s="658">
        <f t="shared" si="734"/>
        <v>0.63475772843192135</v>
      </c>
      <c r="AU403" s="658">
        <f t="shared" si="734"/>
        <v>0.61731599206812082</v>
      </c>
      <c r="AV403" s="658">
        <f t="shared" si="734"/>
        <v>0.64081280048076927</v>
      </c>
      <c r="AW403" s="1357">
        <f t="shared" si="734"/>
        <v>0.59848622307472976</v>
      </c>
      <c r="AX403" s="658">
        <f t="shared" si="734"/>
        <v>0.65208034433285511</v>
      </c>
      <c r="AY403" s="658">
        <f t="shared" si="734"/>
        <v>0.60084902579732236</v>
      </c>
      <c r="AZ403" s="658">
        <f t="shared" si="734"/>
        <v>0.57751601869248925</v>
      </c>
      <c r="BA403" s="1357">
        <f t="shared" si="734"/>
        <v>0.56608400428648398</v>
      </c>
      <c r="BB403" s="658">
        <f t="shared" si="734"/>
        <v>0.59499999999999997</v>
      </c>
      <c r="BC403" s="658">
        <f t="shared" si="734"/>
        <v>0.59000000000000008</v>
      </c>
      <c r="BD403" s="658">
        <f t="shared" si="734"/>
        <v>0.6</v>
      </c>
      <c r="BE403" s="658">
        <f t="shared" si="734"/>
        <v>0.61442045001227241</v>
      </c>
      <c r="BH403" s="289"/>
      <c r="BV403" s="289"/>
      <c r="BW403" s="289"/>
      <c r="BY403" s="289"/>
      <c r="BZ403" s="658"/>
      <c r="CA403" s="14"/>
      <c r="CB403" s="14"/>
      <c r="CC403" s="14"/>
      <c r="CD403" s="14"/>
      <c r="CE403" s="14"/>
      <c r="CF403" s="14"/>
      <c r="CG403"/>
      <c r="CH403"/>
      <c r="CI403"/>
      <c r="CJ403"/>
      <c r="CK403"/>
      <c r="CL403"/>
    </row>
    <row r="404" spans="1:90" s="13" customFormat="1" ht="12.75" customHeight="1" outlineLevel="1">
      <c r="A404" s="1349"/>
      <c r="B404" s="11" t="s">
        <v>858</v>
      </c>
      <c r="C404" s="450">
        <f t="shared" ref="C404:J406" si="735">C344/C$336</f>
        <v>-0.17016491754122939</v>
      </c>
      <c r="D404" s="450">
        <f t="shared" si="735"/>
        <v>-0.17323363857850962</v>
      </c>
      <c r="E404" s="450">
        <f t="shared" si="735"/>
        <v>-0.14466916354556805</v>
      </c>
      <c r="F404" s="450">
        <f t="shared" si="735"/>
        <v>-0.10872903207115335</v>
      </c>
      <c r="G404" s="450">
        <f t="shared" si="735"/>
        <v>-9.700213317080604E-2</v>
      </c>
      <c r="H404" s="450">
        <f t="shared" si="735"/>
        <v>-0.13986142459713402</v>
      </c>
      <c r="I404" s="450">
        <f t="shared" si="735"/>
        <v>-0.13632184135333142</v>
      </c>
      <c r="J404" s="1360">
        <f t="shared" si="735"/>
        <v>-0.10778844149033631</v>
      </c>
      <c r="K404" s="450">
        <f t="shared" ref="K404:R404" si="736">K344/K$336</f>
        <v>-8.7999999999999995E-2</v>
      </c>
      <c r="L404" s="450">
        <f t="shared" si="736"/>
        <v>-8.5000000000000006E-2</v>
      </c>
      <c r="M404" s="450">
        <f t="shared" si="736"/>
        <v>-0.08</v>
      </c>
      <c r="N404" s="450">
        <f t="shared" si="736"/>
        <v>-7.5999999999999998E-2</v>
      </c>
      <c r="O404" s="450">
        <f t="shared" si="736"/>
        <v>-6.8000000000000005E-2</v>
      </c>
      <c r="P404" s="450">
        <f t="shared" si="736"/>
        <v>-6.0000000000000005E-2</v>
      </c>
      <c r="Q404" s="450">
        <f t="shared" si="736"/>
        <v>-0.06</v>
      </c>
      <c r="R404" s="450">
        <f t="shared" si="736"/>
        <v>-0.06</v>
      </c>
      <c r="S404" s="450"/>
      <c r="T404" s="450"/>
      <c r="U404" s="450"/>
      <c r="V404" s="450" t="e">
        <f t="shared" ref="V404:BE404" si="737">V344/V$336</f>
        <v>#DIV/0!</v>
      </c>
      <c r="W404" s="450" t="e">
        <f t="shared" si="737"/>
        <v>#DIV/0!</v>
      </c>
      <c r="X404" s="450" t="e">
        <f t="shared" si="737"/>
        <v>#DIV/0!</v>
      </c>
      <c r="Y404" s="450" t="e">
        <f t="shared" si="737"/>
        <v>#DIV/0!</v>
      </c>
      <c r="Z404" s="450">
        <f t="shared" si="737"/>
        <v>-0.15598342676090665</v>
      </c>
      <c r="AA404" s="450">
        <f t="shared" si="737"/>
        <v>-0.15900735294117646</v>
      </c>
      <c r="AB404" s="450">
        <f t="shared" si="737"/>
        <v>-0.12582883577486506</v>
      </c>
      <c r="AC404" s="450">
        <f t="shared" si="737"/>
        <v>-0.14729596853490659</v>
      </c>
      <c r="AD404" s="450">
        <f t="shared" si="737"/>
        <v>-0.1248343883409392</v>
      </c>
      <c r="AE404" s="450">
        <f t="shared" si="737"/>
        <v>-0.11908274104867909</v>
      </c>
      <c r="AF404" s="450">
        <f t="shared" si="737"/>
        <v>-0.10031915811265418</v>
      </c>
      <c r="AG404" s="1360">
        <f t="shared" si="737"/>
        <v>-9.8455153331796177E-2</v>
      </c>
      <c r="AH404" s="450">
        <f t="shared" si="737"/>
        <v>-9.4451660790499159E-2</v>
      </c>
      <c r="AI404" s="450">
        <f t="shared" si="737"/>
        <v>-0.10666666666666667</v>
      </c>
      <c r="AJ404" s="450">
        <f t="shared" si="737"/>
        <v>-9.1064283809015739E-2</v>
      </c>
      <c r="AK404" s="1360">
        <f t="shared" si="737"/>
        <v>-9.9742332308203813E-2</v>
      </c>
      <c r="AL404" s="450">
        <f t="shared" si="737"/>
        <v>-0.12377147929744468</v>
      </c>
      <c r="AM404" s="450">
        <f t="shared" si="737"/>
        <v>-0.15336621308455642</v>
      </c>
      <c r="AN404" s="450">
        <f t="shared" si="737"/>
        <v>-0.11776614843958898</v>
      </c>
      <c r="AO404" s="1360">
        <f t="shared" si="737"/>
        <v>-0.17457675753228122</v>
      </c>
      <c r="AP404" s="450">
        <f t="shared" si="737"/>
        <v>-0.16008891084218327</v>
      </c>
      <c r="AQ404" s="450">
        <f t="shared" si="737"/>
        <v>-0.14546028595913582</v>
      </c>
      <c r="AR404" s="450">
        <f t="shared" si="737"/>
        <v>-0.10853139565179631</v>
      </c>
      <c r="AS404" s="1360">
        <f t="shared" si="737"/>
        <v>-0.14774230896460469</v>
      </c>
      <c r="AT404" s="450">
        <f t="shared" si="737"/>
        <v>-0.12402811469801579</v>
      </c>
      <c r="AU404" s="450">
        <f t="shared" si="737"/>
        <v>-0.12055289863525021</v>
      </c>
      <c r="AV404" s="450">
        <f t="shared" si="737"/>
        <v>-8.30078125E-2</v>
      </c>
      <c r="AW404" s="1360">
        <f t="shared" si="737"/>
        <v>-0.11711034500635061</v>
      </c>
      <c r="AX404" s="450">
        <f t="shared" si="737"/>
        <v>-9.357564163876933E-2</v>
      </c>
      <c r="AY404" s="450">
        <f t="shared" si="737"/>
        <v>-9.2213635209172376E-2</v>
      </c>
      <c r="AZ404" s="450">
        <f t="shared" si="737"/>
        <v>-7.5745531627884569E-2</v>
      </c>
      <c r="BA404" s="1360">
        <f t="shared" si="737"/>
        <v>-9.6421693975949102E-2</v>
      </c>
      <c r="BB404" s="450">
        <f t="shared" si="737"/>
        <v>-7.4999999999999997E-2</v>
      </c>
      <c r="BC404" s="450">
        <f t="shared" si="737"/>
        <v>-0.1</v>
      </c>
      <c r="BD404" s="450">
        <f t="shared" si="737"/>
        <v>-7.0999999999999994E-2</v>
      </c>
      <c r="BE404" s="450">
        <f t="shared" si="737"/>
        <v>-9.8555999444330758E-2</v>
      </c>
      <c r="BH404" s="289"/>
      <c r="BV404" s="289"/>
      <c r="BW404" s="289"/>
      <c r="BY404" s="289"/>
      <c r="BZ404" s="658"/>
      <c r="CA404" s="14"/>
      <c r="CB404" s="14"/>
      <c r="CC404" s="14"/>
      <c r="CD404" s="14"/>
      <c r="CE404" s="14"/>
      <c r="CF404" s="14"/>
      <c r="CG404"/>
      <c r="CH404"/>
      <c r="CI404"/>
      <c r="CJ404"/>
      <c r="CK404"/>
      <c r="CL404"/>
    </row>
    <row r="405" spans="1:90" s="13" customFormat="1" ht="12.75" customHeight="1" outlineLevel="1">
      <c r="A405" s="1349"/>
      <c r="B405" s="11" t="s">
        <v>859</v>
      </c>
      <c r="C405" s="450">
        <f t="shared" si="735"/>
        <v>-0.35007496251874065</v>
      </c>
      <c r="D405" s="450">
        <f t="shared" si="735"/>
        <v>-0.26497521633201715</v>
      </c>
      <c r="E405" s="450">
        <f t="shared" si="735"/>
        <v>-0.15270911360799</v>
      </c>
      <c r="F405" s="450">
        <f t="shared" si="735"/>
        <v>-0.10467305965176579</v>
      </c>
      <c r="G405" s="450">
        <f t="shared" si="735"/>
        <v>-8.6564833155569093E-2</v>
      </c>
      <c r="H405" s="450">
        <f t="shared" si="735"/>
        <v>-0.11171329588997952</v>
      </c>
      <c r="I405" s="450">
        <f t="shared" si="735"/>
        <v>-0.1117922149827472</v>
      </c>
      <c r="J405" s="1360">
        <f t="shared" si="735"/>
        <v>-0.10307506649902384</v>
      </c>
      <c r="K405" s="450">
        <f t="shared" ref="K405:R405" si="738">K345/K$336</f>
        <v>-0.115</v>
      </c>
      <c r="L405" s="450">
        <f t="shared" si="738"/>
        <v>-0.108</v>
      </c>
      <c r="M405" s="450">
        <f t="shared" si="738"/>
        <v>-0.10299999999999999</v>
      </c>
      <c r="N405" s="450">
        <f t="shared" si="738"/>
        <v>-9.4E-2</v>
      </c>
      <c r="O405" s="450">
        <f t="shared" si="738"/>
        <v>-8.7999999999999995E-2</v>
      </c>
      <c r="P405" s="450">
        <f t="shared" si="738"/>
        <v>-8.7999999999999995E-2</v>
      </c>
      <c r="Q405" s="450">
        <f t="shared" si="738"/>
        <v>-8.7999999999999995E-2</v>
      </c>
      <c r="R405" s="450">
        <f t="shared" si="738"/>
        <v>-8.7999999999999995E-2</v>
      </c>
      <c r="S405" s="450"/>
      <c r="T405" s="450"/>
      <c r="U405" s="450"/>
      <c r="V405" s="450" t="e">
        <f t="shared" ref="V405:BE405" si="739">V345/V$336</f>
        <v>#DIV/0!</v>
      </c>
      <c r="W405" s="450" t="e">
        <f t="shared" si="739"/>
        <v>#DIV/0!</v>
      </c>
      <c r="X405" s="450" t="e">
        <f t="shared" si="739"/>
        <v>#DIV/0!</v>
      </c>
      <c r="Y405" s="450" t="e">
        <f t="shared" si="739"/>
        <v>#DIV/0!</v>
      </c>
      <c r="Z405" s="450">
        <f t="shared" si="739"/>
        <v>-0.16134535705581282</v>
      </c>
      <c r="AA405" s="450">
        <f t="shared" si="739"/>
        <v>-0.18979779411764705</v>
      </c>
      <c r="AB405" s="450">
        <f t="shared" si="739"/>
        <v>-0.14325366229760986</v>
      </c>
      <c r="AC405" s="450">
        <f t="shared" si="739"/>
        <v>-0.12605703048180925</v>
      </c>
      <c r="AD405" s="450">
        <f t="shared" si="739"/>
        <v>-0.12792580597674078</v>
      </c>
      <c r="AE405" s="450">
        <f t="shared" si="739"/>
        <v>-0.13061552903312323</v>
      </c>
      <c r="AF405" s="450">
        <f t="shared" si="739"/>
        <v>-0.1077374277581299</v>
      </c>
      <c r="AG405" s="1360">
        <f t="shared" si="739"/>
        <v>-6.0064560756283143E-2</v>
      </c>
      <c r="AH405" s="450">
        <f t="shared" si="739"/>
        <v>-6.6153275190202268E-2</v>
      </c>
      <c r="AI405" s="450">
        <f t="shared" si="739"/>
        <v>-0.06</v>
      </c>
      <c r="AJ405" s="450">
        <f t="shared" si="739"/>
        <v>-0.10120032008535609</v>
      </c>
      <c r="AK405" s="1360">
        <f t="shared" si="739"/>
        <v>-0.10622558390823705</v>
      </c>
      <c r="AL405" s="450">
        <f t="shared" si="739"/>
        <v>-7.6849914399847827E-2</v>
      </c>
      <c r="AM405" s="450">
        <f t="shared" si="739"/>
        <v>-0.10392774377562541</v>
      </c>
      <c r="AN405" s="450">
        <f t="shared" si="739"/>
        <v>-0.11539783796172505</v>
      </c>
      <c r="AO405" s="1360">
        <f t="shared" si="739"/>
        <v>-0.14525107604017218</v>
      </c>
      <c r="AP405" s="450">
        <f t="shared" si="739"/>
        <v>-0.11069399851815263</v>
      </c>
      <c r="AQ405" s="450">
        <f t="shared" si="739"/>
        <v>-0.11564656533309278</v>
      </c>
      <c r="AR405" s="450">
        <f t="shared" si="739"/>
        <v>-0.10540485771357438</v>
      </c>
      <c r="AS405" s="1360">
        <f t="shared" si="739"/>
        <v>-0.11830135626860734</v>
      </c>
      <c r="AT405" s="450">
        <f t="shared" si="739"/>
        <v>-0.11239659140386889</v>
      </c>
      <c r="AU405" s="450">
        <f t="shared" si="739"/>
        <v>-0.11308760060655547</v>
      </c>
      <c r="AV405" s="450">
        <f t="shared" si="739"/>
        <v>-8.4322415865384609E-2</v>
      </c>
      <c r="AW405" s="1360">
        <f t="shared" si="739"/>
        <v>-0.11228906918271599</v>
      </c>
      <c r="AX405" s="450">
        <f t="shared" si="739"/>
        <v>-9.6644348796429136E-2</v>
      </c>
      <c r="AY405" s="450">
        <f t="shared" si="739"/>
        <v>-0.11367512064148616</v>
      </c>
      <c r="AZ405" s="450">
        <f t="shared" si="739"/>
        <v>-0.10288095582213229</v>
      </c>
      <c r="BA405" s="1360">
        <f t="shared" si="739"/>
        <v>-0.14833420561945646</v>
      </c>
      <c r="BB405" s="450">
        <f t="shared" si="739"/>
        <v>-0.125</v>
      </c>
      <c r="BC405" s="450">
        <f t="shared" si="739"/>
        <v>-0.1</v>
      </c>
      <c r="BD405" s="450">
        <f t="shared" si="739"/>
        <v>-0.09</v>
      </c>
      <c r="BE405" s="450">
        <f t="shared" si="739"/>
        <v>-0.12464133886327036</v>
      </c>
      <c r="BH405" s="289"/>
      <c r="BV405" s="289"/>
      <c r="BW405" s="289"/>
      <c r="BY405" s="289"/>
      <c r="BZ405" s="658"/>
      <c r="CA405" s="14"/>
      <c r="CB405" s="14"/>
      <c r="CC405" s="14"/>
      <c r="CD405" s="14"/>
      <c r="CE405" s="14"/>
      <c r="CF405" s="14"/>
      <c r="CG405"/>
      <c r="CH405"/>
      <c r="CI405"/>
      <c r="CJ405"/>
      <c r="CK405"/>
      <c r="CL405"/>
    </row>
    <row r="406" spans="1:90" s="13" customFormat="1" ht="12.75" customHeight="1" outlineLevel="1">
      <c r="A406" s="1349"/>
      <c r="B406" s="11" t="s">
        <v>860</v>
      </c>
      <c r="C406" s="450">
        <f t="shared" si="735"/>
        <v>-0.14992503748125938</v>
      </c>
      <c r="D406" s="450">
        <f t="shared" si="735"/>
        <v>-0.1448374359405192</v>
      </c>
      <c r="E406" s="450">
        <f t="shared" si="735"/>
        <v>-0.11041198501872659</v>
      </c>
      <c r="F406" s="450">
        <f t="shared" si="735"/>
        <v>-8.3697887997218764E-2</v>
      </c>
      <c r="G406" s="450">
        <f t="shared" si="735"/>
        <v>-8.0336736248666774E-2</v>
      </c>
      <c r="H406" s="450">
        <f t="shared" si="735"/>
        <v>-0.10235683166237992</v>
      </c>
      <c r="I406" s="450">
        <f t="shared" si="735"/>
        <v>-9.1009758460793136E-2</v>
      </c>
      <c r="J406" s="1360">
        <f t="shared" si="735"/>
        <v>-7.7328413563905407E-2</v>
      </c>
      <c r="K406" s="450">
        <f t="shared" ref="K406:R406" si="740">K346/K$336</f>
        <v>-7.542049551220005E-2</v>
      </c>
      <c r="L406" s="450">
        <f t="shared" si="740"/>
        <v>-9.2219951273309717E-2</v>
      </c>
      <c r="M406" s="450">
        <f t="shared" si="740"/>
        <v>-9.0992381252232954E-2</v>
      </c>
      <c r="N406" s="450">
        <f t="shared" si="740"/>
        <v>-0.100310446398818</v>
      </c>
      <c r="O406" s="450">
        <f t="shared" si="740"/>
        <v>-0.10557645591423769</v>
      </c>
      <c r="P406" s="450">
        <f t="shared" si="740"/>
        <v>-0.11416390107547411</v>
      </c>
      <c r="Q406" s="450">
        <f t="shared" si="740"/>
        <v>-0.11868186433076733</v>
      </c>
      <c r="R406" s="450">
        <f t="shared" si="740"/>
        <v>-0.12297629711976062</v>
      </c>
      <c r="S406" s="450"/>
      <c r="T406" s="450"/>
      <c r="U406" s="450"/>
      <c r="V406" s="450" t="e">
        <f t="shared" ref="V406:BE406" si="741">V346/V$336</f>
        <v>#DIV/0!</v>
      </c>
      <c r="W406" s="450" t="e">
        <f t="shared" si="741"/>
        <v>#DIV/0!</v>
      </c>
      <c r="X406" s="450" t="e">
        <f t="shared" si="741"/>
        <v>#DIV/0!</v>
      </c>
      <c r="Y406" s="450" t="e">
        <f t="shared" si="741"/>
        <v>#DIV/0!</v>
      </c>
      <c r="Z406" s="450">
        <f t="shared" si="741"/>
        <v>-0.12771143066049231</v>
      </c>
      <c r="AA406" s="450">
        <f t="shared" si="741"/>
        <v>-0.12270220588235294</v>
      </c>
      <c r="AB406" s="450">
        <f t="shared" si="741"/>
        <v>-8.9899768696993065E-2</v>
      </c>
      <c r="AC406" s="450">
        <f t="shared" si="741"/>
        <v>-0.11209439528023599</v>
      </c>
      <c r="AD406" s="450">
        <f t="shared" si="741"/>
        <v>-7.9051965258354187E-2</v>
      </c>
      <c r="AE406" s="450">
        <f t="shared" si="741"/>
        <v>-0.10781815743596621</v>
      </c>
      <c r="AF406" s="450">
        <f t="shared" si="741"/>
        <v>-8.6517726214094717E-2</v>
      </c>
      <c r="AG406" s="1360">
        <f t="shared" si="741"/>
        <v>-6.2831450311275072E-2</v>
      </c>
      <c r="AH406" s="450">
        <f t="shared" si="741"/>
        <v>-8.0256077194284653E-2</v>
      </c>
      <c r="AI406" s="450">
        <f t="shared" si="741"/>
        <v>-7.2420091324200908E-2</v>
      </c>
      <c r="AJ406" s="450">
        <f t="shared" si="741"/>
        <v>-0.1091491064283809</v>
      </c>
      <c r="AK406" s="1360">
        <f t="shared" si="741"/>
        <v>-4.2722965672013967E-2</v>
      </c>
      <c r="AL406" s="450">
        <f t="shared" si="741"/>
        <v>-5.9856699004501933E-2</v>
      </c>
      <c r="AM406" s="450">
        <f t="shared" si="741"/>
        <v>-0.11646562481430864</v>
      </c>
      <c r="AN406" s="450">
        <f t="shared" si="741"/>
        <v>-9.2402307192788108E-2</v>
      </c>
      <c r="AO406" s="1360">
        <f t="shared" si="741"/>
        <v>-0.14215208034433285</v>
      </c>
      <c r="AP406" s="450">
        <f t="shared" si="741"/>
        <v>-0.11084218325512472</v>
      </c>
      <c r="AQ406" s="450">
        <f t="shared" si="741"/>
        <v>-9.5981236750710394E-2</v>
      </c>
      <c r="AR406" s="450">
        <f t="shared" si="741"/>
        <v>-7.2373563384766817E-2</v>
      </c>
      <c r="AS406" s="1360">
        <f t="shared" si="741"/>
        <v>-9.646873966258683E-2</v>
      </c>
      <c r="AT406" s="450">
        <f t="shared" si="741"/>
        <v>-8.5308204266965226E-2</v>
      </c>
      <c r="AU406" s="450">
        <f t="shared" si="741"/>
        <v>-8.2089116995217537E-2</v>
      </c>
      <c r="AV406" s="450">
        <f t="shared" si="741"/>
        <v>-6.1730018028846152E-2</v>
      </c>
      <c r="AW406" s="1360">
        <f t="shared" si="741"/>
        <v>-8.7975323362451077E-2</v>
      </c>
      <c r="AX406" s="450">
        <f t="shared" si="741"/>
        <v>-7.3310218396301613E-2</v>
      </c>
      <c r="AY406" s="450">
        <f t="shared" si="741"/>
        <v>-6.2388882841696601E-2</v>
      </c>
      <c r="AZ406" s="450">
        <f t="shared" si="741"/>
        <v>-5.5065760948113891E-2</v>
      </c>
      <c r="BA406" s="1360">
        <f t="shared" si="741"/>
        <v>-0.11731706331561369</v>
      </c>
      <c r="BB406" s="450">
        <f t="shared" si="741"/>
        <v>-7.9961649610166247E-2</v>
      </c>
      <c r="BC406" s="450">
        <f t="shared" si="741"/>
        <v>-0.10418426031072946</v>
      </c>
      <c r="BD406" s="450">
        <f t="shared" si="741"/>
        <v>-7.0212172613598967E-2</v>
      </c>
      <c r="BE406" s="450">
        <f t="shared" si="741"/>
        <v>-0.12172753781373727</v>
      </c>
      <c r="BH406" s="289"/>
      <c r="BV406" s="289"/>
      <c r="BW406" s="289"/>
      <c r="BY406" s="289"/>
      <c r="BZ406" s="658"/>
      <c r="CA406" s="14"/>
      <c r="CB406" s="14"/>
      <c r="CC406" s="14"/>
      <c r="CD406" s="14"/>
      <c r="CE406" s="14"/>
      <c r="CF406" s="14"/>
      <c r="CG406"/>
      <c r="CH406"/>
      <c r="CI406"/>
      <c r="CJ406"/>
      <c r="CK406"/>
      <c r="CL406"/>
    </row>
    <row r="407" spans="1:90" s="13" customFormat="1" ht="12.75" customHeight="1" outlineLevel="1">
      <c r="A407" s="1349"/>
      <c r="B407" s="11" t="s">
        <v>861</v>
      </c>
      <c r="C407" s="450">
        <f t="shared" ref="C407:J409" si="742">C351/C$336</f>
        <v>-1.9640179910044978E-2</v>
      </c>
      <c r="D407" s="450">
        <f t="shared" si="742"/>
        <v>-1.2097790472990002E-2</v>
      </c>
      <c r="E407" s="450">
        <f t="shared" si="742"/>
        <v>-7.7403245942571789E-3</v>
      </c>
      <c r="F407" s="450">
        <f t="shared" si="742"/>
        <v>-3.7662601037170089E-3</v>
      </c>
      <c r="G407" s="450">
        <f t="shared" si="742"/>
        <v>-5.9995428919701358E-3</v>
      </c>
      <c r="H407" s="450">
        <f t="shared" si="742"/>
        <v>-2.7413259146501497E-2</v>
      </c>
      <c r="I407" s="450">
        <f t="shared" si="742"/>
        <v>-2.897877262885222E-2</v>
      </c>
      <c r="J407" s="1360">
        <f t="shared" si="742"/>
        <v>-3.2361805235258063E-2</v>
      </c>
      <c r="K407" s="450">
        <f t="shared" ref="K407:R407" si="743">K351/K$336</f>
        <v>-2.84299295092772E-2</v>
      </c>
      <c r="L407" s="450">
        <f t="shared" si="743"/>
        <v>-2.0114775240765961E-2</v>
      </c>
      <c r="M407" s="450">
        <f t="shared" si="743"/>
        <v>-1.5617812948513297E-2</v>
      </c>
      <c r="N407" s="450">
        <f t="shared" si="743"/>
        <v>-1.0160979200664094E-2</v>
      </c>
      <c r="O407" s="450">
        <f t="shared" si="743"/>
        <v>-6.5660189595026968E-3</v>
      </c>
      <c r="P407" s="450">
        <f t="shared" si="743"/>
        <v>-4.6302720953444922E-3</v>
      </c>
      <c r="Q407" s="450">
        <f t="shared" si="743"/>
        <v>-4.021050998282618E-3</v>
      </c>
      <c r="R407" s="450">
        <f t="shared" si="743"/>
        <v>-3.5368164326100107E-3</v>
      </c>
      <c r="S407" s="450"/>
      <c r="T407" s="450"/>
      <c r="U407" s="450"/>
      <c r="V407" s="450" t="e">
        <f t="shared" ref="V407:BE407" si="744">V351/V$336</f>
        <v>#DIV/0!</v>
      </c>
      <c r="W407" s="450" t="e">
        <f t="shared" si="744"/>
        <v>#DIV/0!</v>
      </c>
      <c r="X407" s="450" t="e">
        <f t="shared" si="744"/>
        <v>#DIV/0!</v>
      </c>
      <c r="Y407" s="450" t="e">
        <f t="shared" si="744"/>
        <v>#DIV/0!</v>
      </c>
      <c r="Z407" s="450">
        <f t="shared" si="744"/>
        <v>-8.7740677553009988E-3</v>
      </c>
      <c r="AA407" s="450">
        <f t="shared" si="744"/>
        <v>-1.0110294117647059E-2</v>
      </c>
      <c r="AB407" s="450">
        <f t="shared" si="744"/>
        <v>-6.0138781804163453E-3</v>
      </c>
      <c r="AC407" s="450">
        <f t="shared" si="744"/>
        <v>-7.0796460176991149E-3</v>
      </c>
      <c r="AD407" s="450">
        <f t="shared" si="744"/>
        <v>-5.4467834535551303E-3</v>
      </c>
      <c r="AE407" s="450">
        <f t="shared" si="744"/>
        <v>-4.9617808770282953E-3</v>
      </c>
      <c r="AF407" s="450">
        <f t="shared" si="744"/>
        <v>-2.6740274303458985E-3</v>
      </c>
      <c r="AG407" s="1360">
        <f t="shared" si="744"/>
        <v>-2.8821766197832605E-3</v>
      </c>
      <c r="AH407" s="450">
        <f t="shared" si="744"/>
        <v>-3.2473557246242347E-3</v>
      </c>
      <c r="AI407" s="450">
        <f t="shared" si="744"/>
        <v>-3.5616438356164382E-3</v>
      </c>
      <c r="AJ407" s="450">
        <f t="shared" si="744"/>
        <v>-6.5617497999466527E-3</v>
      </c>
      <c r="AK407" s="1360">
        <f t="shared" si="744"/>
        <v>-9.807996010306708E-3</v>
      </c>
      <c r="AL407" s="450">
        <f t="shared" si="744"/>
        <v>-1.4837359710861708E-2</v>
      </c>
      <c r="AM407" s="450">
        <f t="shared" si="744"/>
        <v>-3.5533899815794162E-2</v>
      </c>
      <c r="AN407" s="450">
        <f t="shared" si="744"/>
        <v>-2.3453913442071889E-2</v>
      </c>
      <c r="AO407" s="1360">
        <f t="shared" si="744"/>
        <v>-3.6901004304160691E-2</v>
      </c>
      <c r="AP407" s="450">
        <f t="shared" si="744"/>
        <v>-3.1958508273647816E-2</v>
      </c>
      <c r="AQ407" s="450">
        <f t="shared" si="744"/>
        <v>-3.2835686256821976E-2</v>
      </c>
      <c r="AR407" s="450">
        <f t="shared" si="744"/>
        <v>-2.3535882812726169E-2</v>
      </c>
      <c r="AS407" s="1360">
        <f t="shared" si="744"/>
        <v>-3.07227919285478E-2</v>
      </c>
      <c r="AT407" s="450">
        <f t="shared" si="744"/>
        <v>-3.8906512409031535E-2</v>
      </c>
      <c r="AU407" s="450">
        <f t="shared" si="744"/>
        <v>-3.7822232590691708E-2</v>
      </c>
      <c r="AV407" s="450">
        <f t="shared" si="744"/>
        <v>-2.3681640625E-2</v>
      </c>
      <c r="AW407" s="1360">
        <f t="shared" si="744"/>
        <v>-3.4034059980818578E-2</v>
      </c>
      <c r="AX407" s="450">
        <f t="shared" si="744"/>
        <v>-3.9574366331898612E-2</v>
      </c>
      <c r="AY407" s="450">
        <f t="shared" si="744"/>
        <v>-3.1711476361525347E-2</v>
      </c>
      <c r="AZ407" s="450">
        <f t="shared" si="744"/>
        <v>-2.4774774774774775E-2</v>
      </c>
      <c r="BA407" s="1360">
        <f t="shared" si="744"/>
        <v>-2.1153269840583126E-2</v>
      </c>
      <c r="BB407" s="450">
        <f t="shared" si="744"/>
        <v>-2.3236808421256697E-2</v>
      </c>
      <c r="BC407" s="450">
        <f t="shared" si="744"/>
        <v>-2.1860724514937004E-2</v>
      </c>
      <c r="BD407" s="450">
        <f t="shared" si="744"/>
        <v>-1.5763870145153406E-2</v>
      </c>
      <c r="BE407" s="450">
        <f t="shared" si="744"/>
        <v>-2.1439311040921585E-2</v>
      </c>
      <c r="BH407" s="289"/>
      <c r="BV407" s="289"/>
      <c r="BW407" s="289"/>
      <c r="BY407" s="289"/>
      <c r="BZ407" s="658"/>
      <c r="CA407" s="14"/>
      <c r="CB407" s="14"/>
      <c r="CC407" s="14"/>
      <c r="CD407" s="14"/>
      <c r="CE407" s="14"/>
      <c r="CF407" s="14"/>
      <c r="CG407"/>
      <c r="CH407"/>
      <c r="CI407"/>
      <c r="CJ407"/>
      <c r="CK407"/>
      <c r="CL407"/>
    </row>
    <row r="408" spans="1:90" s="13" customFormat="1" ht="12.75" customHeight="1" outlineLevel="1">
      <c r="A408" s="1349"/>
      <c r="B408" s="11" t="s">
        <v>862</v>
      </c>
      <c r="C408" s="450">
        <f t="shared" si="742"/>
        <v>-0.19610194902548725</v>
      </c>
      <c r="D408" s="450">
        <f t="shared" si="742"/>
        <v>0</v>
      </c>
      <c r="E408" s="450">
        <f t="shared" si="742"/>
        <v>-6.7415730337078653E-3</v>
      </c>
      <c r="F408" s="450">
        <f t="shared" si="742"/>
        <v>-5.0699655242344354E-3</v>
      </c>
      <c r="G408" s="450">
        <f t="shared" si="742"/>
        <v>-8.380313880847174E-4</v>
      </c>
      <c r="H408" s="450">
        <f t="shared" si="742"/>
        <v>-2.2964673770405754E-3</v>
      </c>
      <c r="I408" s="450">
        <f t="shared" si="742"/>
        <v>-4.498581216693197E-3</v>
      </c>
      <c r="J408" s="1360">
        <f t="shared" si="742"/>
        <v>0</v>
      </c>
      <c r="K408" s="450">
        <f t="shared" ref="K408:R408" si="745">K352/K$336</f>
        <v>0</v>
      </c>
      <c r="L408" s="450">
        <f t="shared" si="745"/>
        <v>0</v>
      </c>
      <c r="M408" s="450">
        <f t="shared" si="745"/>
        <v>0</v>
      </c>
      <c r="N408" s="450">
        <f t="shared" si="745"/>
        <v>0</v>
      </c>
      <c r="O408" s="450">
        <f t="shared" si="745"/>
        <v>0</v>
      </c>
      <c r="P408" s="450">
        <f t="shared" si="745"/>
        <v>0</v>
      </c>
      <c r="Q408" s="450">
        <f t="shared" si="745"/>
        <v>0</v>
      </c>
      <c r="R408" s="450">
        <f t="shared" si="745"/>
        <v>0</v>
      </c>
      <c r="S408" s="450"/>
      <c r="T408" s="450"/>
      <c r="U408" s="450"/>
      <c r="V408" s="450" t="e">
        <f t="shared" ref="V408:BE408" si="746">V352/V$336</f>
        <v>#DIV/0!</v>
      </c>
      <c r="W408" s="450" t="e">
        <f t="shared" si="746"/>
        <v>#DIV/0!</v>
      </c>
      <c r="X408" s="450" t="e">
        <f t="shared" si="746"/>
        <v>#DIV/0!</v>
      </c>
      <c r="Y408" s="450" t="e">
        <f t="shared" si="746"/>
        <v>#DIV/0!</v>
      </c>
      <c r="Z408" s="450">
        <f t="shared" si="746"/>
        <v>0</v>
      </c>
      <c r="AA408" s="450">
        <f t="shared" si="746"/>
        <v>0</v>
      </c>
      <c r="AB408" s="450">
        <f t="shared" si="746"/>
        <v>-2.081727062451812E-2</v>
      </c>
      <c r="AC408" s="450">
        <f t="shared" si="746"/>
        <v>0</v>
      </c>
      <c r="AD408" s="450">
        <f t="shared" si="746"/>
        <v>0</v>
      </c>
      <c r="AE408" s="450">
        <f t="shared" si="746"/>
        <v>0</v>
      </c>
      <c r="AF408" s="450">
        <f t="shared" si="746"/>
        <v>-1.5095316139049426E-2</v>
      </c>
      <c r="AG408" s="1360">
        <f t="shared" si="746"/>
        <v>0</v>
      </c>
      <c r="AH408" s="450">
        <f t="shared" si="746"/>
        <v>0</v>
      </c>
      <c r="AI408" s="450">
        <f t="shared" si="746"/>
        <v>-4.018264840182648E-3</v>
      </c>
      <c r="AJ408" s="450">
        <f t="shared" si="746"/>
        <v>0</v>
      </c>
      <c r="AK408" s="1360">
        <f t="shared" si="746"/>
        <v>0</v>
      </c>
      <c r="AL408" s="450">
        <f t="shared" si="746"/>
        <v>0</v>
      </c>
      <c r="AM408" s="450">
        <f t="shared" si="746"/>
        <v>0</v>
      </c>
      <c r="AN408" s="450">
        <f t="shared" si="746"/>
        <v>-6.6847473165514339E-3</v>
      </c>
      <c r="AO408" s="1360">
        <f t="shared" si="746"/>
        <v>0</v>
      </c>
      <c r="AP408" s="450">
        <f t="shared" si="746"/>
        <v>0</v>
      </c>
      <c r="AQ408" s="450">
        <f t="shared" si="746"/>
        <v>0</v>
      </c>
      <c r="AR408" s="450">
        <f t="shared" si="746"/>
        <v>-1.317198853602756E-2</v>
      </c>
      <c r="AS408" s="1360">
        <f t="shared" si="746"/>
        <v>0</v>
      </c>
      <c r="AT408" s="450">
        <f t="shared" si="746"/>
        <v>0</v>
      </c>
      <c r="AU408" s="450">
        <f t="shared" si="746"/>
        <v>0</v>
      </c>
      <c r="AV408" s="450">
        <f t="shared" si="746"/>
        <v>0</v>
      </c>
      <c r="AW408" s="1360">
        <f t="shared" si="746"/>
        <v>0</v>
      </c>
      <c r="AX408" s="450">
        <f t="shared" si="746"/>
        <v>0</v>
      </c>
      <c r="AY408" s="450">
        <f t="shared" si="746"/>
        <v>0</v>
      </c>
      <c r="AZ408" s="450">
        <f t="shared" si="746"/>
        <v>-5.9498000674471259E-3</v>
      </c>
      <c r="BA408" s="1360">
        <f t="shared" si="746"/>
        <v>0</v>
      </c>
      <c r="BB408" s="450">
        <f t="shared" si="746"/>
        <v>0</v>
      </c>
      <c r="BC408" s="450">
        <f t="shared" si="746"/>
        <v>0</v>
      </c>
      <c r="BD408" s="450">
        <f t="shared" si="746"/>
        <v>0</v>
      </c>
      <c r="BE408" s="450">
        <f t="shared" si="746"/>
        <v>0</v>
      </c>
      <c r="BH408" s="289"/>
      <c r="BV408" s="289"/>
      <c r="BW408" s="289"/>
      <c r="BY408" s="289"/>
      <c r="BZ408" s="658"/>
      <c r="CA408" s="14"/>
      <c r="CB408" s="14"/>
      <c r="CC408" s="14"/>
      <c r="CD408" s="14"/>
      <c r="CE408" s="14"/>
      <c r="CF408" s="14"/>
      <c r="CG408"/>
      <c r="CH408"/>
      <c r="CI408"/>
      <c r="CJ408"/>
      <c r="CK408"/>
      <c r="CL408"/>
    </row>
    <row r="409" spans="1:90" s="13" customFormat="1" ht="12.75" customHeight="1" outlineLevel="1">
      <c r="A409" s="1349"/>
      <c r="B409" s="11" t="s">
        <v>863</v>
      </c>
      <c r="C409" s="450">
        <f t="shared" si="742"/>
        <v>0</v>
      </c>
      <c r="D409" s="450">
        <f t="shared" si="742"/>
        <v>0</v>
      </c>
      <c r="E409" s="450">
        <f t="shared" si="742"/>
        <v>0</v>
      </c>
      <c r="F409" s="450">
        <f t="shared" si="742"/>
        <v>-0.101022684474317</v>
      </c>
      <c r="G409" s="450">
        <f t="shared" si="742"/>
        <v>0</v>
      </c>
      <c r="H409" s="450">
        <f t="shared" si="742"/>
        <v>0</v>
      </c>
      <c r="I409" s="450">
        <f t="shared" si="742"/>
        <v>0</v>
      </c>
      <c r="J409" s="1360">
        <f t="shared" si="742"/>
        <v>0</v>
      </c>
      <c r="K409" s="450">
        <f t="shared" ref="K409:R409" si="747">K353/K$336</f>
        <v>0</v>
      </c>
      <c r="L409" s="450">
        <f t="shared" si="747"/>
        <v>0</v>
      </c>
      <c r="M409" s="450">
        <f t="shared" si="747"/>
        <v>0</v>
      </c>
      <c r="N409" s="450">
        <f t="shared" si="747"/>
        <v>0</v>
      </c>
      <c r="O409" s="450">
        <f t="shared" si="747"/>
        <v>0</v>
      </c>
      <c r="P409" s="450">
        <f t="shared" si="747"/>
        <v>0</v>
      </c>
      <c r="Q409" s="450">
        <f t="shared" si="747"/>
        <v>0</v>
      </c>
      <c r="R409" s="450">
        <f t="shared" si="747"/>
        <v>0</v>
      </c>
      <c r="S409" s="450"/>
      <c r="T409" s="450"/>
      <c r="U409" s="450"/>
      <c r="V409" s="450" t="e">
        <f t="shared" ref="V409:BE409" si="748">V353/V$336</f>
        <v>#DIV/0!</v>
      </c>
      <c r="W409" s="450" t="e">
        <f t="shared" si="748"/>
        <v>#DIV/0!</v>
      </c>
      <c r="X409" s="450" t="e">
        <f t="shared" si="748"/>
        <v>#DIV/0!</v>
      </c>
      <c r="Y409" s="450" t="e">
        <f t="shared" si="748"/>
        <v>#DIV/0!</v>
      </c>
      <c r="Z409" s="450">
        <f t="shared" si="748"/>
        <v>0</v>
      </c>
      <c r="AA409" s="450">
        <f t="shared" si="748"/>
        <v>0</v>
      </c>
      <c r="AB409" s="450">
        <f t="shared" si="748"/>
        <v>0</v>
      </c>
      <c r="AC409" s="450">
        <f t="shared" si="748"/>
        <v>0</v>
      </c>
      <c r="AD409" s="450">
        <f t="shared" si="748"/>
        <v>0</v>
      </c>
      <c r="AE409" s="450">
        <f t="shared" si="748"/>
        <v>-0.46761432211345044</v>
      </c>
      <c r="AF409" s="450">
        <f t="shared" si="748"/>
        <v>0</v>
      </c>
      <c r="AG409" s="1360">
        <f t="shared" si="748"/>
        <v>0</v>
      </c>
      <c r="AH409" s="450">
        <f t="shared" si="748"/>
        <v>0</v>
      </c>
      <c r="AI409" s="450">
        <f t="shared" si="748"/>
        <v>0</v>
      </c>
      <c r="AJ409" s="450">
        <f t="shared" si="748"/>
        <v>0</v>
      </c>
      <c r="AK409" s="1360">
        <f t="shared" si="748"/>
        <v>0</v>
      </c>
      <c r="AL409" s="450">
        <f t="shared" si="748"/>
        <v>0</v>
      </c>
      <c r="AM409" s="450">
        <f t="shared" si="748"/>
        <v>0</v>
      </c>
      <c r="AN409" s="450">
        <f t="shared" si="748"/>
        <v>0</v>
      </c>
      <c r="AO409" s="1360">
        <f t="shared" si="748"/>
        <v>0</v>
      </c>
      <c r="AP409" s="450">
        <f t="shared" si="748"/>
        <v>0</v>
      </c>
      <c r="AQ409" s="450">
        <f t="shared" si="748"/>
        <v>0</v>
      </c>
      <c r="AR409" s="450">
        <f t="shared" si="748"/>
        <v>0</v>
      </c>
      <c r="AS409" s="1360">
        <f t="shared" si="748"/>
        <v>0</v>
      </c>
      <c r="AT409" s="450">
        <f t="shared" si="748"/>
        <v>0</v>
      </c>
      <c r="AU409" s="450">
        <f t="shared" si="748"/>
        <v>0</v>
      </c>
      <c r="AV409" s="450">
        <f t="shared" si="748"/>
        <v>0</v>
      </c>
      <c r="AW409" s="1360">
        <f t="shared" si="748"/>
        <v>0</v>
      </c>
      <c r="AX409" s="450">
        <f t="shared" si="748"/>
        <v>0</v>
      </c>
      <c r="AY409" s="450">
        <f t="shared" si="748"/>
        <v>0</v>
      </c>
      <c r="AZ409" s="450">
        <f t="shared" si="748"/>
        <v>0</v>
      </c>
      <c r="BA409" s="1360">
        <f t="shared" si="748"/>
        <v>0</v>
      </c>
      <c r="BB409" s="450">
        <f t="shared" si="748"/>
        <v>0</v>
      </c>
      <c r="BC409" s="450">
        <f t="shared" si="748"/>
        <v>0</v>
      </c>
      <c r="BD409" s="450">
        <f t="shared" si="748"/>
        <v>0</v>
      </c>
      <c r="BE409" s="450">
        <f t="shared" si="748"/>
        <v>0</v>
      </c>
      <c r="BH409" s="289"/>
      <c r="BV409" s="289"/>
      <c r="BW409" s="289"/>
      <c r="BY409" s="289"/>
      <c r="BZ409" s="658"/>
      <c r="CA409" s="14"/>
      <c r="CB409" s="14"/>
      <c r="CC409" s="14"/>
      <c r="CD409" s="14"/>
      <c r="CE409" s="14"/>
      <c r="CF409" s="14"/>
      <c r="CG409"/>
      <c r="CH409"/>
      <c r="CI409"/>
      <c r="CJ409"/>
      <c r="CK409"/>
      <c r="CL409"/>
    </row>
    <row r="410" spans="1:90" s="13" customFormat="1" ht="12.75" customHeight="1" outlineLevel="1">
      <c r="A410" s="1349"/>
      <c r="B410" s="12" t="s">
        <v>864</v>
      </c>
      <c r="C410" s="658">
        <f>SUM(C404:C409)</f>
        <v>-0.88590704647676166</v>
      </c>
      <c r="D410" s="658">
        <f t="shared" ref="D410:J410" si="749">SUM(D404:D409)</f>
        <v>-0.59514408132403596</v>
      </c>
      <c r="E410" s="658">
        <f t="shared" si="749"/>
        <v>-0.42227215980024968</v>
      </c>
      <c r="F410" s="658">
        <f t="shared" si="749"/>
        <v>-0.40695888982240636</v>
      </c>
      <c r="G410" s="658">
        <f t="shared" si="749"/>
        <v>-0.27074127685509675</v>
      </c>
      <c r="H410" s="658">
        <f t="shared" si="749"/>
        <v>-0.38364127867303555</v>
      </c>
      <c r="I410" s="658">
        <f t="shared" si="749"/>
        <v>-0.37260116864241721</v>
      </c>
      <c r="J410" s="1357">
        <f t="shared" si="749"/>
        <v>-0.32055372678852362</v>
      </c>
      <c r="K410" s="658">
        <f t="shared" ref="K410" si="750">SUM(K404:K409)</f>
        <v>-0.30685042502147725</v>
      </c>
      <c r="L410" s="658">
        <f t="shared" ref="L410" si="751">SUM(L404:L409)</f>
        <v>-0.30533472651407567</v>
      </c>
      <c r="M410" s="658">
        <f t="shared" ref="M410" si="752">SUM(M404:M409)</f>
        <v>-0.28961019420074624</v>
      </c>
      <c r="N410" s="658">
        <f t="shared" ref="N410" si="753">SUM(N404:N409)</f>
        <v>-0.28047142559948207</v>
      </c>
      <c r="O410" s="658">
        <f t="shared" ref="O410" si="754">SUM(O404:O409)</f>
        <v>-0.26814247487374038</v>
      </c>
      <c r="P410" s="658">
        <f t="shared" ref="P410" si="755">SUM(P404:P409)</f>
        <v>-0.2667941731708186</v>
      </c>
      <c r="Q410" s="658">
        <f t="shared" ref="Q410" si="756">SUM(Q404:Q409)</f>
        <v>-0.27070291532904994</v>
      </c>
      <c r="R410" s="658">
        <f t="shared" ref="R410" si="757">SUM(R404:R409)</f>
        <v>-0.27451311355237062</v>
      </c>
      <c r="S410" s="658"/>
      <c r="T410" s="658"/>
      <c r="U410" s="658"/>
      <c r="V410" s="658" t="e">
        <f t="shared" ref="V410" si="758">SUM(V404:V409)</f>
        <v>#DIV/0!</v>
      </c>
      <c r="W410" s="658" t="e">
        <f t="shared" ref="W410" si="759">SUM(W404:W409)</f>
        <v>#DIV/0!</v>
      </c>
      <c r="X410" s="658" t="e">
        <f t="shared" ref="X410" si="760">SUM(X404:X409)</f>
        <v>#DIV/0!</v>
      </c>
      <c r="Y410" s="658" t="e">
        <f t="shared" ref="Y410" si="761">SUM(Y404:Y409)</f>
        <v>#DIV/0!</v>
      </c>
      <c r="Z410" s="658">
        <f t="shared" ref="Z410" si="762">SUM(Z404:Z409)</f>
        <v>-0.45381428223251274</v>
      </c>
      <c r="AA410" s="658">
        <f t="shared" ref="AA410" si="763">SUM(AA404:AA409)</f>
        <v>-0.48161764705882348</v>
      </c>
      <c r="AB410" s="658">
        <f t="shared" ref="AB410" si="764">SUM(AB404:AB409)</f>
        <v>-0.38581341557440241</v>
      </c>
      <c r="AC410" s="658">
        <f t="shared" ref="AC410" si="765">SUM(AC404:AC409)</f>
        <v>-0.39252704031465097</v>
      </c>
      <c r="AD410" s="658">
        <f t="shared" ref="AD410" si="766">SUM(AD404:AD409)</f>
        <v>-0.33725894302958931</v>
      </c>
      <c r="AE410" s="658">
        <f t="shared" ref="AE410" si="767">SUM(AE404:AE409)</f>
        <v>-0.83009253050824738</v>
      </c>
      <c r="AF410" s="658">
        <f t="shared" ref="AF410" si="768">SUM(AF404:AF409)</f>
        <v>-0.31234365565427408</v>
      </c>
      <c r="AG410" s="1357">
        <f t="shared" ref="AG410" si="769">SUM(AG404:AG409)</f>
        <v>-0.22423334101913767</v>
      </c>
      <c r="AH410" s="658">
        <f t="shared" ref="AH410" si="770">SUM(AH404:AH409)</f>
        <v>-0.2441083688996103</v>
      </c>
      <c r="AI410" s="658">
        <f t="shared" ref="AI410" si="771">SUM(AI404:AI409)</f>
        <v>-0.24666666666666667</v>
      </c>
      <c r="AJ410" s="658">
        <f t="shared" ref="AJ410" si="772">SUM(AJ404:AJ409)</f>
        <v>-0.30797546012269938</v>
      </c>
      <c r="AK410" s="1357">
        <f t="shared" ref="AK410" si="773">SUM(AK404:AK409)</f>
        <v>-0.25849887789876153</v>
      </c>
      <c r="AL410" s="658">
        <f t="shared" ref="AL410" si="774">SUM(AL404:AL409)</f>
        <v>-0.27531545241265615</v>
      </c>
      <c r="AM410" s="658">
        <f t="shared" ref="AM410" si="775">SUM(AM404:AM409)</f>
        <v>-0.40929348149028466</v>
      </c>
      <c r="AN410" s="658">
        <f t="shared" ref="AN410" si="776">SUM(AN404:AN409)</f>
        <v>-0.35570495435272548</v>
      </c>
      <c r="AO410" s="1357">
        <f t="shared" ref="AO410" si="777">SUM(AO404:AO409)</f>
        <v>-0.49888091822094693</v>
      </c>
      <c r="AP410" s="658">
        <f t="shared" ref="AP410" si="778">SUM(AP404:AP409)</f>
        <v>-0.41358360088910845</v>
      </c>
      <c r="AQ410" s="658">
        <f t="shared" ref="AQ410" si="779">SUM(AQ404:AQ409)</f>
        <v>-0.38992377429976099</v>
      </c>
      <c r="AR410" s="658">
        <f t="shared" ref="AR410" si="780">SUM(AR404:AR409)</f>
        <v>-0.32301768809889125</v>
      </c>
      <c r="AS410" s="1357">
        <f t="shared" ref="AS410" si="781">SUM(AS404:AS409)</f>
        <v>-0.39323519682434671</v>
      </c>
      <c r="AT410" s="658">
        <f t="shared" ref="AT410" si="782">SUM(AT404:AT409)</f>
        <v>-0.36063942277788141</v>
      </c>
      <c r="AU410" s="658">
        <f t="shared" ref="AU410" si="783">SUM(AU404:AU409)</f>
        <v>-0.35355184882771495</v>
      </c>
      <c r="AV410" s="658">
        <f t="shared" ref="AV410" si="784">SUM(AV404:AV409)</f>
        <v>-0.25274188701923073</v>
      </c>
      <c r="AW410" s="1357">
        <f t="shared" ref="AW410" si="785">SUM(AW404:AW409)</f>
        <v>-0.35140879753233628</v>
      </c>
      <c r="AX410" s="658">
        <f t="shared" ref="AX410" si="786">SUM(AX404:AX409)</f>
        <v>-0.30310457516339867</v>
      </c>
      <c r="AY410" s="658">
        <f t="shared" ref="AY410" si="787">SUM(AY404:AY409)</f>
        <v>-0.29998911505388043</v>
      </c>
      <c r="AZ410" s="658">
        <f t="shared" ref="AZ410" si="788">SUM(AZ404:AZ409)</f>
        <v>-0.26441682324035265</v>
      </c>
      <c r="BA410" s="1357">
        <f t="shared" ref="BA410" si="789">SUM(BA404:BA409)</f>
        <v>-0.38322623275160239</v>
      </c>
      <c r="BB410" s="658">
        <f t="shared" ref="BB410" si="790">SUM(BB404:BB409)</f>
        <v>-0.30319845803142292</v>
      </c>
      <c r="BC410" s="658">
        <f t="shared" ref="BC410" si="791">SUM(BC404:BC409)</f>
        <v>-0.32604498482566646</v>
      </c>
      <c r="BD410" s="658">
        <f t="shared" ref="BD410" si="792">SUM(BD404:BD409)</f>
        <v>-0.24697604275875235</v>
      </c>
      <c r="BE410" s="658">
        <f t="shared" ref="BE410" si="793">SUM(BE404:BE409)</f>
        <v>-0.36636418716225994</v>
      </c>
      <c r="BH410" s="289"/>
      <c r="BV410" s="289"/>
      <c r="BW410" s="289"/>
      <c r="BY410" s="289"/>
      <c r="BZ410" s="658"/>
      <c r="CA410" s="14"/>
      <c r="CB410" s="14"/>
      <c r="CC410" s="14"/>
      <c r="CD410" s="14"/>
      <c r="CE410" s="14"/>
      <c r="CF410" s="14"/>
      <c r="CG410"/>
      <c r="CH410"/>
      <c r="CI410"/>
      <c r="CJ410"/>
      <c r="CK410"/>
      <c r="CL410"/>
    </row>
    <row r="411" spans="1:90" s="13" customFormat="1" ht="12.75" customHeight="1" outlineLevel="1">
      <c r="A411" s="1349"/>
      <c r="B411" s="12" t="str">
        <f>B354</f>
        <v>Operating profit</v>
      </c>
      <c r="C411" s="658">
        <f>C403+C410</f>
        <v>-0.13088455772113949</v>
      </c>
      <c r="D411" s="658">
        <f t="shared" ref="D411:J411" si="794">D403+D410</f>
        <v>0.11106443753675543</v>
      </c>
      <c r="E411" s="658">
        <f t="shared" si="794"/>
        <v>0.25043695380774034</v>
      </c>
      <c r="F411" s="658">
        <f t="shared" si="794"/>
        <v>0.31146971057739659</v>
      </c>
      <c r="G411" s="658">
        <f t="shared" si="794"/>
        <v>0.47463050434252629</v>
      </c>
      <c r="H411" s="658">
        <f t="shared" si="794"/>
        <v>0.30359298724476402</v>
      </c>
      <c r="I411" s="658">
        <f t="shared" si="794"/>
        <v>0.28773123201803386</v>
      </c>
      <c r="J411" s="1357">
        <f t="shared" si="794"/>
        <v>0.30362095872321876</v>
      </c>
      <c r="K411" s="658">
        <f t="shared" ref="K411" si="795">K403+K410</f>
        <v>0.28814957497852284</v>
      </c>
      <c r="L411" s="658">
        <f t="shared" ref="L411" si="796">L403+L410</f>
        <v>0.29466527348592431</v>
      </c>
      <c r="M411" s="658">
        <f t="shared" ref="M411" si="797">M403+M410</f>
        <v>0.29738980579925373</v>
      </c>
      <c r="N411" s="658">
        <f t="shared" ref="N411" si="798">N403+N410</f>
        <v>0.30652857440051801</v>
      </c>
      <c r="O411" s="658">
        <f t="shared" ref="O411" si="799">O403+O410</f>
        <v>0.3188575251262597</v>
      </c>
      <c r="P411" s="658">
        <f t="shared" ref="P411" si="800">P403+P410</f>
        <v>0.32020582682918136</v>
      </c>
      <c r="Q411" s="658">
        <f t="shared" ref="Q411" si="801">Q403+Q410</f>
        <v>0.31629708467095013</v>
      </c>
      <c r="R411" s="658">
        <f t="shared" ref="R411" si="802">R403+R410</f>
        <v>0.31248688644762934</v>
      </c>
      <c r="S411" s="658"/>
      <c r="T411" s="658"/>
      <c r="U411" s="658"/>
      <c r="V411" s="658" t="e">
        <f t="shared" ref="V411" si="803">V403+V410</f>
        <v>#DIV/0!</v>
      </c>
      <c r="W411" s="658" t="e">
        <f t="shared" ref="W411" si="804">W403+W410</f>
        <v>#DIV/0!</v>
      </c>
      <c r="X411" s="658" t="e">
        <f t="shared" ref="X411" si="805">X403+X410</f>
        <v>#DIV/0!</v>
      </c>
      <c r="Y411" s="658" t="e">
        <f t="shared" ref="Y411" si="806">Y403+Y410</f>
        <v>#DIV/0!</v>
      </c>
      <c r="Z411" s="658">
        <f t="shared" ref="Z411" si="807">Z403+Z410</f>
        <v>0.21569583231781631</v>
      </c>
      <c r="AA411" s="658">
        <f t="shared" ref="AA411" si="808">AA403+AA410</f>
        <v>0.18727022058823539</v>
      </c>
      <c r="AB411" s="658">
        <f t="shared" ref="AB411" si="809">AB403+AB410</f>
        <v>0.30161912104857369</v>
      </c>
      <c r="AC411" s="658">
        <f t="shared" ref="AC411" si="810">AC403+AC410</f>
        <v>0.26725663716814158</v>
      </c>
      <c r="AD411" s="658">
        <f t="shared" ref="AD411" si="811">AD403+AD410</f>
        <v>0.34506109230089793</v>
      </c>
      <c r="AE411" s="658">
        <f t="shared" ref="AE411" si="812">AE403+AE410</f>
        <v>-0.14831701756738647</v>
      </c>
      <c r="AF411" s="658">
        <f t="shared" ref="AF411" si="813">AF403+AF410</f>
        <v>0.43655654274130945</v>
      </c>
      <c r="AG411" s="1357">
        <f t="shared" ref="AG411" si="814">AG403+AG410</f>
        <v>0.51325801245100289</v>
      </c>
      <c r="AH411" s="658">
        <f t="shared" ref="AH411" si="815">AH403+AH410</f>
        <v>0.50287622935609577</v>
      </c>
      <c r="AI411" s="658">
        <f t="shared" ref="AI411" si="816">AI403+AI410</f>
        <v>0.479269406392694</v>
      </c>
      <c r="AJ411" s="658">
        <f t="shared" ref="AJ411" si="817">AJ403+AJ410</f>
        <v>0.46951186983195514</v>
      </c>
      <c r="AK411" s="1357">
        <f t="shared" ref="AK411" si="818">AK403+AK410</f>
        <v>0.45307954451001581</v>
      </c>
      <c r="AL411" s="658">
        <f t="shared" ref="AL411" si="819">AL403+AL410</f>
        <v>0.43396106778263904</v>
      </c>
      <c r="AM411" s="658">
        <f t="shared" ref="AM411" si="820">AM403+AM410</f>
        <v>0.25818527541743419</v>
      </c>
      <c r="AN411" s="658">
        <f t="shared" ref="AN411" si="821">AN403+AN410</f>
        <v>0.35704190381603579</v>
      </c>
      <c r="AO411" s="1357">
        <f t="shared" ref="AO411" si="822">AO403+AO410</f>
        <v>0.14915351506456243</v>
      </c>
      <c r="AP411" s="658">
        <f t="shared" ref="AP411" si="823">AP403+AP410</f>
        <v>0.25492714250432208</v>
      </c>
      <c r="AQ411" s="658">
        <f t="shared" ref="AQ411" si="824">AQ403+AQ410</f>
        <v>0.28843985386315452</v>
      </c>
      <c r="AR411" s="658">
        <f t="shared" ref="AR411" si="825">AR403+AR410</f>
        <v>0.35995715485047625</v>
      </c>
      <c r="AS411" s="1357">
        <f t="shared" ref="AS411" si="826">AS403+AS410</f>
        <v>0.21137942441283486</v>
      </c>
      <c r="AT411" s="658">
        <f t="shared" ref="AT411" si="827">AT403+AT410</f>
        <v>0.27411830565403994</v>
      </c>
      <c r="AU411" s="658">
        <f t="shared" ref="AU411" si="828">AU403+AU410</f>
        <v>0.26376414324040587</v>
      </c>
      <c r="AV411" s="658">
        <f t="shared" ref="AV411" si="829">AV403+AV410</f>
        <v>0.38807091346153855</v>
      </c>
      <c r="AW411" s="1357">
        <f t="shared" ref="AW411" si="830">AW403+AW410</f>
        <v>0.24707742554239348</v>
      </c>
      <c r="AX411" s="658">
        <f t="shared" ref="AX411" si="831">AX403+AX410</f>
        <v>0.34897576916945644</v>
      </c>
      <c r="AY411" s="658">
        <f t="shared" ref="AY411" si="832">AY403+AY410</f>
        <v>0.30085991074344193</v>
      </c>
      <c r="AZ411" s="658">
        <f t="shared" ref="AZ411" si="833">AZ403+AZ410</f>
        <v>0.3130991954521366</v>
      </c>
      <c r="BA411" s="1357">
        <f t="shared" ref="BA411" si="834">BA403+BA410</f>
        <v>0.18285777153488159</v>
      </c>
      <c r="BB411" s="658">
        <f t="shared" ref="BB411" si="835">BB403+BB410</f>
        <v>0.29180154196857705</v>
      </c>
      <c r="BC411" s="658">
        <f t="shared" ref="BC411" si="836">BC403+BC410</f>
        <v>0.26395501517433362</v>
      </c>
      <c r="BD411" s="658">
        <f t="shared" ref="BD411" si="837">BD403+BD410</f>
        <v>0.35302395724124763</v>
      </c>
      <c r="BE411" s="658">
        <f t="shared" ref="BE411" si="838">BE403+BE410</f>
        <v>0.24805626285001248</v>
      </c>
      <c r="BH411" s="289"/>
      <c r="BV411" s="289"/>
      <c r="BW411" s="289"/>
      <c r="BY411" s="289"/>
      <c r="BZ411" s="658"/>
      <c r="CA411" s="14"/>
      <c r="CB411" s="14"/>
      <c r="CC411" s="14"/>
      <c r="CD411" s="14"/>
      <c r="CE411" s="14"/>
      <c r="CF411" s="14"/>
      <c r="CG411"/>
      <c r="CH411"/>
      <c r="CI411"/>
      <c r="CJ411"/>
      <c r="CK411"/>
      <c r="CL411"/>
    </row>
    <row r="412" spans="1:90" s="13" customFormat="1" ht="12.75" customHeight="1" outlineLevel="1">
      <c r="A412" s="1349"/>
      <c r="B412" s="11" t="str">
        <f>B356</f>
        <v>Interest and investment income (loss), net</v>
      </c>
      <c r="C412" s="450">
        <f>C356/C$336</f>
        <v>5.7571214392803598E-2</v>
      </c>
      <c r="D412" s="450">
        <f t="shared" ref="D412:J412" si="839">D356/D$336</f>
        <v>4.6122826178274387E-2</v>
      </c>
      <c r="E412" s="450">
        <f t="shared" si="839"/>
        <v>1.2883895131086143E-2</v>
      </c>
      <c r="F412" s="450">
        <f t="shared" si="839"/>
        <v>1.1298780311151026E-3</v>
      </c>
      <c r="G412" s="450">
        <f t="shared" si="839"/>
        <v>3.1388084717354867E-2</v>
      </c>
      <c r="H412" s="450">
        <f t="shared" si="839"/>
        <v>0.12407485171382079</v>
      </c>
      <c r="I412" s="450">
        <f t="shared" si="839"/>
        <v>0.51663486351007981</v>
      </c>
      <c r="J412" s="1360">
        <f t="shared" si="839"/>
        <v>5.4077448459307655E-2</v>
      </c>
      <c r="K412" s="450">
        <f t="shared" ref="K412:R412" si="840">K356/K$336</f>
        <v>0.12633414870532206</v>
      </c>
      <c r="L412" s="450">
        <f t="shared" si="840"/>
        <v>2.9116175792368647E-2</v>
      </c>
      <c r="M412" s="450">
        <f t="shared" si="840"/>
        <v>2.4763460541093907E-2</v>
      </c>
      <c r="N412" s="450">
        <f t="shared" si="840"/>
        <v>2.4494837766690831E-2</v>
      </c>
      <c r="O412" s="450">
        <f t="shared" si="840"/>
        <v>2.7152493944299215E-2</v>
      </c>
      <c r="P412" s="450">
        <f t="shared" si="840"/>
        <v>3.0279109914710025E-2</v>
      </c>
      <c r="Q412" s="450">
        <f t="shared" si="840"/>
        <v>3.4852386523447625E-2</v>
      </c>
      <c r="R412" s="450">
        <f t="shared" si="840"/>
        <v>3.9036388870029248E-2</v>
      </c>
      <c r="S412" s="450"/>
      <c r="T412" s="450"/>
      <c r="U412" s="450"/>
      <c r="V412" s="450" t="e">
        <f t="shared" ref="V412:BE412" si="841">V356/V$336</f>
        <v>#DIV/0!</v>
      </c>
      <c r="W412" s="450" t="e">
        <f t="shared" si="841"/>
        <v>#DIV/0!</v>
      </c>
      <c r="X412" s="450" t="e">
        <f t="shared" si="841"/>
        <v>#DIV/0!</v>
      </c>
      <c r="Y412" s="450" t="e">
        <f t="shared" si="841"/>
        <v>#DIV/0!</v>
      </c>
      <c r="Z412" s="450">
        <f t="shared" si="841"/>
        <v>0</v>
      </c>
      <c r="AA412" s="450">
        <f t="shared" si="841"/>
        <v>0</v>
      </c>
      <c r="AB412" s="450">
        <f t="shared" si="841"/>
        <v>0</v>
      </c>
      <c r="AC412" s="450">
        <f t="shared" si="841"/>
        <v>0</v>
      </c>
      <c r="AD412" s="450">
        <f t="shared" si="841"/>
        <v>0</v>
      </c>
      <c r="AE412" s="450">
        <f t="shared" si="841"/>
        <v>0</v>
      </c>
      <c r="AF412" s="450">
        <f t="shared" si="841"/>
        <v>0</v>
      </c>
      <c r="AG412" s="1360">
        <f t="shared" si="841"/>
        <v>0</v>
      </c>
      <c r="AH412" s="450">
        <f t="shared" si="841"/>
        <v>4.3236221933568381E-2</v>
      </c>
      <c r="AI412" s="450">
        <f t="shared" si="841"/>
        <v>2.904109589041096E-2</v>
      </c>
      <c r="AJ412" s="450">
        <f t="shared" si="841"/>
        <v>1.5790877567351293E-2</v>
      </c>
      <c r="AK412" s="1360">
        <f t="shared" si="841"/>
        <v>4.7211370625883133E-2</v>
      </c>
      <c r="AL412" s="450">
        <f t="shared" si="841"/>
        <v>0.4329465474605288</v>
      </c>
      <c r="AM412" s="450">
        <f t="shared" si="841"/>
        <v>2.7809138986273695E-2</v>
      </c>
      <c r="AN412" s="450">
        <f t="shared" si="841"/>
        <v>1.1956148057603422E-2</v>
      </c>
      <c r="AO412" s="1360">
        <f t="shared" si="841"/>
        <v>0.10593974175035868</v>
      </c>
      <c r="AP412" s="450">
        <f t="shared" si="841"/>
        <v>1.3525314892566065</v>
      </c>
      <c r="AQ412" s="450">
        <f t="shared" si="841"/>
        <v>0.81863695818862481</v>
      </c>
      <c r="AR412" s="450">
        <f t="shared" si="841"/>
        <v>8.5227108241901398E-2</v>
      </c>
      <c r="AS412" s="1360">
        <f t="shared" si="841"/>
        <v>0.1562189877605028</v>
      </c>
      <c r="AT412" s="450">
        <f t="shared" si="841"/>
        <v>2.3325247247620823E-2</v>
      </c>
      <c r="AU412" s="450">
        <f t="shared" si="841"/>
        <v>1.2218593257902718E-2</v>
      </c>
      <c r="AV412" s="450">
        <f t="shared" si="841"/>
        <v>1.5718900240384616E-2</v>
      </c>
      <c r="AW412" s="1360">
        <f t="shared" si="841"/>
        <v>0.16985924985095519</v>
      </c>
      <c r="AX412" s="450">
        <f t="shared" si="841"/>
        <v>2.9332058026462618E-2</v>
      </c>
      <c r="AY412" s="450">
        <f t="shared" si="841"/>
        <v>6.2316316534233154E-2</v>
      </c>
      <c r="AZ412" s="450">
        <f t="shared" si="841"/>
        <v>0.28475935828877003</v>
      </c>
      <c r="BA412" s="1360">
        <f t="shared" si="841"/>
        <v>4.706525014157345E-2</v>
      </c>
      <c r="BB412" s="450">
        <f t="shared" si="841"/>
        <v>3.3635324817138691E-2</v>
      </c>
      <c r="BC412" s="450">
        <f t="shared" si="841"/>
        <v>3.1643440719907892E-2</v>
      </c>
      <c r="BD412" s="450">
        <f t="shared" si="841"/>
        <v>2.2818232310354195E-2</v>
      </c>
      <c r="BE412" s="450">
        <f t="shared" si="841"/>
        <v>3.1033443906926438E-2</v>
      </c>
      <c r="BH412" s="289"/>
      <c r="BV412" s="289"/>
      <c r="BW412" s="289"/>
      <c r="BY412" s="289"/>
      <c r="BZ412" s="658"/>
      <c r="CA412" s="14"/>
      <c r="CB412" s="14"/>
      <c r="CC412" s="14"/>
      <c r="CD412" s="14"/>
      <c r="CE412" s="14"/>
      <c r="CF412" s="14"/>
      <c r="CG412"/>
      <c r="CH412"/>
      <c r="CI412"/>
      <c r="CJ412"/>
      <c r="CK412"/>
      <c r="CL412"/>
    </row>
    <row r="413" spans="1:90" s="13" customFormat="1" ht="12.75" customHeight="1" outlineLevel="1">
      <c r="A413" s="1349"/>
      <c r="B413" s="11" t="str">
        <f t="shared" ref="B413:B416" si="842">B357</f>
        <v>Interest expenses</v>
      </c>
      <c r="C413" s="450">
        <f t="shared" ref="C413:J414" si="843">C357/C$336</f>
        <v>0</v>
      </c>
      <c r="D413" s="450">
        <f t="shared" si="843"/>
        <v>-3.3604973536083342E-4</v>
      </c>
      <c r="E413" s="450">
        <f t="shared" si="843"/>
        <v>-3.3957553058676653E-3</v>
      </c>
      <c r="F413" s="450">
        <f t="shared" si="843"/>
        <v>-4.5542776023408754E-2</v>
      </c>
      <c r="G413" s="450">
        <f t="shared" si="843"/>
        <v>-4.1806338564680787E-2</v>
      </c>
      <c r="H413" s="450">
        <f t="shared" si="843"/>
        <v>-3.6087344496351897E-2</v>
      </c>
      <c r="I413" s="450">
        <f t="shared" si="843"/>
        <v>-1.9240085819087826E-2</v>
      </c>
      <c r="J413" s="1360">
        <f t="shared" si="843"/>
        <v>-1.6875904291951248E-2</v>
      </c>
      <c r="K413" s="450">
        <f t="shared" ref="K413:R413" si="844">K357/K$336</f>
        <v>-1.5201221079610796E-2</v>
      </c>
      <c r="L413" s="450">
        <f t="shared" si="844"/>
        <v>-1.4399476704519973E-2</v>
      </c>
      <c r="M413" s="450">
        <f t="shared" si="844"/>
        <v>-1.031108840943426E-2</v>
      </c>
      <c r="N413" s="450">
        <f t="shared" si="844"/>
        <v>-9.1631738841455295E-3</v>
      </c>
      <c r="O413" s="450">
        <f t="shared" si="844"/>
        <v>-7.8745192893811215E-3</v>
      </c>
      <c r="P413" s="450">
        <f t="shared" si="844"/>
        <v>-6.7372955290725955E-3</v>
      </c>
      <c r="Q413" s="450">
        <f t="shared" si="844"/>
        <v>-6.0843349666684747E-3</v>
      </c>
      <c r="R413" s="450">
        <f t="shared" si="844"/>
        <v>-5.5447419730456455E-3</v>
      </c>
      <c r="S413" s="450"/>
      <c r="T413" s="450"/>
      <c r="U413" s="450"/>
      <c r="V413" s="450" t="e">
        <f t="shared" ref="V413:BE413" si="845">V357/V$336</f>
        <v>#DIV/0!</v>
      </c>
      <c r="W413" s="450" t="e">
        <f t="shared" si="845"/>
        <v>#DIV/0!</v>
      </c>
      <c r="X413" s="450" t="e">
        <f t="shared" si="845"/>
        <v>#DIV/0!</v>
      </c>
      <c r="Y413" s="450" t="e">
        <f t="shared" si="845"/>
        <v>#DIV/0!</v>
      </c>
      <c r="Z413" s="450">
        <f t="shared" si="845"/>
        <v>0</v>
      </c>
      <c r="AA413" s="450">
        <f t="shared" si="845"/>
        <v>0</v>
      </c>
      <c r="AB413" s="450">
        <f t="shared" si="845"/>
        <v>0</v>
      </c>
      <c r="AC413" s="450">
        <f t="shared" si="845"/>
        <v>0</v>
      </c>
      <c r="AD413" s="450">
        <f t="shared" si="845"/>
        <v>0</v>
      </c>
      <c r="AE413" s="450">
        <f t="shared" si="845"/>
        <v>0</v>
      </c>
      <c r="AF413" s="450">
        <f t="shared" si="845"/>
        <v>0</v>
      </c>
      <c r="AG413" s="1360">
        <f t="shared" si="845"/>
        <v>0</v>
      </c>
      <c r="AH413" s="450">
        <f t="shared" si="845"/>
        <v>-0.10029690109482278</v>
      </c>
      <c r="AI413" s="450">
        <f t="shared" si="845"/>
        <v>-3.415525114155251E-2</v>
      </c>
      <c r="AJ413" s="450">
        <f t="shared" si="845"/>
        <v>-2.0645505468124832E-2</v>
      </c>
      <c r="AK413" s="1360">
        <f t="shared" si="845"/>
        <v>-2.9340869420663288E-2</v>
      </c>
      <c r="AL413" s="450">
        <f t="shared" si="845"/>
        <v>-2.5997083254073933E-2</v>
      </c>
      <c r="AM413" s="450">
        <f t="shared" si="845"/>
        <v>-3.0958464555232039E-2</v>
      </c>
      <c r="AN413" s="450">
        <f t="shared" si="845"/>
        <v>-5.1338859391115016E-2</v>
      </c>
      <c r="AO413" s="1360">
        <f t="shared" si="845"/>
        <v>-2.7259684361549498E-2</v>
      </c>
      <c r="AP413" s="450">
        <f t="shared" si="845"/>
        <v>-2.3561373178562609E-2</v>
      </c>
      <c r="AQ413" s="450">
        <f t="shared" si="845"/>
        <v>-2.1830318885029995E-2</v>
      </c>
      <c r="AR413" s="450">
        <f t="shared" si="845"/>
        <v>-1.3750977043105694E-2</v>
      </c>
      <c r="AS413" s="1360">
        <f t="shared" si="845"/>
        <v>-2.1088322858087993E-2</v>
      </c>
      <c r="AT413" s="450">
        <f t="shared" si="845"/>
        <v>-1.9468806369347516E-2</v>
      </c>
      <c r="AU413" s="450">
        <f t="shared" si="845"/>
        <v>-1.9479762043625334E-2</v>
      </c>
      <c r="AV413" s="450">
        <f t="shared" si="845"/>
        <v>-1.3164813701923076E-2</v>
      </c>
      <c r="AW413" s="1360">
        <f t="shared" si="845"/>
        <v>-1.7522486326758079E-2</v>
      </c>
      <c r="AX413" s="450">
        <f t="shared" si="845"/>
        <v>-1.5941335883947076E-2</v>
      </c>
      <c r="AY413" s="450">
        <f t="shared" si="845"/>
        <v>-1.3551757918798302E-2</v>
      </c>
      <c r="AZ413" s="450">
        <f t="shared" si="845"/>
        <v>-1.0165245459363106E-2</v>
      </c>
      <c r="BA413" s="1360">
        <f t="shared" si="845"/>
        <v>-2.3064927685410713E-2</v>
      </c>
      <c r="BB413" s="450">
        <f t="shared" si="845"/>
        <v>-1.6634433024693245E-2</v>
      </c>
      <c r="BC413" s="450">
        <f t="shared" si="845"/>
        <v>-1.564934182107109E-2</v>
      </c>
      <c r="BD413" s="450">
        <f t="shared" si="845"/>
        <v>-1.1284813188873125E-2</v>
      </c>
      <c r="BE413" s="450">
        <f t="shared" si="845"/>
        <v>-1.5347666389482989E-2</v>
      </c>
      <c r="BH413" s="289"/>
      <c r="BV413" s="289"/>
      <c r="BW413" s="289"/>
      <c r="BY413" s="289"/>
      <c r="BZ413" s="658"/>
      <c r="CA413" s="14"/>
      <c r="CB413" s="14"/>
      <c r="CC413" s="14"/>
      <c r="CD413" s="14"/>
      <c r="CE413" s="14"/>
      <c r="CF413" s="14"/>
      <c r="CG413"/>
      <c r="CH413"/>
      <c r="CI413"/>
      <c r="CJ413"/>
      <c r="CK413"/>
      <c r="CL413"/>
    </row>
    <row r="414" spans="1:90" s="13" customFormat="1" ht="12.75" customHeight="1" outlineLevel="1">
      <c r="A414" s="1349"/>
      <c r="B414" s="11" t="str">
        <f t="shared" si="842"/>
        <v>Other income, net</v>
      </c>
      <c r="C414" s="450">
        <f t="shared" si="843"/>
        <v>2.9985007496251874E-2</v>
      </c>
      <c r="D414" s="450">
        <f t="shared" si="843"/>
        <v>5.7128455011341683E-3</v>
      </c>
      <c r="E414" s="450">
        <f t="shared" si="843"/>
        <v>1.6329588014981272E-2</v>
      </c>
      <c r="F414" s="450">
        <f t="shared" si="843"/>
        <v>2.59002810209462E-2</v>
      </c>
      <c r="G414" s="450">
        <f t="shared" si="843"/>
        <v>4.62631418558586E-2</v>
      </c>
      <c r="H414" s="450">
        <f t="shared" si="843"/>
        <v>3.2622959424702114E-2</v>
      </c>
      <c r="I414" s="450">
        <f t="shared" si="843"/>
        <v>2.0347428887812307E-2</v>
      </c>
      <c r="J414" s="1360">
        <f t="shared" si="843"/>
        <v>3.8452547181136394E-2</v>
      </c>
      <c r="K414" s="450">
        <f t="shared" ref="K414:R414" si="846">K358/K$336</f>
        <v>7.3518773799221481E-3</v>
      </c>
      <c r="L414" s="450">
        <f t="shared" si="846"/>
        <v>-1.6194939903156642E-3</v>
      </c>
      <c r="M414" s="450">
        <f t="shared" si="846"/>
        <v>-1.2449805315666623E-3</v>
      </c>
      <c r="N414" s="450">
        <f t="shared" si="846"/>
        <v>-1.0192929151955836E-3</v>
      </c>
      <c r="O414" s="450">
        <f t="shared" si="846"/>
        <v>-8.4685692854444641E-4</v>
      </c>
      <c r="P414" s="450">
        <f t="shared" si="846"/>
        <v>-6.9672471260013842E-4</v>
      </c>
      <c r="Q414" s="450">
        <f t="shared" si="846"/>
        <v>-6.0505420490208157E-4</v>
      </c>
      <c r="R414" s="450">
        <f t="shared" si="846"/>
        <v>-5.3219062763228847E-4</v>
      </c>
      <c r="S414" s="450"/>
      <c r="T414" s="450"/>
      <c r="U414" s="450"/>
      <c r="V414" s="450" t="e">
        <f t="shared" ref="V414:BE414" si="847">V358/V$336</f>
        <v>#DIV/0!</v>
      </c>
      <c r="W414" s="450" t="e">
        <f t="shared" si="847"/>
        <v>#DIV/0!</v>
      </c>
      <c r="X414" s="450" t="e">
        <f t="shared" si="847"/>
        <v>#DIV/0!</v>
      </c>
      <c r="Y414" s="450" t="e">
        <f t="shared" si="847"/>
        <v>#DIV/0!</v>
      </c>
      <c r="Z414" s="450">
        <f t="shared" si="847"/>
        <v>0</v>
      </c>
      <c r="AA414" s="450">
        <f t="shared" si="847"/>
        <v>0</v>
      </c>
      <c r="AB414" s="450">
        <f t="shared" si="847"/>
        <v>0</v>
      </c>
      <c r="AC414" s="450">
        <f t="shared" si="847"/>
        <v>0</v>
      </c>
      <c r="AD414" s="450">
        <f t="shared" si="847"/>
        <v>0</v>
      </c>
      <c r="AE414" s="450">
        <f t="shared" si="847"/>
        <v>0</v>
      </c>
      <c r="AF414" s="450">
        <f t="shared" si="847"/>
        <v>0</v>
      </c>
      <c r="AG414" s="1360">
        <f t="shared" si="847"/>
        <v>0</v>
      </c>
      <c r="AH414" s="450">
        <f t="shared" si="847"/>
        <v>2.2360363703841157E-2</v>
      </c>
      <c r="AI414" s="450">
        <f t="shared" si="847"/>
        <v>3.5525114155251142E-2</v>
      </c>
      <c r="AJ414" s="450">
        <f t="shared" si="847"/>
        <v>2.9234462523339558E-2</v>
      </c>
      <c r="AK414" s="1360">
        <f t="shared" si="847"/>
        <v>0.10398138143130246</v>
      </c>
      <c r="AL414" s="450">
        <f t="shared" si="847"/>
        <v>4.5082746813772112E-2</v>
      </c>
      <c r="AM414" s="450">
        <f t="shared" si="847"/>
        <v>2.2461227642759523E-2</v>
      </c>
      <c r="AN414" s="450">
        <f t="shared" si="847"/>
        <v>3.441689904121624E-2</v>
      </c>
      <c r="AO414" s="1360">
        <f t="shared" si="847"/>
        <v>2.8464849354375897E-2</v>
      </c>
      <c r="AP414" s="450">
        <f t="shared" si="847"/>
        <v>2.7216596690540874E-2</v>
      </c>
      <c r="AQ414" s="450">
        <f t="shared" si="847"/>
        <v>1.9349600829912949E-2</v>
      </c>
      <c r="AR414" s="450">
        <f t="shared" si="847"/>
        <v>4.6521726543728104E-2</v>
      </c>
      <c r="AS414" s="1360">
        <f t="shared" si="847"/>
        <v>-2.1873966258683427E-2</v>
      </c>
      <c r="AT414" s="450">
        <f t="shared" si="847"/>
        <v>5.4829881196740683E-2</v>
      </c>
      <c r="AU414" s="450">
        <f t="shared" si="847"/>
        <v>2.5312026128543101E-2</v>
      </c>
      <c r="AV414" s="450">
        <f t="shared" si="847"/>
        <v>5.662184495192308E-2</v>
      </c>
      <c r="AW414" s="1360">
        <f t="shared" si="847"/>
        <v>1.1405168615049638E-2</v>
      </c>
      <c r="AX414" s="450">
        <f t="shared" si="847"/>
        <v>3.7601626016260166E-2</v>
      </c>
      <c r="AY414" s="450">
        <f t="shared" si="847"/>
        <v>3.1511919016000874E-2</v>
      </c>
      <c r="AZ414" s="450">
        <f t="shared" si="847"/>
        <v>-4.1913571325336027E-3</v>
      </c>
      <c r="BA414" s="1360">
        <f t="shared" si="847"/>
        <v>-2.4165678530569053E-2</v>
      </c>
      <c r="BB414" s="450">
        <f t="shared" si="847"/>
        <v>3.4155934850099733E-3</v>
      </c>
      <c r="BC414" s="450">
        <f t="shared" si="847"/>
        <v>-3.2133220224216347E-3</v>
      </c>
      <c r="BD414" s="450">
        <f t="shared" si="847"/>
        <v>-2.3171414589395339E-3</v>
      </c>
      <c r="BE414" s="450">
        <f t="shared" si="847"/>
        <v>-3.7531653615009491E-3</v>
      </c>
      <c r="BH414" s="289"/>
      <c r="BV414" s="289"/>
      <c r="BW414" s="289"/>
      <c r="BY414" s="289"/>
      <c r="BZ414" s="658"/>
      <c r="CA414" s="14"/>
      <c r="CB414" s="14"/>
      <c r="CC414" s="14"/>
      <c r="CD414" s="14"/>
      <c r="CE414" s="14"/>
      <c r="CF414" s="14"/>
      <c r="CG414"/>
      <c r="CH414"/>
      <c r="CI414"/>
      <c r="CJ414"/>
      <c r="CK414"/>
      <c r="CL414"/>
    </row>
    <row r="415" spans="1:90" s="13" customFormat="1" ht="12.75" customHeight="1" outlineLevel="1">
      <c r="A415" s="1349"/>
      <c r="B415" s="12" t="str">
        <f t="shared" si="842"/>
        <v>Income before income tax and share of results of equity investees</v>
      </c>
      <c r="C415" s="658">
        <f t="shared" ref="C415:J415" si="848">C359/C$336</f>
        <v>-4.332833583208396E-2</v>
      </c>
      <c r="D415" s="658">
        <f t="shared" si="848"/>
        <v>0.16256405948080316</v>
      </c>
      <c r="E415" s="658">
        <f t="shared" si="848"/>
        <v>0.27625468164794009</v>
      </c>
      <c r="F415" s="658">
        <f t="shared" si="848"/>
        <v>0.29295709360604921</v>
      </c>
      <c r="G415" s="658">
        <f t="shared" si="848"/>
        <v>0.51047539235105899</v>
      </c>
      <c r="H415" s="658">
        <f t="shared" si="848"/>
        <v>0.42420345388693509</v>
      </c>
      <c r="I415" s="658">
        <f t="shared" si="848"/>
        <v>0.80547343859683818</v>
      </c>
      <c r="J415" s="1357">
        <f t="shared" si="848"/>
        <v>0.37927505007171153</v>
      </c>
      <c r="K415" s="658">
        <f t="shared" ref="K415:R415" si="849">K359/K$336</f>
        <v>0.40663437998415619</v>
      </c>
      <c r="L415" s="658">
        <f t="shared" si="849"/>
        <v>0.30776247858345729</v>
      </c>
      <c r="M415" s="658">
        <f t="shared" si="849"/>
        <v>0.31059719739934671</v>
      </c>
      <c r="N415" s="658">
        <f t="shared" si="849"/>
        <v>0.32084094536786767</v>
      </c>
      <c r="O415" s="658">
        <f t="shared" si="849"/>
        <v>0.33728864285263332</v>
      </c>
      <c r="P415" s="658">
        <f t="shared" si="849"/>
        <v>0.34305091650221875</v>
      </c>
      <c r="Q415" s="658">
        <f t="shared" si="849"/>
        <v>0.34446008202282719</v>
      </c>
      <c r="R415" s="658">
        <f t="shared" si="849"/>
        <v>0.34544634271698071</v>
      </c>
      <c r="S415" s="658"/>
      <c r="T415" s="658"/>
      <c r="U415" s="658"/>
      <c r="V415" s="658" t="e">
        <f t="shared" ref="V415:BE415" si="850">V359/V$336</f>
        <v>#DIV/0!</v>
      </c>
      <c r="W415" s="658" t="e">
        <f t="shared" si="850"/>
        <v>#DIV/0!</v>
      </c>
      <c r="X415" s="658" t="e">
        <f t="shared" si="850"/>
        <v>#DIV/0!</v>
      </c>
      <c r="Y415" s="658" t="e">
        <f t="shared" si="850"/>
        <v>#DIV/0!</v>
      </c>
      <c r="Z415" s="658">
        <f t="shared" si="850"/>
        <v>0</v>
      </c>
      <c r="AA415" s="658">
        <f t="shared" si="850"/>
        <v>0</v>
      </c>
      <c r="AB415" s="658">
        <f t="shared" si="850"/>
        <v>0</v>
      </c>
      <c r="AC415" s="658">
        <f t="shared" si="850"/>
        <v>0</v>
      </c>
      <c r="AD415" s="658">
        <f t="shared" si="850"/>
        <v>0</v>
      </c>
      <c r="AE415" s="658">
        <f t="shared" si="850"/>
        <v>0</v>
      </c>
      <c r="AF415" s="658">
        <f t="shared" si="850"/>
        <v>0</v>
      </c>
      <c r="AG415" s="1357">
        <f t="shared" si="850"/>
        <v>0</v>
      </c>
      <c r="AH415" s="658">
        <f t="shared" si="850"/>
        <v>0.46817591389868252</v>
      </c>
      <c r="AI415" s="658">
        <f t="shared" si="850"/>
        <v>0.50968036529680361</v>
      </c>
      <c r="AJ415" s="658">
        <f t="shared" si="850"/>
        <v>0.49389170445452119</v>
      </c>
      <c r="AK415" s="1357">
        <f t="shared" si="850"/>
        <v>0.57493142714653811</v>
      </c>
      <c r="AL415" s="658">
        <f t="shared" si="850"/>
        <v>0.88599327880286605</v>
      </c>
      <c r="AM415" s="658">
        <f t="shared" si="850"/>
        <v>0.27749717749123537</v>
      </c>
      <c r="AN415" s="658">
        <f t="shared" si="850"/>
        <v>0.35207609152374042</v>
      </c>
      <c r="AO415" s="1357">
        <f t="shared" si="850"/>
        <v>0.25629842180774748</v>
      </c>
      <c r="AP415" s="658">
        <f t="shared" si="850"/>
        <v>1.611113855272907</v>
      </c>
      <c r="AQ415" s="658">
        <f t="shared" si="850"/>
        <v>1.1045960939966624</v>
      </c>
      <c r="AR415" s="658">
        <f t="shared" si="850"/>
        <v>0.47795501259300005</v>
      </c>
      <c r="AS415" s="1357">
        <f t="shared" si="850"/>
        <v>0.32463612305656631</v>
      </c>
      <c r="AT415" s="658">
        <f t="shared" si="850"/>
        <v>0.33280462772905395</v>
      </c>
      <c r="AU415" s="658">
        <f t="shared" si="850"/>
        <v>0.28181500058322639</v>
      </c>
      <c r="AV415" s="658">
        <f t="shared" si="850"/>
        <v>0.44724684495192307</v>
      </c>
      <c r="AW415" s="1357">
        <f t="shared" si="850"/>
        <v>0.4108193576816403</v>
      </c>
      <c r="AX415" s="658">
        <f t="shared" si="850"/>
        <v>0.39996811732823212</v>
      </c>
      <c r="AY415" s="658">
        <f t="shared" si="850"/>
        <v>0.38113638837487757</v>
      </c>
      <c r="AZ415" s="658">
        <f t="shared" si="850"/>
        <v>0.58350195114900993</v>
      </c>
      <c r="BA415" s="1357">
        <f t="shared" si="850"/>
        <v>0.18269241546047532</v>
      </c>
      <c r="BB415" s="658">
        <f t="shared" si="850"/>
        <v>0.31221802724603243</v>
      </c>
      <c r="BC415" s="658">
        <f t="shared" si="850"/>
        <v>0.27673579205074872</v>
      </c>
      <c r="BD415" s="658">
        <f t="shared" si="850"/>
        <v>0.36224023490378915</v>
      </c>
      <c r="BE415" s="658">
        <f t="shared" si="850"/>
        <v>0.25998887500595497</v>
      </c>
      <c r="BH415" s="289"/>
      <c r="BV415" s="289"/>
      <c r="BW415" s="289"/>
      <c r="BY415" s="289"/>
      <c r="BZ415" s="658"/>
      <c r="CA415" s="14"/>
      <c r="CB415" s="14"/>
      <c r="CC415" s="14"/>
      <c r="CD415" s="14"/>
      <c r="CE415" s="14"/>
      <c r="CF415" s="14"/>
      <c r="CG415"/>
      <c r="CH415"/>
      <c r="CI415"/>
      <c r="CJ415"/>
      <c r="CK415"/>
      <c r="CL415"/>
    </row>
    <row r="416" spans="1:90" s="13" customFormat="1" ht="12.75" customHeight="1" outlineLevel="1">
      <c r="A416" s="1349"/>
      <c r="B416" s="453" t="str">
        <f t="shared" si="842"/>
        <v>Income tax expenses</v>
      </c>
      <c r="C416" s="658">
        <f t="shared" ref="C416:J416" si="851">C360/C$336</f>
        <v>-2.7136431784107948E-2</v>
      </c>
      <c r="D416" s="658">
        <f t="shared" si="851"/>
        <v>-2.747206586574813E-2</v>
      </c>
      <c r="E416" s="658">
        <f t="shared" si="851"/>
        <v>-4.2047440699126096E-2</v>
      </c>
      <c r="F416" s="658">
        <f t="shared" si="851"/>
        <v>-4.2211084393197554E-2</v>
      </c>
      <c r="G416" s="658">
        <f t="shared" si="851"/>
        <v>-6.0871552643608107E-2</v>
      </c>
      <c r="H416" s="658">
        <f t="shared" si="851"/>
        <v>-8.4195055377670469E-2</v>
      </c>
      <c r="I416" s="658">
        <f t="shared" si="851"/>
        <v>-8.3535192746902895E-2</v>
      </c>
      <c r="J416" s="1357">
        <f t="shared" si="851"/>
        <v>-8.7039482413298536E-2</v>
      </c>
      <c r="K416" s="658">
        <f t="shared" ref="K416:R416" si="852">K360/K$336</f>
        <v>-6.5061500797464991E-2</v>
      </c>
      <c r="L416" s="658">
        <f t="shared" si="852"/>
        <v>-6.1552495716691469E-2</v>
      </c>
      <c r="M416" s="658">
        <f t="shared" si="852"/>
        <v>-7.1437355401849742E-2</v>
      </c>
      <c r="N416" s="658">
        <f t="shared" si="852"/>
        <v>-7.3793417434609571E-2</v>
      </c>
      <c r="O416" s="658">
        <f t="shared" si="852"/>
        <v>-7.7576387856105669E-2</v>
      </c>
      <c r="P416" s="658">
        <f t="shared" si="852"/>
        <v>-7.890171079551031E-2</v>
      </c>
      <c r="Q416" s="658">
        <f t="shared" si="852"/>
        <v>-7.9225818865250264E-2</v>
      </c>
      <c r="R416" s="658">
        <f t="shared" si="852"/>
        <v>-7.945265882490557E-2</v>
      </c>
      <c r="S416" s="658"/>
      <c r="T416" s="658"/>
      <c r="U416" s="658"/>
      <c r="V416" s="658" t="e">
        <f t="shared" ref="V416:BE416" si="853">V360/V$336</f>
        <v>#DIV/0!</v>
      </c>
      <c r="W416" s="658" t="e">
        <f t="shared" si="853"/>
        <v>#DIV/0!</v>
      </c>
      <c r="X416" s="658" t="e">
        <f t="shared" si="853"/>
        <v>#DIV/0!</v>
      </c>
      <c r="Y416" s="658" t="e">
        <f t="shared" si="853"/>
        <v>#DIV/0!</v>
      </c>
      <c r="Z416" s="658">
        <f t="shared" si="853"/>
        <v>0</v>
      </c>
      <c r="AA416" s="658">
        <f t="shared" si="853"/>
        <v>0</v>
      </c>
      <c r="AB416" s="658">
        <f t="shared" si="853"/>
        <v>0</v>
      </c>
      <c r="AC416" s="658">
        <f t="shared" si="853"/>
        <v>0</v>
      </c>
      <c r="AD416" s="658">
        <f t="shared" si="853"/>
        <v>0</v>
      </c>
      <c r="AE416" s="658">
        <f t="shared" si="853"/>
        <v>0</v>
      </c>
      <c r="AF416" s="658">
        <f t="shared" si="853"/>
        <v>0</v>
      </c>
      <c r="AG416" s="1357">
        <f t="shared" si="853"/>
        <v>0</v>
      </c>
      <c r="AH416" s="658">
        <f t="shared" si="853"/>
        <v>-5.4833920950083506E-2</v>
      </c>
      <c r="AI416" s="658">
        <f t="shared" si="853"/>
        <v>-5.817351598173516E-2</v>
      </c>
      <c r="AJ416" s="658">
        <f t="shared" si="853"/>
        <v>-3.9530541477727395E-2</v>
      </c>
      <c r="AK416" s="1357">
        <f t="shared" si="853"/>
        <v>-0.10198653478513839</v>
      </c>
      <c r="AL416" s="658">
        <f t="shared" si="853"/>
        <v>-9.1623866590577641E-2</v>
      </c>
      <c r="AM416" s="658">
        <f t="shared" si="853"/>
        <v>-7.9565036544060844E-2</v>
      </c>
      <c r="AN416" s="658">
        <f t="shared" si="853"/>
        <v>-9.2784292753733913E-2</v>
      </c>
      <c r="AO416" s="1357">
        <f t="shared" si="853"/>
        <v>-6.9038737446197998E-2</v>
      </c>
      <c r="AP416" s="658">
        <f t="shared" si="853"/>
        <v>-6.8856507779698692E-2</v>
      </c>
      <c r="AQ416" s="658">
        <f t="shared" si="853"/>
        <v>-7.5368724910919671E-2</v>
      </c>
      <c r="AR416" s="658">
        <f t="shared" si="853"/>
        <v>-0.10303100483455403</v>
      </c>
      <c r="AS416" s="1357">
        <f t="shared" si="853"/>
        <v>-7.5463116109824674E-2</v>
      </c>
      <c r="AT416" s="658">
        <f t="shared" si="853"/>
        <v>-6.5030789326366856E-2</v>
      </c>
      <c r="AU416" s="658">
        <f t="shared" si="853"/>
        <v>-5.8964189898518607E-2</v>
      </c>
      <c r="AV416" s="658">
        <f t="shared" si="853"/>
        <v>-9.5966045673076927E-2</v>
      </c>
      <c r="AW416" s="1357">
        <f t="shared" si="853"/>
        <v>-0.11801757432800228</v>
      </c>
      <c r="AX416" s="658">
        <f t="shared" si="853"/>
        <v>-9.2718794835007168E-2</v>
      </c>
      <c r="AY416" s="658">
        <f t="shared" si="853"/>
        <v>-4.9326947498276548E-2</v>
      </c>
      <c r="AZ416" s="658">
        <f t="shared" si="853"/>
        <v>-8.0250036132389069E-2</v>
      </c>
      <c r="BA416" s="1357">
        <f t="shared" si="853"/>
        <v>-3.5371688316239484E-2</v>
      </c>
      <c r="BB416" s="658">
        <f t="shared" si="853"/>
        <v>-6.2443605449206491E-2</v>
      </c>
      <c r="BC416" s="658">
        <f t="shared" si="853"/>
        <v>-5.5347158410149748E-2</v>
      </c>
      <c r="BD416" s="658">
        <f t="shared" si="853"/>
        <v>-7.2448046980757824E-2</v>
      </c>
      <c r="BE416" s="658">
        <f t="shared" si="853"/>
        <v>-5.1997775001191057E-2</v>
      </c>
      <c r="BH416" s="289"/>
      <c r="BV416" s="289"/>
      <c r="BW416" s="289"/>
      <c r="BY416" s="289"/>
      <c r="BZ416" s="658"/>
      <c r="CA416" s="14"/>
      <c r="CB416" s="14"/>
      <c r="CC416" s="14"/>
      <c r="CD416" s="14"/>
      <c r="CE416" s="14"/>
      <c r="CF416" s="14"/>
      <c r="CG416"/>
      <c r="CH416"/>
      <c r="CI416"/>
      <c r="CJ416"/>
      <c r="CK416"/>
      <c r="CL416"/>
    </row>
    <row r="417" spans="1:90" s="13" customFormat="1" ht="12.75" customHeight="1" outlineLevel="1">
      <c r="A417" s="1349"/>
      <c r="B417" s="677" t="s">
        <v>865</v>
      </c>
      <c r="C417" s="450"/>
      <c r="D417" s="450"/>
      <c r="E417" s="450"/>
      <c r="F417" s="450"/>
      <c r="G417" s="450"/>
      <c r="H417" s="450">
        <f t="shared" ref="H417:J417" si="854">H362/H$336</f>
        <v>0</v>
      </c>
      <c r="I417" s="450">
        <f t="shared" si="854"/>
        <v>-8.5720217909296733E-3</v>
      </c>
      <c r="J417" s="1360">
        <f t="shared" si="854"/>
        <v>-6.2550150688999388E-3</v>
      </c>
      <c r="K417" s="450">
        <f t="shared" ref="K417:R417" si="855">K362/K$336</f>
        <v>-6.845323444992688E-3</v>
      </c>
      <c r="L417" s="450">
        <f t="shared" si="855"/>
        <v>-4.7306940966609376E-3</v>
      </c>
      <c r="M417" s="450">
        <f t="shared" si="855"/>
        <v>-3.6367050982339419E-3</v>
      </c>
      <c r="N417" s="450">
        <f t="shared" si="855"/>
        <v>-2.6052690715920265E-3</v>
      </c>
      <c r="O417" s="450">
        <f t="shared" si="855"/>
        <v>-1.5460929063870563E-3</v>
      </c>
      <c r="P417" s="450">
        <f t="shared" si="855"/>
        <v>-6.3599948205365529E-4</v>
      </c>
      <c r="Q417" s="450">
        <f t="shared" si="855"/>
        <v>-3.3139128321945527E-4</v>
      </c>
      <c r="R417" s="450">
        <f t="shared" si="855"/>
        <v>-1.9432235280691143E-4</v>
      </c>
      <c r="S417" s="450"/>
      <c r="T417" s="450"/>
      <c r="U417" s="450"/>
      <c r="V417" s="450" t="e">
        <f t="shared" ref="V417:BE417" si="856">V362/V$336</f>
        <v>#DIV/0!</v>
      </c>
      <c r="W417" s="450" t="e">
        <f t="shared" si="856"/>
        <v>#DIV/0!</v>
      </c>
      <c r="X417" s="450" t="e">
        <f t="shared" si="856"/>
        <v>#DIV/0!</v>
      </c>
      <c r="Y417" s="450" t="e">
        <f t="shared" si="856"/>
        <v>#DIV/0!</v>
      </c>
      <c r="Z417" s="450">
        <f t="shared" si="856"/>
        <v>0</v>
      </c>
      <c r="AA417" s="450">
        <f t="shared" si="856"/>
        <v>0</v>
      </c>
      <c r="AB417" s="450">
        <f t="shared" si="856"/>
        <v>0</v>
      </c>
      <c r="AC417" s="450">
        <f t="shared" si="856"/>
        <v>0</v>
      </c>
      <c r="AD417" s="450">
        <f t="shared" si="856"/>
        <v>0</v>
      </c>
      <c r="AE417" s="450">
        <f t="shared" si="856"/>
        <v>0</v>
      </c>
      <c r="AF417" s="450">
        <f t="shared" si="856"/>
        <v>0</v>
      </c>
      <c r="AG417" s="1360">
        <f t="shared" si="856"/>
        <v>0</v>
      </c>
      <c r="AH417" s="450">
        <f t="shared" si="856"/>
        <v>0</v>
      </c>
      <c r="AI417" s="450">
        <f t="shared" si="856"/>
        <v>0</v>
      </c>
      <c r="AJ417" s="450">
        <f t="shared" si="856"/>
        <v>0</v>
      </c>
      <c r="AK417" s="1360">
        <f t="shared" si="856"/>
        <v>0</v>
      </c>
      <c r="AL417" s="450">
        <f t="shared" si="856"/>
        <v>0</v>
      </c>
      <c r="AM417" s="450">
        <f t="shared" si="856"/>
        <v>0</v>
      </c>
      <c r="AN417" s="450">
        <f t="shared" si="856"/>
        <v>0</v>
      </c>
      <c r="AO417" s="1360">
        <f t="shared" si="856"/>
        <v>0</v>
      </c>
      <c r="AP417" s="450">
        <f t="shared" si="856"/>
        <v>0</v>
      </c>
      <c r="AQ417" s="450">
        <f t="shared" si="856"/>
        <v>0</v>
      </c>
      <c r="AR417" s="450">
        <f t="shared" si="856"/>
        <v>-3.0396896621602059E-3</v>
      </c>
      <c r="AS417" s="1360">
        <f t="shared" si="856"/>
        <v>-3.1508435329143235E-2</v>
      </c>
      <c r="AT417" s="450">
        <f t="shared" si="856"/>
        <v>-7.6195807675561358E-3</v>
      </c>
      <c r="AU417" s="450">
        <f t="shared" si="856"/>
        <v>-8.7483961273766481E-5</v>
      </c>
      <c r="AV417" s="450">
        <f t="shared" si="856"/>
        <v>-4.450871394230769E-3</v>
      </c>
      <c r="AW417" s="1360">
        <f t="shared" si="856"/>
        <v>-1.3090023069545608E-2</v>
      </c>
      <c r="AX417" s="450">
        <f t="shared" si="856"/>
        <v>-7.7913279132791327E-3</v>
      </c>
      <c r="AY417" s="450">
        <f t="shared" si="856"/>
        <v>-6.6942418635027754E-3</v>
      </c>
      <c r="AZ417" s="450">
        <f t="shared" si="856"/>
        <v>-6.9855952208893388E-3</v>
      </c>
      <c r="BA417" s="1360">
        <f t="shared" si="856"/>
        <v>-5.9989272314197083E-3</v>
      </c>
      <c r="BB417" s="450">
        <f t="shared" si="856"/>
        <v>-4.098712182011968E-3</v>
      </c>
      <c r="BC417" s="450">
        <f t="shared" si="856"/>
        <v>-5.1413152358746154E-3</v>
      </c>
      <c r="BD417" s="450">
        <f t="shared" si="856"/>
        <v>-4.6342829178790679E-3</v>
      </c>
      <c r="BE417" s="450">
        <f t="shared" si="856"/>
        <v>-5.0422050937071914E-3</v>
      </c>
      <c r="BH417" s="289"/>
      <c r="BV417" s="289"/>
      <c r="BW417" s="289"/>
      <c r="BY417" s="289"/>
      <c r="BZ417" s="658"/>
      <c r="CA417" s="14"/>
      <c r="CB417" s="14"/>
      <c r="CC417" s="14"/>
      <c r="CD417" s="14"/>
      <c r="CE417" s="14"/>
      <c r="CF417" s="14"/>
      <c r="CG417"/>
      <c r="CH417"/>
      <c r="CI417"/>
      <c r="CJ417"/>
      <c r="CK417"/>
      <c r="CL417"/>
    </row>
    <row r="418" spans="1:90" s="13" customFormat="1" ht="12.75" customHeight="1" outlineLevel="1">
      <c r="A418" s="1349"/>
      <c r="B418" s="677" t="s">
        <v>866</v>
      </c>
      <c r="C418" s="450"/>
      <c r="D418" s="450"/>
      <c r="E418" s="450"/>
      <c r="F418" s="450"/>
      <c r="G418" s="450"/>
      <c r="H418" s="450">
        <f t="shared" ref="C418:J425" si="857">H363/H$336</f>
        <v>-1.2991444018686682E-3</v>
      </c>
      <c r="I418" s="450">
        <f t="shared" si="857"/>
        <v>-3.8658137488506374E-3</v>
      </c>
      <c r="J418" s="1360">
        <f t="shared" si="857"/>
        <v>0</v>
      </c>
      <c r="K418" s="450">
        <f t="shared" ref="K418:R418" si="858">K363/K$336</f>
        <v>0</v>
      </c>
      <c r="L418" s="450">
        <f t="shared" si="858"/>
        <v>0</v>
      </c>
      <c r="M418" s="450">
        <f t="shared" si="858"/>
        <v>0</v>
      </c>
      <c r="N418" s="450">
        <f t="shared" si="858"/>
        <v>0</v>
      </c>
      <c r="O418" s="450">
        <f t="shared" si="858"/>
        <v>0</v>
      </c>
      <c r="P418" s="450">
        <f t="shared" si="858"/>
        <v>0</v>
      </c>
      <c r="Q418" s="450">
        <f t="shared" si="858"/>
        <v>0</v>
      </c>
      <c r="R418" s="450">
        <f t="shared" si="858"/>
        <v>0</v>
      </c>
      <c r="S418" s="450"/>
      <c r="T418" s="450"/>
      <c r="U418" s="450"/>
      <c r="V418" s="450" t="e">
        <f t="shared" ref="V418:BE418" si="859">V363/V$336</f>
        <v>#DIV/0!</v>
      </c>
      <c r="W418" s="450" t="e">
        <f t="shared" si="859"/>
        <v>#DIV/0!</v>
      </c>
      <c r="X418" s="450" t="e">
        <f t="shared" si="859"/>
        <v>#DIV/0!</v>
      </c>
      <c r="Y418" s="450" t="e">
        <f t="shared" si="859"/>
        <v>#DIV/0!</v>
      </c>
      <c r="Z418" s="450">
        <f t="shared" si="859"/>
        <v>0</v>
      </c>
      <c r="AA418" s="450">
        <f t="shared" si="859"/>
        <v>0</v>
      </c>
      <c r="AB418" s="450">
        <f t="shared" si="859"/>
        <v>0</v>
      </c>
      <c r="AC418" s="450">
        <f t="shared" si="859"/>
        <v>0</v>
      </c>
      <c r="AD418" s="450">
        <f t="shared" si="859"/>
        <v>0</v>
      </c>
      <c r="AE418" s="450">
        <f t="shared" si="859"/>
        <v>0</v>
      </c>
      <c r="AF418" s="450">
        <f t="shared" si="859"/>
        <v>0</v>
      </c>
      <c r="AG418" s="1360">
        <f t="shared" si="859"/>
        <v>0</v>
      </c>
      <c r="AH418" s="450">
        <f t="shared" si="859"/>
        <v>0</v>
      </c>
      <c r="AI418" s="450">
        <f t="shared" si="859"/>
        <v>0</v>
      </c>
      <c r="AJ418" s="450">
        <f t="shared" si="859"/>
        <v>0</v>
      </c>
      <c r="AK418" s="1360">
        <f t="shared" si="859"/>
        <v>0</v>
      </c>
      <c r="AL418" s="450">
        <f t="shared" si="859"/>
        <v>0</v>
      </c>
      <c r="AM418" s="450">
        <f t="shared" si="859"/>
        <v>0</v>
      </c>
      <c r="AN418" s="450">
        <f t="shared" si="859"/>
        <v>0</v>
      </c>
      <c r="AO418" s="1360">
        <f t="shared" si="859"/>
        <v>0</v>
      </c>
      <c r="AP418" s="450">
        <f t="shared" si="859"/>
        <v>-4.6925166707829091E-3</v>
      </c>
      <c r="AQ418" s="450">
        <f t="shared" si="859"/>
        <v>-2.8415497722249785E-3</v>
      </c>
      <c r="AR418" s="450">
        <f t="shared" si="859"/>
        <v>-2.3449034536664449E-3</v>
      </c>
      <c r="AS418" s="1360">
        <f t="shared" si="859"/>
        <v>-6.2851472047634801E-3</v>
      </c>
      <c r="AT418" s="450">
        <f t="shared" si="859"/>
        <v>0</v>
      </c>
      <c r="AU418" s="450">
        <f t="shared" si="859"/>
        <v>0</v>
      </c>
      <c r="AV418" s="450">
        <f t="shared" si="859"/>
        <v>0</v>
      </c>
      <c r="AW418" s="1360">
        <f t="shared" si="859"/>
        <v>0</v>
      </c>
      <c r="AX418" s="450">
        <f t="shared" si="859"/>
        <v>0</v>
      </c>
      <c r="AY418" s="450">
        <f t="shared" si="859"/>
        <v>0</v>
      </c>
      <c r="AZ418" s="450">
        <f t="shared" si="859"/>
        <v>0</v>
      </c>
      <c r="BA418" s="1360">
        <f t="shared" si="859"/>
        <v>0</v>
      </c>
      <c r="BB418" s="450">
        <f t="shared" si="859"/>
        <v>0</v>
      </c>
      <c r="BC418" s="450">
        <f t="shared" si="859"/>
        <v>0</v>
      </c>
      <c r="BD418" s="450">
        <f t="shared" si="859"/>
        <v>0</v>
      </c>
      <c r="BE418" s="450">
        <f t="shared" si="859"/>
        <v>0</v>
      </c>
      <c r="BH418" s="289"/>
      <c r="BV418" s="289"/>
      <c r="BW418" s="289"/>
      <c r="BY418" s="289"/>
      <c r="BZ418" s="658"/>
      <c r="CA418" s="14"/>
      <c r="CB418" s="14"/>
      <c r="CC418" s="14"/>
      <c r="CD418" s="14"/>
      <c r="CE418" s="14"/>
      <c r="CF418" s="14"/>
      <c r="CG418"/>
      <c r="CH418"/>
      <c r="CI418"/>
      <c r="CJ418"/>
      <c r="CK418"/>
      <c r="CL418"/>
    </row>
    <row r="419" spans="1:90" s="13" customFormat="1" ht="12.75" customHeight="1" outlineLevel="1">
      <c r="A419" s="1349"/>
      <c r="B419" s="677" t="s">
        <v>890</v>
      </c>
      <c r="C419" s="450"/>
      <c r="D419" s="450"/>
      <c r="E419" s="450"/>
      <c r="F419" s="450"/>
      <c r="G419" s="450"/>
      <c r="H419" s="450">
        <f t="shared" si="857"/>
        <v>-1.1810403653351529E-3</v>
      </c>
      <c r="I419" s="450">
        <f t="shared" si="857"/>
        <v>-2.9166625470867977E-3</v>
      </c>
      <c r="J419" s="1360">
        <f t="shared" si="857"/>
        <v>-6.6720160734932681E-3</v>
      </c>
      <c r="K419" s="450">
        <f t="shared" ref="K419:R419" si="860">K364/K$336</f>
        <v>-2.0858103202977723E-3</v>
      </c>
      <c r="L419" s="450">
        <f t="shared" si="860"/>
        <v>0</v>
      </c>
      <c r="M419" s="450">
        <f t="shared" si="860"/>
        <v>0</v>
      </c>
      <c r="N419" s="450">
        <f t="shared" si="860"/>
        <v>0</v>
      </c>
      <c r="O419" s="450">
        <f t="shared" si="860"/>
        <v>0</v>
      </c>
      <c r="P419" s="450">
        <f t="shared" si="860"/>
        <v>0</v>
      </c>
      <c r="Q419" s="450">
        <f t="shared" si="860"/>
        <v>0</v>
      </c>
      <c r="R419" s="450">
        <f t="shared" si="860"/>
        <v>0</v>
      </c>
      <c r="S419" s="450"/>
      <c r="T419" s="450"/>
      <c r="U419" s="450"/>
      <c r="V419" s="450" t="e">
        <f t="shared" ref="V419:BE419" si="861">V364/V$336</f>
        <v>#DIV/0!</v>
      </c>
      <c r="W419" s="450" t="e">
        <f t="shared" si="861"/>
        <v>#DIV/0!</v>
      </c>
      <c r="X419" s="450" t="e">
        <f t="shared" si="861"/>
        <v>#DIV/0!</v>
      </c>
      <c r="Y419" s="450" t="e">
        <f t="shared" si="861"/>
        <v>#DIV/0!</v>
      </c>
      <c r="Z419" s="450">
        <f t="shared" si="861"/>
        <v>0</v>
      </c>
      <c r="AA419" s="450">
        <f t="shared" si="861"/>
        <v>0</v>
      </c>
      <c r="AB419" s="450">
        <f t="shared" si="861"/>
        <v>0</v>
      </c>
      <c r="AC419" s="450">
        <f t="shared" si="861"/>
        <v>0</v>
      </c>
      <c r="AD419" s="450">
        <f t="shared" si="861"/>
        <v>0</v>
      </c>
      <c r="AE419" s="450">
        <f t="shared" si="861"/>
        <v>0</v>
      </c>
      <c r="AF419" s="450">
        <f t="shared" si="861"/>
        <v>0</v>
      </c>
      <c r="AG419" s="1360">
        <f t="shared" si="861"/>
        <v>0</v>
      </c>
      <c r="AH419" s="450">
        <f t="shared" si="861"/>
        <v>0</v>
      </c>
      <c r="AI419" s="450">
        <f t="shared" si="861"/>
        <v>0</v>
      </c>
      <c r="AJ419" s="450">
        <f t="shared" si="861"/>
        <v>0</v>
      </c>
      <c r="AK419" s="1360">
        <f t="shared" si="861"/>
        <v>0</v>
      </c>
      <c r="AL419" s="450">
        <f t="shared" si="861"/>
        <v>0</v>
      </c>
      <c r="AM419" s="450">
        <f t="shared" si="861"/>
        <v>0</v>
      </c>
      <c r="AN419" s="450">
        <f t="shared" si="861"/>
        <v>0</v>
      </c>
      <c r="AO419" s="1360">
        <f t="shared" si="861"/>
        <v>0</v>
      </c>
      <c r="AP419" s="450">
        <f t="shared" si="861"/>
        <v>-2.9142998271178069E-3</v>
      </c>
      <c r="AQ419" s="450">
        <f t="shared" si="861"/>
        <v>-2.5258220197555367E-3</v>
      </c>
      <c r="AR419" s="450">
        <f t="shared" si="861"/>
        <v>-2.4896505804359783E-3</v>
      </c>
      <c r="AS419" s="1360">
        <f t="shared" si="861"/>
        <v>-3.8868673503142572E-3</v>
      </c>
      <c r="AT419" s="450">
        <f t="shared" si="861"/>
        <v>-7.0597748336132362E-3</v>
      </c>
      <c r="AU419" s="450">
        <f t="shared" si="861"/>
        <v>-6.4154904934095418E-3</v>
      </c>
      <c r="AV419" s="450">
        <f t="shared" si="861"/>
        <v>-4.39453125E-3</v>
      </c>
      <c r="AW419" s="1360">
        <f t="shared" si="861"/>
        <v>-9.7203141605536683E-3</v>
      </c>
      <c r="AX419" s="450">
        <f t="shared" si="861"/>
        <v>-4.8820341144587918E-3</v>
      </c>
      <c r="AY419" s="450">
        <f t="shared" si="861"/>
        <v>-4.9526504843801023E-3</v>
      </c>
      <c r="AZ419" s="450">
        <f t="shared" si="861"/>
        <v>0</v>
      </c>
      <c r="BA419" s="1360">
        <f t="shared" si="861"/>
        <v>0</v>
      </c>
      <c r="BB419" s="450">
        <f t="shared" si="861"/>
        <v>0</v>
      </c>
      <c r="BC419" s="450">
        <f t="shared" si="861"/>
        <v>0</v>
      </c>
      <c r="BD419" s="450">
        <f t="shared" si="861"/>
        <v>0</v>
      </c>
      <c r="BE419" s="450">
        <f t="shared" si="861"/>
        <v>0</v>
      </c>
      <c r="BH419" s="289"/>
      <c r="BV419" s="289"/>
      <c r="BW419" s="289"/>
      <c r="BY419" s="289"/>
      <c r="BZ419" s="658"/>
      <c r="CA419" s="14"/>
      <c r="CB419" s="14"/>
      <c r="CC419" s="14"/>
      <c r="CD419" s="14"/>
      <c r="CE419" s="14"/>
      <c r="CF419" s="14"/>
      <c r="CG419"/>
      <c r="CH419"/>
      <c r="CI419"/>
      <c r="CJ419"/>
      <c r="CK419"/>
      <c r="CL419"/>
    </row>
    <row r="420" spans="1:90" s="13" customFormat="1" ht="12.75" customHeight="1" outlineLevel="1">
      <c r="A420" s="1349"/>
      <c r="B420" s="677" t="s">
        <v>867</v>
      </c>
      <c r="C420" s="450"/>
      <c r="D420" s="450"/>
      <c r="E420" s="450"/>
      <c r="F420" s="450"/>
      <c r="G420" s="450"/>
      <c r="H420" s="450">
        <f t="shared" si="857"/>
        <v>-3.6087344496351899E-3</v>
      </c>
      <c r="I420" s="450">
        <f t="shared" si="857"/>
        <v>6.1299348447247954E-4</v>
      </c>
      <c r="J420" s="1360">
        <f t="shared" si="857"/>
        <v>-5.2946491189274228E-3</v>
      </c>
      <c r="K420" s="450">
        <f t="shared" ref="K420:R420" si="862">K365/K$336</f>
        <v>-1.2079982549987097E-4</v>
      </c>
      <c r="L420" s="450">
        <f t="shared" si="862"/>
        <v>2.956683810413086E-4</v>
      </c>
      <c r="M420" s="450">
        <f t="shared" si="862"/>
        <v>2.2729406863962137E-4</v>
      </c>
      <c r="N420" s="450">
        <f t="shared" si="862"/>
        <v>1.8609064797085905E-4</v>
      </c>
      <c r="O420" s="450">
        <f t="shared" si="862"/>
        <v>1.5460929063870562E-4</v>
      </c>
      <c r="P420" s="450">
        <f t="shared" si="862"/>
        <v>1.2719989641073106E-4</v>
      </c>
      <c r="Q420" s="450">
        <f t="shared" si="862"/>
        <v>1.1046376107315176E-4</v>
      </c>
      <c r="R420" s="450">
        <f t="shared" si="862"/>
        <v>9.7161176403455713E-5</v>
      </c>
      <c r="S420" s="450"/>
      <c r="T420" s="450"/>
      <c r="U420" s="450"/>
      <c r="V420" s="450" t="e">
        <f t="shared" ref="V420:BE420" si="863">V365/V$336</f>
        <v>#DIV/0!</v>
      </c>
      <c r="W420" s="450" t="e">
        <f t="shared" si="863"/>
        <v>#DIV/0!</v>
      </c>
      <c r="X420" s="450" t="e">
        <f t="shared" si="863"/>
        <v>#DIV/0!</v>
      </c>
      <c r="Y420" s="450" t="e">
        <f t="shared" si="863"/>
        <v>#DIV/0!</v>
      </c>
      <c r="Z420" s="450">
        <f t="shared" si="863"/>
        <v>0</v>
      </c>
      <c r="AA420" s="450">
        <f t="shared" si="863"/>
        <v>0</v>
      </c>
      <c r="AB420" s="450">
        <f t="shared" si="863"/>
        <v>0</v>
      </c>
      <c r="AC420" s="450">
        <f t="shared" si="863"/>
        <v>0</v>
      </c>
      <c r="AD420" s="450">
        <f t="shared" si="863"/>
        <v>0</v>
      </c>
      <c r="AE420" s="450">
        <f t="shared" si="863"/>
        <v>0</v>
      </c>
      <c r="AF420" s="450">
        <f t="shared" si="863"/>
        <v>0</v>
      </c>
      <c r="AG420" s="1360">
        <f t="shared" si="863"/>
        <v>0</v>
      </c>
      <c r="AH420" s="450">
        <f t="shared" si="863"/>
        <v>0</v>
      </c>
      <c r="AI420" s="450">
        <f t="shared" si="863"/>
        <v>0</v>
      </c>
      <c r="AJ420" s="450">
        <f t="shared" si="863"/>
        <v>0</v>
      </c>
      <c r="AK420" s="1360">
        <f t="shared" si="863"/>
        <v>0</v>
      </c>
      <c r="AL420" s="450">
        <f t="shared" si="863"/>
        <v>0</v>
      </c>
      <c r="AM420" s="450">
        <f t="shared" si="863"/>
        <v>0</v>
      </c>
      <c r="AN420" s="450">
        <f t="shared" si="863"/>
        <v>0</v>
      </c>
      <c r="AO420" s="1360">
        <f t="shared" si="863"/>
        <v>0</v>
      </c>
      <c r="AP420" s="450">
        <f t="shared" si="863"/>
        <v>-6.9152877253642877E-3</v>
      </c>
      <c r="AQ420" s="450">
        <f t="shared" si="863"/>
        <v>9.787560326552704E-3</v>
      </c>
      <c r="AR420" s="450">
        <f t="shared" si="863"/>
        <v>2.5186000057898852E-3</v>
      </c>
      <c r="AS420" s="1360">
        <f t="shared" si="863"/>
        <v>-4.2176645716175982E-3</v>
      </c>
      <c r="AT420" s="450">
        <f t="shared" si="863"/>
        <v>-8.2104870311625298E-3</v>
      </c>
      <c r="AU420" s="450">
        <f t="shared" si="863"/>
        <v>-4.6658112679342119E-3</v>
      </c>
      <c r="AV420" s="450">
        <f t="shared" si="863"/>
        <v>-7.004957932692308E-3</v>
      </c>
      <c r="AW420" s="1360">
        <f t="shared" si="863"/>
        <v>-1.0627543482205344E-3</v>
      </c>
      <c r="AX420" s="450">
        <f t="shared" si="863"/>
        <v>-6.1971943248844254E-3</v>
      </c>
      <c r="AY420" s="450">
        <f t="shared" si="863"/>
        <v>3.4468996045136243E-3</v>
      </c>
      <c r="AZ420" s="450">
        <f t="shared" si="863"/>
        <v>8.2020523196993777E-3</v>
      </c>
      <c r="BA420" s="1360">
        <f t="shared" si="863"/>
        <v>-9.8315751848267428E-3</v>
      </c>
      <c r="BB420" s="450">
        <f t="shared" si="863"/>
        <v>6.8311869700199467E-4</v>
      </c>
      <c r="BC420" s="450">
        <f t="shared" si="863"/>
        <v>6.4266440448432693E-4</v>
      </c>
      <c r="BD420" s="450">
        <f t="shared" si="863"/>
        <v>4.6342829178790682E-4</v>
      </c>
      <c r="BE420" s="450">
        <f t="shared" si="863"/>
        <v>-6.3027563671339893E-4</v>
      </c>
      <c r="BH420" s="289"/>
      <c r="BV420" s="289"/>
      <c r="BW420" s="289"/>
      <c r="BY420" s="289"/>
      <c r="BZ420" s="658"/>
      <c r="CA420" s="14"/>
      <c r="CB420" s="14"/>
      <c r="CC420" s="14"/>
      <c r="CD420" s="14"/>
      <c r="CE420" s="14"/>
      <c r="CF420" s="14"/>
      <c r="CG420"/>
      <c r="CH420"/>
      <c r="CI420"/>
      <c r="CJ420"/>
      <c r="CK420"/>
      <c r="CL420"/>
    </row>
    <row r="421" spans="1:90" s="13" customFormat="1" ht="12.75" customHeight="1" outlineLevel="1">
      <c r="A421" s="1349"/>
      <c r="B421" s="677" t="s">
        <v>894</v>
      </c>
      <c r="C421" s="450"/>
      <c r="D421" s="450"/>
      <c r="E421" s="450"/>
      <c r="F421" s="450"/>
      <c r="G421" s="450"/>
      <c r="H421" s="450">
        <f t="shared" si="857"/>
        <v>0</v>
      </c>
      <c r="I421" s="450">
        <f t="shared" si="857"/>
        <v>0</v>
      </c>
      <c r="J421" s="1360">
        <f t="shared" si="857"/>
        <v>0</v>
      </c>
      <c r="K421" s="450">
        <f t="shared" ref="K421:R421" si="864">K366/K$336</f>
        <v>0</v>
      </c>
      <c r="L421" s="450">
        <f t="shared" si="864"/>
        <v>8.4661684227368313E-3</v>
      </c>
      <c r="M421" s="450">
        <f t="shared" si="864"/>
        <v>7.1591721975696101E-3</v>
      </c>
      <c r="N421" s="450">
        <f t="shared" si="864"/>
        <v>6.4475087329370698E-3</v>
      </c>
      <c r="O421" s="450">
        <f t="shared" si="864"/>
        <v>5.8924467118659169E-3</v>
      </c>
      <c r="P421" s="450">
        <f t="shared" si="864"/>
        <v>5.332606268902999E-3</v>
      </c>
      <c r="Q421" s="450">
        <f t="shared" si="864"/>
        <v>5.0940742685161222E-3</v>
      </c>
      <c r="R421" s="450">
        <f t="shared" si="864"/>
        <v>4.9286831100800359E-3</v>
      </c>
      <c r="S421" s="450"/>
      <c r="T421" s="450"/>
      <c r="U421" s="450"/>
      <c r="V421" s="450" t="e">
        <f t="shared" ref="V421:BE421" si="865">V366/V$336</f>
        <v>#DIV/0!</v>
      </c>
      <c r="W421" s="450" t="e">
        <f t="shared" si="865"/>
        <v>#DIV/0!</v>
      </c>
      <c r="X421" s="450" t="e">
        <f t="shared" si="865"/>
        <v>#DIV/0!</v>
      </c>
      <c r="Y421" s="450" t="e">
        <f t="shared" si="865"/>
        <v>#DIV/0!</v>
      </c>
      <c r="Z421" s="450">
        <f t="shared" si="865"/>
        <v>0</v>
      </c>
      <c r="AA421" s="450">
        <f t="shared" si="865"/>
        <v>0</v>
      </c>
      <c r="AB421" s="450">
        <f t="shared" si="865"/>
        <v>0</v>
      </c>
      <c r="AC421" s="450">
        <f t="shared" si="865"/>
        <v>0</v>
      </c>
      <c r="AD421" s="450">
        <f t="shared" si="865"/>
        <v>0</v>
      </c>
      <c r="AE421" s="450">
        <f t="shared" si="865"/>
        <v>0</v>
      </c>
      <c r="AF421" s="450">
        <f t="shared" si="865"/>
        <v>0</v>
      </c>
      <c r="AG421" s="1360">
        <f t="shared" si="865"/>
        <v>0</v>
      </c>
      <c r="AH421" s="450">
        <f t="shared" si="865"/>
        <v>0</v>
      </c>
      <c r="AI421" s="450">
        <f t="shared" si="865"/>
        <v>0</v>
      </c>
      <c r="AJ421" s="450">
        <f t="shared" si="865"/>
        <v>0</v>
      </c>
      <c r="AK421" s="1360">
        <f t="shared" si="865"/>
        <v>0</v>
      </c>
      <c r="AL421" s="450">
        <f t="shared" si="865"/>
        <v>0</v>
      </c>
      <c r="AM421" s="450">
        <f t="shared" si="865"/>
        <v>0</v>
      </c>
      <c r="AN421" s="450">
        <f t="shared" si="865"/>
        <v>0</v>
      </c>
      <c r="AO421" s="1360">
        <f t="shared" si="865"/>
        <v>0</v>
      </c>
      <c r="AP421" s="450">
        <f t="shared" si="865"/>
        <v>0</v>
      </c>
      <c r="AQ421" s="450">
        <f t="shared" si="865"/>
        <v>0</v>
      </c>
      <c r="AR421" s="450">
        <f t="shared" si="865"/>
        <v>0</v>
      </c>
      <c r="AS421" s="1360">
        <f t="shared" si="865"/>
        <v>0</v>
      </c>
      <c r="AT421" s="450">
        <f t="shared" si="865"/>
        <v>0</v>
      </c>
      <c r="AU421" s="450">
        <f t="shared" si="865"/>
        <v>0</v>
      </c>
      <c r="AV421" s="450">
        <f t="shared" si="865"/>
        <v>0</v>
      </c>
      <c r="AW421" s="1360">
        <f t="shared" si="865"/>
        <v>0</v>
      </c>
      <c r="AX421" s="450">
        <f t="shared" si="865"/>
        <v>0</v>
      </c>
      <c r="AY421" s="450">
        <f t="shared" si="865"/>
        <v>0</v>
      </c>
      <c r="AZ421" s="450">
        <f t="shared" si="865"/>
        <v>0</v>
      </c>
      <c r="BA421" s="1360">
        <f t="shared" si="865"/>
        <v>0</v>
      </c>
      <c r="BB421" s="450">
        <f t="shared" si="865"/>
        <v>0</v>
      </c>
      <c r="BC421" s="450">
        <f t="shared" si="865"/>
        <v>1.2268035038669479E-2</v>
      </c>
      <c r="BD421" s="450">
        <f t="shared" si="865"/>
        <v>8.8465371380366149E-3</v>
      </c>
      <c r="BE421" s="450">
        <f t="shared" si="865"/>
        <v>1.2031541721100976E-2</v>
      </c>
      <c r="BH421" s="289"/>
      <c r="BV421" s="289"/>
      <c r="BW421" s="289"/>
      <c r="BY421" s="289"/>
      <c r="BZ421" s="658"/>
      <c r="CA421" s="14"/>
      <c r="CB421" s="14"/>
      <c r="CC421" s="14"/>
      <c r="CD421" s="14"/>
      <c r="CE421" s="14"/>
      <c r="CF421" s="14"/>
      <c r="CG421"/>
      <c r="CH421"/>
      <c r="CI421"/>
      <c r="CJ421"/>
      <c r="CK421"/>
      <c r="CL421"/>
    </row>
    <row r="422" spans="1:90" s="13" customFormat="1" ht="12.75" customHeight="1" outlineLevel="1">
      <c r="A422" s="1349"/>
      <c r="B422" s="305" t="s">
        <v>637</v>
      </c>
      <c r="C422" s="450"/>
      <c r="D422" s="450"/>
      <c r="E422" s="450"/>
      <c r="F422" s="450"/>
      <c r="G422" s="450"/>
      <c r="H422" s="450">
        <f t="shared" si="857"/>
        <v>-5.7477297779644117E-3</v>
      </c>
      <c r="I422" s="450">
        <f t="shared" si="857"/>
        <v>8.1765421235280734E-3</v>
      </c>
      <c r="J422" s="1360">
        <f t="shared" si="857"/>
        <v>-2.7673703032102758E-3</v>
      </c>
      <c r="K422" s="450">
        <f t="shared" ref="K422:R422" si="866">K367/K$336</f>
        <v>-7.3406027295421589E-2</v>
      </c>
      <c r="L422" s="450">
        <f t="shared" si="866"/>
        <v>0</v>
      </c>
      <c r="M422" s="450">
        <f t="shared" si="866"/>
        <v>0</v>
      </c>
      <c r="N422" s="450">
        <f t="shared" si="866"/>
        <v>0</v>
      </c>
      <c r="O422" s="450">
        <f t="shared" si="866"/>
        <v>0</v>
      </c>
      <c r="P422" s="450">
        <f t="shared" si="866"/>
        <v>0</v>
      </c>
      <c r="Q422" s="450">
        <f t="shared" si="866"/>
        <v>0</v>
      </c>
      <c r="R422" s="450">
        <f t="shared" si="866"/>
        <v>0</v>
      </c>
      <c r="S422" s="450"/>
      <c r="T422" s="450"/>
      <c r="U422" s="450"/>
      <c r="V422" s="450" t="e">
        <f t="shared" ref="V422:BE422" si="867">V367/V$336</f>
        <v>#DIV/0!</v>
      </c>
      <c r="W422" s="450" t="e">
        <f t="shared" si="867"/>
        <v>#DIV/0!</v>
      </c>
      <c r="X422" s="450" t="e">
        <f t="shared" si="867"/>
        <v>#DIV/0!</v>
      </c>
      <c r="Y422" s="450" t="e">
        <f t="shared" si="867"/>
        <v>#DIV/0!</v>
      </c>
      <c r="Z422" s="450">
        <f t="shared" si="867"/>
        <v>0</v>
      </c>
      <c r="AA422" s="450">
        <f t="shared" si="867"/>
        <v>0</v>
      </c>
      <c r="AB422" s="450">
        <f t="shared" si="867"/>
        <v>0</v>
      </c>
      <c r="AC422" s="450">
        <f t="shared" si="867"/>
        <v>0</v>
      </c>
      <c r="AD422" s="450">
        <f t="shared" si="867"/>
        <v>0</v>
      </c>
      <c r="AE422" s="450">
        <f t="shared" si="867"/>
        <v>0</v>
      </c>
      <c r="AF422" s="450">
        <f t="shared" si="867"/>
        <v>0</v>
      </c>
      <c r="AG422" s="1360">
        <f t="shared" si="867"/>
        <v>0</v>
      </c>
      <c r="AH422" s="450">
        <f t="shared" si="867"/>
        <v>0</v>
      </c>
      <c r="AI422" s="450">
        <f t="shared" si="867"/>
        <v>0</v>
      </c>
      <c r="AJ422" s="450">
        <f t="shared" si="867"/>
        <v>0</v>
      </c>
      <c r="AK422" s="1360">
        <f t="shared" si="867"/>
        <v>0</v>
      </c>
      <c r="AL422" s="450">
        <f t="shared" si="867"/>
        <v>0</v>
      </c>
      <c r="AM422" s="450">
        <f t="shared" si="867"/>
        <v>0</v>
      </c>
      <c r="AN422" s="450">
        <f t="shared" si="867"/>
        <v>0</v>
      </c>
      <c r="AO422" s="1360">
        <f t="shared" si="867"/>
        <v>0</v>
      </c>
      <c r="AP422" s="450">
        <f t="shared" si="867"/>
        <v>3.9021980735984194E-3</v>
      </c>
      <c r="AQ422" s="450">
        <f t="shared" si="867"/>
        <v>1.3531189391547516E-4</v>
      </c>
      <c r="AR422" s="450">
        <f t="shared" si="867"/>
        <v>0</v>
      </c>
      <c r="AS422" s="1360">
        <f t="shared" si="867"/>
        <v>3.0805491233873637E-2</v>
      </c>
      <c r="AT422" s="450">
        <f t="shared" si="867"/>
        <v>-7.4329787895751698E-3</v>
      </c>
      <c r="AU422" s="450">
        <f t="shared" si="867"/>
        <v>1.341420739531086E-3</v>
      </c>
      <c r="AV422" s="450">
        <f t="shared" si="867"/>
        <v>-4.601111778846154E-3</v>
      </c>
      <c r="AW422" s="1360">
        <f t="shared" si="867"/>
        <v>0</v>
      </c>
      <c r="AX422" s="450">
        <f t="shared" si="867"/>
        <v>-5.7787342579308147E-4</v>
      </c>
      <c r="AY422" s="450">
        <f t="shared" si="867"/>
        <v>-2.539820761220565E-4</v>
      </c>
      <c r="AZ422" s="450">
        <f t="shared" si="867"/>
        <v>-0.21875752758105699</v>
      </c>
      <c r="BA422" s="1360">
        <f t="shared" si="867"/>
        <v>-3.9992848209464721E-4</v>
      </c>
      <c r="BB422" s="450">
        <f t="shared" si="867"/>
        <v>0</v>
      </c>
      <c r="BC422" s="450">
        <f t="shared" si="867"/>
        <v>0</v>
      </c>
      <c r="BD422" s="450">
        <f t="shared" si="867"/>
        <v>0</v>
      </c>
      <c r="BE422" s="450">
        <f t="shared" si="867"/>
        <v>0</v>
      </c>
      <c r="BH422" s="289"/>
      <c r="BV422" s="289"/>
      <c r="BW422" s="289"/>
      <c r="BY422" s="289"/>
      <c r="BZ422" s="658"/>
      <c r="CA422" s="14"/>
      <c r="CB422" s="14"/>
      <c r="CC422" s="14"/>
      <c r="CD422" s="14"/>
      <c r="CE422" s="14"/>
      <c r="CF422" s="14"/>
      <c r="CG422"/>
      <c r="CH422"/>
      <c r="CI422"/>
      <c r="CJ422"/>
      <c r="CK422"/>
      <c r="CL422"/>
    </row>
    <row r="423" spans="1:90" s="13" customFormat="1" ht="12.75" customHeight="1" outlineLevel="1">
      <c r="A423" s="1349"/>
      <c r="B423" s="305" t="s">
        <v>82</v>
      </c>
      <c r="C423" s="450"/>
      <c r="D423" s="450"/>
      <c r="E423" s="450"/>
      <c r="F423" s="450"/>
      <c r="G423" s="450"/>
      <c r="H423" s="450">
        <f t="shared" si="857"/>
        <v>-9.0283974594509483E-3</v>
      </c>
      <c r="I423" s="450">
        <f t="shared" si="857"/>
        <v>-1.0539533136252633E-2</v>
      </c>
      <c r="J423" s="1360">
        <f t="shared" si="857"/>
        <v>-1.0772525951994339E-2</v>
      </c>
      <c r="K423" s="450">
        <f t="shared" ref="K423:R423" si="868">K368/K$336</f>
        <v>-6.845323444992688E-3</v>
      </c>
      <c r="L423" s="450">
        <f t="shared" si="868"/>
        <v>-5.3220308587435547E-3</v>
      </c>
      <c r="M423" s="450">
        <f t="shared" si="868"/>
        <v>-3.4094110295943203E-3</v>
      </c>
      <c r="N423" s="450">
        <f t="shared" si="868"/>
        <v>-2.7894988130831772E-3</v>
      </c>
      <c r="O423" s="450">
        <f t="shared" si="868"/>
        <v>-2.3160471737678104E-3</v>
      </c>
      <c r="P423" s="450">
        <f t="shared" si="868"/>
        <v>-1.9041824492686439E-3</v>
      </c>
      <c r="Q423" s="450">
        <f t="shared" si="868"/>
        <v>-1.6525378656543502E-3</v>
      </c>
      <c r="R423" s="450">
        <f t="shared" si="868"/>
        <v>-1.452559587231663E-3</v>
      </c>
      <c r="S423" s="450"/>
      <c r="T423" s="450"/>
      <c r="U423" s="450"/>
      <c r="V423" s="450" t="e">
        <f t="shared" ref="V423:BE423" si="869">V368/V$336</f>
        <v>#DIV/0!</v>
      </c>
      <c r="W423" s="450" t="e">
        <f t="shared" si="869"/>
        <v>#DIV/0!</v>
      </c>
      <c r="X423" s="450" t="e">
        <f t="shared" si="869"/>
        <v>#DIV/0!</v>
      </c>
      <c r="Y423" s="450" t="e">
        <f t="shared" si="869"/>
        <v>#DIV/0!</v>
      </c>
      <c r="Z423" s="450">
        <f t="shared" si="869"/>
        <v>0</v>
      </c>
      <c r="AA423" s="450">
        <f t="shared" si="869"/>
        <v>0</v>
      </c>
      <c r="AB423" s="450">
        <f t="shared" si="869"/>
        <v>0</v>
      </c>
      <c r="AC423" s="450">
        <f t="shared" si="869"/>
        <v>0</v>
      </c>
      <c r="AD423" s="450">
        <f t="shared" si="869"/>
        <v>0</v>
      </c>
      <c r="AE423" s="450">
        <f t="shared" si="869"/>
        <v>0</v>
      </c>
      <c r="AF423" s="450">
        <f t="shared" si="869"/>
        <v>0</v>
      </c>
      <c r="AG423" s="1360">
        <f t="shared" si="869"/>
        <v>0</v>
      </c>
      <c r="AH423" s="450">
        <f t="shared" si="869"/>
        <v>0</v>
      </c>
      <c r="AI423" s="450">
        <f t="shared" si="869"/>
        <v>0</v>
      </c>
      <c r="AJ423" s="450">
        <f t="shared" si="869"/>
        <v>0</v>
      </c>
      <c r="AK423" s="1360">
        <f t="shared" si="869"/>
        <v>0</v>
      </c>
      <c r="AL423" s="450">
        <f t="shared" si="869"/>
        <v>0</v>
      </c>
      <c r="AM423" s="450">
        <f t="shared" si="869"/>
        <v>0</v>
      </c>
      <c r="AN423" s="450">
        <f t="shared" si="869"/>
        <v>0</v>
      </c>
      <c r="AO423" s="1360">
        <f t="shared" si="869"/>
        <v>0</v>
      </c>
      <c r="AP423" s="450">
        <f t="shared" si="869"/>
        <v>-9.4838231662138801E-3</v>
      </c>
      <c r="AQ423" s="450">
        <f t="shared" si="869"/>
        <v>-9.787560326552704E-3</v>
      </c>
      <c r="AR423" s="450">
        <f t="shared" si="869"/>
        <v>-8.974321859711084E-3</v>
      </c>
      <c r="AS423" s="1360">
        <f t="shared" si="869"/>
        <v>-1.4348329474032417E-2</v>
      </c>
      <c r="AT423" s="450">
        <f t="shared" si="869"/>
        <v>-1.5332462524102756E-2</v>
      </c>
      <c r="AU423" s="450">
        <f t="shared" si="869"/>
        <v>-6.7071036976554298E-3</v>
      </c>
      <c r="AV423" s="450">
        <f t="shared" si="869"/>
        <v>-8.620042067307692E-3</v>
      </c>
      <c r="AW423" s="1360">
        <f t="shared" si="869"/>
        <v>-1.3556598149252183E-2</v>
      </c>
      <c r="AX423" s="450">
        <f t="shared" si="869"/>
        <v>-8.2097879802327436E-3</v>
      </c>
      <c r="AY423" s="450">
        <f t="shared" si="869"/>
        <v>-7.5468959761982512E-3</v>
      </c>
      <c r="AZ423" s="450">
        <f t="shared" si="869"/>
        <v>-4.6972105795635207E-3</v>
      </c>
      <c r="BA423" s="1360">
        <f t="shared" si="869"/>
        <v>-8.0318970154008313E-3</v>
      </c>
      <c r="BB423" s="450">
        <f t="shared" si="869"/>
        <v>-5.4649495760159573E-3</v>
      </c>
      <c r="BC423" s="450">
        <f t="shared" si="869"/>
        <v>-6.4266440448432693E-3</v>
      </c>
      <c r="BD423" s="450">
        <f t="shared" si="869"/>
        <v>-3.7074263343032546E-3</v>
      </c>
      <c r="BE423" s="450">
        <f t="shared" si="869"/>
        <v>-6.3027563671339886E-3</v>
      </c>
      <c r="BH423" s="289"/>
      <c r="BV423" s="289"/>
      <c r="BW423" s="289"/>
      <c r="BY423" s="289"/>
      <c r="BZ423" s="658"/>
      <c r="CA423" s="14"/>
      <c r="CB423" s="14"/>
      <c r="CC423" s="14"/>
      <c r="CD423" s="14"/>
      <c r="CE423" s="14"/>
      <c r="CF423" s="14"/>
      <c r="CG423"/>
      <c r="CH423"/>
      <c r="CI423"/>
      <c r="CJ423"/>
      <c r="CK423"/>
      <c r="CL423"/>
    </row>
    <row r="424" spans="1:90" s="13" customFormat="1" ht="12.75" customHeight="1" outlineLevel="1">
      <c r="A424" s="1349"/>
      <c r="B424" s="13" t="s">
        <v>103</v>
      </c>
      <c r="C424" s="658">
        <f t="shared" si="857"/>
        <v>-4.9475262368815593E-3</v>
      </c>
      <c r="D424" s="658">
        <f t="shared" si="857"/>
        <v>0</v>
      </c>
      <c r="E424" s="658">
        <f t="shared" si="857"/>
        <v>-1.2484394506866417E-3</v>
      </c>
      <c r="F424" s="658">
        <f t="shared" si="857"/>
        <v>-1.738273894023235E-4</v>
      </c>
      <c r="G424" s="658">
        <f t="shared" si="857"/>
        <v>-3.8663720859363096E-3</v>
      </c>
      <c r="H424" s="658">
        <f t="shared" si="857"/>
        <v>-2.0865046454254368E-2</v>
      </c>
      <c r="I424" s="658">
        <f t="shared" si="857"/>
        <v>-1.7104495615119189E-2</v>
      </c>
      <c r="J424" s="1357">
        <f t="shared" si="857"/>
        <v>-3.1761576516525246E-2</v>
      </c>
      <c r="K424" s="658">
        <f t="shared" ref="K424:R424" si="870">K369/K$336</f>
        <v>-8.9303284331204616E-2</v>
      </c>
      <c r="L424" s="658">
        <f t="shared" si="870"/>
        <v>-1.2908881516263532E-3</v>
      </c>
      <c r="M424" s="658">
        <f t="shared" si="870"/>
        <v>3.4035013838096956E-4</v>
      </c>
      <c r="N424" s="658">
        <f t="shared" si="870"/>
        <v>1.2388314962327254E-3</v>
      </c>
      <c r="O424" s="658">
        <f t="shared" si="870"/>
        <v>2.184915922349756E-3</v>
      </c>
      <c r="P424" s="658">
        <f t="shared" si="870"/>
        <v>2.9196242339914308E-3</v>
      </c>
      <c r="Q424" s="658">
        <f t="shared" si="870"/>
        <v>3.2206088807154682E-3</v>
      </c>
      <c r="R424" s="658">
        <f t="shared" si="870"/>
        <v>3.3789623464449171E-3</v>
      </c>
      <c r="S424" s="658"/>
      <c r="T424" s="658"/>
      <c r="U424" s="658"/>
      <c r="V424" s="658" t="e">
        <f t="shared" ref="V424:BE424" si="871">V369/V$336</f>
        <v>#DIV/0!</v>
      </c>
      <c r="W424" s="658" t="e">
        <f t="shared" si="871"/>
        <v>#DIV/0!</v>
      </c>
      <c r="X424" s="658" t="e">
        <f t="shared" si="871"/>
        <v>#DIV/0!</v>
      </c>
      <c r="Y424" s="658" t="e">
        <f t="shared" si="871"/>
        <v>#DIV/0!</v>
      </c>
      <c r="Z424" s="658">
        <f t="shared" si="871"/>
        <v>0</v>
      </c>
      <c r="AA424" s="658">
        <f t="shared" si="871"/>
        <v>0</v>
      </c>
      <c r="AB424" s="658">
        <f t="shared" si="871"/>
        <v>0</v>
      </c>
      <c r="AC424" s="658">
        <f t="shared" si="871"/>
        <v>0</v>
      </c>
      <c r="AD424" s="658">
        <f t="shared" si="871"/>
        <v>-2.2081554541439718E-4</v>
      </c>
      <c r="AE424" s="658">
        <f t="shared" si="871"/>
        <v>-2.011532787984444E-4</v>
      </c>
      <c r="AF424" s="658">
        <f t="shared" si="871"/>
        <v>-1.2938842404899508E-4</v>
      </c>
      <c r="AG424" s="1357">
        <f t="shared" si="871"/>
        <v>-1.7293059718699561E-4</v>
      </c>
      <c r="AH424" s="658">
        <f t="shared" si="871"/>
        <v>-6.4947114492484696E-4</v>
      </c>
      <c r="AI424" s="658">
        <f t="shared" si="871"/>
        <v>-6.3926940639269405E-4</v>
      </c>
      <c r="AJ424" s="658">
        <f t="shared" si="871"/>
        <v>-8.5356094958655634E-3</v>
      </c>
      <c r="AK424" s="1357">
        <f t="shared" si="871"/>
        <v>-2.4104396974482588E-3</v>
      </c>
      <c r="AL424" s="658">
        <f t="shared" si="871"/>
        <v>-5.7066768118698881E-3</v>
      </c>
      <c r="AM424" s="658">
        <f t="shared" si="871"/>
        <v>-1.7885792382197396E-2</v>
      </c>
      <c r="AN424" s="658">
        <f t="shared" si="871"/>
        <v>-3.0749837656136599E-2</v>
      </c>
      <c r="AO424" s="1357">
        <f t="shared" si="871"/>
        <v>-2.261119081779053E-2</v>
      </c>
      <c r="AP424" s="658">
        <f t="shared" si="871"/>
        <v>-2.0103729315880465E-2</v>
      </c>
      <c r="AQ424" s="658">
        <f t="shared" si="871"/>
        <v>-5.2320598980650397E-3</v>
      </c>
      <c r="AR424" s="658">
        <f t="shared" si="871"/>
        <v>-1.4329965550183829E-2</v>
      </c>
      <c r="AS424" s="1357">
        <f t="shared" si="871"/>
        <v>-2.9440952695997353E-2</v>
      </c>
      <c r="AT424" s="658">
        <f t="shared" si="871"/>
        <v>-4.5655283946009831E-2</v>
      </c>
      <c r="AU424" s="658">
        <f t="shared" si="871"/>
        <v>-1.6534468680741862E-2</v>
      </c>
      <c r="AV424" s="658">
        <f t="shared" si="871"/>
        <v>-2.9071514423076924E-2</v>
      </c>
      <c r="AW424" s="1357">
        <f t="shared" si="871"/>
        <v>-3.7429689727571998E-2</v>
      </c>
      <c r="AX424" s="658">
        <f t="shared" si="871"/>
        <v>-2.7658217758648174E-2</v>
      </c>
      <c r="AY424" s="658">
        <f t="shared" si="871"/>
        <v>-1.600087079568956E-2</v>
      </c>
      <c r="AZ424" s="658">
        <f t="shared" si="871"/>
        <v>-0.22223828106181048</v>
      </c>
      <c r="BA424" s="1357">
        <f t="shared" si="871"/>
        <v>-2.3862399431647283E-2</v>
      </c>
      <c r="BB424" s="658">
        <f t="shared" si="871"/>
        <v>-8.8805430610259303E-3</v>
      </c>
      <c r="BC424" s="658">
        <f t="shared" si="871"/>
        <v>1.3427401624359209E-3</v>
      </c>
      <c r="BD424" s="658">
        <f t="shared" si="871"/>
        <v>9.6825617764220023E-4</v>
      </c>
      <c r="BE424" s="658">
        <f t="shared" si="871"/>
        <v>5.6304623546397352E-5</v>
      </c>
      <c r="BH424" s="289"/>
      <c r="BV424" s="289"/>
      <c r="BW424" s="289"/>
      <c r="BY424" s="289"/>
      <c r="BZ424" s="658"/>
      <c r="CA424" s="14"/>
      <c r="CB424" s="14"/>
      <c r="CC424" s="14"/>
      <c r="CD424" s="14"/>
      <c r="CE424" s="14"/>
      <c r="CF424" s="14"/>
      <c r="CG424"/>
      <c r="CH424"/>
      <c r="CI424"/>
      <c r="CJ424"/>
      <c r="CK424"/>
      <c r="CL424"/>
    </row>
    <row r="425" spans="1:90" s="13" customFormat="1" ht="12.75" customHeight="1" outlineLevel="1">
      <c r="A425" s="1349"/>
      <c r="B425" s="13" t="s">
        <v>104</v>
      </c>
      <c r="C425" s="658">
        <f t="shared" si="857"/>
        <v>-7.5412293853073464E-2</v>
      </c>
      <c r="D425" s="658">
        <f t="shared" si="857"/>
        <v>0.13509199361505503</v>
      </c>
      <c r="E425" s="658">
        <f t="shared" si="857"/>
        <v>0.23295880149812734</v>
      </c>
      <c r="F425" s="658">
        <f t="shared" si="857"/>
        <v>0.25057218182344931</v>
      </c>
      <c r="G425" s="658">
        <f t="shared" si="857"/>
        <v>0.44573746762151456</v>
      </c>
      <c r="H425" s="658">
        <f t="shared" si="857"/>
        <v>0.31914335205501021</v>
      </c>
      <c r="I425" s="658">
        <f t="shared" si="857"/>
        <v>0.70483375023481609</v>
      </c>
      <c r="J425" s="1357">
        <f t="shared" si="857"/>
        <v>0.26047399114188774</v>
      </c>
      <c r="K425" s="658">
        <f t="shared" ref="K425:R425" si="872">K370/K$336</f>
        <v>0.25226959485548661</v>
      </c>
      <c r="L425" s="658">
        <f t="shared" si="872"/>
        <v>0.24491909471513945</v>
      </c>
      <c r="M425" s="658">
        <f t="shared" si="872"/>
        <v>0.23950019213587792</v>
      </c>
      <c r="N425" s="658">
        <f t="shared" si="872"/>
        <v>0.24828635942949082</v>
      </c>
      <c r="O425" s="658">
        <f t="shared" si="872"/>
        <v>0.26189717091887738</v>
      </c>
      <c r="P425" s="658">
        <f t="shared" si="872"/>
        <v>0.26706882994069986</v>
      </c>
      <c r="Q425" s="658">
        <f t="shared" si="872"/>
        <v>0.26845487203829238</v>
      </c>
      <c r="R425" s="658">
        <f t="shared" si="872"/>
        <v>0.26937264623852009</v>
      </c>
      <c r="S425" s="658"/>
      <c r="T425" s="658"/>
      <c r="U425" s="658"/>
      <c r="V425" s="658" t="e">
        <f t="shared" ref="V425:BE425" si="873">V370/V$336</f>
        <v>#DIV/0!</v>
      </c>
      <c r="W425" s="658" t="e">
        <f t="shared" si="873"/>
        <v>#DIV/0!</v>
      </c>
      <c r="X425" s="658" t="e">
        <f t="shared" si="873"/>
        <v>#DIV/0!</v>
      </c>
      <c r="Y425" s="658" t="e">
        <f t="shared" si="873"/>
        <v>#DIV/0!</v>
      </c>
      <c r="Z425" s="658">
        <f t="shared" si="873"/>
        <v>0</v>
      </c>
      <c r="AA425" s="658">
        <f t="shared" si="873"/>
        <v>0</v>
      </c>
      <c r="AB425" s="658">
        <f t="shared" si="873"/>
        <v>0</v>
      </c>
      <c r="AC425" s="658">
        <f t="shared" si="873"/>
        <v>0</v>
      </c>
      <c r="AD425" s="658">
        <f t="shared" si="873"/>
        <v>0.26251288090681585</v>
      </c>
      <c r="AE425" s="658">
        <f t="shared" si="873"/>
        <v>-0.20098565106611238</v>
      </c>
      <c r="AF425" s="658">
        <f t="shared" si="873"/>
        <v>0.35420081083412402</v>
      </c>
      <c r="AG425" s="1357">
        <f t="shared" si="873"/>
        <v>0.49092114364768275</v>
      </c>
      <c r="AH425" s="658">
        <f t="shared" si="873"/>
        <v>0.41269252180367416</v>
      </c>
      <c r="AI425" s="658">
        <f t="shared" si="873"/>
        <v>0.45086757990867582</v>
      </c>
      <c r="AJ425" s="658">
        <f t="shared" si="873"/>
        <v>0.44582555348092823</v>
      </c>
      <c r="AK425" s="1357">
        <f t="shared" si="873"/>
        <v>0.47053445266395144</v>
      </c>
      <c r="AL425" s="658">
        <f t="shared" si="873"/>
        <v>0.78866273540041854</v>
      </c>
      <c r="AM425" s="658">
        <f t="shared" si="873"/>
        <v>0.18004634856497712</v>
      </c>
      <c r="AN425" s="658">
        <f t="shared" si="873"/>
        <v>0.2285419611138699</v>
      </c>
      <c r="AO425" s="1357">
        <f t="shared" si="873"/>
        <v>0.16464849354375896</v>
      </c>
      <c r="AP425" s="658">
        <f t="shared" si="873"/>
        <v>1.5221536181773276</v>
      </c>
      <c r="AQ425" s="658">
        <f t="shared" si="873"/>
        <v>1.0239953091876777</v>
      </c>
      <c r="AR425" s="658">
        <f t="shared" si="873"/>
        <v>0.36059404220826219</v>
      </c>
      <c r="AS425" s="1357">
        <f t="shared" si="873"/>
        <v>0.2197320542507443</v>
      </c>
      <c r="AT425" s="658">
        <f t="shared" si="873"/>
        <v>0.22211855445667725</v>
      </c>
      <c r="AU425" s="658">
        <f t="shared" si="873"/>
        <v>0.20631634200396595</v>
      </c>
      <c r="AV425" s="658">
        <f t="shared" si="873"/>
        <v>0.32220928485576922</v>
      </c>
      <c r="AW425" s="1357">
        <f t="shared" si="873"/>
        <v>0.255372093626066</v>
      </c>
      <c r="AX425" s="658">
        <f t="shared" si="873"/>
        <v>0.27959110473457677</v>
      </c>
      <c r="AY425" s="658">
        <f t="shared" si="873"/>
        <v>0.31580857008091145</v>
      </c>
      <c r="AZ425" s="658">
        <f t="shared" si="873"/>
        <v>0.28101363395481044</v>
      </c>
      <c r="BA425" s="1357">
        <f t="shared" si="873"/>
        <v>0.12345832771258855</v>
      </c>
      <c r="BB425" s="658">
        <f t="shared" si="873"/>
        <v>0.24089387873579998</v>
      </c>
      <c r="BC425" s="658">
        <f t="shared" si="873"/>
        <v>0.22273137380303487</v>
      </c>
      <c r="BD425" s="658">
        <f t="shared" si="873"/>
        <v>0.29076044410067353</v>
      </c>
      <c r="BE425" s="658">
        <f t="shared" si="873"/>
        <v>0.20804740462831031</v>
      </c>
      <c r="BH425" s="289"/>
      <c r="BV425" s="289"/>
      <c r="BW425" s="289"/>
      <c r="BY425" s="289"/>
      <c r="BZ425" s="658"/>
      <c r="CA425" s="14"/>
      <c r="CB425" s="14"/>
      <c r="CC425" s="14"/>
      <c r="CD425" s="14"/>
      <c r="CE425" s="14"/>
      <c r="CF425" s="14"/>
      <c r="CG425"/>
      <c r="CH425"/>
      <c r="CI425"/>
      <c r="CJ425"/>
      <c r="CK425"/>
      <c r="CL425"/>
    </row>
    <row r="426" spans="1:90" s="13" customFormat="1" ht="12.75" customHeight="1" outlineLevel="1">
      <c r="A426" s="1349"/>
      <c r="C426" s="658"/>
      <c r="D426" s="658"/>
      <c r="E426" s="658"/>
      <c r="F426" s="658"/>
      <c r="G426" s="658"/>
      <c r="H426" s="658"/>
      <c r="I426" s="658"/>
      <c r="J426" s="1357"/>
      <c r="K426" s="658"/>
      <c r="L426" s="658"/>
      <c r="M426" s="658"/>
      <c r="N426" s="658"/>
      <c r="O426" s="658"/>
      <c r="P426" s="658"/>
      <c r="Q426" s="658"/>
      <c r="R426" s="658"/>
      <c r="S426" s="658"/>
      <c r="T426" s="658"/>
      <c r="U426" s="658"/>
      <c r="V426" s="658"/>
      <c r="W426" s="658"/>
      <c r="X426" s="658"/>
      <c r="Y426" s="658"/>
      <c r="Z426" s="658"/>
      <c r="AA426" s="658"/>
      <c r="AB426" s="658"/>
      <c r="AC426" s="658"/>
      <c r="AD426" s="658"/>
      <c r="AE426" s="658"/>
      <c r="AF426" s="658"/>
      <c r="AG426" s="1357"/>
      <c r="AH426" s="658"/>
      <c r="AI426" s="658"/>
      <c r="AJ426" s="658"/>
      <c r="AK426" s="1357"/>
      <c r="AL426" s="658"/>
      <c r="AM426" s="658"/>
      <c r="AN426" s="658"/>
      <c r="AO426" s="1357"/>
      <c r="AP426" s="658"/>
      <c r="AQ426" s="658"/>
      <c r="AR426" s="658"/>
      <c r="AS426" s="1357"/>
      <c r="AT426" s="658"/>
      <c r="AU426" s="658"/>
      <c r="AV426" s="658"/>
      <c r="AW426" s="1357"/>
      <c r="AX426" s="658"/>
      <c r="AY426" s="658"/>
      <c r="AZ426" s="658"/>
      <c r="BA426" s="1357"/>
      <c r="BB426" s="658"/>
      <c r="BC426" s="658"/>
      <c r="BD426" s="658"/>
      <c r="BE426" s="658"/>
      <c r="BH426" s="289"/>
      <c r="BV426" s="289"/>
      <c r="BW426" s="289"/>
      <c r="BY426" s="289"/>
      <c r="BZ426" s="658"/>
      <c r="CA426" s="14"/>
      <c r="CB426" s="14"/>
      <c r="CC426" s="14"/>
      <c r="CD426" s="14"/>
      <c r="CE426" s="14"/>
      <c r="CF426" s="14"/>
      <c r="CG426"/>
      <c r="CH426"/>
      <c r="CI426"/>
      <c r="CJ426"/>
      <c r="CK426"/>
      <c r="CL426"/>
    </row>
    <row r="427" spans="1:90" s="13" customFormat="1" ht="12.75" customHeight="1" outlineLevel="1">
      <c r="A427" s="1349"/>
      <c r="B427" s="13" t="s">
        <v>132</v>
      </c>
      <c r="C427" s="658">
        <f>C349/C$336</f>
        <v>8.4857571214392802E-2</v>
      </c>
      <c r="D427" s="658">
        <f t="shared" ref="D427:J427" si="874">D349/D$336</f>
        <v>0.12316222800974544</v>
      </c>
      <c r="E427" s="658">
        <f t="shared" si="874"/>
        <v>0.30062421972534331</v>
      </c>
      <c r="F427" s="658">
        <f t="shared" si="874"/>
        <v>0.44465046209114351</v>
      </c>
      <c r="G427" s="658">
        <f t="shared" si="874"/>
        <v>0.506970897455432</v>
      </c>
      <c r="H427" s="658">
        <f t="shared" si="874"/>
        <v>0.36382604587685685</v>
      </c>
      <c r="I427" s="658">
        <f>I349/I$336</f>
        <v>0.35848254451618006</v>
      </c>
      <c r="J427" s="1357">
        <f t="shared" si="874"/>
        <v>0.36936811711410034</v>
      </c>
      <c r="K427" s="658">
        <f t="shared" ref="K427:M427" si="875">K349/K$336</f>
        <v>0.3540338288300835</v>
      </c>
      <c r="L427" s="658">
        <f t="shared" si="875"/>
        <v>0.37436364478146533</v>
      </c>
      <c r="M427" s="658">
        <f t="shared" si="875"/>
        <v>0.38644155927465884</v>
      </c>
      <c r="N427" s="658">
        <f t="shared" ref="N427:BE427" si="876">N349/N$336</f>
        <v>0</v>
      </c>
      <c r="O427" s="658">
        <f t="shared" si="876"/>
        <v>0</v>
      </c>
      <c r="P427" s="658">
        <f t="shared" si="876"/>
        <v>0</v>
      </c>
      <c r="Q427" s="658">
        <f t="shared" si="876"/>
        <v>0</v>
      </c>
      <c r="R427" s="658">
        <f t="shared" si="876"/>
        <v>0</v>
      </c>
      <c r="S427" s="658"/>
      <c r="T427" s="658"/>
      <c r="U427" s="658"/>
      <c r="V427" s="658" t="e">
        <f t="shared" si="876"/>
        <v>#DIV/0!</v>
      </c>
      <c r="W427" s="658" t="e">
        <f t="shared" si="876"/>
        <v>#DIV/0!</v>
      </c>
      <c r="X427" s="658" t="e">
        <f t="shared" si="876"/>
        <v>#DIV/0!</v>
      </c>
      <c r="Y427" s="658" t="e">
        <f t="shared" si="876"/>
        <v>#DIV/0!</v>
      </c>
      <c r="Z427" s="658">
        <f t="shared" si="876"/>
        <v>0.26803558371922981</v>
      </c>
      <c r="AA427" s="658">
        <f t="shared" si="876"/>
        <v>0.23845358455882354</v>
      </c>
      <c r="AB427" s="658">
        <f t="shared" si="876"/>
        <v>0.35601387818041635</v>
      </c>
      <c r="AC427" s="658">
        <f t="shared" si="876"/>
        <v>0.30948869223205505</v>
      </c>
      <c r="AD427" s="658">
        <f t="shared" si="876"/>
        <v>0.38013396143088474</v>
      </c>
      <c r="AE427" s="658">
        <f t="shared" si="876"/>
        <v>0.35124715032855036</v>
      </c>
      <c r="AF427" s="658">
        <f t="shared" si="876"/>
        <v>0.47168549987061159</v>
      </c>
      <c r="AG427" s="1357">
        <f t="shared" si="876"/>
        <v>0.53934171086004146</v>
      </c>
      <c r="AH427" s="658">
        <f t="shared" si="876"/>
        <v>0.52866951196882539</v>
      </c>
      <c r="AI427" s="658">
        <f t="shared" si="876"/>
        <v>0.51515981735159821</v>
      </c>
      <c r="AJ427" s="658">
        <f t="shared" si="876"/>
        <v>0.49709255801547081</v>
      </c>
      <c r="AK427" s="1357">
        <f t="shared" si="876"/>
        <v>0.4954700357410024</v>
      </c>
      <c r="AL427" s="658">
        <f t="shared" si="876"/>
        <v>0.4756198085092892</v>
      </c>
      <c r="AM427" s="658">
        <f t="shared" si="876"/>
        <v>0.32580664329431341</v>
      </c>
      <c r="AN427" s="658">
        <f t="shared" si="876"/>
        <v>0.41216242026051414</v>
      </c>
      <c r="AO427" s="1357">
        <f t="shared" si="876"/>
        <v>0.22674318507890961</v>
      </c>
      <c r="AP427" s="658">
        <f t="shared" si="876"/>
        <v>0.32551247221536184</v>
      </c>
      <c r="AQ427" s="658">
        <f t="shared" si="876"/>
        <v>0.36001984574444096</v>
      </c>
      <c r="AR427" s="658">
        <f t="shared" si="876"/>
        <v>0.42674347914193905</v>
      </c>
      <c r="AS427" s="1357">
        <f t="shared" si="876"/>
        <v>0.28717333774396298</v>
      </c>
      <c r="AT427" s="658">
        <f t="shared" si="876"/>
        <v>0.35046961497791879</v>
      </c>
      <c r="AU427" s="658">
        <f t="shared" si="876"/>
        <v>0.33897118861542053</v>
      </c>
      <c r="AV427" s="658">
        <f t="shared" si="876"/>
        <v>0.43714317908653844</v>
      </c>
      <c r="AW427" s="1357">
        <f t="shared" si="876"/>
        <v>0.31859301692630704</v>
      </c>
      <c r="AX427" s="658">
        <f t="shared" si="876"/>
        <v>0.42055236728837875</v>
      </c>
      <c r="AY427" s="658">
        <f t="shared" si="876"/>
        <v>0.36909038133594574</v>
      </c>
      <c r="AZ427" s="658">
        <f t="shared" si="876"/>
        <v>0.3741870212458448</v>
      </c>
      <c r="BA427" s="1357">
        <f t="shared" si="876"/>
        <v>0.25669468765246539</v>
      </c>
      <c r="BB427" s="658">
        <f t="shared" si="876"/>
        <v>0.38386997241901594</v>
      </c>
      <c r="BC427" s="658">
        <f t="shared" si="876"/>
        <v>0.35057115273126715</v>
      </c>
      <c r="BD427" s="658">
        <f t="shared" si="876"/>
        <v>0.41548325697714117</v>
      </c>
      <c r="BE427" s="658">
        <f t="shared" si="876"/>
        <v>0.33300268413524958</v>
      </c>
      <c r="BH427" s="289"/>
      <c r="BV427" s="289"/>
      <c r="BW427" s="289"/>
      <c r="BY427" s="289"/>
      <c r="BZ427" s="658"/>
      <c r="CA427" s="14"/>
      <c r="CB427" s="14"/>
      <c r="CC427" s="14"/>
      <c r="CD427" s="14"/>
      <c r="CE427" s="14"/>
      <c r="CF427" s="14"/>
      <c r="CG427"/>
      <c r="CH427"/>
      <c r="CI427"/>
      <c r="CJ427"/>
      <c r="CK427"/>
      <c r="CL427"/>
    </row>
    <row r="428" spans="1:90" s="13" customFormat="1" ht="12.75" customHeight="1" outlineLevel="1">
      <c r="A428" s="1349"/>
      <c r="B428" s="13" t="s">
        <v>868</v>
      </c>
      <c r="C428" s="450">
        <f>C502/C$336</f>
        <v>-0.13616206250941515</v>
      </c>
      <c r="D428" s="450">
        <f t="shared" ref="D428:J428" si="877">D502/D$336</f>
        <v>-0.12498155947175876</v>
      </c>
      <c r="E428" s="450">
        <f t="shared" si="877"/>
        <v>-9.4531835205992509E-2</v>
      </c>
      <c r="F428" s="450">
        <f t="shared" si="877"/>
        <v>-7.4890633600834366E-2</v>
      </c>
      <c r="G428" s="450">
        <f t="shared" si="877"/>
        <v>-6.6890141703489253E-2</v>
      </c>
      <c r="H428" s="450">
        <f t="shared" si="877"/>
        <v>-5.32649204766154E-2</v>
      </c>
      <c r="I428" s="450">
        <f t="shared" si="877"/>
        <v>-4.7378464154711648E-2</v>
      </c>
      <c r="J428" s="1360">
        <f t="shared" si="877"/>
        <v>-4.8150979636450944E-2</v>
      </c>
      <c r="K428" s="450">
        <f t="shared" ref="K428:M428" si="878">K502/K$336</f>
        <v>-5.4900495512200054E-2</v>
      </c>
      <c r="L428" s="450">
        <f t="shared" si="878"/>
        <v>-7.601995127330971E-2</v>
      </c>
      <c r="M428" s="450">
        <f t="shared" si="878"/>
        <v>-7.6412381252232958E-2</v>
      </c>
      <c r="N428" s="450">
        <f t="shared" ref="N428:BE428" si="879">N502/N$336</f>
        <v>-8.6810446398817992E-2</v>
      </c>
      <c r="O428" s="450">
        <f t="shared" si="879"/>
        <v>-9.4776455914237681E-2</v>
      </c>
      <c r="P428" s="450">
        <f t="shared" si="879"/>
        <v>-0.10444390107547412</v>
      </c>
      <c r="Q428" s="450">
        <f t="shared" si="879"/>
        <v>-0.10896186433076734</v>
      </c>
      <c r="R428" s="450">
        <f t="shared" si="879"/>
        <v>-0.11325629711976061</v>
      </c>
      <c r="S428" s="450"/>
      <c r="T428" s="450"/>
      <c r="U428" s="450"/>
      <c r="V428" s="450" t="e">
        <f t="shared" si="879"/>
        <v>#DIV/0!</v>
      </c>
      <c r="W428" s="450" t="e">
        <f t="shared" si="879"/>
        <v>#DIV/0!</v>
      </c>
      <c r="X428" s="450" t="e">
        <f t="shared" si="879"/>
        <v>#DIV/0!</v>
      </c>
      <c r="Y428" s="450" t="e">
        <f t="shared" si="879"/>
        <v>#DIV/0!</v>
      </c>
      <c r="Z428" s="450">
        <f t="shared" si="879"/>
        <v>-9.9466255872992931E-2</v>
      </c>
      <c r="AA428" s="450">
        <f t="shared" si="879"/>
        <v>-0.10440560793695469</v>
      </c>
      <c r="AB428" s="450">
        <f t="shared" si="879"/>
        <v>-7.96154541396598E-2</v>
      </c>
      <c r="AC428" s="450">
        <f t="shared" si="879"/>
        <v>-0.10112301402473736</v>
      </c>
      <c r="AD428" s="450">
        <f t="shared" si="879"/>
        <v>-6.9134733963746031E-2</v>
      </c>
      <c r="AE428" s="450">
        <f t="shared" si="879"/>
        <v>-9.2858360930441225E-2</v>
      </c>
      <c r="AF428" s="450">
        <f t="shared" si="879"/>
        <v>-8.0415059702634781E-2</v>
      </c>
      <c r="AG428" s="1360">
        <f t="shared" si="879"/>
        <v>-5.6568038689569757E-2</v>
      </c>
      <c r="AH428" s="450">
        <f t="shared" si="879"/>
        <v>-7.1998515494525892E-2</v>
      </c>
      <c r="AI428" s="450">
        <f t="shared" si="879"/>
        <v>-4.1187214611872143E-2</v>
      </c>
      <c r="AJ428" s="450">
        <f t="shared" si="879"/>
        <v>-0.10221392371299014</v>
      </c>
      <c r="AK428" s="1360">
        <f t="shared" si="879"/>
        <v>-3.0670767184772671E-2</v>
      </c>
      <c r="AL428" s="450">
        <f t="shared" si="879"/>
        <v>-4.8887198021685369E-2</v>
      </c>
      <c r="AM428" s="450">
        <f t="shared" si="879"/>
        <v>-5.8113969932854004E-2</v>
      </c>
      <c r="AN428" s="450">
        <f t="shared" si="879"/>
        <v>-4.5341686084266017E-2</v>
      </c>
      <c r="AO428" s="1360">
        <f t="shared" si="879"/>
        <v>-6.4447632711621239E-2</v>
      </c>
      <c r="AP428" s="450">
        <f t="shared" si="879"/>
        <v>-5.0037046184243025E-2</v>
      </c>
      <c r="AQ428" s="450">
        <f t="shared" si="879"/>
        <v>-5.1689143475711512E-2</v>
      </c>
      <c r="AR428" s="450">
        <f t="shared" si="879"/>
        <v>-4.7766551833946097E-2</v>
      </c>
      <c r="AS428" s="1360">
        <f t="shared" si="879"/>
        <v>-4.0646708567648029E-2</v>
      </c>
      <c r="AT428" s="450">
        <f t="shared" si="879"/>
        <v>-5.1813149219381724E-2</v>
      </c>
      <c r="AU428" s="450">
        <f t="shared" si="879"/>
        <v>-4.8874373031610872E-2</v>
      </c>
      <c r="AV428" s="450">
        <f t="shared" si="879"/>
        <v>-3.9625901442307696E-2</v>
      </c>
      <c r="AW428" s="1360">
        <f t="shared" si="879"/>
        <v>-5.6222297104642424E-2</v>
      </c>
      <c r="AX428" s="450">
        <f t="shared" si="879"/>
        <v>-5.0135501355013552E-2</v>
      </c>
      <c r="AY428" s="450">
        <f t="shared" si="879"/>
        <v>-4.1888900983273469E-2</v>
      </c>
      <c r="AZ428" s="450">
        <f t="shared" si="879"/>
        <v>-3.792696439755263E-2</v>
      </c>
      <c r="BA428" s="1360">
        <f t="shared" si="879"/>
        <v>-9.4320611504742857E-2</v>
      </c>
      <c r="BB428" s="450">
        <f t="shared" si="879"/>
        <v>-6.1061649610166246E-2</v>
      </c>
      <c r="BC428" s="450">
        <f t="shared" si="879"/>
        <v>-8.3934260310729453E-2</v>
      </c>
      <c r="BD428" s="450">
        <f t="shared" si="879"/>
        <v>-5.6172172613598956E-2</v>
      </c>
      <c r="BE428" s="450">
        <f t="shared" si="879"/>
        <v>-0.10905294369804561</v>
      </c>
      <c r="BH428" s="289"/>
      <c r="BV428" s="289"/>
      <c r="BW428" s="289"/>
      <c r="BY428" s="289"/>
      <c r="BZ428" s="658"/>
      <c r="CA428" s="14"/>
      <c r="CB428" s="14"/>
      <c r="CC428" s="14"/>
      <c r="CD428" s="14"/>
      <c r="CE428" s="14"/>
      <c r="CF428" s="14"/>
      <c r="CG428"/>
      <c r="CH428"/>
      <c r="CI428"/>
      <c r="CJ428"/>
      <c r="CK428"/>
      <c r="CL428"/>
    </row>
    <row r="429" spans="1:90" s="13" customFormat="1" ht="12.75" customHeight="1" outlineLevel="1">
      <c r="A429" s="1349"/>
      <c r="B429" s="13" t="s">
        <v>715</v>
      </c>
      <c r="C429" s="658">
        <f>C350/C$336</f>
        <v>8.4857571214392802E-2</v>
      </c>
      <c r="D429" s="658">
        <f t="shared" ref="D429:I429" si="880">D350/D$336</f>
        <v>0.12316222800974544</v>
      </c>
      <c r="E429" s="658">
        <f t="shared" si="880"/>
        <v>0.26491885143570537</v>
      </c>
      <c r="F429" s="658">
        <f t="shared" si="880"/>
        <v>0.42132862067966509</v>
      </c>
      <c r="G429" s="658">
        <f t="shared" si="880"/>
        <v>0.48146807862258112</v>
      </c>
      <c r="H429" s="658">
        <f>H350/H$336</f>
        <v>0.33330271376830611</v>
      </c>
      <c r="I429" s="658">
        <f t="shared" si="880"/>
        <v>0.32120858586357931</v>
      </c>
      <c r="J429" s="1357">
        <f>J350/J$336</f>
        <v>0.33598276395847682</v>
      </c>
      <c r="K429" s="658">
        <f t="shared" ref="K429:M429" si="881">K350/K$336</f>
        <v>0.31657950448779998</v>
      </c>
      <c r="L429" s="658">
        <f t="shared" si="881"/>
        <v>0.31478004872669024</v>
      </c>
      <c r="M429" s="658">
        <f t="shared" si="881"/>
        <v>0.31300761874776706</v>
      </c>
      <c r="N429" s="658">
        <f t="shared" ref="N429:BE429" si="882">N350/N$336</f>
        <v>0.31668955360118206</v>
      </c>
      <c r="O429" s="658">
        <f t="shared" si="882"/>
        <v>0.32542354408576235</v>
      </c>
      <c r="P429" s="658">
        <f t="shared" si="882"/>
        <v>0.32483609892452592</v>
      </c>
      <c r="Q429" s="658">
        <f t="shared" si="882"/>
        <v>0.32031813566923273</v>
      </c>
      <c r="R429" s="658">
        <f t="shared" si="882"/>
        <v>0.3160237028802394</v>
      </c>
      <c r="S429" s="658"/>
      <c r="T429" s="658"/>
      <c r="U429" s="658"/>
      <c r="V429" s="658" t="e">
        <f t="shared" si="882"/>
        <v>#DIV/0!</v>
      </c>
      <c r="W429" s="658" t="e">
        <f t="shared" si="882"/>
        <v>#DIV/0!</v>
      </c>
      <c r="X429" s="658" t="e">
        <f t="shared" si="882"/>
        <v>#DIV/0!</v>
      </c>
      <c r="Y429" s="658" t="e">
        <f t="shared" si="882"/>
        <v>#DIV/0!</v>
      </c>
      <c r="Z429" s="658">
        <f t="shared" si="882"/>
        <v>0.22446990007311723</v>
      </c>
      <c r="AA429" s="658">
        <f t="shared" si="882"/>
        <v>0.19738051470588236</v>
      </c>
      <c r="AB429" s="658">
        <f t="shared" si="882"/>
        <v>0.32845026985350811</v>
      </c>
      <c r="AC429" s="658">
        <f t="shared" si="882"/>
        <v>0.27433628318584069</v>
      </c>
      <c r="AD429" s="658">
        <f t="shared" si="882"/>
        <v>0.35050787575445314</v>
      </c>
      <c r="AE429" s="658">
        <f t="shared" si="882"/>
        <v>0.3242590854230924</v>
      </c>
      <c r="AF429" s="658">
        <f t="shared" si="882"/>
        <v>0.45432588631070475</v>
      </c>
      <c r="AG429" s="1357">
        <f t="shared" si="882"/>
        <v>0.51614018907078629</v>
      </c>
      <c r="AH429" s="658">
        <f t="shared" si="882"/>
        <v>0.50612358508071997</v>
      </c>
      <c r="AI429" s="658">
        <f t="shared" si="882"/>
        <v>0.48684931506849316</v>
      </c>
      <c r="AJ429" s="658">
        <f t="shared" si="882"/>
        <v>0.47607361963190187</v>
      </c>
      <c r="AK429" s="1357">
        <f t="shared" si="882"/>
        <v>0.46288754052032249</v>
      </c>
      <c r="AL429" s="658">
        <f t="shared" si="882"/>
        <v>0.44879842749350074</v>
      </c>
      <c r="AM429" s="658">
        <f t="shared" si="882"/>
        <v>0.29371917523322838</v>
      </c>
      <c r="AN429" s="658">
        <f t="shared" si="882"/>
        <v>0.3871805645746591</v>
      </c>
      <c r="AO429" s="1357">
        <f t="shared" si="882"/>
        <v>0.18605451936872311</v>
      </c>
      <c r="AP429" s="658">
        <f t="shared" si="882"/>
        <v>0.28688565077796985</v>
      </c>
      <c r="AQ429" s="658">
        <f t="shared" si="882"/>
        <v>0.32127554011997655</v>
      </c>
      <c r="AR429" s="658">
        <f t="shared" si="882"/>
        <v>0.39666502619922994</v>
      </c>
      <c r="AS429" s="1357">
        <f t="shared" si="882"/>
        <v>0.24210221634138274</v>
      </c>
      <c r="AT429" s="658">
        <f t="shared" si="882"/>
        <v>0.31302481806307147</v>
      </c>
      <c r="AU429" s="658">
        <f t="shared" si="882"/>
        <v>0.30158637583109765</v>
      </c>
      <c r="AV429" s="658">
        <f t="shared" si="882"/>
        <v>0.41175255408653844</v>
      </c>
      <c r="AW429" s="1357">
        <f t="shared" si="882"/>
        <v>0.28111148552321213</v>
      </c>
      <c r="AX429" s="658">
        <f t="shared" si="882"/>
        <v>0.38855013550135503</v>
      </c>
      <c r="AY429" s="658">
        <f t="shared" si="882"/>
        <v>0.33257138710496714</v>
      </c>
      <c r="AZ429" s="658">
        <f t="shared" si="882"/>
        <v>0.34382377029435851</v>
      </c>
      <c r="BA429" s="1357">
        <f t="shared" si="882"/>
        <v>0.20401104137546477</v>
      </c>
      <c r="BB429" s="658">
        <f t="shared" si="882"/>
        <v>0.31503835038983369</v>
      </c>
      <c r="BC429" s="658">
        <f t="shared" si="882"/>
        <v>0.28581573968927054</v>
      </c>
      <c r="BD429" s="658">
        <f t="shared" si="882"/>
        <v>0.36878782738640103</v>
      </c>
      <c r="BE429" s="658">
        <f t="shared" si="882"/>
        <v>0.26949557389093404</v>
      </c>
      <c r="BH429" s="289"/>
      <c r="BV429" s="289"/>
      <c r="BW429" s="289"/>
      <c r="BY429" s="289"/>
      <c r="BZ429" s="658"/>
      <c r="CA429" s="14"/>
      <c r="CB429" s="14"/>
      <c r="CC429" s="14"/>
      <c r="CD429" s="14"/>
      <c r="CE429" s="14"/>
      <c r="CF429" s="14"/>
      <c r="CG429"/>
      <c r="CH429"/>
      <c r="CI429"/>
      <c r="CJ429"/>
      <c r="CK429"/>
      <c r="CL429"/>
    </row>
    <row r="430" spans="1:90" s="13" customFormat="1" ht="12.75" customHeight="1" outlineLevel="1">
      <c r="A430" s="1349"/>
      <c r="B430" s="144"/>
      <c r="C430" s="20"/>
      <c r="D430" s="20"/>
      <c r="E430" s="20"/>
      <c r="F430" s="20"/>
      <c r="G430" s="20"/>
      <c r="H430" s="314"/>
      <c r="I430" s="20"/>
      <c r="J430" s="673"/>
      <c r="K430" s="20"/>
      <c r="L430" s="20"/>
      <c r="M430" s="20"/>
      <c r="N430" s="20"/>
      <c r="O430" s="20"/>
      <c r="P430" s="20"/>
      <c r="Q430" s="20"/>
      <c r="R430" s="20"/>
      <c r="T430" s="14"/>
      <c r="U430" s="314"/>
      <c r="V430" s="314"/>
      <c r="W430" s="314"/>
      <c r="X430" s="20"/>
      <c r="Y430" s="673"/>
      <c r="Z430" s="20"/>
      <c r="AA430" s="20"/>
      <c r="AB430" s="20"/>
      <c r="AC430" s="673"/>
      <c r="AD430" s="20"/>
      <c r="AE430" s="20"/>
      <c r="AF430" s="20"/>
      <c r="AG430" s="673"/>
      <c r="AH430" s="20"/>
      <c r="AI430" s="20"/>
      <c r="AJ430" s="20"/>
      <c r="AK430" s="673"/>
      <c r="AL430" s="440"/>
      <c r="AM430" s="440"/>
      <c r="AN430" s="20"/>
      <c r="AO430" s="673"/>
      <c r="AP430" s="20"/>
      <c r="AQ430" s="20"/>
      <c r="AR430" s="20"/>
      <c r="AS430" s="673"/>
      <c r="AT430" s="20"/>
      <c r="AU430" s="20"/>
      <c r="AV430" s="20"/>
      <c r="AW430" s="673"/>
      <c r="AX430" s="440"/>
      <c r="AY430" s="440"/>
      <c r="AZ430" s="440"/>
      <c r="BA430" s="566"/>
      <c r="BB430" s="440"/>
      <c r="BC430" s="440"/>
      <c r="BD430" s="440"/>
      <c r="BE430" s="440"/>
      <c r="BH430" s="289"/>
      <c r="BV430" s="289"/>
      <c r="BW430" s="289"/>
      <c r="BY430" s="289"/>
      <c r="BZ430" s="658"/>
      <c r="CA430" s="14"/>
      <c r="CB430" s="14"/>
      <c r="CC430" s="14"/>
      <c r="CD430" s="14"/>
      <c r="CE430" s="14"/>
      <c r="CF430" s="14"/>
      <c r="CG430"/>
      <c r="CH430"/>
      <c r="CI430"/>
      <c r="CJ430"/>
      <c r="CK430"/>
      <c r="CL430"/>
    </row>
    <row r="431" spans="1:90" s="13" customFormat="1" ht="12.75" customHeight="1" outlineLevel="1">
      <c r="A431" s="1349"/>
      <c r="B431" s="144" t="s">
        <v>665</v>
      </c>
      <c r="C431" s="20"/>
      <c r="D431" s="20"/>
      <c r="E431" s="20"/>
      <c r="F431" s="20"/>
      <c r="G431" s="20"/>
      <c r="H431" s="314"/>
      <c r="I431" s="20"/>
      <c r="J431" s="673"/>
      <c r="K431" s="20"/>
      <c r="L431" s="20"/>
      <c r="M431" s="20"/>
      <c r="N431" s="20"/>
      <c r="O431" s="20"/>
      <c r="P431" s="20"/>
      <c r="Q431" s="20"/>
      <c r="R431" s="20"/>
      <c r="T431" s="14"/>
      <c r="U431" s="314"/>
      <c r="V431" s="314"/>
      <c r="W431" s="314"/>
      <c r="X431" s="20"/>
      <c r="Y431" s="673"/>
      <c r="Z431" s="20"/>
      <c r="AA431" s="20"/>
      <c r="AB431" s="20"/>
      <c r="AC431" s="673"/>
      <c r="AD431" s="20"/>
      <c r="AE431" s="20"/>
      <c r="AF431" s="20"/>
      <c r="AG431" s="673"/>
      <c r="AH431" s="20"/>
      <c r="AI431" s="20"/>
      <c r="AJ431" s="20"/>
      <c r="AK431" s="673"/>
      <c r="AL431" s="440"/>
      <c r="AM431" s="440"/>
      <c r="AN431" s="20"/>
      <c r="AO431" s="673"/>
      <c r="AP431" s="20"/>
      <c r="AQ431" s="20"/>
      <c r="AR431" s="20"/>
      <c r="AS431" s="673"/>
      <c r="AT431" s="20"/>
      <c r="AU431" s="20"/>
      <c r="AV431" s="20"/>
      <c r="AW431" s="673"/>
      <c r="AX431" s="440"/>
      <c r="AY431" s="440"/>
      <c r="AZ431" s="440"/>
      <c r="BA431" s="566"/>
      <c r="BB431" s="440"/>
      <c r="BC431" s="440"/>
      <c r="BD431" s="440"/>
      <c r="BE431" s="440"/>
      <c r="BH431" s="289"/>
      <c r="BV431" s="289"/>
      <c r="BW431" s="289"/>
      <c r="BY431" s="289"/>
      <c r="BZ431" s="658"/>
      <c r="CA431" s="14"/>
      <c r="CB431" s="14"/>
      <c r="CC431" s="14"/>
      <c r="CD431" s="14"/>
      <c r="CE431" s="14"/>
      <c r="CF431" s="14"/>
      <c r="CG431"/>
      <c r="CH431"/>
      <c r="CI431"/>
      <c r="CJ431"/>
      <c r="CK431"/>
      <c r="CL431"/>
    </row>
    <row r="432" spans="1:90" ht="12.75" customHeight="1" outlineLevel="1">
      <c r="B432" s="476" t="s">
        <v>114</v>
      </c>
      <c r="C432" s="664">
        <f t="shared" ref="C432:R432" si="883">C338/C336</f>
        <v>0.75502248875562217</v>
      </c>
      <c r="D432" s="664">
        <f t="shared" si="883"/>
        <v>0.70620851886079139</v>
      </c>
      <c r="E432" s="685">
        <f t="shared" si="883"/>
        <v>0.67270911360799002</v>
      </c>
      <c r="F432" s="685">
        <f t="shared" si="883"/>
        <v>0.71842860039980294</v>
      </c>
      <c r="G432" s="685">
        <f t="shared" si="883"/>
        <v>0.74537178119762304</v>
      </c>
      <c r="H432" s="685">
        <f t="shared" si="883"/>
        <v>0.68723426591779957</v>
      </c>
      <c r="I432" s="685">
        <f t="shared" si="883"/>
        <v>0.66033240066045107</v>
      </c>
      <c r="J432" s="1417">
        <f t="shared" si="883"/>
        <v>0.62417468551174238</v>
      </c>
      <c r="K432" s="685">
        <f t="shared" si="883"/>
        <v>0.59500000000000008</v>
      </c>
      <c r="L432" s="685">
        <f t="shared" si="883"/>
        <v>0.6</v>
      </c>
      <c r="M432" s="685">
        <f t="shared" si="883"/>
        <v>0.58699999999999997</v>
      </c>
      <c r="N432" s="685">
        <f t="shared" si="883"/>
        <v>0.58700000000000008</v>
      </c>
      <c r="O432" s="685">
        <f t="shared" si="883"/>
        <v>0.58700000000000008</v>
      </c>
      <c r="P432" s="685">
        <f t="shared" si="883"/>
        <v>0.58699999999999997</v>
      </c>
      <c r="Q432" s="685">
        <f t="shared" si="883"/>
        <v>0.58700000000000008</v>
      </c>
      <c r="R432" s="685">
        <f t="shared" si="883"/>
        <v>0.58699999999999997</v>
      </c>
      <c r="S432" s="413"/>
      <c r="T432" s="413"/>
      <c r="U432" s="413"/>
      <c r="V432" s="413"/>
      <c r="W432" s="413"/>
      <c r="X432" s="450"/>
      <c r="Y432" s="1360"/>
      <c r="Z432" s="450">
        <f t="shared" ref="Z432:BE432" si="884">Z338/Z336</f>
        <v>0.66951011455032905</v>
      </c>
      <c r="AA432" s="450">
        <f t="shared" si="884"/>
        <v>0.66888786764705888</v>
      </c>
      <c r="AB432" s="450">
        <f t="shared" si="884"/>
        <v>0.6874325366229761</v>
      </c>
      <c r="AC432" s="1360">
        <f t="shared" si="884"/>
        <v>0.65978367748279254</v>
      </c>
      <c r="AD432" s="450">
        <f t="shared" si="884"/>
        <v>0.68232003533048724</v>
      </c>
      <c r="AE432" s="450">
        <f t="shared" si="884"/>
        <v>0.68177551294086092</v>
      </c>
      <c r="AF432" s="450">
        <f t="shared" si="884"/>
        <v>0.74890019839558353</v>
      </c>
      <c r="AG432" s="1360">
        <f t="shared" si="884"/>
        <v>0.73749135347014061</v>
      </c>
      <c r="AH432" s="450">
        <f t="shared" si="884"/>
        <v>0.74698459825570607</v>
      </c>
      <c r="AI432" s="450">
        <f t="shared" si="884"/>
        <v>0.7259360730593607</v>
      </c>
      <c r="AJ432" s="450">
        <f t="shared" si="884"/>
        <v>0.77748732995465453</v>
      </c>
      <c r="AK432" s="1360">
        <f t="shared" si="884"/>
        <v>0.71157842240877733</v>
      </c>
      <c r="AL432" s="450">
        <f t="shared" si="884"/>
        <v>0.70927652019529519</v>
      </c>
      <c r="AM432" s="450">
        <f t="shared" si="884"/>
        <v>0.66747875690771885</v>
      </c>
      <c r="AN432" s="450">
        <f t="shared" si="884"/>
        <v>0.71274685816876127</v>
      </c>
      <c r="AO432" s="1360">
        <f t="shared" si="884"/>
        <v>0.64803443328550936</v>
      </c>
      <c r="AP432" s="450">
        <f t="shared" si="884"/>
        <v>0.66851074339343053</v>
      </c>
      <c r="AQ432" s="450">
        <f t="shared" si="884"/>
        <v>0.67836362816291551</v>
      </c>
      <c r="AR432" s="450">
        <f t="shared" si="884"/>
        <v>0.6829748429493675</v>
      </c>
      <c r="AS432" s="1360">
        <f t="shared" si="884"/>
        <v>0.60461462123718157</v>
      </c>
      <c r="AT432" s="450">
        <f t="shared" si="884"/>
        <v>0.63475772843192135</v>
      </c>
      <c r="AU432" s="450">
        <f t="shared" si="884"/>
        <v>0.61731599206812082</v>
      </c>
      <c r="AV432" s="450">
        <f t="shared" si="884"/>
        <v>0.64081280048076927</v>
      </c>
      <c r="AW432" s="1360">
        <f t="shared" si="884"/>
        <v>0.59848622307472976</v>
      </c>
      <c r="AX432" s="450">
        <f t="shared" si="884"/>
        <v>0.65208034433285511</v>
      </c>
      <c r="AY432" s="450">
        <f t="shared" si="884"/>
        <v>0.60084902579732236</v>
      </c>
      <c r="AZ432" s="450">
        <f t="shared" si="884"/>
        <v>0.57751601869248925</v>
      </c>
      <c r="BA432" s="1360">
        <f t="shared" si="884"/>
        <v>0.56608400428648398</v>
      </c>
      <c r="BB432" s="450">
        <f t="shared" si="884"/>
        <v>0.59499999999999997</v>
      </c>
      <c r="BC432" s="450">
        <f t="shared" si="884"/>
        <v>0.59000000000000008</v>
      </c>
      <c r="BD432" s="450">
        <f t="shared" si="884"/>
        <v>0.6</v>
      </c>
      <c r="BE432" s="450">
        <f t="shared" si="884"/>
        <v>0.61442045001227241</v>
      </c>
      <c r="BF432" s="141"/>
      <c r="BY432" s="665"/>
      <c r="BZ432" s="450"/>
    </row>
    <row r="433" spans="1:90" ht="12.75" customHeight="1" outlineLevel="1">
      <c r="B433" s="476" t="s">
        <v>680</v>
      </c>
      <c r="C433" s="664">
        <f t="shared" ref="C433:R433" si="885">C350/C336</f>
        <v>8.4857571214392802E-2</v>
      </c>
      <c r="D433" s="664">
        <f t="shared" si="885"/>
        <v>0.12316222800974544</v>
      </c>
      <c r="E433" s="685">
        <f t="shared" si="885"/>
        <v>0.26491885143570537</v>
      </c>
      <c r="F433" s="685">
        <f t="shared" si="885"/>
        <v>0.42132862067966509</v>
      </c>
      <c r="G433" s="685">
        <f t="shared" si="885"/>
        <v>0.48146807862258112</v>
      </c>
      <c r="H433" s="685">
        <f t="shared" si="885"/>
        <v>0.33330271376830611</v>
      </c>
      <c r="I433" s="685">
        <f t="shared" si="885"/>
        <v>0.32120858586357931</v>
      </c>
      <c r="J433" s="1417">
        <f t="shared" si="885"/>
        <v>0.33598276395847682</v>
      </c>
      <c r="K433" s="685">
        <f t="shared" si="885"/>
        <v>0.31657950448779998</v>
      </c>
      <c r="L433" s="685">
        <f t="shared" si="885"/>
        <v>0.31478004872669024</v>
      </c>
      <c r="M433" s="685">
        <f t="shared" si="885"/>
        <v>0.31300761874776706</v>
      </c>
      <c r="N433" s="685">
        <f t="shared" si="885"/>
        <v>0.31668955360118206</v>
      </c>
      <c r="O433" s="685">
        <f t="shared" si="885"/>
        <v>0.32542354408576235</v>
      </c>
      <c r="P433" s="685">
        <f t="shared" si="885"/>
        <v>0.32483609892452592</v>
      </c>
      <c r="Q433" s="685">
        <f t="shared" si="885"/>
        <v>0.32031813566923273</v>
      </c>
      <c r="R433" s="685">
        <f t="shared" si="885"/>
        <v>0.3160237028802394</v>
      </c>
      <c r="S433" s="413"/>
      <c r="T433" s="413"/>
      <c r="U433" s="413"/>
      <c r="V433" s="413"/>
      <c r="W433" s="413"/>
      <c r="X433" s="450"/>
      <c r="Y433" s="1360"/>
      <c r="Z433" s="450">
        <f t="shared" ref="Z433:BE433" si="886">Z350/Z336</f>
        <v>0.22446990007311723</v>
      </c>
      <c r="AA433" s="450">
        <f t="shared" si="886"/>
        <v>0.19738051470588236</v>
      </c>
      <c r="AB433" s="450">
        <f t="shared" si="886"/>
        <v>0.32845026985350811</v>
      </c>
      <c r="AC433" s="450">
        <f t="shared" si="886"/>
        <v>0.27433628318584069</v>
      </c>
      <c r="AD433" s="450">
        <f t="shared" si="886"/>
        <v>0.35050787575445314</v>
      </c>
      <c r="AE433" s="450">
        <f t="shared" si="886"/>
        <v>0.3242590854230924</v>
      </c>
      <c r="AF433" s="450">
        <f t="shared" si="886"/>
        <v>0.45432588631070475</v>
      </c>
      <c r="AG433" s="1360">
        <f t="shared" si="886"/>
        <v>0.51614018907078629</v>
      </c>
      <c r="AH433" s="450">
        <f t="shared" si="886"/>
        <v>0.50612358508071997</v>
      </c>
      <c r="AI433" s="450">
        <f t="shared" si="886"/>
        <v>0.48684931506849316</v>
      </c>
      <c r="AJ433" s="450">
        <f t="shared" si="886"/>
        <v>0.47607361963190187</v>
      </c>
      <c r="AK433" s="1360">
        <f t="shared" si="886"/>
        <v>0.46288754052032249</v>
      </c>
      <c r="AL433" s="450">
        <f t="shared" si="886"/>
        <v>0.44879842749350074</v>
      </c>
      <c r="AM433" s="450">
        <f t="shared" si="886"/>
        <v>0.29371917523322838</v>
      </c>
      <c r="AN433" s="450">
        <f t="shared" si="886"/>
        <v>0.3871805645746591</v>
      </c>
      <c r="AO433" s="1360">
        <f t="shared" si="886"/>
        <v>0.18605451936872311</v>
      </c>
      <c r="AP433" s="450">
        <f t="shared" si="886"/>
        <v>0.28688565077796985</v>
      </c>
      <c r="AQ433" s="450">
        <f t="shared" si="886"/>
        <v>0.32127554011997655</v>
      </c>
      <c r="AR433" s="450">
        <f t="shared" si="886"/>
        <v>0.39666502619922994</v>
      </c>
      <c r="AS433" s="1360">
        <f t="shared" si="886"/>
        <v>0.24210221634138274</v>
      </c>
      <c r="AT433" s="450">
        <f t="shared" si="886"/>
        <v>0.31302481806307147</v>
      </c>
      <c r="AU433" s="450">
        <f t="shared" si="886"/>
        <v>0.30158637583109765</v>
      </c>
      <c r="AV433" s="450">
        <f t="shared" si="886"/>
        <v>0.41175255408653844</v>
      </c>
      <c r="AW433" s="1360">
        <f t="shared" si="886"/>
        <v>0.28111148552321213</v>
      </c>
      <c r="AX433" s="450">
        <f t="shared" si="886"/>
        <v>0.38855013550135503</v>
      </c>
      <c r="AY433" s="450">
        <f t="shared" si="886"/>
        <v>0.33257138710496714</v>
      </c>
      <c r="AZ433" s="450">
        <f t="shared" si="886"/>
        <v>0.34382377029435851</v>
      </c>
      <c r="BA433" s="1360">
        <f t="shared" si="886"/>
        <v>0.20401104137546477</v>
      </c>
      <c r="BB433" s="450">
        <f t="shared" si="886"/>
        <v>0.31503835038983369</v>
      </c>
      <c r="BC433" s="450">
        <f t="shared" si="886"/>
        <v>0.28581573968927054</v>
      </c>
      <c r="BD433" s="450">
        <f t="shared" si="886"/>
        <v>0.36878782738640103</v>
      </c>
      <c r="BE433" s="450">
        <f t="shared" si="886"/>
        <v>0.26949557389093404</v>
      </c>
      <c r="BF433" s="141"/>
      <c r="BY433" s="665"/>
      <c r="BZ433" s="450"/>
    </row>
    <row r="434" spans="1:90" s="13" customFormat="1" ht="12.75" customHeight="1" outlineLevel="1">
      <c r="A434" s="1349"/>
      <c r="B434" s="476" t="s">
        <v>116</v>
      </c>
      <c r="C434" s="15">
        <f t="shared" ref="C434:R434" si="887">C354/C336</f>
        <v>-0.13088455772113944</v>
      </c>
      <c r="D434" s="15">
        <f t="shared" si="887"/>
        <v>0.11106443753675543</v>
      </c>
      <c r="E434" s="450">
        <f t="shared" si="887"/>
        <v>0.25043695380774034</v>
      </c>
      <c r="F434" s="450">
        <f t="shared" si="887"/>
        <v>0.31146971057739664</v>
      </c>
      <c r="G434" s="450">
        <f t="shared" si="887"/>
        <v>0.47463050434252629</v>
      </c>
      <c r="H434" s="450">
        <f t="shared" si="887"/>
        <v>0.30359298724476408</v>
      </c>
      <c r="I434" s="450">
        <f t="shared" si="887"/>
        <v>0.28773123201803386</v>
      </c>
      <c r="J434" s="1360">
        <f t="shared" si="887"/>
        <v>0.30362095872321876</v>
      </c>
      <c r="K434" s="450">
        <f t="shared" si="887"/>
        <v>0.28814957497852278</v>
      </c>
      <c r="L434" s="450">
        <f t="shared" si="887"/>
        <v>0.29466527348592425</v>
      </c>
      <c r="M434" s="450">
        <f t="shared" si="887"/>
        <v>0.29738980579925373</v>
      </c>
      <c r="N434" s="450">
        <f t="shared" si="887"/>
        <v>0.30652857440051801</v>
      </c>
      <c r="O434" s="450">
        <f t="shared" si="887"/>
        <v>0.31885752512625964</v>
      </c>
      <c r="P434" s="450">
        <f t="shared" si="887"/>
        <v>0.32020582682918142</v>
      </c>
      <c r="Q434" s="450">
        <f t="shared" si="887"/>
        <v>0.31629708467095013</v>
      </c>
      <c r="R434" s="450">
        <f t="shared" si="887"/>
        <v>0.3124868864476294</v>
      </c>
      <c r="S434" s="1362"/>
      <c r="T434" s="658"/>
      <c r="U434" s="1363"/>
      <c r="V434" s="1363"/>
      <c r="W434" s="1363"/>
      <c r="X434" s="1362"/>
      <c r="Y434" s="1364"/>
      <c r="Z434" s="450">
        <f t="shared" ref="Z434:BE434" si="888">Z354/Z336</f>
        <v>0.21569583231781622</v>
      </c>
      <c r="AA434" s="450">
        <f t="shared" si="888"/>
        <v>0.18727022058823528</v>
      </c>
      <c r="AB434" s="450">
        <f t="shared" si="888"/>
        <v>0.30161912104857364</v>
      </c>
      <c r="AC434" s="1360">
        <f t="shared" si="888"/>
        <v>0.26725663716814158</v>
      </c>
      <c r="AD434" s="450">
        <f t="shared" si="888"/>
        <v>0.34506109230089799</v>
      </c>
      <c r="AE434" s="450">
        <f t="shared" si="888"/>
        <v>-0.14831701756738636</v>
      </c>
      <c r="AF434" s="450">
        <f t="shared" si="888"/>
        <v>0.43655654274130939</v>
      </c>
      <c r="AG434" s="1360">
        <f t="shared" si="888"/>
        <v>0.513258012451003</v>
      </c>
      <c r="AH434" s="450">
        <f t="shared" si="888"/>
        <v>0.50287622935609577</v>
      </c>
      <c r="AI434" s="450">
        <f t="shared" si="888"/>
        <v>0.47926940639269405</v>
      </c>
      <c r="AJ434" s="450">
        <f t="shared" si="888"/>
        <v>0.4695118698319552</v>
      </c>
      <c r="AK434" s="1360">
        <f t="shared" si="888"/>
        <v>0.45307954451001581</v>
      </c>
      <c r="AL434" s="450">
        <f t="shared" si="888"/>
        <v>0.43396106778263904</v>
      </c>
      <c r="AM434" s="450">
        <f t="shared" si="888"/>
        <v>0.25818527541743419</v>
      </c>
      <c r="AN434" s="450">
        <f t="shared" si="888"/>
        <v>0.35704190381603573</v>
      </c>
      <c r="AO434" s="1360">
        <f t="shared" si="888"/>
        <v>0.1491535150645624</v>
      </c>
      <c r="AP434" s="450">
        <f t="shared" si="888"/>
        <v>0.25492714250432208</v>
      </c>
      <c r="AQ434" s="450">
        <f t="shared" si="888"/>
        <v>0.28843985386315457</v>
      </c>
      <c r="AR434" s="450">
        <f t="shared" si="888"/>
        <v>0.35995715485047619</v>
      </c>
      <c r="AS434" s="1360">
        <f t="shared" si="888"/>
        <v>0.21137942441283494</v>
      </c>
      <c r="AT434" s="450">
        <f t="shared" si="888"/>
        <v>0.27411830565403994</v>
      </c>
      <c r="AU434" s="450">
        <f t="shared" si="888"/>
        <v>0.26376414324040592</v>
      </c>
      <c r="AV434" s="450">
        <f t="shared" si="888"/>
        <v>0.38807091346153844</v>
      </c>
      <c r="AW434" s="1360">
        <f t="shared" si="888"/>
        <v>0.24707742554239354</v>
      </c>
      <c r="AX434" s="450">
        <f t="shared" si="888"/>
        <v>0.34897576916945638</v>
      </c>
      <c r="AY434" s="450">
        <f t="shared" si="888"/>
        <v>0.30085991074344182</v>
      </c>
      <c r="AZ434" s="450">
        <f t="shared" si="888"/>
        <v>0.3130991954521366</v>
      </c>
      <c r="BA434" s="1360">
        <f t="shared" si="888"/>
        <v>0.18285777153488164</v>
      </c>
      <c r="BB434" s="450">
        <f t="shared" si="888"/>
        <v>0.29180154196857699</v>
      </c>
      <c r="BC434" s="450">
        <f t="shared" si="888"/>
        <v>0.26395501517433356</v>
      </c>
      <c r="BD434" s="450">
        <f t="shared" si="888"/>
        <v>0.35302395724124763</v>
      </c>
      <c r="BE434" s="450">
        <f t="shared" si="888"/>
        <v>0.24805626285001245</v>
      </c>
      <c r="BH434" s="289"/>
      <c r="BV434" s="289"/>
      <c r="BW434" s="289"/>
      <c r="BY434" s="289"/>
      <c r="BZ434" s="658"/>
      <c r="CA434" s="14"/>
      <c r="CB434" s="14"/>
      <c r="CC434" s="14"/>
      <c r="CD434" s="14"/>
      <c r="CE434" s="14"/>
      <c r="CF434" s="14"/>
      <c r="CG434"/>
      <c r="CH434"/>
      <c r="CI434"/>
      <c r="CJ434"/>
      <c r="CK434"/>
      <c r="CL434"/>
    </row>
    <row r="435" spans="1:90" s="13" customFormat="1" ht="12.75" customHeight="1" outlineLevel="1">
      <c r="A435" s="1349"/>
      <c r="B435" s="476" t="s">
        <v>117</v>
      </c>
      <c r="C435" s="15"/>
      <c r="D435" s="15"/>
      <c r="E435" s="450"/>
      <c r="F435" s="450">
        <f t="shared" ref="F435:R435" si="889">F378/F336</f>
        <v>0.2434742300895211</v>
      </c>
      <c r="G435" s="450">
        <f t="shared" si="889"/>
        <v>0.43950937071461221</v>
      </c>
      <c r="H435" s="450">
        <f t="shared" si="889"/>
        <v>0.31689937536087343</v>
      </c>
      <c r="I435" s="450">
        <f t="shared" si="889"/>
        <v>0.70652442581295793</v>
      </c>
      <c r="J435" s="1360">
        <f t="shared" si="889"/>
        <v>0.275947255691116</v>
      </c>
      <c r="K435" s="450">
        <f t="shared" si="889"/>
        <v>0.26126959485548662</v>
      </c>
      <c r="L435" s="450">
        <f t="shared" si="889"/>
        <v>0.25491909471513946</v>
      </c>
      <c r="M435" s="450">
        <f t="shared" si="889"/>
        <v>0.25250019213587793</v>
      </c>
      <c r="N435" s="450">
        <f t="shared" si="889"/>
        <v>0.2582863594294908</v>
      </c>
      <c r="O435" s="450">
        <f t="shared" si="889"/>
        <v>0.27189717091887733</v>
      </c>
      <c r="P435" s="450">
        <f t="shared" si="889"/>
        <v>0.27706882994069981</v>
      </c>
      <c r="Q435" s="450">
        <f t="shared" si="889"/>
        <v>0.27845487203829239</v>
      </c>
      <c r="R435" s="450">
        <f t="shared" si="889"/>
        <v>0.27937264623852004</v>
      </c>
      <c r="S435" s="1362"/>
      <c r="T435" s="658"/>
      <c r="U435" s="1363"/>
      <c r="V435" s="1363"/>
      <c r="W435" s="1363"/>
      <c r="X435" s="1362"/>
      <c r="Y435" s="1364"/>
      <c r="Z435" s="450"/>
      <c r="AA435" s="450"/>
      <c r="AB435" s="450"/>
      <c r="AC435" s="1360"/>
      <c r="AD435" s="450">
        <f t="shared" ref="AD435:BE435" si="890">AD378/AD336</f>
        <v>0.25349624613572797</v>
      </c>
      <c r="AE435" s="450">
        <f t="shared" si="890"/>
        <v>-0.20919940995038219</v>
      </c>
      <c r="AF435" s="450">
        <f t="shared" si="890"/>
        <v>0.34891745018545672</v>
      </c>
      <c r="AG435" s="1360">
        <f t="shared" si="890"/>
        <v>0.48385981092921376</v>
      </c>
      <c r="AH435" s="450">
        <f t="shared" si="890"/>
        <v>0.4067544999072184</v>
      </c>
      <c r="AI435" s="450">
        <f t="shared" si="890"/>
        <v>0.44593607305936073</v>
      </c>
      <c r="AJ435" s="450">
        <f t="shared" si="890"/>
        <v>0.44098426246999201</v>
      </c>
      <c r="AK435" s="1360">
        <f t="shared" si="890"/>
        <v>0.46072645665364476</v>
      </c>
      <c r="AL435" s="450">
        <f t="shared" si="890"/>
        <v>0.78270242850802108</v>
      </c>
      <c r="AM435" s="450">
        <f t="shared" si="890"/>
        <v>0.17683760175886862</v>
      </c>
      <c r="AN435" s="450">
        <f t="shared" si="890"/>
        <v>0.22674662897742465</v>
      </c>
      <c r="AO435" s="1360">
        <f t="shared" si="890"/>
        <v>0.16602582496413198</v>
      </c>
      <c r="AP435" s="450">
        <f t="shared" si="890"/>
        <v>1.5234872808100766</v>
      </c>
      <c r="AQ435" s="450">
        <f t="shared" si="890"/>
        <v>1.0262956113842407</v>
      </c>
      <c r="AR435" s="450">
        <f t="shared" si="890"/>
        <v>0.36180991807312624</v>
      </c>
      <c r="AS435" s="1360">
        <f t="shared" si="890"/>
        <v>0.22184088653655309</v>
      </c>
      <c r="AT435" s="450">
        <f t="shared" si="890"/>
        <v>0.23480748895938297</v>
      </c>
      <c r="AU435" s="450">
        <f t="shared" si="890"/>
        <v>0.22229674559664062</v>
      </c>
      <c r="AV435" s="450">
        <f t="shared" si="890"/>
        <v>0.33531775841346156</v>
      </c>
      <c r="AW435" s="1360">
        <f t="shared" si="890"/>
        <v>0.27597915964643976</v>
      </c>
      <c r="AX435" s="450">
        <f t="shared" si="890"/>
        <v>0.29258329347999362</v>
      </c>
      <c r="AY435" s="450">
        <f t="shared" si="890"/>
        <v>0.32052538006603531</v>
      </c>
      <c r="AZ435" s="450">
        <f t="shared" si="890"/>
        <v>0.28993833405598113</v>
      </c>
      <c r="BA435" s="1360">
        <f t="shared" si="890"/>
        <v>0.13315830253837471</v>
      </c>
      <c r="BB435" s="450">
        <f t="shared" si="890"/>
        <v>0.24989387873579996</v>
      </c>
      <c r="BC435" s="450">
        <f t="shared" si="890"/>
        <v>0.23173137380303488</v>
      </c>
      <c r="BD435" s="450">
        <f t="shared" si="890"/>
        <v>0.29976044410067354</v>
      </c>
      <c r="BE435" s="450">
        <f t="shared" si="890"/>
        <v>0.22131080022369759</v>
      </c>
      <c r="BH435" s="289"/>
      <c r="BV435" s="289"/>
      <c r="BW435" s="289"/>
      <c r="BY435" s="289"/>
      <c r="BZ435" s="658"/>
      <c r="CA435" s="14"/>
      <c r="CB435" s="14"/>
      <c r="CC435" s="14"/>
      <c r="CD435" s="14"/>
      <c r="CE435" s="14"/>
      <c r="CF435" s="14"/>
      <c r="CG435"/>
      <c r="CH435"/>
      <c r="CI435"/>
      <c r="CJ435"/>
      <c r="CK435"/>
      <c r="CL435"/>
    </row>
    <row r="436" spans="1:90" s="13" customFormat="1" ht="12.75" customHeight="1" outlineLevel="1">
      <c r="A436" s="1349"/>
      <c r="B436" s="476"/>
      <c r="C436" s="15"/>
      <c r="D436" s="15"/>
      <c r="E436" s="15"/>
      <c r="F436" s="15"/>
      <c r="G436" s="15"/>
      <c r="H436" s="15"/>
      <c r="I436" s="15"/>
      <c r="J436" s="435"/>
      <c r="K436" s="15"/>
      <c r="L436" s="15"/>
      <c r="M436" s="15"/>
      <c r="N436" s="15"/>
      <c r="O436" s="15"/>
      <c r="P436" s="15"/>
      <c r="Q436" s="15"/>
      <c r="R436" s="15"/>
      <c r="T436" s="14"/>
      <c r="U436" s="314"/>
      <c r="V436" s="314"/>
      <c r="W436" s="314"/>
      <c r="X436" s="20"/>
      <c r="Y436" s="673"/>
      <c r="Z436" s="15"/>
      <c r="AA436" s="15"/>
      <c r="AB436" s="15"/>
      <c r="AC436" s="435"/>
      <c r="AD436" s="15"/>
      <c r="AE436" s="15"/>
      <c r="AF436" s="15"/>
      <c r="AG436" s="435"/>
      <c r="AH436" s="15"/>
      <c r="AI436" s="15"/>
      <c r="AJ436" s="15"/>
      <c r="AK436" s="435"/>
      <c r="AL436" s="15"/>
      <c r="AM436" s="15"/>
      <c r="AN436" s="15"/>
      <c r="AO436" s="435"/>
      <c r="AP436" s="15"/>
      <c r="AQ436" s="15"/>
      <c r="AR436" s="15"/>
      <c r="AS436" s="435"/>
      <c r="AT436" s="15"/>
      <c r="AU436" s="15"/>
      <c r="AV436" s="15"/>
      <c r="AW436" s="435"/>
      <c r="AX436" s="15"/>
      <c r="AY436" s="15"/>
      <c r="AZ436" s="15"/>
      <c r="BA436" s="435"/>
      <c r="BB436" s="15"/>
      <c r="BC436" s="15"/>
      <c r="BD436" s="15"/>
      <c r="BE436" s="15"/>
      <c r="BH436" s="289"/>
      <c r="BV436" s="289"/>
      <c r="BW436" s="289"/>
      <c r="BY436" s="289"/>
      <c r="BZ436" s="658"/>
      <c r="CA436" s="14"/>
      <c r="CB436" s="14"/>
      <c r="CC436" s="14"/>
      <c r="CD436" s="14"/>
      <c r="CE436" s="14"/>
      <c r="CF436" s="14"/>
      <c r="CG436"/>
      <c r="CH436"/>
      <c r="CI436"/>
      <c r="CJ436"/>
      <c r="CK436"/>
      <c r="CL436"/>
    </row>
    <row r="437" spans="1:90" s="13" customFormat="1" ht="12.75" customHeight="1" outlineLevel="1">
      <c r="A437" s="1349"/>
      <c r="B437" s="337" t="s">
        <v>81</v>
      </c>
      <c r="C437" s="15"/>
      <c r="D437" s="15"/>
      <c r="E437" s="15"/>
      <c r="F437" s="15"/>
      <c r="G437" s="15"/>
      <c r="H437" s="15"/>
      <c r="I437" s="15"/>
      <c r="J437" s="435"/>
      <c r="K437" s="15"/>
      <c r="L437" s="15"/>
      <c r="M437" s="15"/>
      <c r="N437" s="15"/>
      <c r="O437" s="15"/>
      <c r="P437" s="15"/>
      <c r="Q437" s="15"/>
      <c r="R437" s="15"/>
      <c r="T437" s="14"/>
      <c r="U437" s="314"/>
      <c r="V437" s="314"/>
      <c r="W437" s="314"/>
      <c r="X437" s="20"/>
      <c r="Y437" s="673"/>
      <c r="Z437" s="15"/>
      <c r="AA437" s="15"/>
      <c r="AB437" s="15"/>
      <c r="AC437" s="435"/>
      <c r="AD437" s="15"/>
      <c r="AE437" s="15"/>
      <c r="AF437" s="15"/>
      <c r="AG437" s="435"/>
      <c r="AH437" s="15"/>
      <c r="AI437" s="15"/>
      <c r="AJ437" s="15"/>
      <c r="AK437" s="435"/>
      <c r="AL437" s="15"/>
      <c r="AM437" s="15"/>
      <c r="AN437" s="15"/>
      <c r="AO437" s="435"/>
      <c r="AP437" s="15"/>
      <c r="AQ437" s="15"/>
      <c r="AR437" s="15"/>
      <c r="AS437" s="435"/>
      <c r="AT437" s="15"/>
      <c r="AU437" s="15"/>
      <c r="AV437" s="15"/>
      <c r="AW437" s="435"/>
      <c r="AX437" s="15"/>
      <c r="AY437" s="15"/>
      <c r="AZ437" s="15"/>
      <c r="BA437" s="435"/>
      <c r="BB437" s="15"/>
      <c r="BC437" s="15"/>
      <c r="BD437" s="15"/>
      <c r="BE437" s="15"/>
      <c r="BH437" s="289"/>
      <c r="BV437" s="289"/>
      <c r="BW437" s="289"/>
      <c r="BY437" s="289"/>
      <c r="BZ437" s="658"/>
      <c r="CA437" s="14"/>
      <c r="CB437" s="14"/>
      <c r="CC437" s="14"/>
      <c r="CD437" s="14"/>
      <c r="CE437" s="14"/>
      <c r="CF437" s="14"/>
      <c r="CG437"/>
      <c r="CH437"/>
      <c r="CI437"/>
      <c r="CJ437"/>
      <c r="CK437"/>
      <c r="CL437"/>
    </row>
    <row r="438" spans="1:90" s="13" customFormat="1" ht="12.75" customHeight="1" outlineLevel="1">
      <c r="A438" s="1349"/>
      <c r="B438" s="476" t="s">
        <v>91</v>
      </c>
      <c r="C438" s="15"/>
      <c r="D438" s="15"/>
      <c r="E438" s="15"/>
      <c r="F438" s="15"/>
      <c r="G438" s="15"/>
      <c r="H438" s="15"/>
      <c r="I438" s="15"/>
      <c r="J438" s="435"/>
      <c r="K438" s="15"/>
      <c r="L438" s="15"/>
      <c r="M438" s="15"/>
      <c r="N438" s="15"/>
      <c r="O438" s="15"/>
      <c r="P438" s="15"/>
      <c r="Q438" s="15"/>
      <c r="R438" s="15"/>
      <c r="T438" s="14"/>
      <c r="U438" s="314"/>
      <c r="V438" s="314"/>
      <c r="W438" s="314"/>
      <c r="X438" s="20"/>
      <c r="Y438" s="673"/>
      <c r="Z438" s="15"/>
      <c r="AA438" s="15">
        <f t="shared" ref="AA438:BE438" si="891">AA336/Z336-1</f>
        <v>6.0687301974165164E-2</v>
      </c>
      <c r="AB438" s="15">
        <f t="shared" si="891"/>
        <v>0.49011948529411775</v>
      </c>
      <c r="AC438" s="15">
        <f t="shared" si="891"/>
        <v>-0.21588280647648417</v>
      </c>
      <c r="AD438" s="15">
        <f t="shared" si="891"/>
        <v>0.3358898721730581</v>
      </c>
      <c r="AE438" s="15">
        <f t="shared" si="891"/>
        <v>9.7747681436773259E-2</v>
      </c>
      <c r="AF438" s="15">
        <f t="shared" si="891"/>
        <v>0.55464664074024417</v>
      </c>
      <c r="AG438" s="435">
        <f t="shared" si="891"/>
        <v>-0.25178987319934443</v>
      </c>
      <c r="AH438" s="15">
        <f t="shared" si="891"/>
        <v>0.24256398432095927</v>
      </c>
      <c r="AI438" s="15">
        <f t="shared" si="891"/>
        <v>1.5958433846724907E-2</v>
      </c>
      <c r="AJ438" s="15">
        <f t="shared" si="891"/>
        <v>0.71187214611872141</v>
      </c>
      <c r="AK438" s="435">
        <f t="shared" si="891"/>
        <v>-0.35817551347025878</v>
      </c>
      <c r="AL438" s="15">
        <f t="shared" si="891"/>
        <v>0.31086360236056843</v>
      </c>
      <c r="AM438" s="15">
        <f t="shared" si="891"/>
        <v>6.7085156299537152E-2</v>
      </c>
      <c r="AN438" s="15">
        <f t="shared" si="891"/>
        <v>0.55558856735397222</v>
      </c>
      <c r="AO438" s="435">
        <f t="shared" si="891"/>
        <v>-0.33439016005194999</v>
      </c>
      <c r="AP438" s="15">
        <f t="shared" si="891"/>
        <v>0.16183644189383073</v>
      </c>
      <c r="AQ438" s="15">
        <f t="shared" si="891"/>
        <v>9.5134601136082964E-2</v>
      </c>
      <c r="AR438" s="15">
        <f t="shared" si="891"/>
        <v>0.55802625050741961</v>
      </c>
      <c r="AS438" s="435">
        <f t="shared" si="891"/>
        <v>-0.29988709724111973</v>
      </c>
      <c r="AT438" s="15">
        <f t="shared" si="891"/>
        <v>0.32955673172345357</v>
      </c>
      <c r="AU438" s="15">
        <f t="shared" si="891"/>
        <v>6.6492504820551135E-2</v>
      </c>
      <c r="AV438" s="15">
        <f t="shared" si="891"/>
        <v>0.5527819899685058</v>
      </c>
      <c r="AW438" s="435">
        <f t="shared" si="891"/>
        <v>-0.27548452524038458</v>
      </c>
      <c r="AX438" s="15">
        <f t="shared" si="891"/>
        <v>0.30081132222193419</v>
      </c>
      <c r="AY438" s="15">
        <f t="shared" si="891"/>
        <v>9.8397895743663311E-2</v>
      </c>
      <c r="AZ438" s="15">
        <f t="shared" si="891"/>
        <v>0.50625884401872212</v>
      </c>
      <c r="BA438" s="435">
        <f t="shared" si="891"/>
        <v>-0.27722298978416959</v>
      </c>
      <c r="BB438" s="15">
        <f t="shared" si="891"/>
        <v>0.21967725572990537</v>
      </c>
      <c r="BC438" s="15">
        <f t="shared" si="891"/>
        <v>6.2947772173765015E-2</v>
      </c>
      <c r="BD438" s="15">
        <f t="shared" si="891"/>
        <v>0.38676126570720792</v>
      </c>
      <c r="BE438" s="15">
        <f t="shared" si="891"/>
        <v>-0.2647212349751058</v>
      </c>
      <c r="BH438" s="289"/>
      <c r="BV438" s="289"/>
      <c r="BW438" s="289"/>
      <c r="BY438" s="289"/>
      <c r="BZ438" s="658"/>
      <c r="CA438" s="14"/>
      <c r="CB438" s="14"/>
      <c r="CC438" s="14"/>
      <c r="CD438" s="14"/>
      <c r="CE438" s="14"/>
      <c r="CF438" s="14"/>
      <c r="CG438"/>
      <c r="CH438"/>
      <c r="CI438"/>
      <c r="CJ438"/>
      <c r="CK438"/>
      <c r="CL438"/>
    </row>
    <row r="439" spans="1:90" s="13" customFormat="1" ht="12.75" customHeight="1" outlineLevel="1">
      <c r="A439" s="1349"/>
      <c r="B439" s="476" t="s">
        <v>113</v>
      </c>
      <c r="C439" s="15"/>
      <c r="D439" s="15"/>
      <c r="E439" s="15"/>
      <c r="F439" s="15"/>
      <c r="G439" s="15"/>
      <c r="H439" s="15"/>
      <c r="I439" s="15"/>
      <c r="J439" s="435"/>
      <c r="K439" s="15"/>
      <c r="L439" s="15"/>
      <c r="M439" s="15"/>
      <c r="N439" s="15"/>
      <c r="O439" s="15"/>
      <c r="P439" s="15"/>
      <c r="Q439" s="15"/>
      <c r="R439" s="15"/>
      <c r="T439" s="14"/>
      <c r="U439" s="314"/>
      <c r="V439" s="314"/>
      <c r="W439" s="314"/>
      <c r="X439" s="20"/>
      <c r="Y439" s="673"/>
      <c r="Z439" s="15"/>
      <c r="AA439" s="15">
        <f t="shared" ref="AA439:BE439" si="892">AA338/Z338-1</f>
        <v>5.9701492537313383E-2</v>
      </c>
      <c r="AB439" s="15">
        <f t="shared" si="892"/>
        <v>0.5314324974235658</v>
      </c>
      <c r="AC439" s="15">
        <f t="shared" si="892"/>
        <v>-0.24742036787797217</v>
      </c>
      <c r="AD439" s="15">
        <f t="shared" si="892"/>
        <v>0.38152011922503726</v>
      </c>
      <c r="AE439" s="15">
        <f t="shared" si="892"/>
        <v>9.6871628910463858E-2</v>
      </c>
      <c r="AF439" s="15">
        <f t="shared" si="892"/>
        <v>0.70771046420141626</v>
      </c>
      <c r="AG439" s="435">
        <f t="shared" si="892"/>
        <v>-0.26318820548260768</v>
      </c>
      <c r="AH439" s="15">
        <f t="shared" si="892"/>
        <v>0.25855869939033926</v>
      </c>
      <c r="AI439" s="15">
        <f t="shared" si="892"/>
        <v>-1.2669233635573263E-2</v>
      </c>
      <c r="AJ439" s="15">
        <f t="shared" si="892"/>
        <v>0.83343816832305961</v>
      </c>
      <c r="AK439" s="435">
        <f t="shared" si="892"/>
        <v>-0.41258405379442842</v>
      </c>
      <c r="AL439" s="15">
        <f t="shared" si="892"/>
        <v>0.30662305805396572</v>
      </c>
      <c r="AM439" s="15">
        <f t="shared" si="892"/>
        <v>4.2016806722688926E-3</v>
      </c>
      <c r="AN439" s="15">
        <f t="shared" si="892"/>
        <v>0.66108786610878667</v>
      </c>
      <c r="AO439" s="435">
        <f t="shared" si="892"/>
        <v>-0.39482287368026159</v>
      </c>
      <c r="AP439" s="15">
        <f t="shared" si="892"/>
        <v>0.19854764434998229</v>
      </c>
      <c r="AQ439" s="15">
        <f t="shared" si="892"/>
        <v>0.11127530663514107</v>
      </c>
      <c r="AR439" s="15">
        <f t="shared" si="892"/>
        <v>0.56861702127659575</v>
      </c>
      <c r="AS439" s="435">
        <f t="shared" si="892"/>
        <v>-0.38021363173957279</v>
      </c>
      <c r="AT439" s="15">
        <f t="shared" si="892"/>
        <v>0.39584188209547255</v>
      </c>
      <c r="AU439" s="15">
        <f t="shared" si="892"/>
        <v>3.7187653111220076E-2</v>
      </c>
      <c r="AV439" s="15">
        <f t="shared" si="892"/>
        <v>0.61188530398223828</v>
      </c>
      <c r="AW439" s="435">
        <f t="shared" si="892"/>
        <v>-0.32333978078658931</v>
      </c>
      <c r="AX439" s="15">
        <f t="shared" si="892"/>
        <v>0.41729828056650353</v>
      </c>
      <c r="AY439" s="15">
        <f t="shared" si="892"/>
        <v>1.2101210121012063E-2</v>
      </c>
      <c r="AZ439" s="15">
        <f t="shared" si="892"/>
        <v>0.44776570048309172</v>
      </c>
      <c r="BA439" s="435">
        <f t="shared" si="892"/>
        <v>-0.29153046685090789</v>
      </c>
      <c r="BB439" s="15">
        <f t="shared" si="892"/>
        <v>0.2819792851663534</v>
      </c>
      <c r="BC439" s="15">
        <f t="shared" si="892"/>
        <v>5.401543795381758E-2</v>
      </c>
      <c r="BD439" s="15">
        <f t="shared" si="892"/>
        <v>0.41026569393953349</v>
      </c>
      <c r="BE439" s="15">
        <f t="shared" si="892"/>
        <v>-0.24704948384822756</v>
      </c>
      <c r="BH439" s="289"/>
      <c r="BV439" s="289"/>
      <c r="BW439" s="289"/>
      <c r="BY439" s="289"/>
      <c r="BZ439" s="658"/>
      <c r="CA439" s="14"/>
      <c r="CB439" s="14"/>
      <c r="CC439" s="14"/>
      <c r="CD439" s="14"/>
      <c r="CE439" s="14"/>
      <c r="CF439" s="14"/>
      <c r="CG439"/>
      <c r="CH439"/>
      <c r="CI439"/>
      <c r="CJ439"/>
      <c r="CK439"/>
      <c r="CL439"/>
    </row>
    <row r="440" spans="1:90" s="13" customFormat="1" ht="12.75" customHeight="1" outlineLevel="1">
      <c r="A440" s="1349"/>
      <c r="B440" s="476" t="s">
        <v>715</v>
      </c>
      <c r="C440" s="15"/>
      <c r="D440" s="15"/>
      <c r="E440" s="15"/>
      <c r="F440" s="15"/>
      <c r="G440" s="15"/>
      <c r="H440" s="15"/>
      <c r="I440" s="15"/>
      <c r="J440" s="435"/>
      <c r="K440" s="15"/>
      <c r="L440" s="15"/>
      <c r="M440" s="15"/>
      <c r="N440" s="15"/>
      <c r="O440" s="15"/>
      <c r="P440" s="15"/>
      <c r="Q440" s="15"/>
      <c r="R440" s="15"/>
      <c r="T440" s="14"/>
      <c r="U440" s="314"/>
      <c r="V440" s="314"/>
      <c r="W440" s="314"/>
      <c r="X440" s="20"/>
      <c r="Y440" s="673"/>
      <c r="Z440" s="15"/>
      <c r="AA440" s="15">
        <f t="shared" ref="AA440:BE440" si="893">AA350/Z350-1</f>
        <v>-6.7318132464712299E-2</v>
      </c>
      <c r="AB440" s="15">
        <f t="shared" si="893"/>
        <v>1.4796274738067519</v>
      </c>
      <c r="AC440" s="15">
        <f t="shared" si="893"/>
        <v>-0.34507042253521125</v>
      </c>
      <c r="AD440" s="15">
        <f t="shared" si="893"/>
        <v>0.70681003584229396</v>
      </c>
      <c r="AE440" s="15">
        <f t="shared" si="893"/>
        <v>1.5539689206215845E-2</v>
      </c>
      <c r="AF440" s="15">
        <f t="shared" si="893"/>
        <v>1.1782464846980978</v>
      </c>
      <c r="AG440" s="435">
        <f t="shared" si="893"/>
        <v>-0.14999050692994109</v>
      </c>
      <c r="AH440" s="15">
        <f t="shared" si="893"/>
        <v>0.21844985481349122</v>
      </c>
      <c r="AI440" s="15">
        <f t="shared" si="893"/>
        <v>-2.2731439046746127E-2</v>
      </c>
      <c r="AJ440" s="15">
        <f t="shared" si="893"/>
        <v>0.6739823672856875</v>
      </c>
      <c r="AK440" s="435">
        <f t="shared" si="893"/>
        <v>-0.37595248767368894</v>
      </c>
      <c r="AL440" s="15">
        <f t="shared" si="893"/>
        <v>0.27096426647513017</v>
      </c>
      <c r="AM440" s="15">
        <f t="shared" si="893"/>
        <v>-0.30163888103984171</v>
      </c>
      <c r="AN440" s="15">
        <f t="shared" si="893"/>
        <v>1.0505765729314183</v>
      </c>
      <c r="AO440" s="435">
        <f t="shared" si="893"/>
        <v>-0.68014996053670085</v>
      </c>
      <c r="AP440" s="15">
        <f t="shared" si="893"/>
        <v>0.79148673658235658</v>
      </c>
      <c r="AQ440" s="15">
        <f t="shared" si="893"/>
        <v>0.22641184573002748</v>
      </c>
      <c r="AR440" s="15">
        <f t="shared" si="893"/>
        <v>0.92362768496420045</v>
      </c>
      <c r="AS440" s="435">
        <f t="shared" si="893"/>
        <v>-0.5726901182309152</v>
      </c>
      <c r="AT440" s="15">
        <f t="shared" si="893"/>
        <v>0.71904355251921426</v>
      </c>
      <c r="AU440" s="15">
        <f t="shared" si="893"/>
        <v>2.75211127670143E-2</v>
      </c>
      <c r="AV440" s="15">
        <f t="shared" si="893"/>
        <v>1.1199961322761554</v>
      </c>
      <c r="AW440" s="435">
        <f t="shared" si="893"/>
        <v>-0.50535917901938432</v>
      </c>
      <c r="AX440" s="15">
        <f t="shared" si="893"/>
        <v>0.79797141539880134</v>
      </c>
      <c r="AY440" s="15">
        <f t="shared" si="893"/>
        <v>-5.9849223037078847E-2</v>
      </c>
      <c r="AZ440" s="15">
        <f t="shared" si="893"/>
        <v>0.55722234344315957</v>
      </c>
      <c r="BA440" s="435">
        <f t="shared" si="893"/>
        <v>-0.57113351874963159</v>
      </c>
      <c r="BB440" s="15">
        <f t="shared" si="893"/>
        <v>0.88345252326798662</v>
      </c>
      <c r="BC440" s="15">
        <f t="shared" si="893"/>
        <v>-3.5650093460142918E-2</v>
      </c>
      <c r="BD440" s="15">
        <f t="shared" si="893"/>
        <v>0.78933698626876381</v>
      </c>
      <c r="BE440" s="15">
        <f t="shared" si="893"/>
        <v>-0.46268732849855443</v>
      </c>
      <c r="BH440" s="289"/>
      <c r="BV440" s="289"/>
      <c r="BW440" s="289"/>
      <c r="BY440" s="289"/>
      <c r="BZ440" s="658"/>
      <c r="CA440" s="14"/>
      <c r="CB440" s="14"/>
      <c r="CC440" s="14"/>
      <c r="CD440" s="14"/>
      <c r="CE440" s="14"/>
      <c r="CF440" s="14"/>
      <c r="CG440"/>
      <c r="CH440"/>
      <c r="CI440"/>
      <c r="CJ440"/>
      <c r="CK440"/>
      <c r="CL440"/>
    </row>
    <row r="441" spans="1:90" s="13" customFormat="1" ht="12.75" customHeight="1" outlineLevel="1">
      <c r="A441" s="1349"/>
      <c r="B441" s="476" t="s">
        <v>115</v>
      </c>
      <c r="C441" s="15"/>
      <c r="D441" s="15"/>
      <c r="E441" s="15"/>
      <c r="F441" s="15"/>
      <c r="G441" s="15"/>
      <c r="H441" s="15"/>
      <c r="I441" s="15"/>
      <c r="J441" s="435"/>
      <c r="K441" s="15"/>
      <c r="L441" s="15"/>
      <c r="M441" s="15"/>
      <c r="N441" s="15"/>
      <c r="O441" s="15"/>
      <c r="P441" s="15"/>
      <c r="Q441" s="15"/>
      <c r="R441" s="15"/>
      <c r="T441" s="14"/>
      <c r="U441" s="314"/>
      <c r="V441" s="314"/>
      <c r="W441" s="314"/>
      <c r="X441" s="20"/>
      <c r="Y441" s="673"/>
      <c r="Z441" s="15"/>
      <c r="AA441" s="15">
        <f t="shared" ref="AA441:BE441" si="894">AA354/Z354-1</f>
        <v>-7.9096045197740161E-2</v>
      </c>
      <c r="AB441" s="15">
        <f t="shared" si="894"/>
        <v>1.4</v>
      </c>
      <c r="AC441" s="15">
        <f t="shared" si="894"/>
        <v>-0.30521472392638038</v>
      </c>
      <c r="AD441" s="15">
        <f t="shared" si="894"/>
        <v>0.72479764532744673</v>
      </c>
      <c r="AE441" s="15">
        <f t="shared" si="894"/>
        <v>-1.4718430034129693</v>
      </c>
      <c r="AF441" s="15">
        <f t="shared" si="894"/>
        <v>-5.575949367088608</v>
      </c>
      <c r="AG441" s="435">
        <f t="shared" si="894"/>
        <v>-0.1203319502074689</v>
      </c>
      <c r="AH441" s="15">
        <f t="shared" si="894"/>
        <v>0.21743036837376462</v>
      </c>
      <c r="AI441" s="15">
        <f t="shared" si="894"/>
        <v>-3.1734317343173446E-2</v>
      </c>
      <c r="AJ441" s="15">
        <f t="shared" si="894"/>
        <v>0.67701981707317072</v>
      </c>
      <c r="AK441" s="435">
        <f t="shared" si="894"/>
        <v>-0.38063856379956829</v>
      </c>
      <c r="AL441" s="15">
        <f t="shared" si="894"/>
        <v>0.25554944046963857</v>
      </c>
      <c r="AM441" s="15">
        <f t="shared" si="894"/>
        <v>-0.36513734658094676</v>
      </c>
      <c r="AN441" s="15">
        <f t="shared" si="894"/>
        <v>1.1512082853855006</v>
      </c>
      <c r="AO441" s="435">
        <f t="shared" si="894"/>
        <v>-0.7219428693698513</v>
      </c>
      <c r="AP441" s="15">
        <f t="shared" si="894"/>
        <v>0.98576375529049631</v>
      </c>
      <c r="AQ441" s="15">
        <f t="shared" si="894"/>
        <v>0.23910094942840532</v>
      </c>
      <c r="AR441" s="15">
        <f t="shared" si="894"/>
        <v>0.9443315089913995</v>
      </c>
      <c r="AS441" s="435">
        <f t="shared" si="894"/>
        <v>-0.58886922953192866</v>
      </c>
      <c r="AT441" s="15">
        <f t="shared" si="894"/>
        <v>0.7241784037558685</v>
      </c>
      <c r="AU441" s="15">
        <f t="shared" si="894"/>
        <v>2.620830496936688E-2</v>
      </c>
      <c r="AV441" s="15">
        <f t="shared" si="894"/>
        <v>1.2845771144278606</v>
      </c>
      <c r="AW441" s="435">
        <f t="shared" si="894"/>
        <v>-0.53871467286101438</v>
      </c>
      <c r="AX441" s="15">
        <f t="shared" si="894"/>
        <v>0.83728493495593792</v>
      </c>
      <c r="AY441" s="15">
        <f t="shared" si="894"/>
        <v>-5.3046308456575098E-2</v>
      </c>
      <c r="AZ441" s="15">
        <f t="shared" si="894"/>
        <v>0.5675349734684032</v>
      </c>
      <c r="BA441" s="435">
        <f t="shared" si="894"/>
        <v>-0.57788012449583182</v>
      </c>
      <c r="BB441" s="15">
        <f t="shared" si="894"/>
        <v>0.94634168916412298</v>
      </c>
      <c r="BC441" s="15">
        <f t="shared" si="894"/>
        <v>-3.8488990014097557E-2</v>
      </c>
      <c r="BD441" s="15">
        <f t="shared" si="894"/>
        <v>0.85470978623195215</v>
      </c>
      <c r="BE441" s="15">
        <f t="shared" si="894"/>
        <v>-0.48334808767551529</v>
      </c>
      <c r="BH441" s="289"/>
      <c r="BV441" s="289"/>
      <c r="BW441" s="289"/>
      <c r="BY441" s="289"/>
      <c r="BZ441" s="658"/>
      <c r="CA441" s="14"/>
      <c r="CB441" s="14"/>
      <c r="CC441" s="14"/>
      <c r="CD441" s="14"/>
      <c r="CE441" s="14"/>
      <c r="CF441" s="14"/>
      <c r="CG441"/>
      <c r="CH441"/>
      <c r="CI441"/>
      <c r="CJ441"/>
      <c r="CK441"/>
      <c r="CL441"/>
    </row>
    <row r="442" spans="1:90" s="13" customFormat="1" ht="12.75" customHeight="1" outlineLevel="1">
      <c r="A442" s="1349"/>
      <c r="B442" s="476" t="s">
        <v>103</v>
      </c>
      <c r="C442" s="15"/>
      <c r="D442" s="15"/>
      <c r="E442" s="15"/>
      <c r="F442" s="15"/>
      <c r="G442" s="15"/>
      <c r="H442" s="15"/>
      <c r="I442" s="15"/>
      <c r="J442" s="435"/>
      <c r="K442" s="15"/>
      <c r="L442" s="15"/>
      <c r="M442" s="15"/>
      <c r="N442" s="15"/>
      <c r="O442" s="15"/>
      <c r="P442" s="15"/>
      <c r="Q442" s="15"/>
      <c r="R442" s="15"/>
      <c r="T442" s="14"/>
      <c r="U442" s="314"/>
      <c r="V442" s="314"/>
      <c r="W442" s="314"/>
      <c r="X442" s="20"/>
      <c r="Y442" s="673"/>
      <c r="Z442" s="15"/>
      <c r="AA442" s="15"/>
      <c r="AB442" s="15"/>
      <c r="AC442" s="435"/>
      <c r="AD442" s="15"/>
      <c r="AE442" s="15">
        <f t="shared" ref="AE442:BE442" si="895">AE369/AD369-1</f>
        <v>0</v>
      </c>
      <c r="AF442" s="15">
        <f t="shared" si="895"/>
        <v>0</v>
      </c>
      <c r="AG442" s="435">
        <f t="shared" si="895"/>
        <v>0</v>
      </c>
      <c r="AH442" s="15">
        <f t="shared" si="895"/>
        <v>3.666666666666667</v>
      </c>
      <c r="AI442" s="15">
        <f t="shared" si="895"/>
        <v>0</v>
      </c>
      <c r="AJ442" s="15">
        <f t="shared" si="895"/>
        <v>21.857142857142858</v>
      </c>
      <c r="AK442" s="435">
        <f t="shared" si="895"/>
        <v>-0.81874999999999998</v>
      </c>
      <c r="AL442" s="15">
        <f t="shared" si="895"/>
        <v>2.103448275862069</v>
      </c>
      <c r="AM442" s="15">
        <f t="shared" si="895"/>
        <v>2.3444444444444446</v>
      </c>
      <c r="AN442" s="15">
        <f t="shared" si="895"/>
        <v>1.6744186046511627</v>
      </c>
      <c r="AO442" s="435">
        <f t="shared" si="895"/>
        <v>-0.51055900621118011</v>
      </c>
      <c r="AP442" s="15">
        <f t="shared" si="895"/>
        <v>3.2994923857867953E-2</v>
      </c>
      <c r="AQ442" s="15">
        <f t="shared" si="895"/>
        <v>-0.71498771498771496</v>
      </c>
      <c r="AR442" s="15">
        <f t="shared" si="895"/>
        <v>3.2672413793103452</v>
      </c>
      <c r="AS442" s="435">
        <f t="shared" si="895"/>
        <v>0.43838383838383832</v>
      </c>
      <c r="AT442" s="15">
        <f t="shared" si="895"/>
        <v>1.0617977528089888</v>
      </c>
      <c r="AU442" s="15">
        <f t="shared" si="895"/>
        <v>-0.61376021798365121</v>
      </c>
      <c r="AV442" s="15">
        <f t="shared" si="895"/>
        <v>1.7301587301587302</v>
      </c>
      <c r="AW442" s="435">
        <f t="shared" si="895"/>
        <v>-6.7183462532299787E-2</v>
      </c>
      <c r="AX442" s="15">
        <f t="shared" si="895"/>
        <v>-3.878116343490301E-2</v>
      </c>
      <c r="AY442" s="15">
        <f t="shared" si="895"/>
        <v>-0.36455331412103742</v>
      </c>
      <c r="AZ442" s="15">
        <f t="shared" si="895"/>
        <v>19.920634920634921</v>
      </c>
      <c r="BA442" s="435">
        <f t="shared" si="895"/>
        <v>-0.92239323650552785</v>
      </c>
      <c r="BB442" s="15">
        <f t="shared" si="895"/>
        <v>-0.5460893854748603</v>
      </c>
      <c r="BC442" s="15">
        <f t="shared" si="895"/>
        <v>-1.1607179487179486</v>
      </c>
      <c r="BD442" s="15">
        <f t="shared" si="895"/>
        <v>0</v>
      </c>
      <c r="BE442" s="15">
        <f t="shared" si="895"/>
        <v>-0.95724313975749808</v>
      </c>
      <c r="BH442" s="289"/>
      <c r="BV442" s="289"/>
      <c r="BW442" s="289"/>
      <c r="BY442" s="289"/>
      <c r="BZ442" s="658"/>
      <c r="CA442" s="14"/>
      <c r="CB442" s="14"/>
      <c r="CC442" s="14"/>
      <c r="CD442" s="14"/>
      <c r="CE442" s="14"/>
      <c r="CF442" s="14"/>
      <c r="CG442"/>
      <c r="CH442"/>
      <c r="CI442"/>
      <c r="CJ442"/>
      <c r="CK442"/>
      <c r="CL442"/>
    </row>
    <row r="443" spans="1:90" s="13" customFormat="1" ht="12.75" customHeight="1" outlineLevel="1">
      <c r="A443" s="1349"/>
      <c r="B443" s="476" t="s">
        <v>104</v>
      </c>
      <c r="C443" s="15"/>
      <c r="D443" s="15"/>
      <c r="E443" s="15"/>
      <c r="F443" s="15"/>
      <c r="G443" s="15"/>
      <c r="H443" s="15"/>
      <c r="I443" s="15"/>
      <c r="J443" s="435"/>
      <c r="K443" s="15"/>
      <c r="L443" s="15"/>
      <c r="M443" s="15"/>
      <c r="N443" s="15"/>
      <c r="O443" s="15"/>
      <c r="P443" s="15"/>
      <c r="Q443" s="15"/>
      <c r="R443" s="15"/>
      <c r="T443" s="14"/>
      <c r="U443" s="314"/>
      <c r="V443" s="314"/>
      <c r="W443" s="314"/>
      <c r="X443" s="20"/>
      <c r="Y443" s="673"/>
      <c r="Z443" s="20"/>
      <c r="AA443" s="20"/>
      <c r="AB443" s="20"/>
      <c r="AC443" s="673"/>
      <c r="AD443" s="20"/>
      <c r="AE443" s="15">
        <f t="shared" ref="AE443:BE443" si="896">AE378/AD378-1</f>
        <v>-1.9059233449477353</v>
      </c>
      <c r="AF443" s="15">
        <f t="shared" si="896"/>
        <v>-3.5929487179487181</v>
      </c>
      <c r="AG443" s="435">
        <f t="shared" si="896"/>
        <v>3.7577255871446225E-2</v>
      </c>
      <c r="AH443" s="15">
        <f t="shared" si="896"/>
        <v>4.4555634977364811E-2</v>
      </c>
      <c r="AI443" s="15">
        <f t="shared" si="896"/>
        <v>0.11382299270072993</v>
      </c>
      <c r="AJ443" s="15">
        <f t="shared" si="896"/>
        <v>0.69286299406102803</v>
      </c>
      <c r="AK443" s="435">
        <f t="shared" si="896"/>
        <v>-0.32944200816573421</v>
      </c>
      <c r="AL443" s="15">
        <f t="shared" si="896"/>
        <v>1.2269529135847015</v>
      </c>
      <c r="AM443" s="15">
        <f t="shared" si="896"/>
        <v>-0.7589112119248218</v>
      </c>
      <c r="AN443" s="15">
        <f t="shared" si="896"/>
        <v>0.9946236559139785</v>
      </c>
      <c r="AO443" s="435">
        <f t="shared" si="896"/>
        <v>-0.51263477088948783</v>
      </c>
      <c r="AP443" s="15">
        <f t="shared" si="896"/>
        <v>9.661251296232285</v>
      </c>
      <c r="AQ443" s="15">
        <f t="shared" si="896"/>
        <v>-0.26226372272476739</v>
      </c>
      <c r="AR443" s="15">
        <f t="shared" si="896"/>
        <v>-0.45073393689021712</v>
      </c>
      <c r="AS443" s="435">
        <f t="shared" si="896"/>
        <v>-0.57073131701072177</v>
      </c>
      <c r="AT443" s="15">
        <f t="shared" si="896"/>
        <v>0.40726933830382106</v>
      </c>
      <c r="AU443" s="15">
        <f t="shared" si="896"/>
        <v>9.6688741721855376E-3</v>
      </c>
      <c r="AV443" s="15">
        <f t="shared" si="896"/>
        <v>1.3422537058900694</v>
      </c>
      <c r="AW443" s="435">
        <f t="shared" si="896"/>
        <v>-0.40369644357322876</v>
      </c>
      <c r="AX443" s="15">
        <f t="shared" si="896"/>
        <v>0.37907391753545605</v>
      </c>
      <c r="AY443" s="15">
        <f t="shared" si="896"/>
        <v>0.20329632908806095</v>
      </c>
      <c r="AZ443" s="15">
        <f t="shared" si="896"/>
        <v>0.36251980982567344</v>
      </c>
      <c r="BA443" s="435">
        <f t="shared" si="896"/>
        <v>-0.66805438091701663</v>
      </c>
      <c r="BB443" s="15">
        <f t="shared" si="896"/>
        <v>1.28892884957245</v>
      </c>
      <c r="BC443" s="15">
        <f t="shared" si="896"/>
        <v>-1.430819845282516E-2</v>
      </c>
      <c r="BD443" s="15">
        <f t="shared" si="896"/>
        <v>0.79387092066063869</v>
      </c>
      <c r="BE443" s="15">
        <f t="shared" si="896"/>
        <v>-0.45714941688403443</v>
      </c>
      <c r="BH443" s="289"/>
      <c r="BV443" s="289"/>
      <c r="BW443" s="289"/>
      <c r="BY443" s="289"/>
      <c r="BZ443" s="658"/>
      <c r="CA443" s="14"/>
      <c r="CB443" s="14"/>
      <c r="CC443" s="14"/>
      <c r="CD443" s="14"/>
      <c r="CE443" s="14"/>
      <c r="CF443" s="14"/>
      <c r="CG443"/>
      <c r="CH443"/>
      <c r="CI443"/>
      <c r="CJ443"/>
      <c r="CK443"/>
      <c r="CL443"/>
    </row>
    <row r="444" spans="1:90" s="13" customFormat="1" ht="12.75" customHeight="1" outlineLevel="1">
      <c r="A444" s="1349"/>
      <c r="B444" s="306"/>
      <c r="C444" s="15"/>
      <c r="D444" s="15"/>
      <c r="E444" s="15"/>
      <c r="F444" s="15"/>
      <c r="G444" s="15"/>
      <c r="H444" s="15"/>
      <c r="I444" s="15"/>
      <c r="J444" s="435"/>
      <c r="K444" s="15"/>
      <c r="L444" s="15"/>
      <c r="M444" s="15"/>
      <c r="N444" s="15"/>
      <c r="O444" s="15"/>
      <c r="P444" s="15"/>
      <c r="Q444" s="15"/>
      <c r="R444" s="15"/>
      <c r="T444" s="14"/>
      <c r="U444" s="314"/>
      <c r="V444" s="314"/>
      <c r="W444" s="314"/>
      <c r="X444" s="20"/>
      <c r="Y444" s="673"/>
      <c r="Z444" s="20"/>
      <c r="AA444" s="20"/>
      <c r="AB444" s="20"/>
      <c r="AC444" s="673"/>
      <c r="AD444" s="20"/>
      <c r="AE444" s="20"/>
      <c r="AF444" s="20"/>
      <c r="AG444" s="673"/>
      <c r="AH444" s="20"/>
      <c r="AI444" s="20"/>
      <c r="AJ444" s="20"/>
      <c r="AK444" s="673"/>
      <c r="AL444" s="440"/>
      <c r="AM444" s="440"/>
      <c r="AN444" s="20"/>
      <c r="AO444" s="673"/>
      <c r="AP444" s="20"/>
      <c r="AQ444" s="20"/>
      <c r="AR444" s="20"/>
      <c r="AS444" s="673"/>
      <c r="AT444" s="20"/>
      <c r="AU444" s="20"/>
      <c r="AV444" s="20"/>
      <c r="AW444" s="673"/>
      <c r="AX444" s="440"/>
      <c r="AY444" s="440"/>
      <c r="AZ444" s="440"/>
      <c r="BA444" s="566"/>
      <c r="BB444" s="440"/>
      <c r="BC444" s="440"/>
      <c r="BD444" s="440"/>
      <c r="BE444" s="440"/>
      <c r="BH444" s="289"/>
      <c r="BV444" s="289"/>
      <c r="BW444" s="289"/>
      <c r="BY444" s="289"/>
      <c r="BZ444" s="658"/>
      <c r="CA444" s="14"/>
      <c r="CB444" s="14"/>
      <c r="CC444" s="14"/>
      <c r="CD444" s="14"/>
      <c r="CE444" s="14"/>
      <c r="CF444" s="14"/>
      <c r="CG444"/>
      <c r="CH444"/>
      <c r="CI444"/>
      <c r="CJ444"/>
      <c r="CK444"/>
      <c r="CL444"/>
    </row>
    <row r="445" spans="1:90" s="13" customFormat="1" ht="12.75" customHeight="1" outlineLevel="1">
      <c r="A445" s="1349"/>
      <c r="B445" s="144" t="s">
        <v>689</v>
      </c>
      <c r="C445" s="15"/>
      <c r="E445" s="15"/>
      <c r="F445" s="15"/>
      <c r="G445" s="15"/>
      <c r="H445" s="15"/>
      <c r="I445" s="15"/>
      <c r="J445" s="435"/>
      <c r="K445" s="15"/>
      <c r="L445" s="15"/>
      <c r="M445" s="15"/>
      <c r="N445" s="15"/>
      <c r="O445" s="15"/>
      <c r="P445" s="15"/>
      <c r="Q445" s="15"/>
      <c r="R445" s="15"/>
      <c r="T445" s="14"/>
      <c r="U445" s="314"/>
      <c r="V445" s="314"/>
      <c r="W445" s="314"/>
      <c r="X445" s="20"/>
      <c r="Y445" s="673"/>
      <c r="Z445" s="20"/>
      <c r="AA445" s="20"/>
      <c r="AB445" s="20"/>
      <c r="AC445" s="673"/>
      <c r="AD445" s="20"/>
      <c r="AE445" s="20"/>
      <c r="AF445" s="20"/>
      <c r="AG445" s="673"/>
      <c r="AH445" s="20"/>
      <c r="AI445" s="20"/>
      <c r="AJ445" s="20"/>
      <c r="AK445" s="673"/>
      <c r="AL445" s="440"/>
      <c r="AM445" s="440"/>
      <c r="AN445" s="20"/>
      <c r="AO445" s="673"/>
      <c r="AP445" s="20"/>
      <c r="AQ445" s="20"/>
      <c r="AR445" s="20"/>
      <c r="AS445" s="673"/>
      <c r="AT445" s="20"/>
      <c r="AU445" s="20"/>
      <c r="AV445" s="20"/>
      <c r="AW445" s="673"/>
      <c r="AX445" s="440"/>
      <c r="AY445" s="440"/>
      <c r="AZ445" s="440"/>
      <c r="BA445" s="566"/>
      <c r="BB445" s="440"/>
      <c r="BC445" s="440"/>
      <c r="BD445" s="440"/>
      <c r="BE445" s="440"/>
      <c r="BH445" s="289"/>
      <c r="BV445" s="289"/>
      <c r="BW445" s="289"/>
      <c r="BY445" s="289"/>
      <c r="BZ445" s="658"/>
      <c r="CA445" s="14"/>
      <c r="CB445" s="14"/>
      <c r="CC445" s="14"/>
      <c r="CD445" s="14"/>
      <c r="CE445" s="14"/>
      <c r="CF445" s="14"/>
      <c r="CG445"/>
      <c r="CH445"/>
      <c r="CI445"/>
      <c r="CJ445"/>
      <c r="CK445"/>
      <c r="CL445"/>
    </row>
    <row r="446" spans="1:90" s="13" customFormat="1" ht="12.75" customHeight="1" outlineLevel="1">
      <c r="A446" s="1349"/>
      <c r="B446" s="476" t="s">
        <v>91</v>
      </c>
      <c r="C446" s="15"/>
      <c r="D446" s="15">
        <f t="shared" ref="D446:R446" si="897">D336/C336-1</f>
        <v>0.78455772113943034</v>
      </c>
      <c r="E446" s="15">
        <f t="shared" si="897"/>
        <v>0.68234898765017227</v>
      </c>
      <c r="F446" s="15">
        <f t="shared" si="897"/>
        <v>0.7236953807740325</v>
      </c>
      <c r="G446" s="15">
        <f t="shared" si="897"/>
        <v>0.52110554219659888</v>
      </c>
      <c r="H446" s="15">
        <f t="shared" si="897"/>
        <v>0.45139417949108629</v>
      </c>
      <c r="I446" s="15">
        <f t="shared" si="897"/>
        <v>0.32726628523437085</v>
      </c>
      <c r="J446" s="435">
        <f t="shared" si="897"/>
        <v>0.56484383496633472</v>
      </c>
      <c r="K446" s="15">
        <f t="shared" si="897"/>
        <v>0.56909093530924415</v>
      </c>
      <c r="L446" s="15">
        <f t="shared" si="897"/>
        <v>0.36188416083393227</v>
      </c>
      <c r="M446" s="15">
        <f t="shared" si="897"/>
        <v>0.30081872708300139</v>
      </c>
      <c r="N446" s="15">
        <f t="shared" si="897"/>
        <v>0.22141585898080485</v>
      </c>
      <c r="O446" s="15">
        <f t="shared" si="897"/>
        <v>0.20361879420118245</v>
      </c>
      <c r="P446" s="15">
        <f t="shared" si="897"/>
        <v>0.2154828345100932</v>
      </c>
      <c r="Q446" s="15">
        <f t="shared" si="897"/>
        <v>0.15150792599299812</v>
      </c>
      <c r="R446" s="15">
        <f t="shared" si="897"/>
        <v>0.13691255254524592</v>
      </c>
      <c r="T446" s="14"/>
      <c r="U446" s="314"/>
      <c r="V446" s="314"/>
      <c r="W446" s="314"/>
      <c r="X446" s="20"/>
      <c r="Y446" s="673"/>
      <c r="Z446" s="20"/>
      <c r="AA446" s="20"/>
      <c r="AB446" s="20"/>
      <c r="AC446" s="673"/>
      <c r="AD446" s="15">
        <f t="shared" ref="AD446:BE446" si="898">AD336/Z336-1</f>
        <v>0.65561784060443573</v>
      </c>
      <c r="AE446" s="15">
        <f t="shared" si="898"/>
        <v>0.71346507352941169</v>
      </c>
      <c r="AF446" s="15">
        <f t="shared" si="898"/>
        <v>0.78766383962991515</v>
      </c>
      <c r="AG446" s="435">
        <f t="shared" si="898"/>
        <v>0.70580137659783682</v>
      </c>
      <c r="AH446" s="15">
        <f t="shared" si="898"/>
        <v>0.58663329898424843</v>
      </c>
      <c r="AI446" s="15">
        <f t="shared" si="898"/>
        <v>0.46841893522864431</v>
      </c>
      <c r="AJ446" s="15">
        <f t="shared" si="898"/>
        <v>0.61692400586560847</v>
      </c>
      <c r="AK446" s="435">
        <f t="shared" si="898"/>
        <v>0.38701867650449628</v>
      </c>
      <c r="AL446" s="15">
        <f t="shared" si="898"/>
        <v>0.46325848951568016</v>
      </c>
      <c r="AM446" s="15">
        <f t="shared" si="898"/>
        <v>0.53689497716894974</v>
      </c>
      <c r="AN446" s="15">
        <f t="shared" si="898"/>
        <v>0.39658575620165371</v>
      </c>
      <c r="AO446" s="435">
        <f t="shared" si="898"/>
        <v>0.44834178372537603</v>
      </c>
      <c r="AP446" s="15">
        <f t="shared" si="898"/>
        <v>0.28368524507006532</v>
      </c>
      <c r="AQ446" s="15">
        <f t="shared" si="898"/>
        <v>0.31742824885614129</v>
      </c>
      <c r="AR446" s="15">
        <f t="shared" si="898"/>
        <v>0.31949272317506394</v>
      </c>
      <c r="AS446" s="435">
        <f t="shared" si="898"/>
        <v>0.38789096126255385</v>
      </c>
      <c r="AT446" s="15">
        <f t="shared" si="898"/>
        <v>0.58824401086688072</v>
      </c>
      <c r="AU446" s="15">
        <f t="shared" si="898"/>
        <v>0.54670515538315811</v>
      </c>
      <c r="AV446" s="15">
        <f t="shared" si="898"/>
        <v>0.54149900124482531</v>
      </c>
      <c r="AW446" s="435">
        <f t="shared" si="898"/>
        <v>0.59522825008269931</v>
      </c>
      <c r="AX446" s="15">
        <f t="shared" si="898"/>
        <v>0.56073894383280454</v>
      </c>
      <c r="AY446" s="15">
        <f t="shared" si="898"/>
        <v>0.60743030444418533</v>
      </c>
      <c r="AZ446" s="15">
        <f t="shared" si="898"/>
        <v>0.55926983173076916</v>
      </c>
      <c r="BA446" s="435">
        <f t="shared" si="898"/>
        <v>0.55552838601829913</v>
      </c>
      <c r="BB446" s="15">
        <f t="shared" si="898"/>
        <v>0.45850713370795493</v>
      </c>
      <c r="BC446" s="15">
        <f t="shared" si="898"/>
        <v>0.41143470365516488</v>
      </c>
      <c r="BD446" s="15">
        <f t="shared" si="898"/>
        <v>0.29945990616177642</v>
      </c>
      <c r="BE446" s="15">
        <f t="shared" si="898"/>
        <v>0.32193644996633441</v>
      </c>
      <c r="BH446" s="289"/>
      <c r="BV446" s="289"/>
      <c r="BW446" s="289"/>
      <c r="BY446" s="289"/>
      <c r="BZ446" s="658"/>
      <c r="CA446" s="14"/>
      <c r="CB446" s="14"/>
      <c r="CC446" s="14"/>
      <c r="CD446" s="14"/>
      <c r="CE446" s="14"/>
      <c r="CF446" s="14"/>
      <c r="CG446"/>
      <c r="CH446"/>
      <c r="CI446"/>
      <c r="CJ446"/>
      <c r="CK446"/>
      <c r="CL446"/>
    </row>
    <row r="447" spans="1:90" s="13" customFormat="1" ht="12.75" customHeight="1" outlineLevel="1">
      <c r="A447" s="1349"/>
      <c r="B447" s="476" t="s">
        <v>113</v>
      </c>
      <c r="C447" s="15"/>
      <c r="D447" s="15">
        <f t="shared" ref="D447:R447" si="899">D338/C338-1</f>
        <v>0.66918189038919773</v>
      </c>
      <c r="E447" s="15">
        <f t="shared" si="899"/>
        <v>0.60254580061860574</v>
      </c>
      <c r="F447" s="15">
        <f t="shared" si="899"/>
        <v>0.84084329299977734</v>
      </c>
      <c r="G447" s="15">
        <f t="shared" si="899"/>
        <v>0.57815146382772808</v>
      </c>
      <c r="H447" s="15">
        <f t="shared" si="899"/>
        <v>0.33818832247348918</v>
      </c>
      <c r="I447" s="15">
        <f t="shared" si="899"/>
        <v>0.27531029215199543</v>
      </c>
      <c r="J447" s="435">
        <f t="shared" si="899"/>
        <v>0.47915793256273576</v>
      </c>
      <c r="K447" s="15">
        <f t="shared" si="899"/>
        <v>0.49574971266827617</v>
      </c>
      <c r="L447" s="15">
        <f t="shared" si="899"/>
        <v>0.37332856554682237</v>
      </c>
      <c r="M447" s="15">
        <f t="shared" si="899"/>
        <v>0.27263432132953636</v>
      </c>
      <c r="N447" s="15">
        <f t="shared" si="899"/>
        <v>0.22141585898080485</v>
      </c>
      <c r="O447" s="15">
        <f t="shared" si="899"/>
        <v>0.20361879420118245</v>
      </c>
      <c r="P447" s="15">
        <f t="shared" si="899"/>
        <v>0.2154828345100932</v>
      </c>
      <c r="Q447" s="15">
        <f t="shared" si="899"/>
        <v>0.15150792599299834</v>
      </c>
      <c r="R447" s="15">
        <f t="shared" si="899"/>
        <v>0.1369125525452457</v>
      </c>
      <c r="T447" s="14"/>
      <c r="U447" s="314"/>
      <c r="V447" s="314"/>
      <c r="W447" s="314"/>
      <c r="X447" s="20"/>
      <c r="Y447" s="673"/>
      <c r="Z447" s="20"/>
      <c r="AA447" s="20"/>
      <c r="AB447" s="20"/>
      <c r="AC447" s="673"/>
      <c r="AD447" s="15">
        <f t="shared" ref="AD447:BE447" si="900">AD338/Z338-1</f>
        <v>0.68729523116126678</v>
      </c>
      <c r="AE447" s="15">
        <f t="shared" si="900"/>
        <v>0.74647887323943651</v>
      </c>
      <c r="AF447" s="15">
        <f t="shared" si="900"/>
        <v>0.94751009421265131</v>
      </c>
      <c r="AG447" s="435">
        <f t="shared" si="900"/>
        <v>0.90670640834575256</v>
      </c>
      <c r="AH447" s="15">
        <f t="shared" si="900"/>
        <v>0.73700107874865162</v>
      </c>
      <c r="AI447" s="15">
        <f t="shared" si="900"/>
        <v>0.56353265145554676</v>
      </c>
      <c r="AJ447" s="15">
        <f t="shared" si="900"/>
        <v>0.67864547339322745</v>
      </c>
      <c r="AK447" s="435">
        <f t="shared" si="900"/>
        <v>0.33828357042363599</v>
      </c>
      <c r="AL447" s="15">
        <f t="shared" si="900"/>
        <v>0.38939262203452985</v>
      </c>
      <c r="AM447" s="15">
        <f t="shared" si="900"/>
        <v>0.41313372751289479</v>
      </c>
      <c r="AN447" s="15">
        <f t="shared" si="900"/>
        <v>0.28029367366543156</v>
      </c>
      <c r="AO447" s="435">
        <f t="shared" si="900"/>
        <v>0.31900478916014485</v>
      </c>
      <c r="AP447" s="15">
        <f t="shared" si="900"/>
        <v>0.20990523869122124</v>
      </c>
      <c r="AQ447" s="15">
        <f t="shared" si="900"/>
        <v>0.33891213389121333</v>
      </c>
      <c r="AR447" s="15">
        <f t="shared" si="900"/>
        <v>0.26437644032370433</v>
      </c>
      <c r="AS447" s="435">
        <f t="shared" si="900"/>
        <v>0.29489904357066954</v>
      </c>
      <c r="AT447" s="15">
        <f t="shared" si="900"/>
        <v>0.50805379045367216</v>
      </c>
      <c r="AU447" s="15">
        <f t="shared" si="900"/>
        <v>0.40751329787234036</v>
      </c>
      <c r="AV447" s="15">
        <f t="shared" si="900"/>
        <v>0.44633774160732442</v>
      </c>
      <c r="AW447" s="435">
        <f t="shared" si="900"/>
        <v>0.57905895226371218</v>
      </c>
      <c r="AX447" s="15">
        <f t="shared" si="900"/>
        <v>0.60333170014698667</v>
      </c>
      <c r="AY447" s="15">
        <f t="shared" si="900"/>
        <v>0.56455193915631341</v>
      </c>
      <c r="AZ447" s="15">
        <f t="shared" si="900"/>
        <v>0.40525174374303963</v>
      </c>
      <c r="BA447" s="435">
        <f t="shared" si="900"/>
        <v>0.47131162521109471</v>
      </c>
      <c r="BB447" s="15">
        <f t="shared" si="900"/>
        <v>0.33083561266379413</v>
      </c>
      <c r="BC447" s="15">
        <f t="shared" si="900"/>
        <v>0.38594961363463787</v>
      </c>
      <c r="BD447" s="15">
        <f t="shared" si="900"/>
        <v>0.35005076649176203</v>
      </c>
      <c r="BE447" s="15">
        <f t="shared" si="900"/>
        <v>0.43481317671164943</v>
      </c>
      <c r="BH447" s="289"/>
      <c r="BV447" s="289"/>
      <c r="BW447" s="289"/>
      <c r="BY447" s="289"/>
      <c r="BZ447" s="658"/>
      <c r="CA447" s="14"/>
      <c r="CB447" s="14"/>
      <c r="CC447" s="14"/>
      <c r="CD447" s="14"/>
      <c r="CE447" s="14"/>
      <c r="CF447" s="14"/>
      <c r="CG447"/>
      <c r="CH447"/>
      <c r="CI447"/>
      <c r="CJ447"/>
      <c r="CK447"/>
      <c r="CL447"/>
    </row>
    <row r="448" spans="1:90" s="13" customFormat="1" ht="12.75" customHeight="1" outlineLevel="1">
      <c r="A448" s="1349"/>
      <c r="B448" s="476" t="s">
        <v>715</v>
      </c>
      <c r="C448" s="15"/>
      <c r="D448" s="15">
        <f t="shared" ref="D448:M448" si="901">D350/C350-1</f>
        <v>1.590106007067138</v>
      </c>
      <c r="E448" s="15">
        <f t="shared" si="901"/>
        <v>2.6186903137789903</v>
      </c>
      <c r="F448" s="15">
        <f t="shared" si="901"/>
        <v>1.7413760603204524</v>
      </c>
      <c r="G448" s="15">
        <f t="shared" si="901"/>
        <v>0.73822457539709818</v>
      </c>
      <c r="H448" s="15">
        <f t="shared" si="901"/>
        <v>4.7470232208552954E-3</v>
      </c>
      <c r="I448" s="15">
        <f t="shared" si="901"/>
        <v>0.27910547659356677</v>
      </c>
      <c r="J448" s="435">
        <f t="shared" si="901"/>
        <v>0.63681974883033732</v>
      </c>
      <c r="K448" s="15">
        <f t="shared" si="901"/>
        <v>0.47847474359693676</v>
      </c>
      <c r="L448" s="15">
        <f t="shared" si="901"/>
        <v>0.35414313444265755</v>
      </c>
      <c r="M448" s="15">
        <f t="shared" si="901"/>
        <v>0.29349421551261123</v>
      </c>
      <c r="N448" s="15"/>
      <c r="O448" s="15"/>
      <c r="P448" s="15"/>
      <c r="Q448" s="15"/>
      <c r="R448" s="15"/>
      <c r="T448" s="14"/>
      <c r="U448" s="314"/>
      <c r="V448" s="314"/>
      <c r="W448" s="314"/>
      <c r="X448" s="20"/>
      <c r="Y448" s="673"/>
      <c r="Z448" s="15"/>
      <c r="AA448" s="15"/>
      <c r="AB448" s="15"/>
      <c r="AC448" s="15"/>
      <c r="AD448" s="15">
        <f t="shared" ref="AD448:BE448" si="902">AD350/Z350-1</f>
        <v>1.5852334419109662</v>
      </c>
      <c r="AE448" s="15">
        <f t="shared" si="902"/>
        <v>1.8149010477299186</v>
      </c>
      <c r="AF448" s="15">
        <f t="shared" si="902"/>
        <v>1.4727699530516434</v>
      </c>
      <c r="AG448" s="435">
        <f t="shared" si="902"/>
        <v>2.2093189964157705</v>
      </c>
      <c r="AH448" s="15">
        <f t="shared" si="902"/>
        <v>1.2910541789164216</v>
      </c>
      <c r="AI448" s="15">
        <f t="shared" si="902"/>
        <v>1.2047146401985112</v>
      </c>
      <c r="AJ448" s="15">
        <f t="shared" si="902"/>
        <v>0.69432314410480345</v>
      </c>
      <c r="AK448" s="435">
        <f t="shared" si="902"/>
        <v>0.24391333482242583</v>
      </c>
      <c r="AL448" s="15">
        <f t="shared" si="902"/>
        <v>0.29752520623281398</v>
      </c>
      <c r="AM448" s="15">
        <f t="shared" si="902"/>
        <v>-7.2781842055899437E-2</v>
      </c>
      <c r="AN448" s="15">
        <f t="shared" si="902"/>
        <v>0.13581353653070383</v>
      </c>
      <c r="AO448" s="435">
        <f t="shared" si="902"/>
        <v>-0.41784880588974682</v>
      </c>
      <c r="AP448" s="15">
        <f t="shared" si="902"/>
        <v>-0.17942921729302064</v>
      </c>
      <c r="AQ448" s="15">
        <f t="shared" si="902"/>
        <v>0.44102771596196644</v>
      </c>
      <c r="AR448" s="15">
        <f t="shared" si="902"/>
        <v>0.35181531176006309</v>
      </c>
      <c r="AS448" s="435">
        <f t="shared" si="902"/>
        <v>0.80598396051819865</v>
      </c>
      <c r="AT448" s="15">
        <f t="shared" si="902"/>
        <v>0.73295454545454541</v>
      </c>
      <c r="AU448" s="15">
        <f t="shared" si="902"/>
        <v>0.45191632739014453</v>
      </c>
      <c r="AV448" s="15">
        <f t="shared" si="902"/>
        <v>0.6001313676835498</v>
      </c>
      <c r="AW448" s="435">
        <f t="shared" si="902"/>
        <v>0.85226302305721613</v>
      </c>
      <c r="AX448" s="15">
        <f t="shared" si="902"/>
        <v>0.93730750124192741</v>
      </c>
      <c r="AY448" s="15">
        <f t="shared" si="902"/>
        <v>0.77257783794237089</v>
      </c>
      <c r="AZ448" s="15">
        <f t="shared" si="902"/>
        <v>0.30202964652223496</v>
      </c>
      <c r="BA448" s="435">
        <f t="shared" si="902"/>
        <v>0.12889363211196558</v>
      </c>
      <c r="BB448" s="15">
        <f t="shared" si="902"/>
        <v>0.18256471804410501</v>
      </c>
      <c r="BC448" s="15">
        <f t="shared" si="902"/>
        <v>0.21300349185175627</v>
      </c>
      <c r="BD448" s="15">
        <f t="shared" si="902"/>
        <v>0.39380996013992364</v>
      </c>
      <c r="BE448" s="15">
        <f t="shared" si="902"/>
        <v>0.7462585349748927</v>
      </c>
      <c r="BH448" s="289"/>
      <c r="BV448" s="289"/>
      <c r="BW448" s="289"/>
      <c r="BY448" s="289"/>
      <c r="BZ448" s="658"/>
      <c r="CA448" s="14"/>
      <c r="CB448" s="14"/>
      <c r="CC448" s="14"/>
      <c r="CD448" s="14"/>
      <c r="CE448" s="14"/>
      <c r="CF448" s="14"/>
      <c r="CG448"/>
      <c r="CH448"/>
      <c r="CI448"/>
      <c r="CJ448"/>
      <c r="CK448"/>
      <c r="CL448"/>
    </row>
    <row r="449" spans="1:90" s="13" customFormat="1" ht="12.75" customHeight="1" outlineLevel="1">
      <c r="A449" s="1349"/>
      <c r="B449" s="476" t="s">
        <v>115</v>
      </c>
      <c r="C449" s="15"/>
      <c r="D449" s="15">
        <f t="shared" ref="D449:R449" si="903">D354/C354-1</f>
        <v>-2.5143184421534936</v>
      </c>
      <c r="E449" s="15">
        <f t="shared" si="903"/>
        <v>2.7934947049924359</v>
      </c>
      <c r="F449" s="15">
        <f t="shared" si="903"/>
        <v>1.1437686939182452</v>
      </c>
      <c r="G449" s="15">
        <f t="shared" si="903"/>
        <v>1.3179239140545067</v>
      </c>
      <c r="H449" s="15">
        <f t="shared" si="903"/>
        <v>-7.1629213483146104E-2</v>
      </c>
      <c r="I449" s="15">
        <f t="shared" si="903"/>
        <v>0.25792089907067206</v>
      </c>
      <c r="J449" s="435">
        <f t="shared" si="903"/>
        <v>0.651261081712597</v>
      </c>
      <c r="K449" s="15">
        <f t="shared" si="903"/>
        <v>0.48913595429417112</v>
      </c>
      <c r="L449" s="15">
        <f t="shared" si="903"/>
        <v>0.39267937056020297</v>
      </c>
      <c r="M449" s="15">
        <f t="shared" si="903"/>
        <v>0.31284634952318346</v>
      </c>
      <c r="N449" s="15">
        <f t="shared" si="903"/>
        <v>0.25894988564705446</v>
      </c>
      <c r="O449" s="15">
        <f t="shared" si="903"/>
        <v>0.25202980069643188</v>
      </c>
      <c r="P449" s="15">
        <f t="shared" si="903"/>
        <v>0.22062255192774938</v>
      </c>
      <c r="Q449" s="15">
        <f t="shared" si="903"/>
        <v>0.13745150603201028</v>
      </c>
      <c r="R449" s="15">
        <f t="shared" si="903"/>
        <v>0.12321700365238963</v>
      </c>
      <c r="T449" s="14"/>
      <c r="U449" s="314"/>
      <c r="V449" s="314"/>
      <c r="W449" s="314"/>
      <c r="X449" s="20"/>
      <c r="Y449" s="673"/>
      <c r="Z449" s="20"/>
      <c r="AA449" s="20"/>
      <c r="AB449" s="20"/>
      <c r="AC449" s="673"/>
      <c r="AD449" s="15">
        <f t="shared" ref="AD449:BE449" si="904">AD354/Z354-1</f>
        <v>1.6485875706214688</v>
      </c>
      <c r="AE449" s="15">
        <f t="shared" si="904"/>
        <v>-2.3570552147239265</v>
      </c>
      <c r="AF449" s="15">
        <f t="shared" si="904"/>
        <v>1.5874233128834354</v>
      </c>
      <c r="AG449" s="435">
        <f t="shared" si="904"/>
        <v>2.2759381898454745</v>
      </c>
      <c r="AH449" s="15">
        <f t="shared" si="904"/>
        <v>1.3122866894197953</v>
      </c>
      <c r="AI449" s="15">
        <f t="shared" si="904"/>
        <v>-5.7450271247739604</v>
      </c>
      <c r="AJ449" s="15">
        <f t="shared" si="904"/>
        <v>0.73898439043667263</v>
      </c>
      <c r="AK449" s="435">
        <f t="shared" si="904"/>
        <v>0.22439353099730464</v>
      </c>
      <c r="AL449" s="15">
        <f t="shared" si="904"/>
        <v>0.26273062730627306</v>
      </c>
      <c r="AM449" s="15">
        <f t="shared" si="904"/>
        <v>-0.17206554878048785</v>
      </c>
      <c r="AN449" s="15">
        <f t="shared" si="904"/>
        <v>6.2038404726735497E-2</v>
      </c>
      <c r="AO449" s="435">
        <f t="shared" si="904"/>
        <v>-0.52320675105485237</v>
      </c>
      <c r="AP449" s="15">
        <f t="shared" si="904"/>
        <v>-0.24590882524839275</v>
      </c>
      <c r="AQ449" s="15">
        <f t="shared" si="904"/>
        <v>0.4718066743383198</v>
      </c>
      <c r="AR449" s="15">
        <f t="shared" si="904"/>
        <v>0.33026639563496318</v>
      </c>
      <c r="AS449" s="435">
        <f t="shared" si="904"/>
        <v>0.9669103501346672</v>
      </c>
      <c r="AT449" s="15">
        <f t="shared" si="904"/>
        <v>0.70780856423173799</v>
      </c>
      <c r="AU449" s="15">
        <f t="shared" si="904"/>
        <v>0.41438623924941353</v>
      </c>
      <c r="AV449" s="15">
        <f t="shared" si="904"/>
        <v>0.66189480456811967</v>
      </c>
      <c r="AW449" s="435">
        <f t="shared" si="904"/>
        <v>0.86463223787167443</v>
      </c>
      <c r="AX449" s="15">
        <f t="shared" si="904"/>
        <v>0.98695257544815074</v>
      </c>
      <c r="AY449" s="15">
        <f t="shared" si="904"/>
        <v>0.83349917081260361</v>
      </c>
      <c r="AZ449" s="15">
        <f t="shared" si="904"/>
        <v>0.25803329461866054</v>
      </c>
      <c r="BA449" s="435">
        <f t="shared" si="904"/>
        <v>0.15121992064691092</v>
      </c>
      <c r="BB449" s="15">
        <f t="shared" si="904"/>
        <v>0.21955352831814978</v>
      </c>
      <c r="BC449" s="15">
        <f t="shared" si="904"/>
        <v>0.23830146628799742</v>
      </c>
      <c r="BD449" s="15">
        <f t="shared" si="904"/>
        <v>0.46516019527650987</v>
      </c>
      <c r="BE449" s="15">
        <f t="shared" si="904"/>
        <v>0.79327688810485686</v>
      </c>
      <c r="BH449" s="289"/>
      <c r="BV449" s="289"/>
      <c r="BW449" s="289"/>
      <c r="BY449" s="289"/>
      <c r="BZ449" s="658"/>
      <c r="CA449" s="14"/>
      <c r="CB449" s="14"/>
      <c r="CC449" s="14"/>
      <c r="CD449" s="14"/>
      <c r="CE449" s="14"/>
      <c r="CF449" s="14"/>
      <c r="CG449"/>
      <c r="CH449"/>
      <c r="CI449"/>
      <c r="CJ449"/>
      <c r="CK449"/>
      <c r="CL449"/>
    </row>
    <row r="450" spans="1:90" s="13" customFormat="1" ht="12.75" customHeight="1" outlineLevel="1">
      <c r="A450" s="1349"/>
      <c r="B450" s="476" t="s">
        <v>103</v>
      </c>
      <c r="C450" s="15"/>
      <c r="D450" s="15">
        <f>D369/C369-1</f>
        <v>-1</v>
      </c>
      <c r="E450" s="143" t="s">
        <v>721</v>
      </c>
      <c r="F450" s="15">
        <f t="shared" ref="F450:M450" si="905">F369/E369-1</f>
        <v>-0.76</v>
      </c>
      <c r="G450" s="15">
        <f t="shared" si="905"/>
        <v>32.833333333333336</v>
      </c>
      <c r="H450" s="15">
        <f t="shared" si="905"/>
        <v>6.8325123152709359</v>
      </c>
      <c r="I450" s="15">
        <f t="shared" si="905"/>
        <v>8.8050314465408785E-2</v>
      </c>
      <c r="J450" s="435">
        <f t="shared" si="905"/>
        <v>1.9057803468208094</v>
      </c>
      <c r="K450" s="15">
        <f t="shared" si="905"/>
        <v>3.4117764074000396</v>
      </c>
      <c r="L450" s="15">
        <f t="shared" si="905"/>
        <v>-0.98031382451077642</v>
      </c>
      <c r="M450" s="15">
        <f t="shared" si="905"/>
        <v>-1.3429683921209352</v>
      </c>
      <c r="N450" s="721">
        <v>-0.2</v>
      </c>
      <c r="O450" s="721">
        <v>-0.15</v>
      </c>
      <c r="P450" s="721">
        <v>-0.1</v>
      </c>
      <c r="Q450" s="721">
        <f>P450</f>
        <v>-0.1</v>
      </c>
      <c r="R450" s="721">
        <f>Q450</f>
        <v>-0.1</v>
      </c>
      <c r="T450" s="14"/>
      <c r="U450" s="314"/>
      <c r="V450" s="314"/>
      <c r="W450" s="314"/>
      <c r="X450" s="20"/>
      <c r="Y450" s="673"/>
      <c r="Z450" s="20"/>
      <c r="AA450" s="20"/>
      <c r="AB450" s="20"/>
      <c r="AC450" s="673"/>
      <c r="AD450" s="20"/>
      <c r="AE450" s="20"/>
      <c r="AF450" s="20"/>
      <c r="AG450" s="673"/>
      <c r="AH450" s="15">
        <f t="shared" ref="AH450:BE450" si="906">AH369/AD369-1</f>
        <v>3.666666666666667</v>
      </c>
      <c r="AI450" s="15">
        <f t="shared" si="906"/>
        <v>3.666666666666667</v>
      </c>
      <c r="AJ450" s="15">
        <f t="shared" si="906"/>
        <v>105.66666666666667</v>
      </c>
      <c r="AK450" s="435">
        <f t="shared" si="906"/>
        <v>18.333333333333332</v>
      </c>
      <c r="AL450" s="15">
        <f t="shared" si="906"/>
        <v>11.857142857142858</v>
      </c>
      <c r="AM450" s="15">
        <f t="shared" si="906"/>
        <v>42</v>
      </c>
      <c r="AN450" s="15">
        <f t="shared" si="906"/>
        <v>4.03125</v>
      </c>
      <c r="AO450" s="435">
        <f t="shared" si="906"/>
        <v>12.586206896551724</v>
      </c>
      <c r="AP450" s="15">
        <f t="shared" si="906"/>
        <v>3.5222222222222221</v>
      </c>
      <c r="AQ450" s="15">
        <f t="shared" si="906"/>
        <v>-0.61461794019933547</v>
      </c>
      <c r="AR450" s="15">
        <f t="shared" si="906"/>
        <v>-0.3850931677018633</v>
      </c>
      <c r="AS450" s="435">
        <f t="shared" si="906"/>
        <v>0.80710659898477166</v>
      </c>
      <c r="AT450" s="15">
        <f t="shared" si="906"/>
        <v>2.6068796068796067</v>
      </c>
      <c r="AU450" s="15">
        <f t="shared" si="906"/>
        <v>3.8879310344827589</v>
      </c>
      <c r="AV450" s="15">
        <f t="shared" si="906"/>
        <v>2.1272727272727274</v>
      </c>
      <c r="AW450" s="435">
        <f t="shared" si="906"/>
        <v>1.0280898876404496</v>
      </c>
      <c r="AX450" s="15">
        <f t="shared" si="906"/>
        <v>-5.4495912806539537E-2</v>
      </c>
      <c r="AY450" s="15">
        <f t="shared" si="906"/>
        <v>0.55555555555555558</v>
      </c>
      <c r="AZ450" s="15">
        <f t="shared" si="906"/>
        <v>10.919896640826874</v>
      </c>
      <c r="BA450" s="435">
        <f t="shared" si="906"/>
        <v>-8.3102493074792561E-3</v>
      </c>
      <c r="BB450" s="15">
        <f t="shared" si="906"/>
        <v>-0.53170028818443804</v>
      </c>
      <c r="BC450" s="15">
        <f t="shared" si="906"/>
        <v>-1.1184429327286471</v>
      </c>
      <c r="BD450" s="15">
        <f t="shared" si="906"/>
        <v>-1.0056615362381676</v>
      </c>
      <c r="BE450" s="15">
        <f t="shared" si="906"/>
        <v>-1.0031191806331472</v>
      </c>
      <c r="BH450" s="289"/>
      <c r="BV450" s="289"/>
      <c r="BW450" s="289"/>
      <c r="BY450" s="289"/>
      <c r="BZ450" s="658"/>
      <c r="CA450" s="14"/>
      <c r="CB450" s="14"/>
      <c r="CC450" s="14"/>
      <c r="CD450" s="14"/>
      <c r="CE450" s="14"/>
      <c r="CF450" s="14"/>
      <c r="CG450"/>
      <c r="CH450"/>
      <c r="CI450"/>
      <c r="CJ450"/>
      <c r="CK450"/>
      <c r="CL450"/>
    </row>
    <row r="451" spans="1:90" s="13" customFormat="1" ht="12.75" customHeight="1" outlineLevel="1">
      <c r="A451" s="1349"/>
      <c r="B451" s="476" t="s">
        <v>104</v>
      </c>
      <c r="C451" s="15"/>
      <c r="D451" s="15">
        <f t="shared" ref="D451:R451" si="907">D378/C378-1</f>
        <v>-2.4750623441396509</v>
      </c>
      <c r="E451" s="15">
        <f t="shared" si="907"/>
        <v>2.5739644970414202</v>
      </c>
      <c r="F451" s="15">
        <f t="shared" si="907"/>
        <v>0.98770104068117304</v>
      </c>
      <c r="G451" s="15">
        <f t="shared" si="907"/>
        <v>1.7458353165159446</v>
      </c>
      <c r="H451" s="15">
        <f t="shared" si="907"/>
        <v>4.6498526607730906E-2</v>
      </c>
      <c r="I451" s="15">
        <f t="shared" si="907"/>
        <v>1.9591287423909893</v>
      </c>
      <c r="J451" s="435">
        <f t="shared" si="907"/>
        <v>-0.38881891967534288</v>
      </c>
      <c r="K451" s="15">
        <f t="shared" si="907"/>
        <v>0.48563083888230563</v>
      </c>
      <c r="L451" s="15">
        <f t="shared" si="907"/>
        <v>0.32878178028599225</v>
      </c>
      <c r="M451" s="15">
        <f t="shared" si="907"/>
        <v>0.28847538427610453</v>
      </c>
      <c r="N451" s="15">
        <f t="shared" si="907"/>
        <v>0.24940520994071091</v>
      </c>
      <c r="O451" s="15">
        <f t="shared" si="907"/>
        <v>0.26704540545986655</v>
      </c>
      <c r="P451" s="15">
        <f t="shared" si="907"/>
        <v>0.23860209958269674</v>
      </c>
      <c r="Q451" s="15">
        <f t="shared" si="907"/>
        <v>0.15726836631925001</v>
      </c>
      <c r="R451" s="15">
        <f t="shared" si="907"/>
        <v>0.14065976300345429</v>
      </c>
      <c r="T451" s="14"/>
      <c r="U451" s="314"/>
      <c r="V451" s="314"/>
      <c r="W451" s="314"/>
      <c r="X451" s="20"/>
      <c r="Y451" s="673"/>
      <c r="Z451" s="20"/>
      <c r="AA451" s="20"/>
      <c r="AB451" s="20"/>
      <c r="AC451" s="673"/>
      <c r="AD451" s="20"/>
      <c r="AE451" s="20"/>
      <c r="AF451" s="20"/>
      <c r="AG451" s="673"/>
      <c r="AH451" s="15">
        <f t="shared" ref="AH451:BE451" si="908">AH378/AD378-1</f>
        <v>1.5458768873403019</v>
      </c>
      <c r="AI451" s="15">
        <f t="shared" si="908"/>
        <v>-4.1301282051282051</v>
      </c>
      <c r="AJ451" s="15">
        <f t="shared" si="908"/>
        <v>1.0435723114956739</v>
      </c>
      <c r="AK451" s="435">
        <f t="shared" si="908"/>
        <v>0.32070526566595192</v>
      </c>
      <c r="AL451" s="15">
        <f t="shared" si="908"/>
        <v>1.8156934306569341</v>
      </c>
      <c r="AM451" s="15">
        <f t="shared" si="908"/>
        <v>-0.39053860331763257</v>
      </c>
      <c r="AN451" s="15">
        <f t="shared" si="908"/>
        <v>-0.28189928927869345</v>
      </c>
      <c r="AO451" s="435">
        <f t="shared" si="908"/>
        <v>-0.47808046184376696</v>
      </c>
      <c r="AP451" s="15">
        <f t="shared" si="908"/>
        <v>1.4986228127025276</v>
      </c>
      <c r="AQ451" s="15">
        <f t="shared" si="908"/>
        <v>6.645833333333333</v>
      </c>
      <c r="AR451" s="15">
        <f t="shared" si="908"/>
        <v>1.1054582210242589</v>
      </c>
      <c r="AS451" s="435">
        <f t="shared" si="908"/>
        <v>0.85447632215693048</v>
      </c>
      <c r="AT451" s="15">
        <f t="shared" si="908"/>
        <v>-0.7552118795188536</v>
      </c>
      <c r="AU451" s="15">
        <f t="shared" si="908"/>
        <v>-0.66498198119012042</v>
      </c>
      <c r="AV451" s="15">
        <f t="shared" si="908"/>
        <v>0.42862858057289177</v>
      </c>
      <c r="AW451" s="435">
        <f t="shared" si="908"/>
        <v>0.98452935694315014</v>
      </c>
      <c r="AX451" s="15">
        <f t="shared" si="908"/>
        <v>0.94476821192052984</v>
      </c>
      <c r="AY451" s="15">
        <f t="shared" si="908"/>
        <v>1.317722681359045</v>
      </c>
      <c r="AZ451" s="15">
        <f t="shared" si="908"/>
        <v>0.34824978997479694</v>
      </c>
      <c r="BA451" s="435">
        <f t="shared" si="908"/>
        <v>-0.24946680866115734</v>
      </c>
      <c r="BB451" s="15">
        <f t="shared" si="908"/>
        <v>0.24570340456242379</v>
      </c>
      <c r="BC451" s="15">
        <f t="shared" si="908"/>
        <v>2.0429966712484315E-2</v>
      </c>
      <c r="BD451" s="15">
        <f t="shared" si="908"/>
        <v>0.34348112273716835</v>
      </c>
      <c r="BE451" s="15">
        <f t="shared" si="908"/>
        <v>1.1970752706359509</v>
      </c>
      <c r="BH451" s="289"/>
      <c r="BV451" s="289"/>
      <c r="BW451" s="289"/>
      <c r="BY451" s="289"/>
      <c r="BZ451" s="658"/>
      <c r="CA451" s="14"/>
      <c r="CB451" s="14"/>
      <c r="CC451" s="14"/>
      <c r="CD451" s="14"/>
      <c r="CE451" s="14"/>
      <c r="CF451" s="14"/>
      <c r="CG451"/>
      <c r="CH451"/>
      <c r="CI451"/>
      <c r="CJ451"/>
      <c r="CK451"/>
      <c r="CL451"/>
    </row>
    <row r="452" spans="1:90" s="13" customFormat="1" ht="12.75" customHeight="1" outlineLevel="1">
      <c r="A452" s="1349"/>
      <c r="C452" s="20"/>
      <c r="D452" s="20"/>
      <c r="E452" s="20"/>
      <c r="F452" s="20"/>
      <c r="G452" s="20"/>
      <c r="H452" s="314"/>
      <c r="I452" s="20"/>
      <c r="J452" s="673"/>
      <c r="K452" s="20"/>
      <c r="L452" s="20"/>
      <c r="M452" s="20"/>
      <c r="N452" s="20"/>
      <c r="O452" s="20"/>
      <c r="P452" s="20"/>
      <c r="Q452" s="20"/>
      <c r="R452" s="20"/>
      <c r="T452" s="14"/>
      <c r="U452" s="314"/>
      <c r="V452" s="314"/>
      <c r="W452" s="314"/>
      <c r="X452" s="20"/>
      <c r="Y452" s="673"/>
      <c r="Z452" s="20"/>
      <c r="AA452" s="20"/>
      <c r="AB452" s="20"/>
      <c r="AC452" s="673"/>
      <c r="AD452" s="20"/>
      <c r="AE452" s="20"/>
      <c r="AF452" s="20"/>
      <c r="AG452" s="673"/>
      <c r="AH452" s="20"/>
      <c r="AI452" s="20"/>
      <c r="AJ452" s="20"/>
      <c r="AK452" s="673"/>
      <c r="AL452" s="440"/>
      <c r="AM452" s="440"/>
      <c r="AN452" s="20"/>
      <c r="AO452" s="673"/>
      <c r="AP452" s="20"/>
      <c r="AQ452" s="20"/>
      <c r="AR452" s="20"/>
      <c r="AS452" s="673"/>
      <c r="AT452" s="20"/>
      <c r="AU452" s="20"/>
      <c r="AV452" s="20"/>
      <c r="AW452" s="673"/>
      <c r="AX452" s="440"/>
      <c r="AY452" s="440"/>
      <c r="AZ452" s="440"/>
      <c r="BA452" s="566"/>
      <c r="BB452" s="440"/>
      <c r="BC452" s="440"/>
      <c r="BD452" s="440"/>
      <c r="BE452" s="440"/>
      <c r="BH452" s="289"/>
      <c r="BV452" s="289"/>
      <c r="BW452" s="289"/>
      <c r="BY452" s="289"/>
      <c r="BZ452" s="658"/>
      <c r="CA452" s="14"/>
      <c r="CB452" s="14"/>
      <c r="CC452" s="14"/>
      <c r="CD452" s="14"/>
      <c r="CE452" s="14"/>
      <c r="CF452" s="14"/>
      <c r="CG452"/>
      <c r="CH452"/>
      <c r="CI452"/>
      <c r="CJ452"/>
      <c r="CK452"/>
      <c r="CL452"/>
    </row>
    <row r="453" spans="1:90" ht="12.75" customHeight="1" outlineLevel="1">
      <c r="B453" s="374"/>
      <c r="C453" s="454"/>
      <c r="D453" s="454"/>
      <c r="E453" s="669"/>
      <c r="F453" s="669"/>
      <c r="G453" s="669"/>
      <c r="H453" s="722"/>
      <c r="I453" s="723"/>
      <c r="J453" s="726"/>
      <c r="K453" s="724"/>
      <c r="L453" s="724"/>
      <c r="M453" s="724"/>
      <c r="N453" s="724"/>
      <c r="O453" s="724"/>
      <c r="P453" s="724"/>
      <c r="Q453" s="724"/>
      <c r="R453" s="724"/>
      <c r="V453" s="141"/>
      <c r="W453" s="141"/>
      <c r="X453" s="141"/>
      <c r="Y453" s="398"/>
      <c r="Z453" s="360"/>
      <c r="AA453" s="360"/>
      <c r="AB453" s="360"/>
      <c r="AC453" s="451"/>
      <c r="AD453" s="360"/>
      <c r="AE453" s="360"/>
      <c r="AF453" s="360"/>
      <c r="AG453" s="451"/>
      <c r="AH453" s="454"/>
      <c r="AI453" s="454"/>
      <c r="AJ453" s="454"/>
      <c r="AK453" s="725"/>
      <c r="AL453" s="454"/>
      <c r="AM453" s="454"/>
      <c r="AN453" s="454"/>
      <c r="AO453" s="451"/>
      <c r="AP453" s="360"/>
      <c r="AQ453" s="360"/>
      <c r="AR453" s="360"/>
      <c r="AS453" s="451"/>
      <c r="AT453" s="724"/>
      <c r="AU453" s="724"/>
      <c r="AV453" s="724"/>
      <c r="AW453" s="726"/>
      <c r="AX453" s="724"/>
      <c r="AY453" s="724"/>
      <c r="AZ453" s="724"/>
      <c r="BA453" s="726"/>
      <c r="BB453" s="724"/>
      <c r="BC453" s="724"/>
      <c r="BD453" s="724"/>
      <c r="BE453" s="724"/>
      <c r="BF453" s="141"/>
    </row>
    <row r="454" spans="1:90" ht="12.75" customHeight="1" outlineLevel="2">
      <c r="B454" s="13" t="s">
        <v>119</v>
      </c>
      <c r="V454" s="141"/>
      <c r="W454" s="141"/>
      <c r="X454" s="141"/>
      <c r="Y454" s="398"/>
      <c r="Z454" s="141"/>
      <c r="AA454" s="141"/>
      <c r="AB454" s="141"/>
      <c r="AC454" s="398"/>
      <c r="AD454" s="141"/>
      <c r="AE454" s="141"/>
      <c r="AF454" s="141"/>
      <c r="AG454" s="398"/>
      <c r="AH454" s="141"/>
      <c r="AI454" s="141"/>
      <c r="AJ454" s="141"/>
      <c r="AK454" s="398"/>
      <c r="AL454" s="141"/>
      <c r="AM454" s="141"/>
      <c r="AN454" s="141"/>
      <c r="AO454" s="398"/>
      <c r="AP454" s="141"/>
      <c r="AQ454" s="141"/>
      <c r="AR454" s="141"/>
      <c r="AS454" s="398"/>
      <c r="AT454" s="141"/>
      <c r="AU454" s="141"/>
      <c r="AV454" s="141"/>
      <c r="AW454" s="398"/>
      <c r="AX454" s="225"/>
      <c r="AY454" s="225"/>
      <c r="AZ454" s="225"/>
      <c r="BA454" s="278"/>
      <c r="BB454" s="225"/>
      <c r="BC454" s="225"/>
      <c r="BD454" s="225"/>
      <c r="BE454" s="225"/>
      <c r="BF454" s="141"/>
    </row>
    <row r="455" spans="1:90" ht="12.75" customHeight="1" outlineLevel="2">
      <c r="B455" s="141" t="s">
        <v>118</v>
      </c>
      <c r="V455" s="141"/>
      <c r="W455" s="141"/>
      <c r="X455" s="141"/>
      <c r="Y455" s="398"/>
      <c r="Z455" s="141"/>
      <c r="AA455" s="141"/>
      <c r="AB455" s="141"/>
      <c r="AC455" s="398"/>
      <c r="AD455" s="141"/>
      <c r="AE455" s="141"/>
      <c r="AF455" s="141"/>
      <c r="AG455" s="398"/>
      <c r="AH455" s="141"/>
      <c r="AI455" s="141"/>
      <c r="AJ455" s="141"/>
      <c r="AK455" s="398"/>
      <c r="AL455" s="141"/>
      <c r="AM455" s="141"/>
      <c r="AN455" s="141"/>
      <c r="AO455" s="398"/>
      <c r="AP455" s="141"/>
      <c r="AQ455" s="141"/>
      <c r="AR455" s="141"/>
      <c r="AS455" s="398"/>
      <c r="AT455" s="141"/>
      <c r="AU455" s="141"/>
      <c r="AV455" s="141"/>
      <c r="AW455" s="398"/>
      <c r="AX455" s="225"/>
      <c r="AY455" s="225"/>
      <c r="AZ455" s="225"/>
      <c r="BA455" s="278"/>
      <c r="BB455" s="225"/>
      <c r="BC455" s="225"/>
      <c r="BD455" s="225"/>
      <c r="BE455" s="225"/>
      <c r="BF455" s="141"/>
    </row>
    <row r="456" spans="1:90" ht="12.75" customHeight="1" outlineLevel="2">
      <c r="B456" s="268" t="s">
        <v>120</v>
      </c>
      <c r="E456" s="727">
        <v>-298</v>
      </c>
      <c r="F456" s="727">
        <v>455</v>
      </c>
      <c r="G456" s="727">
        <v>538</v>
      </c>
      <c r="H456" s="608">
        <v>52</v>
      </c>
      <c r="I456" s="608">
        <v>312</v>
      </c>
      <c r="J456" s="675">
        <v>-2191</v>
      </c>
      <c r="K456" s="722"/>
      <c r="L456" s="722"/>
      <c r="M456" s="722"/>
      <c r="N456" s="722"/>
      <c r="O456" s="722"/>
      <c r="P456" s="722"/>
      <c r="Q456" s="722"/>
      <c r="R456" s="722"/>
      <c r="V456" s="141"/>
      <c r="W456" s="141"/>
      <c r="X456" s="141"/>
      <c r="Y456" s="398"/>
      <c r="Z456" s="141"/>
      <c r="AA456" s="141"/>
      <c r="AB456" s="141"/>
      <c r="AC456" s="398"/>
      <c r="AD456" s="141"/>
      <c r="AE456" s="141"/>
      <c r="AF456" s="141"/>
      <c r="AG456" s="398"/>
      <c r="AH456" s="141"/>
      <c r="AI456" s="141"/>
      <c r="AJ456" s="141"/>
      <c r="AK456" s="398"/>
      <c r="AL456" s="141"/>
      <c r="AM456" s="141"/>
      <c r="AN456" s="141"/>
      <c r="AO456" s="398"/>
      <c r="AP456" s="141"/>
      <c r="AQ456" s="141"/>
      <c r="AR456" s="141"/>
      <c r="AS456" s="398"/>
      <c r="AT456" s="141"/>
      <c r="AU456" s="141"/>
      <c r="AV456" s="141"/>
      <c r="AW456" s="398"/>
      <c r="AX456" s="225"/>
      <c r="AY456" s="225"/>
      <c r="AZ456" s="225"/>
      <c r="BA456" s="278"/>
      <c r="BB456" s="225"/>
      <c r="BC456" s="225"/>
      <c r="BD456" s="225"/>
      <c r="BE456" s="225"/>
      <c r="BF456" s="141"/>
    </row>
    <row r="457" spans="1:90" ht="12.75" customHeight="1" outlineLevel="2">
      <c r="B457" s="268" t="s">
        <v>121</v>
      </c>
      <c r="E457" s="727">
        <v>-7</v>
      </c>
      <c r="F457" s="727">
        <v>0</v>
      </c>
      <c r="G457" s="727">
        <v>-14</v>
      </c>
      <c r="H457" s="608">
        <v>0</v>
      </c>
      <c r="I457" s="608">
        <v>21</v>
      </c>
      <c r="J457" s="675">
        <v>44</v>
      </c>
      <c r="K457" s="722"/>
      <c r="L457" s="722"/>
      <c r="M457" s="722"/>
      <c r="N457" s="722"/>
      <c r="O457" s="722"/>
      <c r="P457" s="722"/>
      <c r="Q457" s="722"/>
      <c r="R457" s="722"/>
      <c r="V457" s="141"/>
      <c r="W457" s="141"/>
      <c r="X457" s="141"/>
      <c r="Y457" s="398"/>
      <c r="Z457" s="141"/>
      <c r="AA457" s="141"/>
      <c r="AB457" s="141"/>
      <c r="AC457" s="398"/>
      <c r="AD457" s="141"/>
      <c r="AE457" s="141"/>
      <c r="AF457" s="141"/>
      <c r="AG457" s="398"/>
      <c r="AH457" s="141"/>
      <c r="AI457" s="141"/>
      <c r="AJ457" s="141"/>
      <c r="AK457" s="398"/>
      <c r="AL457" s="141"/>
      <c r="AM457" s="141"/>
      <c r="AN457" s="141"/>
      <c r="AO457" s="398"/>
      <c r="AP457" s="141"/>
      <c r="AQ457" s="141"/>
      <c r="AR457" s="141"/>
      <c r="AS457" s="398"/>
      <c r="AT457" s="141"/>
      <c r="AU457" s="141"/>
      <c r="AV457" s="141"/>
      <c r="AW457" s="398"/>
      <c r="AX457" s="225"/>
      <c r="AY457" s="225"/>
      <c r="AZ457" s="225"/>
      <c r="BA457" s="278"/>
      <c r="BB457" s="225"/>
      <c r="BC457" s="225"/>
      <c r="BD457" s="225"/>
      <c r="BE457" s="225"/>
      <c r="BF457" s="141"/>
    </row>
    <row r="458" spans="1:90" ht="12.75" customHeight="1" outlineLevel="2">
      <c r="B458" s="268" t="s">
        <v>122</v>
      </c>
      <c r="E458" s="360">
        <f t="shared" ref="E458:J458" si="909">SUM(E456:E457)</f>
        <v>-305</v>
      </c>
      <c r="F458" s="360">
        <f t="shared" si="909"/>
        <v>455</v>
      </c>
      <c r="G458" s="360">
        <f t="shared" si="909"/>
        <v>524</v>
      </c>
      <c r="H458" s="360">
        <f t="shared" si="909"/>
        <v>52</v>
      </c>
      <c r="I458" s="360">
        <f t="shared" si="909"/>
        <v>333</v>
      </c>
      <c r="J458" s="451">
        <f t="shared" si="909"/>
        <v>-2147</v>
      </c>
      <c r="K458" s="360"/>
      <c r="L458" s="360"/>
      <c r="M458" s="360"/>
      <c r="N458" s="360"/>
      <c r="O458" s="360"/>
      <c r="P458" s="360"/>
      <c r="Q458" s="360"/>
      <c r="R458" s="360"/>
      <c r="V458" s="141"/>
      <c r="W458" s="141"/>
      <c r="X458" s="141"/>
      <c r="Y458" s="398"/>
      <c r="Z458" s="141"/>
      <c r="AA458" s="141"/>
      <c r="AB458" s="141"/>
      <c r="AC458" s="398"/>
      <c r="AD458" s="141"/>
      <c r="AE458" s="141"/>
      <c r="AF458" s="141"/>
      <c r="AG458" s="398"/>
      <c r="AH458" s="141"/>
      <c r="AI458" s="141"/>
      <c r="AJ458" s="141"/>
      <c r="AK458" s="398"/>
      <c r="AL458" s="141"/>
      <c r="AM458" s="141"/>
      <c r="AN458" s="141"/>
      <c r="AO458" s="398"/>
      <c r="AP458" s="141"/>
      <c r="AQ458" s="141"/>
      <c r="AR458" s="141"/>
      <c r="AS458" s="398"/>
      <c r="AT458" s="141"/>
      <c r="AU458" s="141"/>
      <c r="AV458" s="141"/>
      <c r="AW458" s="398"/>
      <c r="AX458" s="225"/>
      <c r="AY458" s="225"/>
      <c r="AZ458" s="225"/>
      <c r="BA458" s="278"/>
      <c r="BB458" s="225"/>
      <c r="BC458" s="225"/>
      <c r="BD458" s="225"/>
      <c r="BE458" s="225"/>
      <c r="BF458" s="141"/>
    </row>
    <row r="459" spans="1:90" ht="12.75" customHeight="1" outlineLevel="2">
      <c r="V459" s="141"/>
      <c r="W459" s="141"/>
      <c r="X459" s="141"/>
      <c r="Y459" s="398"/>
      <c r="Z459" s="141"/>
      <c r="AA459" s="141"/>
      <c r="AB459" s="141"/>
      <c r="AC459" s="398"/>
      <c r="AD459" s="141"/>
      <c r="AE459" s="141"/>
      <c r="AF459" s="141"/>
      <c r="AG459" s="398"/>
      <c r="AH459" s="141"/>
      <c r="AI459" s="141"/>
      <c r="AJ459" s="141"/>
      <c r="AK459" s="398"/>
      <c r="AL459" s="141"/>
      <c r="AM459" s="141"/>
      <c r="AN459" s="141"/>
      <c r="AO459" s="398"/>
      <c r="AP459" s="141"/>
      <c r="AQ459" s="141"/>
      <c r="AR459" s="141"/>
      <c r="AS459" s="398"/>
      <c r="AT459" s="141"/>
      <c r="AU459" s="141"/>
      <c r="AV459" s="141"/>
      <c r="AW459" s="398"/>
      <c r="AX459" s="225"/>
      <c r="AY459" s="225"/>
      <c r="AZ459" s="225"/>
      <c r="BA459" s="278"/>
      <c r="BB459" s="225"/>
      <c r="BC459" s="225"/>
      <c r="BD459" s="225"/>
      <c r="BE459" s="225"/>
      <c r="BF459" s="141"/>
    </row>
    <row r="460" spans="1:90" ht="12.75" customHeight="1" outlineLevel="2">
      <c r="B460" s="141" t="s">
        <v>123</v>
      </c>
      <c r="V460" s="141"/>
      <c r="W460" s="141"/>
      <c r="X460" s="141"/>
      <c r="Y460" s="398"/>
      <c r="Z460" s="141"/>
      <c r="AA460" s="141"/>
      <c r="AB460" s="141"/>
      <c r="AC460" s="398"/>
      <c r="AD460" s="141"/>
      <c r="AE460" s="141"/>
      <c r="AF460" s="141"/>
      <c r="AG460" s="398"/>
      <c r="AH460" s="141"/>
      <c r="AI460" s="141"/>
      <c r="AJ460" s="141"/>
      <c r="AK460" s="398"/>
      <c r="AL460" s="141"/>
      <c r="AM460" s="141"/>
      <c r="AN460" s="141"/>
      <c r="AO460" s="398"/>
      <c r="AP460" s="141"/>
      <c r="AQ460" s="141"/>
      <c r="AR460" s="141"/>
      <c r="AS460" s="398"/>
      <c r="AT460" s="141"/>
      <c r="AU460" s="141"/>
      <c r="AV460" s="141"/>
      <c r="AW460" s="398"/>
      <c r="AX460" s="225"/>
      <c r="AY460" s="225"/>
      <c r="AZ460" s="225"/>
      <c r="BA460" s="278"/>
      <c r="BB460" s="225"/>
      <c r="BC460" s="225"/>
      <c r="BD460" s="225"/>
      <c r="BE460" s="225"/>
      <c r="BF460" s="141"/>
    </row>
    <row r="461" spans="1:90" ht="12.75" customHeight="1" outlineLevel="2">
      <c r="B461" s="268" t="s">
        <v>120</v>
      </c>
      <c r="E461" s="727">
        <v>-27</v>
      </c>
      <c r="F461" s="727">
        <v>-9</v>
      </c>
      <c r="G461" s="727">
        <v>306</v>
      </c>
      <c r="H461" s="608">
        <v>3089</v>
      </c>
      <c r="I461" s="608">
        <v>2278</v>
      </c>
      <c r="J461" s="675">
        <v>8911</v>
      </c>
      <c r="K461" s="722"/>
      <c r="L461" s="722"/>
      <c r="M461" s="722"/>
      <c r="N461" s="722"/>
      <c r="O461" s="722"/>
      <c r="P461" s="722"/>
      <c r="Q461" s="722"/>
      <c r="R461" s="722"/>
      <c r="V461" s="141"/>
      <c r="W461" s="141"/>
      <c r="X461" s="141"/>
      <c r="Y461" s="398"/>
      <c r="Z461" s="141"/>
      <c r="AA461" s="141"/>
      <c r="AB461" s="141"/>
      <c r="AC461" s="398"/>
      <c r="AD461" s="141"/>
      <c r="AE461" s="141"/>
      <c r="AF461" s="141"/>
      <c r="AG461" s="398"/>
      <c r="AH461" s="141"/>
      <c r="AI461" s="141"/>
      <c r="AJ461" s="141"/>
      <c r="AK461" s="398"/>
      <c r="AL461" s="141"/>
      <c r="AM461" s="141"/>
      <c r="AN461" s="141"/>
      <c r="AO461" s="398"/>
      <c r="AP461" s="141"/>
      <c r="AQ461" s="141"/>
      <c r="AR461" s="141"/>
      <c r="AS461" s="398"/>
      <c r="AT461" s="141"/>
      <c r="AU461" s="141"/>
      <c r="AV461" s="141"/>
      <c r="AW461" s="398"/>
      <c r="AX461" s="225"/>
      <c r="AY461" s="225"/>
      <c r="AZ461" s="225"/>
      <c r="BA461" s="278"/>
      <c r="BB461" s="225"/>
      <c r="BC461" s="225"/>
      <c r="BD461" s="225"/>
      <c r="BE461" s="225"/>
      <c r="BF461" s="141"/>
    </row>
    <row r="462" spans="1:90" ht="12.75" customHeight="1" outlineLevel="2">
      <c r="B462" s="268" t="s">
        <v>121</v>
      </c>
      <c r="E462" s="727">
        <v>-18</v>
      </c>
      <c r="F462" s="727">
        <v>0</v>
      </c>
      <c r="G462" s="727">
        <v>-13</v>
      </c>
      <c r="H462" s="608">
        <v>0</v>
      </c>
      <c r="I462" s="608">
        <v>-422</v>
      </c>
      <c r="J462" s="675">
        <v>-5764</v>
      </c>
      <c r="K462" s="722"/>
      <c r="L462" s="722"/>
      <c r="M462" s="722"/>
      <c r="N462" s="722"/>
      <c r="O462" s="722"/>
      <c r="P462" s="722"/>
      <c r="Q462" s="722"/>
      <c r="R462" s="722"/>
      <c r="V462" s="141"/>
      <c r="W462" s="141"/>
      <c r="X462" s="141"/>
      <c r="Y462" s="398"/>
      <c r="Z462" s="141"/>
      <c r="AA462" s="141"/>
      <c r="AB462" s="141"/>
      <c r="AC462" s="398"/>
      <c r="AD462" s="141"/>
      <c r="AE462" s="141"/>
      <c r="AF462" s="141"/>
      <c r="AG462" s="398"/>
      <c r="AH462" s="141"/>
      <c r="AI462" s="141"/>
      <c r="AJ462" s="141"/>
      <c r="AK462" s="398"/>
      <c r="AL462" s="141"/>
      <c r="AM462" s="141"/>
      <c r="AN462" s="141"/>
      <c r="AO462" s="398"/>
      <c r="AP462" s="141"/>
      <c r="AQ462" s="141"/>
      <c r="AR462" s="141"/>
      <c r="AS462" s="398"/>
      <c r="AT462" s="141"/>
      <c r="AU462" s="141"/>
      <c r="AV462" s="141"/>
      <c r="AW462" s="398"/>
      <c r="AX462" s="225"/>
      <c r="AY462" s="225"/>
      <c r="AZ462" s="225"/>
      <c r="BA462" s="278"/>
      <c r="BB462" s="225"/>
      <c r="BC462" s="225"/>
      <c r="BD462" s="225"/>
      <c r="BE462" s="225"/>
      <c r="BF462" s="141"/>
    </row>
    <row r="463" spans="1:90" ht="12.75" customHeight="1" outlineLevel="2">
      <c r="B463" s="268" t="s">
        <v>670</v>
      </c>
      <c r="E463" s="727"/>
      <c r="F463" s="727"/>
      <c r="G463" s="727"/>
      <c r="H463" s="727">
        <v>0</v>
      </c>
      <c r="I463" s="727">
        <v>-488</v>
      </c>
      <c r="J463" s="675">
        <v>-1042</v>
      </c>
      <c r="V463" s="141"/>
      <c r="W463" s="141"/>
      <c r="X463" s="141"/>
      <c r="Y463" s="398"/>
      <c r="Z463" s="141"/>
      <c r="AA463" s="141"/>
      <c r="AB463" s="141"/>
      <c r="AC463" s="398"/>
      <c r="AD463" s="141"/>
      <c r="AE463" s="141"/>
      <c r="AF463" s="141"/>
      <c r="AG463" s="398"/>
      <c r="AH463" s="141"/>
      <c r="AI463" s="141"/>
      <c r="AJ463" s="141"/>
      <c r="AK463" s="398"/>
      <c r="AL463" s="141"/>
      <c r="AM463" s="141"/>
      <c r="AN463" s="141"/>
      <c r="AO463" s="398"/>
      <c r="AP463" s="141"/>
      <c r="AQ463" s="141"/>
      <c r="AR463" s="141"/>
      <c r="AS463" s="398"/>
      <c r="AT463" s="141"/>
      <c r="AU463" s="141"/>
      <c r="AV463" s="141"/>
      <c r="AW463" s="398"/>
      <c r="AX463" s="225"/>
      <c r="AY463" s="225"/>
      <c r="AZ463" s="225"/>
      <c r="BA463" s="278"/>
      <c r="BB463" s="225"/>
      <c r="BC463" s="225"/>
      <c r="BD463" s="225"/>
      <c r="BE463" s="225"/>
      <c r="BF463" s="141"/>
    </row>
    <row r="464" spans="1:90" ht="12.75" customHeight="1" outlineLevel="2">
      <c r="B464" s="268" t="s">
        <v>122</v>
      </c>
      <c r="E464" s="360">
        <f t="shared" ref="E464:J464" si="910">SUM(E461:E463)</f>
        <v>-45</v>
      </c>
      <c r="F464" s="360">
        <f t="shared" si="910"/>
        <v>-9</v>
      </c>
      <c r="G464" s="360">
        <f t="shared" si="910"/>
        <v>293</v>
      </c>
      <c r="H464" s="360">
        <f t="shared" si="910"/>
        <v>3089</v>
      </c>
      <c r="I464" s="360">
        <f t="shared" si="910"/>
        <v>1368</v>
      </c>
      <c r="J464" s="451">
        <f t="shared" si="910"/>
        <v>2105</v>
      </c>
      <c r="K464" s="360"/>
      <c r="L464" s="360"/>
      <c r="M464" s="360"/>
      <c r="N464" s="360"/>
      <c r="O464" s="360"/>
      <c r="P464" s="360"/>
      <c r="Q464" s="360"/>
      <c r="R464" s="360"/>
      <c r="V464" s="141"/>
      <c r="W464" s="141"/>
      <c r="X464" s="141"/>
      <c r="Y464" s="398"/>
      <c r="Z464" s="141"/>
      <c r="AA464" s="141"/>
      <c r="AB464" s="141"/>
      <c r="AC464" s="398"/>
      <c r="AD464" s="141"/>
      <c r="AE464" s="141"/>
      <c r="AF464" s="141"/>
      <c r="AG464" s="398"/>
      <c r="AH464" s="141"/>
      <c r="AI464" s="141"/>
      <c r="AJ464" s="141"/>
      <c r="AK464" s="398"/>
      <c r="AL464" s="141"/>
      <c r="AM464" s="141"/>
      <c r="AN464" s="141"/>
      <c r="AO464" s="398"/>
      <c r="AP464" s="141"/>
      <c r="AQ464" s="141"/>
      <c r="AR464" s="141"/>
      <c r="AS464" s="398"/>
      <c r="AT464" s="141"/>
      <c r="AU464" s="141"/>
      <c r="AV464" s="141"/>
      <c r="AW464" s="398"/>
      <c r="AX464" s="225"/>
      <c r="AY464" s="225"/>
      <c r="AZ464" s="225"/>
      <c r="BA464" s="278"/>
      <c r="BB464" s="225"/>
      <c r="BC464" s="225"/>
      <c r="BD464" s="225"/>
      <c r="BE464" s="225"/>
      <c r="BF464" s="141"/>
    </row>
    <row r="465" spans="1:16384" ht="12.75" customHeight="1" outlineLevel="2">
      <c r="B465" s="141" t="s">
        <v>124</v>
      </c>
      <c r="V465" s="141"/>
      <c r="W465" s="141"/>
      <c r="X465" s="141"/>
      <c r="Y465" s="398"/>
      <c r="Z465" s="141"/>
      <c r="AA465" s="141"/>
      <c r="AB465" s="141"/>
      <c r="AC465" s="398"/>
      <c r="AD465" s="141"/>
      <c r="AE465" s="141"/>
      <c r="AF465" s="141"/>
      <c r="AG465" s="398"/>
      <c r="AH465" s="141"/>
      <c r="AI465" s="141"/>
      <c r="AJ465" s="141"/>
      <c r="AK465" s="398"/>
      <c r="AL465" s="141"/>
      <c r="AM465" s="141"/>
      <c r="AN465" s="141"/>
      <c r="AO465" s="398"/>
      <c r="AP465" s="141"/>
      <c r="AQ465" s="141"/>
      <c r="AR465" s="141"/>
      <c r="AS465" s="398"/>
      <c r="AT465" s="141"/>
      <c r="AU465" s="141"/>
      <c r="AV465" s="141"/>
      <c r="AW465" s="398"/>
      <c r="AX465" s="225"/>
      <c r="AY465" s="225"/>
      <c r="AZ465" s="225"/>
      <c r="BA465" s="278"/>
      <c r="BB465" s="225"/>
      <c r="BC465" s="225"/>
      <c r="BD465" s="225"/>
      <c r="BE465" s="225"/>
      <c r="BF465" s="141"/>
    </row>
    <row r="466" spans="1:16384" ht="12.75" customHeight="1" outlineLevel="2">
      <c r="B466" s="10" t="s">
        <v>125</v>
      </c>
      <c r="E466" s="728">
        <v>0</v>
      </c>
      <c r="F466" s="728">
        <v>0</v>
      </c>
      <c r="G466" s="490">
        <v>36</v>
      </c>
      <c r="H466" s="608">
        <v>13</v>
      </c>
      <c r="I466" s="608">
        <v>65</v>
      </c>
      <c r="J466" s="675">
        <v>780</v>
      </c>
      <c r="K466" s="729"/>
      <c r="L466" s="729"/>
      <c r="M466" s="729"/>
      <c r="N466" s="729"/>
      <c r="O466" s="729"/>
      <c r="P466" s="729"/>
      <c r="Q466" s="729"/>
      <c r="R466" s="729"/>
      <c r="V466" s="141"/>
      <c r="W466" s="141"/>
      <c r="X466" s="141"/>
      <c r="Y466" s="398"/>
      <c r="Z466" s="141"/>
      <c r="AA466" s="141"/>
      <c r="AB466" s="141"/>
      <c r="AC466" s="398"/>
      <c r="AD466" s="141"/>
      <c r="AE466" s="141"/>
      <c r="AF466" s="141"/>
      <c r="AG466" s="398"/>
      <c r="AH466" s="141"/>
      <c r="AI466" s="141"/>
      <c r="AJ466" s="141"/>
      <c r="AK466" s="398"/>
      <c r="AL466" s="141"/>
      <c r="AM466" s="141"/>
      <c r="AN466" s="141"/>
      <c r="AO466" s="398"/>
      <c r="AP466" s="141"/>
      <c r="AQ466" s="141"/>
      <c r="AR466" s="141"/>
      <c r="AS466" s="398"/>
      <c r="AT466" s="141"/>
      <c r="AU466" s="141"/>
      <c r="AV466" s="141"/>
      <c r="AW466" s="398"/>
      <c r="AX466" s="225"/>
      <c r="AY466" s="225"/>
      <c r="AZ466" s="225"/>
      <c r="BA466" s="278"/>
      <c r="BB466" s="225"/>
      <c r="BC466" s="225"/>
      <c r="BD466" s="225"/>
      <c r="BE466" s="225"/>
      <c r="BF466" s="141"/>
    </row>
    <row r="467" spans="1:16384" ht="12.75" customHeight="1" outlineLevel="2">
      <c r="B467" s="10" t="s">
        <v>124</v>
      </c>
      <c r="H467" s="608">
        <v>-36</v>
      </c>
      <c r="I467" s="608">
        <v>0</v>
      </c>
      <c r="J467" s="675">
        <v>433</v>
      </c>
      <c r="V467" s="141"/>
      <c r="W467" s="141"/>
      <c r="X467" s="141"/>
      <c r="Y467" s="398"/>
      <c r="Z467" s="141"/>
      <c r="AA467" s="141"/>
      <c r="AB467" s="141"/>
      <c r="AC467" s="398"/>
      <c r="AD467" s="141"/>
      <c r="AE467" s="141"/>
      <c r="AF467" s="141"/>
      <c r="AG467" s="398"/>
      <c r="AH467" s="141"/>
      <c r="AI467" s="141"/>
      <c r="AJ467" s="141"/>
      <c r="AK467" s="398"/>
      <c r="AL467" s="141"/>
      <c r="AM467" s="141"/>
      <c r="AN467" s="141"/>
      <c r="AO467" s="398"/>
      <c r="AP467" s="141"/>
      <c r="AQ467" s="141"/>
      <c r="AR467" s="141"/>
      <c r="AS467" s="398"/>
      <c r="AT467" s="141"/>
      <c r="AU467" s="141"/>
      <c r="AV467" s="141"/>
      <c r="AW467" s="398"/>
      <c r="AX467" s="225"/>
      <c r="AY467" s="225"/>
      <c r="AZ467" s="225"/>
      <c r="BA467" s="278"/>
      <c r="BB467" s="225"/>
      <c r="BC467" s="225"/>
      <c r="BD467" s="225"/>
      <c r="BE467" s="225"/>
      <c r="BF467" s="141"/>
    </row>
    <row r="468" spans="1:16384" ht="12.75" customHeight="1" outlineLevel="2">
      <c r="B468" s="10" t="s">
        <v>671</v>
      </c>
      <c r="E468" s="727"/>
      <c r="F468" s="727"/>
      <c r="G468" s="727"/>
      <c r="H468" s="727">
        <v>0</v>
      </c>
      <c r="I468" s="727">
        <v>-168</v>
      </c>
      <c r="J468" s="1418">
        <v>169</v>
      </c>
      <c r="V468" s="141"/>
      <c r="W468" s="141"/>
      <c r="X468" s="141"/>
      <c r="Y468" s="398"/>
      <c r="Z468" s="141"/>
      <c r="AA468" s="141"/>
      <c r="AB468" s="141"/>
      <c r="AC468" s="398"/>
      <c r="AD468" s="141"/>
      <c r="AE468" s="141"/>
      <c r="AF468" s="141"/>
      <c r="AG468" s="398"/>
      <c r="AH468" s="141"/>
      <c r="AI468" s="141"/>
      <c r="AJ468" s="141"/>
      <c r="AK468" s="398"/>
      <c r="AL468" s="141"/>
      <c r="AM468" s="141"/>
      <c r="AN468" s="141"/>
      <c r="AO468" s="398"/>
      <c r="AP468" s="141"/>
      <c r="AQ468" s="141"/>
      <c r="AR468" s="141"/>
      <c r="AS468" s="398"/>
      <c r="AT468" s="141"/>
      <c r="AU468" s="141"/>
      <c r="AV468" s="141"/>
      <c r="AW468" s="398"/>
      <c r="AX468" s="225"/>
      <c r="AY468" s="225"/>
      <c r="AZ468" s="225"/>
      <c r="BA468" s="278"/>
      <c r="BB468" s="225"/>
      <c r="BC468" s="225"/>
      <c r="BD468" s="225"/>
      <c r="BE468" s="225"/>
      <c r="BF468" s="141"/>
    </row>
    <row r="469" spans="1:16384" ht="12.75" customHeight="1" outlineLevel="2">
      <c r="B469" s="141" t="s">
        <v>119</v>
      </c>
      <c r="E469" s="360">
        <f>E466+E464+E458</f>
        <v>-350</v>
      </c>
      <c r="F469" s="360">
        <f>F466+F464+F458</f>
        <v>446</v>
      </c>
      <c r="G469" s="360">
        <f>G466+G464+G458</f>
        <v>853</v>
      </c>
      <c r="H469" s="360">
        <f>H464+H458+SUM(H466:H468)</f>
        <v>3118</v>
      </c>
      <c r="I469" s="360">
        <f>I466+I464+I458+I468</f>
        <v>1598</v>
      </c>
      <c r="J469" s="675">
        <v>1340</v>
      </c>
      <c r="K469" s="360"/>
      <c r="L469" s="360"/>
      <c r="M469" s="360"/>
      <c r="N469" s="360"/>
      <c r="O469" s="360"/>
      <c r="P469" s="360"/>
      <c r="Q469" s="360"/>
      <c r="R469" s="360"/>
      <c r="V469" s="141"/>
      <c r="W469" s="141"/>
      <c r="X469" s="141"/>
      <c r="Y469" s="398"/>
      <c r="Z469" s="141"/>
      <c r="AA469" s="141"/>
      <c r="AB469" s="141"/>
      <c r="AC469" s="398"/>
      <c r="AD469" s="141"/>
      <c r="AE469" s="141"/>
      <c r="AF469" s="141"/>
      <c r="AG469" s="398"/>
      <c r="AH469" s="141"/>
      <c r="AI469" s="141"/>
      <c r="AJ469" s="141"/>
      <c r="AK469" s="398"/>
      <c r="AL469" s="141"/>
      <c r="AM469" s="141"/>
      <c r="AN469" s="141"/>
      <c r="AO469" s="398"/>
      <c r="AP469" s="141"/>
      <c r="AQ469" s="141"/>
      <c r="AR469" s="141"/>
      <c r="AS469" s="398"/>
      <c r="AT469" s="141"/>
      <c r="AU469" s="141"/>
      <c r="AV469" s="141"/>
      <c r="AW469" s="398"/>
      <c r="AX469" s="225"/>
      <c r="AY469" s="225"/>
      <c r="AZ469" s="225"/>
      <c r="BA469" s="278"/>
      <c r="BB469" s="225"/>
      <c r="BC469" s="225"/>
      <c r="BD469" s="225"/>
      <c r="BE469" s="225"/>
      <c r="BF469" s="141"/>
    </row>
    <row r="470" spans="1:16384" s="13" customFormat="1" ht="12.75" customHeight="1" outlineLevel="2">
      <c r="A470" s="1349"/>
      <c r="B470" s="13" t="s">
        <v>127</v>
      </c>
      <c r="E470" s="497">
        <f t="shared" ref="E470:R470" si="911">E469+E370</f>
        <v>4315</v>
      </c>
      <c r="F470" s="497">
        <f t="shared" si="911"/>
        <v>9095</v>
      </c>
      <c r="G470" s="497">
        <f t="shared" si="911"/>
        <v>24256</v>
      </c>
      <c r="H470" s="497">
        <f t="shared" si="911"/>
        <v>27438</v>
      </c>
      <c r="I470" s="497">
        <f t="shared" si="911"/>
        <v>72887</v>
      </c>
      <c r="J470" s="546">
        <f t="shared" si="911"/>
        <v>42566</v>
      </c>
      <c r="K470" s="497">
        <f t="shared" si="911"/>
        <v>62649.824321746899</v>
      </c>
      <c r="L470" s="497">
        <f t="shared" si="911"/>
        <v>82835.741127463058</v>
      </c>
      <c r="M470" s="497">
        <f t="shared" si="911"/>
        <v>105370.19006668827</v>
      </c>
      <c r="N470" s="497">
        <f t="shared" si="911"/>
        <v>133422.2660498078</v>
      </c>
      <c r="O470" s="497">
        <f t="shared" si="911"/>
        <v>169392.90636219553</v>
      </c>
      <c r="P470" s="497">
        <f t="shared" si="911"/>
        <v>209959.94295335677</v>
      </c>
      <c r="Q470" s="497">
        <f t="shared" si="911"/>
        <v>243025.28669154688</v>
      </c>
      <c r="R470" s="497">
        <f t="shared" si="911"/>
        <v>277243.08845332108</v>
      </c>
      <c r="Y470" s="556"/>
      <c r="AC470" s="556"/>
      <c r="AG470" s="556"/>
      <c r="AK470" s="556"/>
      <c r="AO470" s="556"/>
      <c r="AS470" s="556"/>
      <c r="AW470" s="556"/>
      <c r="AX470" s="226"/>
      <c r="AY470" s="226"/>
      <c r="AZ470" s="226"/>
      <c r="BA470" s="293"/>
      <c r="BB470" s="226"/>
      <c r="BC470" s="226"/>
      <c r="BD470" s="226"/>
      <c r="BE470" s="226"/>
      <c r="CG470"/>
      <c r="CH470"/>
      <c r="CI470"/>
      <c r="CJ470"/>
      <c r="CK470"/>
      <c r="CL470"/>
    </row>
    <row r="471" spans="1:16384" ht="12.75" customHeight="1" outlineLevel="2">
      <c r="B471" s="141" t="s">
        <v>128</v>
      </c>
      <c r="E471" s="727">
        <v>-408</v>
      </c>
      <c r="F471" s="727">
        <v>-117</v>
      </c>
      <c r="G471" s="727">
        <v>-90</v>
      </c>
      <c r="H471" s="674">
        <v>-56</v>
      </c>
      <c r="I471" s="674">
        <v>102</v>
      </c>
      <c r="J471" s="1418">
        <v>389</v>
      </c>
      <c r="K471" s="730">
        <f t="shared" ref="K471:R471" si="912">J471</f>
        <v>389</v>
      </c>
      <c r="L471" s="730">
        <f t="shared" si="912"/>
        <v>389</v>
      </c>
      <c r="M471" s="730">
        <f t="shared" si="912"/>
        <v>389</v>
      </c>
      <c r="N471" s="730">
        <f t="shared" si="912"/>
        <v>389</v>
      </c>
      <c r="O471" s="730">
        <f t="shared" si="912"/>
        <v>389</v>
      </c>
      <c r="P471" s="730">
        <f t="shared" si="912"/>
        <v>389</v>
      </c>
      <c r="Q471" s="730">
        <f t="shared" si="912"/>
        <v>389</v>
      </c>
      <c r="R471" s="730">
        <f t="shared" si="912"/>
        <v>389</v>
      </c>
      <c r="V471" s="141"/>
      <c r="W471" s="141"/>
      <c r="X471" s="141"/>
      <c r="Y471" s="398"/>
      <c r="Z471" s="141"/>
      <c r="AA471" s="141"/>
      <c r="AB471" s="141"/>
      <c r="AC471" s="398"/>
      <c r="AD471" s="141"/>
      <c r="AE471" s="141"/>
      <c r="AF471" s="141"/>
      <c r="AG471" s="398"/>
      <c r="AH471" s="141"/>
      <c r="AI471" s="141"/>
      <c r="AJ471" s="141"/>
      <c r="AK471" s="398"/>
      <c r="AL471" s="141"/>
      <c r="AM471" s="141"/>
      <c r="AN471" s="141"/>
      <c r="AO471" s="398"/>
      <c r="AP471" s="141"/>
      <c r="AQ471" s="141"/>
      <c r="AR471" s="141"/>
      <c r="AS471" s="398"/>
      <c r="AT471" s="141"/>
      <c r="AU471" s="141"/>
      <c r="AV471" s="141"/>
      <c r="AW471" s="398"/>
      <c r="AX471" s="225"/>
      <c r="AY471" s="225"/>
      <c r="AZ471" s="225"/>
      <c r="BA471" s="278"/>
      <c r="BB471" s="225"/>
      <c r="BC471" s="225"/>
      <c r="BD471" s="225"/>
      <c r="BE471" s="225"/>
      <c r="BF471" s="141"/>
    </row>
    <row r="472" spans="1:16384" s="13" customFormat="1" ht="12.75" customHeight="1" outlineLevel="1">
      <c r="A472" s="1349"/>
      <c r="B472" s="13" t="s">
        <v>129</v>
      </c>
      <c r="E472" s="497">
        <f t="shared" ref="E472:J472" si="913">E471+E470</f>
        <v>3907</v>
      </c>
      <c r="F472" s="497">
        <f t="shared" si="913"/>
        <v>8978</v>
      </c>
      <c r="G472" s="497">
        <f t="shared" si="913"/>
        <v>24166</v>
      </c>
      <c r="H472" s="497">
        <f t="shared" si="913"/>
        <v>27382</v>
      </c>
      <c r="I472" s="497">
        <f t="shared" si="913"/>
        <v>72989</v>
      </c>
      <c r="J472" s="546">
        <f t="shared" si="913"/>
        <v>42955</v>
      </c>
      <c r="K472" s="497">
        <f t="shared" ref="K472:R472" si="914">K471+K470</f>
        <v>63038.824321746899</v>
      </c>
      <c r="L472" s="497">
        <f t="shared" si="914"/>
        <v>83224.741127463058</v>
      </c>
      <c r="M472" s="497">
        <f t="shared" si="914"/>
        <v>105759.19006668827</v>
      </c>
      <c r="N472" s="497">
        <f t="shared" si="914"/>
        <v>133811.2660498078</v>
      </c>
      <c r="O472" s="497">
        <f t="shared" si="914"/>
        <v>169781.90636219553</v>
      </c>
      <c r="P472" s="497">
        <f t="shared" si="914"/>
        <v>210348.94295335677</v>
      </c>
      <c r="Q472" s="497">
        <f t="shared" si="914"/>
        <v>243414.28669154688</v>
      </c>
      <c r="R472" s="497">
        <f t="shared" si="914"/>
        <v>277632.08845332108</v>
      </c>
      <c r="Y472" s="556"/>
      <c r="AC472" s="556"/>
      <c r="AG472" s="556"/>
      <c r="AK472" s="556"/>
      <c r="AO472" s="556"/>
      <c r="AS472" s="556"/>
      <c r="AW472" s="556"/>
      <c r="AX472" s="226"/>
      <c r="AY472" s="226"/>
      <c r="AZ472" s="226"/>
      <c r="BA472" s="293"/>
      <c r="BB472" s="226"/>
      <c r="BC472" s="226"/>
      <c r="BD472" s="226"/>
      <c r="BE472" s="226"/>
      <c r="CG472"/>
      <c r="CH472"/>
      <c r="CI472"/>
      <c r="CJ472"/>
      <c r="CK472"/>
      <c r="CL472"/>
    </row>
    <row r="473" spans="1:16384" s="13" customFormat="1" ht="12.75" customHeight="1" outlineLevel="1">
      <c r="A473" s="1349"/>
      <c r="E473" s="497"/>
      <c r="F473" s="497"/>
      <c r="G473" s="497"/>
      <c r="H473" s="497"/>
      <c r="I473" s="497"/>
      <c r="J473" s="546"/>
      <c r="K473" s="497"/>
      <c r="L473" s="497"/>
      <c r="M473" s="497"/>
      <c r="N473" s="497"/>
      <c r="O473" s="497"/>
      <c r="P473" s="497"/>
      <c r="Q473" s="497"/>
      <c r="R473" s="497"/>
      <c r="Y473" s="556"/>
      <c r="AC473" s="556"/>
      <c r="AG473" s="556"/>
      <c r="AK473" s="556"/>
      <c r="AO473" s="556"/>
      <c r="AS473" s="556"/>
      <c r="AW473" s="556"/>
      <c r="AX473" s="226"/>
      <c r="AY473" s="226"/>
      <c r="AZ473" s="226"/>
      <c r="BA473" s="293"/>
      <c r="BB473" s="226"/>
      <c r="BC473" s="226"/>
      <c r="BD473" s="226"/>
      <c r="BE473" s="226"/>
      <c r="CG473"/>
      <c r="CH473"/>
      <c r="CI473"/>
      <c r="CJ473"/>
      <c r="CK473"/>
      <c r="CL473"/>
    </row>
    <row r="474" spans="1:16384" s="739" customFormat="1" ht="12.75" customHeight="1" outlineLevel="1">
      <c r="A474" s="1348"/>
      <c r="B474" s="731" t="s">
        <v>130</v>
      </c>
      <c r="C474" s="732">
        <v>-362</v>
      </c>
      <c r="D474" s="732">
        <v>-932</v>
      </c>
      <c r="E474" s="733">
        <f t="shared" ref="E474:J474" si="915">SUM(E477:E480)</f>
        <v>-1254</v>
      </c>
      <c r="F474" s="733">
        <f t="shared" si="915"/>
        <v>-1259</v>
      </c>
      <c r="G474" s="733">
        <f t="shared" si="915"/>
        <v>-2844</v>
      </c>
      <c r="H474" s="733">
        <f t="shared" si="915"/>
        <v>-13028</v>
      </c>
      <c r="I474" s="733">
        <f t="shared" si="915"/>
        <v>-16082</v>
      </c>
      <c r="J474" s="1419">
        <f t="shared" si="915"/>
        <v>-15995</v>
      </c>
      <c r="K474" s="733">
        <f t="shared" ref="K474:R474" si="916">-K475*K19</f>
        <v>-18874.199449919201</v>
      </c>
      <c r="L474" s="733">
        <f t="shared" si="916"/>
        <v>-20293.005220472744</v>
      </c>
      <c r="M474" s="733">
        <f t="shared" si="916"/>
        <v>-23757.769097625653</v>
      </c>
      <c r="N474" s="733">
        <f t="shared" si="916"/>
        <v>-26868.625879485237</v>
      </c>
      <c r="O474" s="733">
        <f t="shared" si="916"/>
        <v>-25871.666466326966</v>
      </c>
      <c r="P474" s="733">
        <f t="shared" si="916"/>
        <v>-28301.909840991742</v>
      </c>
      <c r="Q474" s="733">
        <f t="shared" si="916"/>
        <v>-32589.873502641229</v>
      </c>
      <c r="R474" s="733">
        <f t="shared" si="916"/>
        <v>-37051.836271014508</v>
      </c>
      <c r="S474" s="350"/>
      <c r="T474" s="340"/>
      <c r="U474" s="141"/>
      <c r="V474" s="340"/>
      <c r="W474" s="340"/>
      <c r="X474" s="734"/>
      <c r="Y474" s="735"/>
      <c r="Z474" s="736">
        <v>-457</v>
      </c>
      <c r="AA474" s="736">
        <v>-314</v>
      </c>
      <c r="AB474" s="736">
        <v>-263</v>
      </c>
      <c r="AC474" s="737">
        <v>-220</v>
      </c>
      <c r="AD474" s="736">
        <v>-279</v>
      </c>
      <c r="AE474" s="736">
        <v>-462</v>
      </c>
      <c r="AF474" s="736">
        <v>-293</v>
      </c>
      <c r="AG474" s="737">
        <v>-225</v>
      </c>
      <c r="AH474" s="734">
        <f t="shared" ref="AH474:AW474" si="917">SUM(AH477:AH480)</f>
        <v>-396</v>
      </c>
      <c r="AI474" s="734">
        <f t="shared" si="917"/>
        <v>-864</v>
      </c>
      <c r="AJ474" s="734">
        <f t="shared" si="917"/>
        <v>-659</v>
      </c>
      <c r="AK474" s="735">
        <f t="shared" si="917"/>
        <v>-925</v>
      </c>
      <c r="AL474" s="734">
        <f t="shared" si="917"/>
        <v>-1073</v>
      </c>
      <c r="AM474" s="734">
        <f t="shared" si="917"/>
        <v>-3010</v>
      </c>
      <c r="AN474" s="734">
        <f t="shared" si="917"/>
        <v>-4313</v>
      </c>
      <c r="AO474" s="735">
        <f t="shared" si="917"/>
        <v>-4632</v>
      </c>
      <c r="AP474" s="734">
        <f t="shared" si="917"/>
        <v>-3995</v>
      </c>
      <c r="AQ474" s="734">
        <f t="shared" si="917"/>
        <v>-3164</v>
      </c>
      <c r="AR474" s="734">
        <f t="shared" si="917"/>
        <v>-4370</v>
      </c>
      <c r="AS474" s="735">
        <f t="shared" si="917"/>
        <v>-4553</v>
      </c>
      <c r="AT474" s="734">
        <f t="shared" si="917"/>
        <v>-3694</v>
      </c>
      <c r="AU474" s="734">
        <f t="shared" si="917"/>
        <v>-4251</v>
      </c>
      <c r="AV474" s="734">
        <f t="shared" si="917"/>
        <v>-3744</v>
      </c>
      <c r="AW474" s="735">
        <f t="shared" si="917"/>
        <v>-4306</v>
      </c>
      <c r="AX474" s="734">
        <f>SUM(AX477:AX480)</f>
        <v>-4019</v>
      </c>
      <c r="AY474" s="734">
        <f>SUM(AY477:AY480)</f>
        <v>-4686</v>
      </c>
      <c r="AZ474" s="734">
        <f>SUM(AZ477:AZ480)</f>
        <v>-5115</v>
      </c>
      <c r="BA474" s="1547">
        <f>K474-SUM(AX474:AZ474)</f>
        <v>-5054.1994499192006</v>
      </c>
      <c r="BB474" s="734">
        <f>-BB336*BB475</f>
        <v>-5123.560539860001</v>
      </c>
      <c r="BC474" s="734">
        <f>-BC336*BC475</f>
        <v>-5835.0827801160003</v>
      </c>
      <c r="BD474" s="734">
        <f>-BD336*BD475</f>
        <v>-5610.3609686175987</v>
      </c>
      <c r="BE474" s="738">
        <f>L474-SUM(BB474:BD474)</f>
        <v>-3724.0009318791454</v>
      </c>
      <c r="BF474" s="141"/>
      <c r="BG474" s="141"/>
      <c r="BH474" s="141"/>
      <c r="BI474" s="141"/>
      <c r="BJ474" s="141"/>
      <c r="BK474" s="141"/>
      <c r="BL474" s="141"/>
      <c r="BM474" s="141"/>
      <c r="BN474" s="141"/>
      <c r="BO474" s="141"/>
      <c r="BP474" s="141"/>
      <c r="BQ474" s="141"/>
      <c r="BR474" s="141"/>
      <c r="BS474" s="141"/>
      <c r="BT474" s="141"/>
      <c r="BU474" s="141"/>
      <c r="BV474" s="141"/>
      <c r="BW474" s="141"/>
      <c r="BX474" s="141"/>
      <c r="BY474" s="20"/>
      <c r="BZ474" s="450"/>
      <c r="CA474" s="141"/>
      <c r="CB474" s="141"/>
      <c r="CC474" s="141"/>
      <c r="CD474" s="340"/>
      <c r="CE474" s="340"/>
      <c r="CF474" s="340"/>
      <c r="CG474"/>
      <c r="CH474"/>
      <c r="CI474"/>
      <c r="CJ474"/>
      <c r="CK474"/>
      <c r="CL474"/>
      <c r="CM474" s="340"/>
      <c r="CN474" s="340"/>
      <c r="CO474" s="340"/>
      <c r="CP474" s="340"/>
      <c r="CQ474" s="340"/>
      <c r="CR474" s="340"/>
      <c r="CS474" s="340"/>
      <c r="CT474" s="340"/>
      <c r="CU474" s="340"/>
      <c r="CV474" s="340"/>
      <c r="CW474" s="340"/>
      <c r="CX474" s="340"/>
      <c r="CY474" s="340"/>
      <c r="CZ474" s="340"/>
      <c r="DA474" s="340"/>
      <c r="DB474" s="340"/>
      <c r="DC474" s="340"/>
      <c r="DD474" s="340"/>
      <c r="DE474" s="340"/>
      <c r="DF474" s="340"/>
      <c r="DG474" s="340"/>
      <c r="DH474" s="340"/>
      <c r="DI474" s="340"/>
      <c r="DJ474" s="340"/>
      <c r="DK474" s="340"/>
      <c r="DL474" s="340"/>
      <c r="DM474" s="340"/>
      <c r="DN474" s="340"/>
      <c r="DO474" s="340"/>
      <c r="DP474" s="340"/>
      <c r="DQ474" s="340"/>
      <c r="DR474" s="340"/>
      <c r="DS474" s="340"/>
      <c r="DT474" s="340"/>
      <c r="DU474" s="340"/>
      <c r="DV474" s="340"/>
      <c r="DW474" s="340"/>
      <c r="DX474" s="340"/>
      <c r="DY474" s="340"/>
      <c r="DZ474" s="340"/>
      <c r="EA474" s="340"/>
      <c r="EB474" s="340"/>
      <c r="EC474" s="340"/>
      <c r="ED474" s="340"/>
      <c r="EE474" s="340"/>
      <c r="EF474" s="340"/>
      <c r="EG474" s="340"/>
      <c r="EH474" s="340"/>
      <c r="EI474" s="340"/>
      <c r="EJ474" s="340"/>
      <c r="EK474" s="340"/>
      <c r="EL474" s="340"/>
      <c r="EM474" s="340"/>
      <c r="EN474" s="340"/>
      <c r="EO474" s="340"/>
      <c r="EP474" s="340"/>
      <c r="EQ474" s="340"/>
      <c r="ER474" s="340"/>
      <c r="ES474" s="340"/>
      <c r="ET474" s="340"/>
      <c r="EU474" s="340"/>
      <c r="EV474" s="340"/>
      <c r="EW474" s="340"/>
      <c r="EX474" s="340"/>
      <c r="EY474" s="340"/>
      <c r="EZ474" s="340"/>
      <c r="FA474" s="340"/>
      <c r="FB474" s="340"/>
      <c r="FC474" s="340"/>
      <c r="FD474" s="340"/>
      <c r="FE474" s="340"/>
      <c r="FF474" s="340"/>
      <c r="FG474" s="340"/>
      <c r="FH474" s="340"/>
      <c r="FI474" s="340"/>
      <c r="FJ474" s="340"/>
      <c r="FK474" s="340"/>
      <c r="FL474" s="340"/>
      <c r="FM474" s="340"/>
      <c r="FN474" s="340"/>
      <c r="FO474" s="340"/>
      <c r="FP474" s="340"/>
      <c r="FQ474" s="340"/>
      <c r="FR474" s="340"/>
      <c r="FS474" s="340"/>
      <c r="FT474" s="340"/>
      <c r="FU474" s="340"/>
      <c r="FV474" s="340"/>
      <c r="FW474" s="340"/>
      <c r="FX474" s="340"/>
      <c r="FY474" s="340"/>
      <c r="FZ474" s="340"/>
      <c r="GA474" s="340"/>
      <c r="GB474" s="340"/>
      <c r="GC474" s="340"/>
      <c r="GD474" s="340"/>
      <c r="GE474" s="340"/>
      <c r="GF474" s="340"/>
      <c r="GG474" s="340"/>
      <c r="GH474" s="340"/>
      <c r="GI474" s="340"/>
      <c r="GJ474" s="340"/>
      <c r="GK474" s="340"/>
      <c r="GL474" s="340"/>
      <c r="GM474" s="340"/>
      <c r="GN474" s="340"/>
      <c r="GO474" s="340"/>
      <c r="GP474" s="340"/>
      <c r="GQ474" s="340"/>
      <c r="GR474" s="340"/>
      <c r="GS474" s="340"/>
      <c r="GT474" s="340"/>
      <c r="GU474" s="340"/>
      <c r="GV474" s="340"/>
      <c r="GW474" s="340"/>
      <c r="GX474" s="340"/>
      <c r="GY474" s="340"/>
      <c r="GZ474" s="340"/>
      <c r="HA474" s="340"/>
      <c r="HB474" s="340"/>
      <c r="HC474" s="340"/>
      <c r="HD474" s="340"/>
      <c r="HE474" s="340"/>
      <c r="HF474" s="340"/>
      <c r="HG474" s="340"/>
      <c r="HH474" s="340"/>
      <c r="HI474" s="340"/>
      <c r="HJ474" s="340"/>
      <c r="HK474" s="340"/>
      <c r="HL474" s="340"/>
      <c r="HM474" s="340"/>
      <c r="HN474" s="340"/>
      <c r="HO474" s="340"/>
      <c r="HP474" s="340"/>
      <c r="HQ474" s="340"/>
      <c r="HR474" s="340"/>
      <c r="HS474" s="340"/>
      <c r="HT474" s="340"/>
      <c r="HU474" s="340"/>
      <c r="HV474" s="340"/>
      <c r="HW474" s="340"/>
      <c r="HX474" s="340"/>
      <c r="HY474" s="340"/>
      <c r="HZ474" s="340"/>
      <c r="IA474" s="340"/>
      <c r="IB474" s="340"/>
      <c r="IC474" s="340"/>
      <c r="ID474" s="340"/>
      <c r="IE474" s="340"/>
      <c r="IF474" s="340"/>
      <c r="IG474" s="340"/>
      <c r="IH474" s="340"/>
      <c r="II474" s="340"/>
      <c r="IJ474" s="340"/>
      <c r="IK474" s="340"/>
      <c r="IL474" s="340"/>
      <c r="IM474" s="340"/>
      <c r="IN474" s="340"/>
      <c r="IO474" s="340"/>
      <c r="IP474" s="340"/>
      <c r="IQ474" s="340"/>
      <c r="IR474" s="340"/>
      <c r="IS474" s="340"/>
      <c r="IT474" s="340"/>
      <c r="IU474" s="340"/>
      <c r="IV474" s="340"/>
      <c r="IW474" s="340"/>
      <c r="IX474" s="340"/>
      <c r="IY474" s="340"/>
      <c r="IZ474" s="340"/>
      <c r="JA474" s="340"/>
      <c r="JB474" s="340"/>
      <c r="JC474" s="340"/>
      <c r="JD474" s="340"/>
      <c r="JE474" s="340"/>
      <c r="JF474" s="340"/>
      <c r="JG474" s="340"/>
      <c r="JH474" s="340"/>
      <c r="JI474" s="340"/>
      <c r="JJ474" s="340"/>
      <c r="JK474" s="340"/>
      <c r="JL474" s="340"/>
      <c r="JM474" s="340"/>
      <c r="JN474" s="340"/>
      <c r="JO474" s="340"/>
      <c r="JP474" s="340"/>
      <c r="JQ474" s="340"/>
      <c r="JR474" s="340"/>
      <c r="JS474" s="340"/>
      <c r="JT474" s="340"/>
      <c r="JU474" s="340"/>
      <c r="JV474" s="340"/>
      <c r="JW474" s="340"/>
      <c r="JX474" s="340"/>
      <c r="JY474" s="340"/>
      <c r="JZ474" s="340"/>
      <c r="KA474" s="340"/>
      <c r="KB474" s="340"/>
      <c r="KC474" s="340"/>
      <c r="KD474" s="340"/>
      <c r="KE474" s="340"/>
      <c r="KF474" s="340"/>
      <c r="KG474" s="340"/>
      <c r="KH474" s="340"/>
      <c r="KI474" s="340"/>
      <c r="KJ474" s="340"/>
      <c r="KK474" s="340"/>
      <c r="KL474" s="340"/>
      <c r="KM474" s="340"/>
      <c r="KN474" s="340"/>
      <c r="KO474" s="340"/>
      <c r="KP474" s="340"/>
      <c r="KQ474" s="340"/>
      <c r="KR474" s="340"/>
      <c r="KS474" s="340"/>
      <c r="KT474" s="340"/>
      <c r="KU474" s="340"/>
      <c r="KV474" s="340"/>
      <c r="KW474" s="340"/>
      <c r="KX474" s="340"/>
      <c r="KY474" s="340"/>
      <c r="KZ474" s="340"/>
      <c r="LA474" s="340"/>
      <c r="LB474" s="340"/>
      <c r="LC474" s="340"/>
      <c r="LD474" s="340"/>
      <c r="LE474" s="340"/>
      <c r="LF474" s="340"/>
      <c r="LG474" s="340"/>
      <c r="LH474" s="340"/>
      <c r="LI474" s="340"/>
      <c r="LJ474" s="340"/>
      <c r="LK474" s="340"/>
      <c r="LL474" s="340"/>
      <c r="LM474" s="340"/>
      <c r="LN474" s="340"/>
      <c r="LO474" s="340"/>
      <c r="LP474" s="340"/>
      <c r="LQ474" s="340"/>
      <c r="LR474" s="340"/>
      <c r="LS474" s="340"/>
      <c r="LT474" s="340"/>
      <c r="LU474" s="340"/>
      <c r="LV474" s="340"/>
      <c r="LW474" s="340"/>
      <c r="LX474" s="340"/>
      <c r="LY474" s="340"/>
      <c r="LZ474" s="340"/>
      <c r="MA474" s="340"/>
      <c r="MB474" s="340"/>
      <c r="MC474" s="340"/>
      <c r="MD474" s="340"/>
      <c r="ME474" s="340"/>
      <c r="MF474" s="340"/>
      <c r="MG474" s="340"/>
      <c r="MH474" s="340"/>
      <c r="MI474" s="340"/>
      <c r="MJ474" s="340"/>
      <c r="MK474" s="340"/>
      <c r="ML474" s="340"/>
      <c r="MM474" s="340"/>
      <c r="MN474" s="340"/>
      <c r="MO474" s="340"/>
      <c r="MP474" s="340"/>
      <c r="MQ474" s="340"/>
      <c r="MR474" s="340"/>
      <c r="MS474" s="340"/>
      <c r="MT474" s="340"/>
      <c r="MU474" s="340"/>
      <c r="MV474" s="340"/>
      <c r="MW474" s="340"/>
      <c r="MX474" s="340"/>
      <c r="MY474" s="340"/>
      <c r="MZ474" s="340"/>
      <c r="NA474" s="340"/>
      <c r="NB474" s="340"/>
      <c r="NC474" s="340"/>
      <c r="ND474" s="340"/>
      <c r="NE474" s="340"/>
      <c r="NF474" s="340"/>
      <c r="NG474" s="340"/>
      <c r="NH474" s="340"/>
      <c r="NI474" s="340"/>
      <c r="NJ474" s="340"/>
      <c r="NK474" s="340"/>
      <c r="NL474" s="340"/>
      <c r="NM474" s="340"/>
      <c r="NN474" s="340"/>
      <c r="NO474" s="340"/>
      <c r="NP474" s="340"/>
      <c r="NQ474" s="340"/>
      <c r="NR474" s="340"/>
      <c r="NS474" s="340"/>
      <c r="NT474" s="340"/>
      <c r="NU474" s="340"/>
      <c r="NV474" s="340"/>
      <c r="NW474" s="340"/>
      <c r="NX474" s="340"/>
      <c r="NY474" s="340"/>
      <c r="NZ474" s="340"/>
      <c r="OA474" s="340"/>
      <c r="OB474" s="340"/>
      <c r="OC474" s="340"/>
      <c r="OD474" s="340"/>
      <c r="OE474" s="340"/>
      <c r="OF474" s="340"/>
      <c r="OG474" s="340"/>
      <c r="OH474" s="340"/>
      <c r="OI474" s="340"/>
      <c r="OJ474" s="340"/>
      <c r="OK474" s="340"/>
      <c r="OL474" s="340"/>
      <c r="OM474" s="340"/>
      <c r="ON474" s="340"/>
      <c r="OO474" s="340"/>
      <c r="OP474" s="340"/>
      <c r="OQ474" s="340"/>
      <c r="OR474" s="340"/>
      <c r="OS474" s="340"/>
      <c r="OT474" s="340"/>
      <c r="OU474" s="340"/>
      <c r="OV474" s="340"/>
      <c r="OW474" s="340"/>
      <c r="OX474" s="340"/>
      <c r="OY474" s="340"/>
      <c r="OZ474" s="340"/>
      <c r="PA474" s="340"/>
      <c r="PB474" s="340"/>
      <c r="PC474" s="340"/>
      <c r="PD474" s="340"/>
      <c r="PE474" s="340"/>
      <c r="PF474" s="340"/>
      <c r="PG474" s="340"/>
      <c r="PH474" s="340"/>
      <c r="PI474" s="340"/>
      <c r="PJ474" s="340"/>
      <c r="PK474" s="340"/>
      <c r="PL474" s="340"/>
      <c r="PM474" s="340"/>
      <c r="PN474" s="340"/>
      <c r="PO474" s="340"/>
      <c r="PP474" s="340"/>
      <c r="PQ474" s="340"/>
      <c r="PR474" s="340"/>
      <c r="PS474" s="340"/>
      <c r="PT474" s="340"/>
      <c r="PU474" s="340"/>
      <c r="PV474" s="340"/>
      <c r="PW474" s="340"/>
      <c r="PX474" s="340"/>
      <c r="PY474" s="340"/>
      <c r="PZ474" s="340"/>
      <c r="QA474" s="340"/>
      <c r="QB474" s="340"/>
      <c r="QC474" s="340"/>
      <c r="QD474" s="340"/>
      <c r="QE474" s="340"/>
      <c r="QF474" s="340"/>
      <c r="QG474" s="340"/>
      <c r="QH474" s="340"/>
      <c r="QI474" s="340"/>
      <c r="QJ474" s="340"/>
      <c r="QK474" s="340"/>
      <c r="QL474" s="340"/>
      <c r="QM474" s="340"/>
      <c r="QN474" s="340"/>
      <c r="QO474" s="340"/>
      <c r="QP474" s="340"/>
      <c r="QQ474" s="340"/>
      <c r="QR474" s="340"/>
      <c r="QS474" s="340"/>
      <c r="QT474" s="340"/>
      <c r="QU474" s="340"/>
      <c r="QV474" s="340"/>
      <c r="QW474" s="340"/>
      <c r="QX474" s="340"/>
      <c r="QY474" s="340"/>
      <c r="QZ474" s="340"/>
      <c r="RA474" s="340"/>
      <c r="RB474" s="340"/>
      <c r="RC474" s="340"/>
      <c r="RD474" s="340"/>
      <c r="RE474" s="340"/>
      <c r="RF474" s="340"/>
      <c r="RG474" s="340"/>
      <c r="RH474" s="340"/>
      <c r="RI474" s="340"/>
      <c r="RJ474" s="340"/>
      <c r="RK474" s="340"/>
      <c r="RL474" s="340"/>
      <c r="RM474" s="340"/>
      <c r="RN474" s="340"/>
      <c r="RO474" s="340"/>
      <c r="RP474" s="340"/>
      <c r="RQ474" s="340"/>
      <c r="RR474" s="340"/>
      <c r="RS474" s="340"/>
      <c r="RT474" s="340"/>
      <c r="RU474" s="340"/>
      <c r="RV474" s="340"/>
      <c r="RW474" s="340"/>
      <c r="RX474" s="340"/>
      <c r="RY474" s="340"/>
      <c r="RZ474" s="340"/>
      <c r="SA474" s="340"/>
      <c r="SB474" s="340"/>
      <c r="SC474" s="340"/>
      <c r="SD474" s="340"/>
      <c r="SE474" s="340"/>
      <c r="SF474" s="340"/>
      <c r="SG474" s="340"/>
      <c r="SH474" s="340"/>
      <c r="SI474" s="340"/>
      <c r="SJ474" s="340"/>
      <c r="SK474" s="340"/>
      <c r="SL474" s="340"/>
      <c r="SM474" s="340"/>
      <c r="SN474" s="340"/>
      <c r="SO474" s="340"/>
      <c r="SP474" s="340"/>
      <c r="SQ474" s="340"/>
      <c r="SR474" s="340"/>
      <c r="SS474" s="340"/>
      <c r="ST474" s="340"/>
      <c r="SU474" s="340"/>
      <c r="SV474" s="340"/>
      <c r="SW474" s="340"/>
      <c r="SX474" s="340"/>
      <c r="SY474" s="340"/>
      <c r="SZ474" s="340"/>
      <c r="TA474" s="340"/>
      <c r="TB474" s="340"/>
      <c r="TC474" s="340"/>
      <c r="TD474" s="340"/>
      <c r="TE474" s="340"/>
      <c r="TF474" s="340"/>
      <c r="TG474" s="340"/>
      <c r="TH474" s="340"/>
      <c r="TI474" s="340"/>
      <c r="TJ474" s="340"/>
      <c r="TK474" s="340"/>
      <c r="TL474" s="340"/>
      <c r="TM474" s="340"/>
      <c r="TN474" s="340"/>
      <c r="TO474" s="340"/>
      <c r="TP474" s="340"/>
      <c r="TQ474" s="340"/>
      <c r="TR474" s="340"/>
      <c r="TS474" s="340"/>
      <c r="TT474" s="340"/>
      <c r="TU474" s="340"/>
      <c r="TV474" s="340"/>
      <c r="TW474" s="340"/>
      <c r="TX474" s="340"/>
      <c r="TY474" s="340"/>
      <c r="TZ474" s="340"/>
      <c r="UA474" s="340"/>
      <c r="UB474" s="340"/>
      <c r="UC474" s="340"/>
      <c r="UD474" s="340"/>
      <c r="UE474" s="340"/>
      <c r="UF474" s="340"/>
      <c r="UG474" s="340"/>
      <c r="UH474" s="340"/>
      <c r="UI474" s="340"/>
      <c r="UJ474" s="340"/>
      <c r="UK474" s="340"/>
      <c r="UL474" s="340"/>
      <c r="UM474" s="340"/>
      <c r="UN474" s="340"/>
      <c r="UO474" s="340"/>
      <c r="UP474" s="340"/>
      <c r="UQ474" s="340"/>
      <c r="UR474" s="340"/>
      <c r="US474" s="340"/>
      <c r="UT474" s="340"/>
      <c r="UU474" s="340"/>
      <c r="UV474" s="340"/>
      <c r="UW474" s="340"/>
      <c r="UX474" s="340"/>
      <c r="UY474" s="340"/>
      <c r="UZ474" s="340"/>
      <c r="VA474" s="340"/>
      <c r="VB474" s="340"/>
      <c r="VC474" s="340"/>
      <c r="VD474" s="340"/>
      <c r="VE474" s="340"/>
      <c r="VF474" s="340"/>
      <c r="VG474" s="340"/>
      <c r="VH474" s="340"/>
      <c r="VI474" s="340"/>
      <c r="VJ474" s="340"/>
      <c r="VK474" s="340"/>
      <c r="VL474" s="340"/>
      <c r="VM474" s="340"/>
      <c r="VN474" s="340"/>
      <c r="VO474" s="340"/>
      <c r="VP474" s="340"/>
      <c r="VQ474" s="340"/>
      <c r="VR474" s="340"/>
      <c r="VS474" s="340"/>
      <c r="VT474" s="340"/>
      <c r="VU474" s="340"/>
      <c r="VV474" s="340"/>
      <c r="VW474" s="340"/>
      <c r="VX474" s="340"/>
      <c r="VY474" s="340"/>
      <c r="VZ474" s="340"/>
      <c r="WA474" s="340"/>
      <c r="WB474" s="340"/>
      <c r="WC474" s="340"/>
      <c r="WD474" s="340"/>
      <c r="WE474" s="340"/>
      <c r="WF474" s="340"/>
      <c r="WG474" s="340"/>
      <c r="WH474" s="340"/>
      <c r="WI474" s="340"/>
      <c r="WJ474" s="340"/>
      <c r="WK474" s="340"/>
      <c r="WL474" s="340"/>
      <c r="WM474" s="340"/>
      <c r="WN474" s="340"/>
      <c r="WO474" s="340"/>
      <c r="WP474" s="340"/>
      <c r="WQ474" s="340"/>
      <c r="WR474" s="340"/>
      <c r="WS474" s="340"/>
      <c r="WT474" s="340"/>
      <c r="WU474" s="340"/>
      <c r="WV474" s="340"/>
      <c r="WW474" s="340"/>
      <c r="WX474" s="340"/>
      <c r="WY474" s="340"/>
      <c r="WZ474" s="340"/>
      <c r="XA474" s="340"/>
      <c r="XB474" s="340"/>
      <c r="XC474" s="340"/>
      <c r="XD474" s="340"/>
      <c r="XE474" s="340"/>
      <c r="XF474" s="340"/>
      <c r="XG474" s="340"/>
      <c r="XH474" s="340"/>
      <c r="XI474" s="340"/>
      <c r="XJ474" s="340"/>
      <c r="XK474" s="340"/>
      <c r="XL474" s="340"/>
      <c r="XM474" s="340"/>
      <c r="XN474" s="340"/>
      <c r="XO474" s="340"/>
      <c r="XP474" s="340"/>
      <c r="XQ474" s="340"/>
      <c r="XR474" s="340"/>
      <c r="XS474" s="340"/>
      <c r="XT474" s="340"/>
      <c r="XU474" s="340"/>
      <c r="XV474" s="340"/>
      <c r="XW474" s="340"/>
      <c r="XX474" s="340"/>
      <c r="XY474" s="340"/>
      <c r="XZ474" s="340"/>
      <c r="YA474" s="340"/>
      <c r="YB474" s="340"/>
      <c r="YC474" s="340"/>
      <c r="YD474" s="340"/>
      <c r="YE474" s="340"/>
      <c r="YF474" s="340"/>
      <c r="YG474" s="340"/>
      <c r="YH474" s="340"/>
      <c r="YI474" s="340"/>
      <c r="YJ474" s="340"/>
      <c r="YK474" s="340"/>
      <c r="YL474" s="340"/>
      <c r="YM474" s="340"/>
      <c r="YN474" s="340"/>
      <c r="YO474" s="340"/>
      <c r="YP474" s="340"/>
      <c r="YQ474" s="340"/>
      <c r="YR474" s="340"/>
      <c r="YS474" s="340"/>
      <c r="YT474" s="340"/>
      <c r="YU474" s="340"/>
      <c r="YV474" s="340"/>
      <c r="YW474" s="340"/>
      <c r="YX474" s="340"/>
      <c r="YY474" s="340"/>
      <c r="YZ474" s="340"/>
      <c r="ZA474" s="340"/>
      <c r="ZB474" s="340"/>
      <c r="ZC474" s="340"/>
      <c r="ZD474" s="340"/>
      <c r="ZE474" s="340"/>
      <c r="ZF474" s="340"/>
      <c r="ZG474" s="340"/>
      <c r="ZH474" s="340"/>
      <c r="ZI474" s="340"/>
      <c r="ZJ474" s="340"/>
      <c r="ZK474" s="340"/>
      <c r="ZL474" s="340"/>
      <c r="ZM474" s="340"/>
      <c r="ZN474" s="340"/>
      <c r="ZO474" s="340"/>
      <c r="ZP474" s="340"/>
      <c r="ZQ474" s="340"/>
      <c r="ZR474" s="340"/>
      <c r="ZS474" s="340"/>
      <c r="ZT474" s="340"/>
      <c r="ZU474" s="340"/>
      <c r="ZV474" s="340"/>
      <c r="ZW474" s="340"/>
      <c r="ZX474" s="340"/>
      <c r="ZY474" s="340"/>
      <c r="ZZ474" s="340"/>
      <c r="AAA474" s="340"/>
      <c r="AAB474" s="340"/>
      <c r="AAC474" s="340"/>
      <c r="AAD474" s="340"/>
      <c r="AAE474" s="340"/>
      <c r="AAF474" s="340"/>
      <c r="AAG474" s="340"/>
      <c r="AAH474" s="340"/>
      <c r="AAI474" s="340"/>
      <c r="AAJ474" s="340"/>
      <c r="AAK474" s="340"/>
      <c r="AAL474" s="340"/>
      <c r="AAM474" s="340"/>
      <c r="AAN474" s="340"/>
      <c r="AAO474" s="340"/>
      <c r="AAP474" s="340"/>
      <c r="AAQ474" s="340"/>
      <c r="AAR474" s="340"/>
      <c r="AAS474" s="340"/>
      <c r="AAT474" s="340"/>
      <c r="AAU474" s="340"/>
      <c r="AAV474" s="340"/>
      <c r="AAW474" s="340"/>
      <c r="AAX474" s="340"/>
      <c r="AAY474" s="340"/>
      <c r="AAZ474" s="340"/>
      <c r="ABA474" s="340"/>
      <c r="ABB474" s="340"/>
      <c r="ABC474" s="340"/>
      <c r="ABD474" s="340"/>
      <c r="ABE474" s="340"/>
      <c r="ABF474" s="340"/>
      <c r="ABG474" s="340"/>
      <c r="ABH474" s="340"/>
      <c r="ABI474" s="340"/>
      <c r="ABJ474" s="340"/>
      <c r="ABK474" s="340"/>
      <c r="ABL474" s="340"/>
      <c r="ABM474" s="340"/>
      <c r="ABN474" s="340"/>
      <c r="ABO474" s="340"/>
      <c r="ABP474" s="340"/>
      <c r="ABQ474" s="340"/>
      <c r="ABR474" s="340"/>
      <c r="ABS474" s="340"/>
      <c r="ABT474" s="340"/>
      <c r="ABU474" s="340"/>
      <c r="ABV474" s="340"/>
      <c r="ABW474" s="340"/>
      <c r="ABX474" s="340"/>
      <c r="ABY474" s="340"/>
      <c r="ABZ474" s="340"/>
      <c r="ACA474" s="340"/>
      <c r="ACB474" s="340"/>
      <c r="ACC474" s="340"/>
      <c r="ACD474" s="340"/>
      <c r="ACE474" s="340"/>
      <c r="ACF474" s="340"/>
      <c r="ACG474" s="340"/>
      <c r="ACH474" s="340"/>
      <c r="ACI474" s="340"/>
      <c r="ACJ474" s="340"/>
      <c r="ACK474" s="340"/>
      <c r="ACL474" s="340"/>
      <c r="ACM474" s="340"/>
      <c r="ACN474" s="340"/>
      <c r="ACO474" s="340"/>
      <c r="ACP474" s="340"/>
      <c r="ACQ474" s="340"/>
      <c r="ACR474" s="340"/>
      <c r="ACS474" s="340"/>
      <c r="ACT474" s="340"/>
      <c r="ACU474" s="340"/>
      <c r="ACV474" s="340"/>
      <c r="ACW474" s="340"/>
      <c r="ACX474" s="340"/>
      <c r="ACY474" s="340"/>
      <c r="ACZ474" s="340"/>
      <c r="ADA474" s="340"/>
      <c r="ADB474" s="340"/>
      <c r="ADC474" s="340"/>
      <c r="ADD474" s="340"/>
      <c r="ADE474" s="340"/>
      <c r="ADF474" s="340"/>
      <c r="ADG474" s="340"/>
      <c r="ADH474" s="340"/>
      <c r="ADI474" s="340"/>
      <c r="ADJ474" s="340"/>
      <c r="ADK474" s="340"/>
      <c r="ADL474" s="340"/>
      <c r="ADM474" s="340"/>
      <c r="ADN474" s="340"/>
      <c r="ADO474" s="340"/>
      <c r="ADP474" s="340"/>
      <c r="ADQ474" s="340"/>
      <c r="ADR474" s="340"/>
      <c r="ADS474" s="340"/>
      <c r="ADT474" s="340"/>
      <c r="ADU474" s="340"/>
      <c r="ADV474" s="340"/>
      <c r="ADW474" s="340"/>
      <c r="ADX474" s="340"/>
      <c r="ADY474" s="340"/>
      <c r="ADZ474" s="340"/>
      <c r="AEA474" s="340"/>
      <c r="AEB474" s="340"/>
      <c r="AEC474" s="340"/>
      <c r="AED474" s="340"/>
      <c r="AEE474" s="340"/>
      <c r="AEF474" s="340"/>
      <c r="AEG474" s="340"/>
      <c r="AEH474" s="340"/>
      <c r="AEI474" s="340"/>
      <c r="AEJ474" s="340"/>
      <c r="AEK474" s="340"/>
      <c r="AEL474" s="340"/>
      <c r="AEM474" s="340"/>
      <c r="AEN474" s="340"/>
      <c r="AEO474" s="340"/>
      <c r="AEP474" s="340"/>
      <c r="AEQ474" s="340"/>
      <c r="AER474" s="340"/>
      <c r="AES474" s="340"/>
      <c r="AET474" s="340"/>
      <c r="AEU474" s="340"/>
      <c r="AEV474" s="340"/>
      <c r="AEW474" s="340"/>
      <c r="AEX474" s="340"/>
      <c r="AEY474" s="340"/>
      <c r="AEZ474" s="340"/>
      <c r="AFA474" s="340"/>
      <c r="AFB474" s="340"/>
      <c r="AFC474" s="340"/>
      <c r="AFD474" s="340"/>
      <c r="AFE474" s="340"/>
      <c r="AFF474" s="340"/>
      <c r="AFG474" s="340"/>
      <c r="AFH474" s="340"/>
      <c r="AFI474" s="340"/>
      <c r="AFJ474" s="340"/>
      <c r="AFK474" s="340"/>
      <c r="AFL474" s="340"/>
      <c r="AFM474" s="340"/>
      <c r="AFN474" s="340"/>
      <c r="AFO474" s="340"/>
      <c r="AFP474" s="340"/>
      <c r="AFQ474" s="340"/>
      <c r="AFR474" s="340"/>
      <c r="AFS474" s="340"/>
      <c r="AFT474" s="340"/>
      <c r="AFU474" s="340"/>
      <c r="AFV474" s="340"/>
      <c r="AFW474" s="340"/>
      <c r="AFX474" s="340"/>
      <c r="AFY474" s="340"/>
      <c r="AFZ474" s="340"/>
      <c r="AGA474" s="340"/>
      <c r="AGB474" s="340"/>
      <c r="AGC474" s="340"/>
      <c r="AGD474" s="340"/>
      <c r="AGE474" s="340"/>
      <c r="AGF474" s="340"/>
      <c r="AGG474" s="340"/>
      <c r="AGH474" s="340"/>
      <c r="AGI474" s="340"/>
      <c r="AGJ474" s="340"/>
      <c r="AGK474" s="340"/>
      <c r="AGL474" s="340"/>
      <c r="AGM474" s="340"/>
      <c r="AGN474" s="340"/>
      <c r="AGO474" s="340"/>
      <c r="AGP474" s="340"/>
      <c r="AGQ474" s="340"/>
      <c r="AGR474" s="340"/>
      <c r="AGS474" s="340"/>
      <c r="AGT474" s="340"/>
      <c r="AGU474" s="340"/>
      <c r="AGV474" s="340"/>
      <c r="AGW474" s="340"/>
      <c r="AGX474" s="340"/>
      <c r="AGY474" s="340"/>
      <c r="AGZ474" s="340"/>
      <c r="AHA474" s="340"/>
      <c r="AHB474" s="340"/>
      <c r="AHC474" s="340"/>
      <c r="AHD474" s="340"/>
      <c r="AHE474" s="340"/>
      <c r="AHF474" s="340"/>
      <c r="AHG474" s="340"/>
      <c r="AHH474" s="340"/>
      <c r="AHI474" s="340"/>
      <c r="AHJ474" s="340"/>
      <c r="AHK474" s="340"/>
      <c r="AHL474" s="340"/>
      <c r="AHM474" s="340"/>
      <c r="AHN474" s="340"/>
      <c r="AHO474" s="340"/>
      <c r="AHP474" s="340"/>
      <c r="AHQ474" s="340"/>
      <c r="AHR474" s="340"/>
      <c r="AHS474" s="340"/>
      <c r="AHT474" s="340"/>
      <c r="AHU474" s="340"/>
      <c r="AHV474" s="340"/>
      <c r="AHW474" s="340"/>
      <c r="AHX474" s="340"/>
      <c r="AHY474" s="340"/>
      <c r="AHZ474" s="340"/>
      <c r="AIA474" s="340"/>
      <c r="AIB474" s="340"/>
      <c r="AIC474" s="340"/>
      <c r="AID474" s="340"/>
      <c r="AIE474" s="340"/>
      <c r="AIF474" s="340"/>
      <c r="AIG474" s="340"/>
      <c r="AIH474" s="340"/>
      <c r="AII474" s="340"/>
      <c r="AIJ474" s="340"/>
      <c r="AIK474" s="340"/>
      <c r="AIL474" s="340"/>
      <c r="AIM474" s="340"/>
      <c r="AIN474" s="340"/>
      <c r="AIO474" s="340"/>
      <c r="AIP474" s="340"/>
      <c r="AIQ474" s="340"/>
      <c r="AIR474" s="340"/>
      <c r="AIS474" s="340"/>
      <c r="AIT474" s="340"/>
      <c r="AIU474" s="340"/>
      <c r="AIV474" s="340"/>
      <c r="AIW474" s="340"/>
      <c r="AIX474" s="340"/>
      <c r="AIY474" s="340"/>
      <c r="AIZ474" s="340"/>
      <c r="AJA474" s="340"/>
      <c r="AJB474" s="340"/>
      <c r="AJC474" s="340"/>
      <c r="AJD474" s="340"/>
      <c r="AJE474" s="340"/>
      <c r="AJF474" s="340"/>
      <c r="AJG474" s="340"/>
      <c r="AJH474" s="340"/>
      <c r="AJI474" s="340"/>
      <c r="AJJ474" s="340"/>
      <c r="AJK474" s="340"/>
      <c r="AJL474" s="340"/>
      <c r="AJM474" s="340"/>
      <c r="AJN474" s="340"/>
      <c r="AJO474" s="340"/>
      <c r="AJP474" s="340"/>
      <c r="AJQ474" s="340"/>
      <c r="AJR474" s="340"/>
      <c r="AJS474" s="340"/>
      <c r="AJT474" s="340"/>
      <c r="AJU474" s="340"/>
      <c r="AJV474" s="340"/>
      <c r="AJW474" s="340"/>
      <c r="AJX474" s="340"/>
      <c r="AJY474" s="340"/>
      <c r="AJZ474" s="340"/>
      <c r="AKA474" s="340"/>
      <c r="AKB474" s="340"/>
      <c r="AKC474" s="340"/>
      <c r="AKD474" s="340"/>
      <c r="AKE474" s="340"/>
      <c r="AKF474" s="340"/>
      <c r="AKG474" s="340"/>
      <c r="AKH474" s="340"/>
      <c r="AKI474" s="340"/>
      <c r="AKJ474" s="340"/>
      <c r="AKK474" s="340"/>
      <c r="AKL474" s="340"/>
      <c r="AKM474" s="340"/>
      <c r="AKN474" s="340"/>
      <c r="AKO474" s="340"/>
      <c r="AKP474" s="340"/>
      <c r="AKQ474" s="340"/>
      <c r="AKR474" s="340"/>
      <c r="AKS474" s="340"/>
      <c r="AKT474" s="340"/>
      <c r="AKU474" s="340"/>
      <c r="AKV474" s="340"/>
      <c r="AKW474" s="340"/>
      <c r="AKX474" s="340"/>
      <c r="AKY474" s="340"/>
      <c r="AKZ474" s="340"/>
      <c r="ALA474" s="340"/>
      <c r="ALB474" s="340"/>
      <c r="ALC474" s="340"/>
      <c r="ALD474" s="340"/>
      <c r="ALE474" s="340"/>
      <c r="ALF474" s="340"/>
      <c r="ALG474" s="340"/>
      <c r="ALH474" s="340"/>
      <c r="ALI474" s="340"/>
      <c r="ALJ474" s="340"/>
      <c r="ALK474" s="340"/>
      <c r="ALL474" s="340"/>
      <c r="ALM474" s="340"/>
      <c r="ALN474" s="340"/>
      <c r="ALO474" s="340"/>
      <c r="ALP474" s="340"/>
      <c r="ALQ474" s="340"/>
      <c r="ALR474" s="340"/>
      <c r="ALS474" s="340"/>
      <c r="ALT474" s="340"/>
      <c r="ALU474" s="340"/>
      <c r="ALV474" s="340"/>
      <c r="ALW474" s="340"/>
      <c r="ALX474" s="340"/>
      <c r="ALY474" s="340"/>
      <c r="ALZ474" s="340"/>
      <c r="AMA474" s="340"/>
      <c r="AMB474" s="340"/>
      <c r="AMC474" s="340"/>
      <c r="AMD474" s="340"/>
      <c r="AME474" s="340"/>
      <c r="AMF474" s="340"/>
      <c r="AMG474" s="340"/>
      <c r="AMH474" s="340"/>
      <c r="AMI474" s="340"/>
      <c r="AMJ474" s="340"/>
      <c r="AMK474" s="340"/>
      <c r="AML474" s="340"/>
      <c r="AMM474" s="340"/>
      <c r="AMN474" s="340"/>
      <c r="AMO474" s="340"/>
      <c r="AMP474" s="340"/>
      <c r="AMQ474" s="340"/>
      <c r="AMR474" s="340"/>
      <c r="AMS474" s="340"/>
      <c r="AMT474" s="340"/>
      <c r="AMU474" s="340"/>
      <c r="AMV474" s="340"/>
      <c r="AMW474" s="340"/>
      <c r="AMX474" s="340"/>
      <c r="AMY474" s="340"/>
      <c r="AMZ474" s="340"/>
      <c r="ANA474" s="340"/>
      <c r="ANB474" s="340"/>
      <c r="ANC474" s="340"/>
      <c r="AND474" s="340"/>
      <c r="ANE474" s="340"/>
      <c r="ANF474" s="340"/>
      <c r="ANG474" s="340"/>
      <c r="ANH474" s="340"/>
      <c r="ANI474" s="340"/>
      <c r="ANJ474" s="340"/>
      <c r="ANK474" s="340"/>
      <c r="ANL474" s="340"/>
      <c r="ANM474" s="340"/>
      <c r="ANN474" s="340"/>
      <c r="ANO474" s="340"/>
      <c r="ANP474" s="340"/>
      <c r="ANQ474" s="340"/>
      <c r="ANR474" s="340"/>
      <c r="ANS474" s="340"/>
      <c r="ANT474" s="340"/>
      <c r="ANU474" s="340"/>
      <c r="ANV474" s="340"/>
      <c r="ANW474" s="340"/>
      <c r="ANX474" s="340"/>
      <c r="ANY474" s="340"/>
      <c r="ANZ474" s="340"/>
      <c r="AOA474" s="340"/>
      <c r="AOB474" s="340"/>
      <c r="AOC474" s="340"/>
      <c r="AOD474" s="340"/>
      <c r="AOE474" s="340"/>
      <c r="AOF474" s="340"/>
      <c r="AOG474" s="340"/>
      <c r="AOH474" s="340"/>
      <c r="AOI474" s="340"/>
      <c r="AOJ474" s="340"/>
      <c r="AOK474" s="340"/>
      <c r="AOL474" s="340"/>
      <c r="AOM474" s="340"/>
      <c r="AON474" s="340"/>
      <c r="AOO474" s="340"/>
      <c r="AOP474" s="340"/>
      <c r="AOQ474" s="340"/>
      <c r="AOR474" s="340"/>
      <c r="AOS474" s="340"/>
      <c r="AOT474" s="340"/>
      <c r="AOU474" s="340"/>
      <c r="AOV474" s="340"/>
      <c r="AOW474" s="340"/>
      <c r="AOX474" s="340"/>
      <c r="AOY474" s="340"/>
      <c r="AOZ474" s="340"/>
      <c r="APA474" s="340"/>
      <c r="APB474" s="340"/>
      <c r="APC474" s="340"/>
      <c r="APD474" s="340"/>
      <c r="APE474" s="340"/>
      <c r="APF474" s="340"/>
      <c r="APG474" s="340"/>
      <c r="APH474" s="340"/>
      <c r="API474" s="340"/>
      <c r="APJ474" s="340"/>
      <c r="APK474" s="340"/>
      <c r="APL474" s="340"/>
      <c r="APM474" s="340"/>
      <c r="APN474" s="340"/>
      <c r="APO474" s="340"/>
      <c r="APP474" s="340"/>
      <c r="APQ474" s="340"/>
      <c r="APR474" s="340"/>
      <c r="APS474" s="340"/>
      <c r="APT474" s="340"/>
      <c r="APU474" s="340"/>
      <c r="APV474" s="340"/>
      <c r="APW474" s="340"/>
      <c r="APX474" s="340"/>
      <c r="APY474" s="340"/>
      <c r="APZ474" s="340"/>
      <c r="AQA474" s="340"/>
      <c r="AQB474" s="340"/>
      <c r="AQC474" s="340"/>
      <c r="AQD474" s="340"/>
      <c r="AQE474" s="340"/>
      <c r="AQF474" s="340"/>
      <c r="AQG474" s="340"/>
      <c r="AQH474" s="340"/>
      <c r="AQI474" s="340"/>
      <c r="AQJ474" s="340"/>
      <c r="AQK474" s="340"/>
      <c r="AQL474" s="340"/>
      <c r="AQM474" s="340"/>
      <c r="AQN474" s="340"/>
      <c r="AQO474" s="340"/>
      <c r="AQP474" s="340"/>
      <c r="AQQ474" s="340"/>
      <c r="AQR474" s="340"/>
      <c r="AQS474" s="340"/>
      <c r="AQT474" s="340"/>
      <c r="AQU474" s="340"/>
      <c r="AQV474" s="340"/>
      <c r="AQW474" s="340"/>
      <c r="AQX474" s="340"/>
      <c r="AQY474" s="340"/>
      <c r="AQZ474" s="340"/>
      <c r="ARA474" s="340"/>
      <c r="ARB474" s="340"/>
      <c r="ARC474" s="340"/>
      <c r="ARD474" s="340"/>
      <c r="ARE474" s="340"/>
      <c r="ARF474" s="340"/>
      <c r="ARG474" s="340"/>
      <c r="ARH474" s="340"/>
      <c r="ARI474" s="340"/>
      <c r="ARJ474" s="340"/>
      <c r="ARK474" s="340"/>
      <c r="ARL474" s="340"/>
      <c r="ARM474" s="340"/>
      <c r="ARN474" s="340"/>
      <c r="ARO474" s="340"/>
      <c r="ARP474" s="340"/>
      <c r="ARQ474" s="340"/>
      <c r="ARR474" s="340"/>
      <c r="ARS474" s="340"/>
      <c r="ART474" s="340"/>
      <c r="ARU474" s="340"/>
      <c r="ARV474" s="340"/>
      <c r="ARW474" s="340"/>
      <c r="ARX474" s="340"/>
      <c r="ARY474" s="340"/>
      <c r="ARZ474" s="340"/>
      <c r="ASA474" s="340"/>
      <c r="ASB474" s="340"/>
      <c r="ASC474" s="340"/>
      <c r="ASD474" s="340"/>
      <c r="ASE474" s="340"/>
      <c r="ASF474" s="340"/>
      <c r="ASG474" s="340"/>
      <c r="ASH474" s="340"/>
      <c r="ASI474" s="340"/>
      <c r="ASJ474" s="340"/>
      <c r="ASK474" s="340"/>
      <c r="ASL474" s="340"/>
      <c r="ASM474" s="340"/>
      <c r="ASN474" s="340"/>
      <c r="ASO474" s="340"/>
      <c r="ASP474" s="340"/>
      <c r="ASQ474" s="340"/>
      <c r="ASR474" s="340"/>
      <c r="ASS474" s="340"/>
      <c r="AST474" s="340"/>
      <c r="ASU474" s="340"/>
      <c r="ASV474" s="340"/>
      <c r="ASW474" s="340"/>
      <c r="ASX474" s="340"/>
      <c r="ASY474" s="340"/>
      <c r="ASZ474" s="340"/>
      <c r="ATA474" s="340"/>
      <c r="ATB474" s="340"/>
      <c r="ATC474" s="340"/>
      <c r="ATD474" s="340"/>
      <c r="ATE474" s="340"/>
      <c r="ATF474" s="340"/>
      <c r="ATG474" s="340"/>
      <c r="ATH474" s="340"/>
      <c r="ATI474" s="340"/>
      <c r="ATJ474" s="340"/>
      <c r="ATK474" s="340"/>
      <c r="ATL474" s="340"/>
      <c r="ATM474" s="340"/>
      <c r="ATN474" s="340"/>
      <c r="ATO474" s="340"/>
      <c r="ATP474" s="340"/>
      <c r="ATQ474" s="340"/>
      <c r="ATR474" s="340"/>
      <c r="ATS474" s="340"/>
      <c r="ATT474" s="340"/>
      <c r="ATU474" s="340"/>
      <c r="ATV474" s="340"/>
      <c r="ATW474" s="340"/>
      <c r="ATX474" s="340"/>
      <c r="ATY474" s="340"/>
      <c r="ATZ474" s="340"/>
      <c r="AUA474" s="340"/>
      <c r="AUB474" s="340"/>
      <c r="AUC474" s="340"/>
      <c r="AUD474" s="340"/>
      <c r="AUE474" s="340"/>
      <c r="AUF474" s="340"/>
      <c r="AUG474" s="340"/>
      <c r="AUH474" s="340"/>
      <c r="AUI474" s="340"/>
      <c r="AUJ474" s="340"/>
      <c r="AUK474" s="340"/>
      <c r="AUL474" s="340"/>
      <c r="AUM474" s="340"/>
      <c r="AUN474" s="340"/>
      <c r="AUO474" s="340"/>
      <c r="AUP474" s="340"/>
      <c r="AUQ474" s="340"/>
      <c r="AUR474" s="340"/>
      <c r="AUS474" s="340"/>
      <c r="AUT474" s="340"/>
      <c r="AUU474" s="340"/>
      <c r="AUV474" s="340"/>
      <c r="AUW474" s="340"/>
      <c r="AUX474" s="340"/>
      <c r="AUY474" s="340"/>
      <c r="AUZ474" s="340"/>
      <c r="AVA474" s="340"/>
      <c r="AVB474" s="340"/>
      <c r="AVC474" s="340"/>
      <c r="AVD474" s="340"/>
      <c r="AVE474" s="340"/>
      <c r="AVF474" s="340"/>
      <c r="AVG474" s="340"/>
      <c r="AVH474" s="340"/>
      <c r="AVI474" s="340"/>
      <c r="AVJ474" s="340"/>
      <c r="AVK474" s="340"/>
      <c r="AVL474" s="340"/>
      <c r="AVM474" s="340"/>
      <c r="AVN474" s="340"/>
      <c r="AVO474" s="340"/>
      <c r="AVP474" s="340"/>
      <c r="AVQ474" s="340"/>
      <c r="AVR474" s="340"/>
      <c r="AVS474" s="340"/>
      <c r="AVT474" s="340"/>
      <c r="AVU474" s="340"/>
      <c r="AVV474" s="340"/>
      <c r="AVW474" s="340"/>
      <c r="AVX474" s="340"/>
      <c r="AVY474" s="340"/>
      <c r="AVZ474" s="340"/>
      <c r="AWA474" s="340"/>
      <c r="AWB474" s="340"/>
      <c r="AWC474" s="340"/>
      <c r="AWD474" s="340"/>
      <c r="AWE474" s="340"/>
      <c r="AWF474" s="340"/>
      <c r="AWG474" s="340"/>
      <c r="AWH474" s="340"/>
      <c r="AWI474" s="340"/>
      <c r="AWJ474" s="340"/>
      <c r="AWK474" s="340"/>
      <c r="AWL474" s="340"/>
      <c r="AWM474" s="340"/>
      <c r="AWN474" s="340"/>
      <c r="AWO474" s="340"/>
      <c r="AWP474" s="340"/>
      <c r="AWQ474" s="340"/>
      <c r="AWR474" s="340"/>
      <c r="AWS474" s="340"/>
      <c r="AWT474" s="340"/>
      <c r="AWU474" s="340"/>
      <c r="AWV474" s="340"/>
      <c r="AWW474" s="340"/>
      <c r="AWX474" s="340"/>
      <c r="AWY474" s="340"/>
      <c r="AWZ474" s="340"/>
      <c r="AXA474" s="340"/>
      <c r="AXB474" s="340"/>
      <c r="AXC474" s="340"/>
      <c r="AXD474" s="340"/>
      <c r="AXE474" s="340"/>
      <c r="AXF474" s="340"/>
      <c r="AXG474" s="340"/>
      <c r="AXH474" s="340"/>
      <c r="AXI474" s="340"/>
      <c r="AXJ474" s="340"/>
      <c r="AXK474" s="340"/>
      <c r="AXL474" s="340"/>
      <c r="AXM474" s="340"/>
      <c r="AXN474" s="340"/>
      <c r="AXO474" s="340"/>
      <c r="AXP474" s="340"/>
      <c r="AXQ474" s="340"/>
      <c r="AXR474" s="340"/>
      <c r="AXS474" s="340"/>
      <c r="AXT474" s="340"/>
      <c r="AXU474" s="340"/>
      <c r="AXV474" s="340"/>
      <c r="AXW474" s="340"/>
      <c r="AXX474" s="340"/>
      <c r="AXY474" s="340"/>
      <c r="AXZ474" s="340"/>
      <c r="AYA474" s="340"/>
      <c r="AYB474" s="340"/>
      <c r="AYC474" s="340"/>
      <c r="AYD474" s="340"/>
      <c r="AYE474" s="340"/>
      <c r="AYF474" s="340"/>
      <c r="AYG474" s="340"/>
      <c r="AYH474" s="340"/>
      <c r="AYI474" s="340"/>
      <c r="AYJ474" s="340"/>
      <c r="AYK474" s="340"/>
      <c r="AYL474" s="340"/>
      <c r="AYM474" s="340"/>
      <c r="AYN474" s="340"/>
      <c r="AYO474" s="340"/>
      <c r="AYP474" s="340"/>
      <c r="AYQ474" s="340"/>
      <c r="AYR474" s="340"/>
      <c r="AYS474" s="340"/>
      <c r="AYT474" s="340"/>
      <c r="AYU474" s="340"/>
      <c r="AYV474" s="340"/>
      <c r="AYW474" s="340"/>
      <c r="AYX474" s="340"/>
      <c r="AYY474" s="340"/>
      <c r="AYZ474" s="340"/>
      <c r="AZA474" s="340"/>
      <c r="AZB474" s="340"/>
      <c r="AZC474" s="340"/>
      <c r="AZD474" s="340"/>
      <c r="AZE474" s="340"/>
      <c r="AZF474" s="340"/>
      <c r="AZG474" s="340"/>
      <c r="AZH474" s="340"/>
      <c r="AZI474" s="340"/>
      <c r="AZJ474" s="340"/>
      <c r="AZK474" s="340"/>
      <c r="AZL474" s="340"/>
      <c r="AZM474" s="340"/>
      <c r="AZN474" s="340"/>
      <c r="AZO474" s="340"/>
      <c r="AZP474" s="340"/>
      <c r="AZQ474" s="340"/>
      <c r="AZR474" s="340"/>
      <c r="AZS474" s="340"/>
      <c r="AZT474" s="340"/>
      <c r="AZU474" s="340"/>
      <c r="AZV474" s="340"/>
      <c r="AZW474" s="340"/>
      <c r="AZX474" s="340"/>
      <c r="AZY474" s="340"/>
      <c r="AZZ474" s="340"/>
      <c r="BAA474" s="340"/>
      <c r="BAB474" s="340"/>
      <c r="BAC474" s="340"/>
      <c r="BAD474" s="340"/>
      <c r="BAE474" s="340"/>
      <c r="BAF474" s="340"/>
      <c r="BAG474" s="340"/>
      <c r="BAH474" s="340"/>
      <c r="BAI474" s="340"/>
      <c r="BAJ474" s="340"/>
      <c r="BAK474" s="340"/>
      <c r="BAL474" s="340"/>
      <c r="BAM474" s="340"/>
      <c r="BAN474" s="340"/>
      <c r="BAO474" s="340"/>
      <c r="BAP474" s="340"/>
      <c r="BAQ474" s="340"/>
      <c r="BAR474" s="340"/>
      <c r="BAS474" s="340"/>
      <c r="BAT474" s="340"/>
      <c r="BAU474" s="340"/>
      <c r="BAV474" s="340"/>
      <c r="BAW474" s="340"/>
      <c r="BAX474" s="340"/>
      <c r="BAY474" s="340"/>
      <c r="BAZ474" s="340"/>
      <c r="BBA474" s="340"/>
      <c r="BBB474" s="340"/>
      <c r="BBC474" s="340"/>
      <c r="BBD474" s="340"/>
      <c r="BBE474" s="340"/>
      <c r="BBF474" s="340"/>
      <c r="BBG474" s="340"/>
      <c r="BBH474" s="340"/>
      <c r="BBI474" s="340"/>
      <c r="BBJ474" s="340"/>
      <c r="BBK474" s="340"/>
      <c r="BBL474" s="340"/>
      <c r="BBM474" s="340"/>
      <c r="BBN474" s="340"/>
      <c r="BBO474" s="340"/>
      <c r="BBP474" s="340"/>
      <c r="BBQ474" s="340"/>
      <c r="BBR474" s="340"/>
      <c r="BBS474" s="340"/>
      <c r="BBT474" s="340"/>
      <c r="BBU474" s="340"/>
      <c r="BBV474" s="340"/>
      <c r="BBW474" s="340"/>
      <c r="BBX474" s="340"/>
      <c r="BBY474" s="340"/>
      <c r="BBZ474" s="340"/>
      <c r="BCA474" s="340"/>
      <c r="BCB474" s="340"/>
      <c r="BCC474" s="340"/>
      <c r="BCD474" s="340"/>
      <c r="BCE474" s="340"/>
      <c r="BCF474" s="340"/>
      <c r="BCG474" s="340"/>
      <c r="BCH474" s="340"/>
      <c r="BCI474" s="340"/>
      <c r="BCJ474" s="340"/>
      <c r="BCK474" s="340"/>
      <c r="BCL474" s="340"/>
      <c r="BCM474" s="340"/>
      <c r="BCN474" s="340"/>
      <c r="BCO474" s="340"/>
      <c r="BCP474" s="340"/>
      <c r="BCQ474" s="340"/>
      <c r="BCR474" s="340"/>
      <c r="BCS474" s="340"/>
      <c r="BCT474" s="340"/>
      <c r="BCU474" s="340"/>
      <c r="BCV474" s="340"/>
      <c r="BCW474" s="340"/>
      <c r="BCX474" s="340"/>
      <c r="BCY474" s="340"/>
      <c r="BCZ474" s="340"/>
      <c r="BDA474" s="340"/>
      <c r="BDB474" s="340"/>
      <c r="BDC474" s="340"/>
      <c r="BDD474" s="340"/>
      <c r="BDE474" s="340"/>
      <c r="BDF474" s="340"/>
      <c r="BDG474" s="340"/>
      <c r="BDH474" s="340"/>
      <c r="BDI474" s="340"/>
      <c r="BDJ474" s="340"/>
      <c r="BDK474" s="340"/>
      <c r="BDL474" s="340"/>
      <c r="BDM474" s="340"/>
      <c r="BDN474" s="340"/>
      <c r="BDO474" s="340"/>
      <c r="BDP474" s="340"/>
      <c r="BDQ474" s="340"/>
      <c r="BDR474" s="340"/>
      <c r="BDS474" s="340"/>
      <c r="BDT474" s="340"/>
      <c r="BDU474" s="340"/>
      <c r="BDV474" s="340"/>
      <c r="BDW474" s="340"/>
      <c r="BDX474" s="340"/>
      <c r="BDY474" s="340"/>
      <c r="BDZ474" s="340"/>
      <c r="BEA474" s="340"/>
      <c r="BEB474" s="340"/>
      <c r="BEC474" s="340"/>
      <c r="BED474" s="340"/>
      <c r="BEE474" s="340"/>
      <c r="BEF474" s="340"/>
      <c r="BEG474" s="340"/>
      <c r="BEH474" s="340"/>
      <c r="BEI474" s="340"/>
      <c r="BEJ474" s="340"/>
      <c r="BEK474" s="340"/>
      <c r="BEL474" s="340"/>
      <c r="BEM474" s="340"/>
      <c r="BEN474" s="340"/>
      <c r="BEO474" s="340"/>
      <c r="BEP474" s="340"/>
      <c r="BEQ474" s="340"/>
      <c r="BER474" s="340"/>
      <c r="BES474" s="340"/>
      <c r="BET474" s="340"/>
      <c r="BEU474" s="340"/>
      <c r="BEV474" s="340"/>
      <c r="BEW474" s="340"/>
      <c r="BEX474" s="340"/>
      <c r="BEY474" s="340"/>
      <c r="BEZ474" s="340"/>
      <c r="BFA474" s="340"/>
      <c r="BFB474" s="340"/>
      <c r="BFC474" s="340"/>
      <c r="BFD474" s="340"/>
      <c r="BFE474" s="340"/>
      <c r="BFF474" s="340"/>
      <c r="BFG474" s="340"/>
      <c r="BFH474" s="340"/>
      <c r="BFI474" s="340"/>
      <c r="BFJ474" s="340"/>
      <c r="BFK474" s="340"/>
      <c r="BFL474" s="340"/>
      <c r="BFM474" s="340"/>
      <c r="BFN474" s="340"/>
      <c r="BFO474" s="340"/>
      <c r="BFP474" s="340"/>
      <c r="BFQ474" s="340"/>
      <c r="BFR474" s="340"/>
      <c r="BFS474" s="340"/>
      <c r="BFT474" s="340"/>
      <c r="BFU474" s="340"/>
      <c r="BFV474" s="340"/>
      <c r="BFW474" s="340"/>
      <c r="BFX474" s="340"/>
      <c r="BFY474" s="340"/>
      <c r="BFZ474" s="340"/>
      <c r="BGA474" s="340"/>
      <c r="BGB474" s="340"/>
      <c r="BGC474" s="340"/>
      <c r="BGD474" s="340"/>
      <c r="BGE474" s="340"/>
      <c r="BGF474" s="340"/>
      <c r="BGG474" s="340"/>
      <c r="BGH474" s="340"/>
      <c r="BGI474" s="340"/>
      <c r="BGJ474" s="340"/>
      <c r="BGK474" s="340"/>
      <c r="BGL474" s="340"/>
      <c r="BGM474" s="340"/>
      <c r="BGN474" s="340"/>
      <c r="BGO474" s="340"/>
      <c r="BGP474" s="340"/>
      <c r="BGQ474" s="340"/>
      <c r="BGR474" s="340"/>
      <c r="BGS474" s="340"/>
      <c r="BGT474" s="340"/>
      <c r="BGU474" s="340"/>
      <c r="BGV474" s="340"/>
      <c r="BGW474" s="340"/>
      <c r="BGX474" s="340"/>
      <c r="BGY474" s="340"/>
      <c r="BGZ474" s="340"/>
      <c r="BHA474" s="340"/>
      <c r="BHB474" s="340"/>
      <c r="BHC474" s="340"/>
      <c r="BHD474" s="340"/>
      <c r="BHE474" s="340"/>
      <c r="BHF474" s="340"/>
      <c r="BHG474" s="340"/>
      <c r="BHH474" s="340"/>
      <c r="BHI474" s="340"/>
      <c r="BHJ474" s="340"/>
      <c r="BHK474" s="340"/>
      <c r="BHL474" s="340"/>
      <c r="BHM474" s="340"/>
      <c r="BHN474" s="340"/>
      <c r="BHO474" s="340"/>
      <c r="BHP474" s="340"/>
      <c r="BHQ474" s="340"/>
      <c r="BHR474" s="340"/>
      <c r="BHS474" s="340"/>
      <c r="BHT474" s="340"/>
      <c r="BHU474" s="340"/>
      <c r="BHV474" s="340"/>
      <c r="BHW474" s="340"/>
      <c r="BHX474" s="340"/>
      <c r="BHY474" s="340"/>
      <c r="BHZ474" s="340"/>
      <c r="BIA474" s="340"/>
      <c r="BIB474" s="340"/>
      <c r="BIC474" s="340"/>
      <c r="BID474" s="340"/>
      <c r="BIE474" s="340"/>
      <c r="BIF474" s="340"/>
      <c r="BIG474" s="340"/>
      <c r="BIH474" s="340"/>
      <c r="BII474" s="340"/>
      <c r="BIJ474" s="340"/>
      <c r="BIK474" s="340"/>
      <c r="BIL474" s="340"/>
      <c r="BIM474" s="340"/>
      <c r="BIN474" s="340"/>
      <c r="BIO474" s="340"/>
      <c r="BIP474" s="340"/>
      <c r="BIQ474" s="340"/>
      <c r="BIR474" s="340"/>
      <c r="BIS474" s="340"/>
      <c r="BIT474" s="340"/>
      <c r="BIU474" s="340"/>
      <c r="BIV474" s="340"/>
      <c r="BIW474" s="340"/>
      <c r="BIX474" s="340"/>
      <c r="BIY474" s="340"/>
      <c r="BIZ474" s="340"/>
      <c r="BJA474" s="340"/>
      <c r="BJB474" s="340"/>
      <c r="BJC474" s="340"/>
      <c r="BJD474" s="340"/>
      <c r="BJE474" s="340"/>
      <c r="BJF474" s="340"/>
      <c r="BJG474" s="340"/>
      <c r="BJH474" s="340"/>
      <c r="BJI474" s="340"/>
      <c r="BJJ474" s="340"/>
      <c r="BJK474" s="340"/>
      <c r="BJL474" s="340"/>
      <c r="BJM474" s="340"/>
      <c r="BJN474" s="340"/>
      <c r="BJO474" s="340"/>
      <c r="BJP474" s="340"/>
      <c r="BJQ474" s="340"/>
      <c r="BJR474" s="340"/>
      <c r="BJS474" s="340"/>
      <c r="BJT474" s="340"/>
      <c r="BJU474" s="340"/>
      <c r="BJV474" s="340"/>
      <c r="BJW474" s="340"/>
      <c r="BJX474" s="340"/>
      <c r="BJY474" s="340"/>
      <c r="BJZ474" s="340"/>
      <c r="BKA474" s="340"/>
      <c r="BKB474" s="340"/>
      <c r="BKC474" s="340"/>
      <c r="BKD474" s="340"/>
      <c r="BKE474" s="340"/>
      <c r="BKF474" s="340"/>
      <c r="BKG474" s="340"/>
      <c r="BKH474" s="340"/>
      <c r="BKI474" s="340"/>
      <c r="BKJ474" s="340"/>
      <c r="BKK474" s="340"/>
      <c r="BKL474" s="340"/>
      <c r="BKM474" s="340"/>
      <c r="BKN474" s="340"/>
      <c r="BKO474" s="340"/>
      <c r="BKP474" s="340"/>
      <c r="BKQ474" s="340"/>
      <c r="BKR474" s="340"/>
      <c r="BKS474" s="340"/>
      <c r="BKT474" s="340"/>
      <c r="BKU474" s="340"/>
      <c r="BKV474" s="340"/>
      <c r="BKW474" s="340"/>
      <c r="BKX474" s="340"/>
      <c r="BKY474" s="340"/>
      <c r="BKZ474" s="340"/>
      <c r="BLA474" s="340"/>
      <c r="BLB474" s="340"/>
      <c r="BLC474" s="340"/>
      <c r="BLD474" s="340"/>
      <c r="BLE474" s="340"/>
      <c r="BLF474" s="340"/>
      <c r="BLG474" s="340"/>
      <c r="BLH474" s="340"/>
      <c r="BLI474" s="340"/>
      <c r="BLJ474" s="340"/>
      <c r="BLK474" s="340"/>
      <c r="BLL474" s="340"/>
      <c r="BLM474" s="340"/>
      <c r="BLN474" s="340"/>
      <c r="BLO474" s="340"/>
      <c r="BLP474" s="340"/>
      <c r="BLQ474" s="340"/>
      <c r="BLR474" s="340"/>
      <c r="BLS474" s="340"/>
      <c r="BLT474" s="340"/>
      <c r="BLU474" s="340"/>
      <c r="BLV474" s="340"/>
      <c r="BLW474" s="340"/>
      <c r="BLX474" s="340"/>
      <c r="BLY474" s="340"/>
      <c r="BLZ474" s="340"/>
      <c r="BMA474" s="340"/>
      <c r="BMB474" s="340"/>
      <c r="BMC474" s="340"/>
      <c r="BMD474" s="340"/>
      <c r="BME474" s="340"/>
      <c r="BMF474" s="340"/>
      <c r="BMG474" s="340"/>
      <c r="BMH474" s="340"/>
      <c r="BMI474" s="340"/>
      <c r="BMJ474" s="340"/>
      <c r="BMK474" s="340"/>
      <c r="BML474" s="340"/>
      <c r="BMM474" s="340"/>
      <c r="BMN474" s="340"/>
      <c r="BMO474" s="340"/>
      <c r="BMP474" s="340"/>
      <c r="BMQ474" s="340"/>
      <c r="BMR474" s="340"/>
      <c r="BMS474" s="340"/>
      <c r="BMT474" s="340"/>
      <c r="BMU474" s="340"/>
      <c r="BMV474" s="340"/>
      <c r="BMW474" s="340"/>
      <c r="BMX474" s="340"/>
      <c r="BMY474" s="340"/>
      <c r="BMZ474" s="340"/>
      <c r="BNA474" s="340"/>
      <c r="BNB474" s="340"/>
      <c r="BNC474" s="340"/>
      <c r="BND474" s="340"/>
      <c r="BNE474" s="340"/>
      <c r="BNF474" s="340"/>
      <c r="BNG474" s="340"/>
      <c r="BNH474" s="340"/>
      <c r="BNI474" s="340"/>
      <c r="BNJ474" s="340"/>
      <c r="BNK474" s="340"/>
      <c r="BNL474" s="340"/>
      <c r="BNM474" s="340"/>
      <c r="BNN474" s="340"/>
      <c r="BNO474" s="340"/>
      <c r="BNP474" s="340"/>
      <c r="BNQ474" s="340"/>
      <c r="BNR474" s="340"/>
      <c r="BNS474" s="340"/>
      <c r="BNT474" s="340"/>
      <c r="BNU474" s="340"/>
      <c r="BNV474" s="340"/>
      <c r="BNW474" s="340"/>
      <c r="BNX474" s="340"/>
      <c r="BNY474" s="340"/>
      <c r="BNZ474" s="340"/>
      <c r="BOA474" s="340"/>
      <c r="BOB474" s="340"/>
      <c r="BOC474" s="340"/>
      <c r="BOD474" s="340"/>
      <c r="BOE474" s="340"/>
      <c r="BOF474" s="340"/>
      <c r="BOG474" s="340"/>
      <c r="BOH474" s="340"/>
      <c r="BOI474" s="340"/>
      <c r="BOJ474" s="340"/>
      <c r="BOK474" s="340"/>
      <c r="BOL474" s="340"/>
      <c r="BOM474" s="340"/>
      <c r="BON474" s="340"/>
      <c r="BOO474" s="340"/>
      <c r="BOP474" s="340"/>
      <c r="BOQ474" s="340"/>
      <c r="BOR474" s="340"/>
      <c r="BOS474" s="340"/>
      <c r="BOT474" s="340"/>
      <c r="BOU474" s="340"/>
      <c r="BOV474" s="340"/>
      <c r="BOW474" s="340"/>
      <c r="BOX474" s="340"/>
      <c r="BOY474" s="340"/>
      <c r="BOZ474" s="340"/>
      <c r="BPA474" s="340"/>
      <c r="BPB474" s="340"/>
      <c r="BPC474" s="340"/>
      <c r="BPD474" s="340"/>
      <c r="BPE474" s="340"/>
      <c r="BPF474" s="340"/>
      <c r="BPG474" s="340"/>
      <c r="BPH474" s="340"/>
      <c r="BPI474" s="340"/>
      <c r="BPJ474" s="340"/>
      <c r="BPK474" s="340"/>
      <c r="BPL474" s="340"/>
      <c r="BPM474" s="340"/>
      <c r="BPN474" s="340"/>
      <c r="BPO474" s="340"/>
      <c r="BPP474" s="340"/>
      <c r="BPQ474" s="340"/>
      <c r="BPR474" s="340"/>
      <c r="BPS474" s="340"/>
      <c r="BPT474" s="340"/>
      <c r="BPU474" s="340"/>
      <c r="BPV474" s="340"/>
      <c r="BPW474" s="340"/>
      <c r="BPX474" s="340"/>
      <c r="BPY474" s="340"/>
      <c r="BPZ474" s="340"/>
      <c r="BQA474" s="340"/>
      <c r="BQB474" s="340"/>
      <c r="BQC474" s="340"/>
      <c r="BQD474" s="340"/>
      <c r="BQE474" s="340"/>
      <c r="BQF474" s="340"/>
      <c r="BQG474" s="340"/>
      <c r="BQH474" s="340"/>
      <c r="BQI474" s="340"/>
      <c r="BQJ474" s="340"/>
      <c r="BQK474" s="340"/>
      <c r="BQL474" s="340"/>
      <c r="BQM474" s="340"/>
      <c r="BQN474" s="340"/>
      <c r="BQO474" s="340"/>
      <c r="BQP474" s="340"/>
      <c r="BQQ474" s="340"/>
      <c r="BQR474" s="340"/>
      <c r="BQS474" s="340"/>
      <c r="BQT474" s="340"/>
      <c r="BQU474" s="340"/>
      <c r="BQV474" s="340"/>
      <c r="BQW474" s="340"/>
      <c r="BQX474" s="340"/>
      <c r="BQY474" s="340"/>
      <c r="BQZ474" s="340"/>
      <c r="BRA474" s="340"/>
      <c r="BRB474" s="340"/>
      <c r="BRC474" s="340"/>
      <c r="BRD474" s="340"/>
      <c r="BRE474" s="340"/>
      <c r="BRF474" s="340"/>
      <c r="BRG474" s="340"/>
      <c r="BRH474" s="340"/>
      <c r="BRI474" s="340"/>
      <c r="BRJ474" s="340"/>
      <c r="BRK474" s="340"/>
      <c r="BRL474" s="340"/>
      <c r="BRM474" s="340"/>
      <c r="BRN474" s="340"/>
      <c r="BRO474" s="340"/>
      <c r="BRP474" s="340"/>
      <c r="BRQ474" s="340"/>
      <c r="BRR474" s="340"/>
      <c r="BRS474" s="340"/>
      <c r="BRT474" s="340"/>
      <c r="BRU474" s="340"/>
      <c r="BRV474" s="340"/>
      <c r="BRW474" s="340"/>
      <c r="BRX474" s="340"/>
      <c r="BRY474" s="340"/>
      <c r="BRZ474" s="340"/>
      <c r="BSA474" s="340"/>
      <c r="BSB474" s="340"/>
      <c r="BSC474" s="340"/>
      <c r="BSD474" s="340"/>
      <c r="BSE474" s="340"/>
      <c r="BSF474" s="340"/>
      <c r="BSG474" s="340"/>
      <c r="BSH474" s="340"/>
      <c r="BSI474" s="340"/>
      <c r="BSJ474" s="340"/>
      <c r="BSK474" s="340"/>
      <c r="BSL474" s="340"/>
      <c r="BSM474" s="340"/>
      <c r="BSN474" s="340"/>
      <c r="BSO474" s="340"/>
      <c r="BSP474" s="340"/>
      <c r="BSQ474" s="340"/>
      <c r="BSR474" s="340"/>
      <c r="BSS474" s="340"/>
      <c r="BST474" s="340"/>
      <c r="BSU474" s="340"/>
      <c r="BSV474" s="340"/>
      <c r="BSW474" s="340"/>
      <c r="BSX474" s="340"/>
      <c r="BSY474" s="340"/>
      <c r="BSZ474" s="340"/>
      <c r="BTA474" s="340"/>
      <c r="BTB474" s="340"/>
      <c r="BTC474" s="340"/>
      <c r="BTD474" s="340"/>
      <c r="BTE474" s="340"/>
      <c r="BTF474" s="340"/>
      <c r="BTG474" s="340"/>
      <c r="BTH474" s="340"/>
      <c r="BTI474" s="340"/>
      <c r="BTJ474" s="340"/>
      <c r="BTK474" s="340"/>
      <c r="BTL474" s="340"/>
      <c r="BTM474" s="340"/>
      <c r="BTN474" s="340"/>
      <c r="BTO474" s="340"/>
      <c r="BTP474" s="340"/>
      <c r="BTQ474" s="340"/>
      <c r="BTR474" s="340"/>
      <c r="BTS474" s="340"/>
      <c r="BTT474" s="340"/>
      <c r="BTU474" s="340"/>
      <c r="BTV474" s="340"/>
      <c r="BTW474" s="340"/>
      <c r="BTX474" s="340"/>
      <c r="BTY474" s="340"/>
      <c r="BTZ474" s="340"/>
      <c r="BUA474" s="340"/>
      <c r="BUB474" s="340"/>
      <c r="BUC474" s="340"/>
      <c r="BUD474" s="340"/>
      <c r="BUE474" s="340"/>
      <c r="BUF474" s="340"/>
      <c r="BUG474" s="340"/>
      <c r="BUH474" s="340"/>
      <c r="BUI474" s="340"/>
      <c r="BUJ474" s="340"/>
      <c r="BUK474" s="340"/>
      <c r="BUL474" s="340"/>
      <c r="BUM474" s="340"/>
      <c r="BUN474" s="340"/>
      <c r="BUO474" s="340"/>
      <c r="BUP474" s="340"/>
      <c r="BUQ474" s="340"/>
      <c r="BUR474" s="340"/>
      <c r="BUS474" s="340"/>
      <c r="BUT474" s="340"/>
      <c r="BUU474" s="340"/>
      <c r="BUV474" s="340"/>
      <c r="BUW474" s="340"/>
      <c r="BUX474" s="340"/>
      <c r="BUY474" s="340"/>
      <c r="BUZ474" s="340"/>
      <c r="BVA474" s="340"/>
      <c r="BVB474" s="340"/>
      <c r="BVC474" s="340"/>
      <c r="BVD474" s="340"/>
      <c r="BVE474" s="340"/>
      <c r="BVF474" s="340"/>
      <c r="BVG474" s="340"/>
      <c r="BVH474" s="340"/>
      <c r="BVI474" s="340"/>
      <c r="BVJ474" s="340"/>
      <c r="BVK474" s="340"/>
      <c r="BVL474" s="340"/>
      <c r="BVM474" s="340"/>
      <c r="BVN474" s="340"/>
      <c r="BVO474" s="340"/>
      <c r="BVP474" s="340"/>
      <c r="BVQ474" s="340"/>
      <c r="BVR474" s="340"/>
      <c r="BVS474" s="340"/>
      <c r="BVT474" s="340"/>
      <c r="BVU474" s="340"/>
      <c r="BVV474" s="340"/>
      <c r="BVW474" s="340"/>
      <c r="BVX474" s="340"/>
      <c r="BVY474" s="340"/>
      <c r="BVZ474" s="340"/>
      <c r="BWA474" s="340"/>
      <c r="BWB474" s="340"/>
      <c r="BWC474" s="340"/>
      <c r="BWD474" s="340"/>
      <c r="BWE474" s="340"/>
      <c r="BWF474" s="340"/>
      <c r="BWG474" s="340"/>
      <c r="BWH474" s="340"/>
      <c r="BWI474" s="340"/>
      <c r="BWJ474" s="340"/>
      <c r="BWK474" s="340"/>
      <c r="BWL474" s="340"/>
      <c r="BWM474" s="340"/>
      <c r="BWN474" s="340"/>
      <c r="BWO474" s="340"/>
      <c r="BWP474" s="340"/>
      <c r="BWQ474" s="340"/>
      <c r="BWR474" s="340"/>
      <c r="BWS474" s="340"/>
      <c r="BWT474" s="340"/>
      <c r="BWU474" s="340"/>
      <c r="BWV474" s="340"/>
      <c r="BWW474" s="340"/>
      <c r="BWX474" s="340"/>
      <c r="BWY474" s="340"/>
      <c r="BWZ474" s="340"/>
      <c r="BXA474" s="340"/>
      <c r="BXB474" s="340"/>
      <c r="BXC474" s="340"/>
      <c r="BXD474" s="340"/>
      <c r="BXE474" s="340"/>
      <c r="BXF474" s="340"/>
      <c r="BXG474" s="340"/>
      <c r="BXH474" s="340"/>
      <c r="BXI474" s="340"/>
      <c r="BXJ474" s="340"/>
      <c r="BXK474" s="340"/>
      <c r="BXL474" s="340"/>
      <c r="BXM474" s="340"/>
      <c r="BXN474" s="340"/>
      <c r="BXO474" s="340"/>
      <c r="BXP474" s="340"/>
      <c r="BXQ474" s="340"/>
      <c r="BXR474" s="340"/>
      <c r="BXS474" s="340"/>
      <c r="BXT474" s="340"/>
      <c r="BXU474" s="340"/>
      <c r="BXV474" s="340"/>
      <c r="BXW474" s="340"/>
      <c r="BXX474" s="340"/>
      <c r="BXY474" s="340"/>
      <c r="BXZ474" s="340"/>
      <c r="BYA474" s="340"/>
      <c r="BYB474" s="340"/>
      <c r="BYC474" s="340"/>
      <c r="BYD474" s="340"/>
      <c r="BYE474" s="340"/>
      <c r="BYF474" s="340"/>
      <c r="BYG474" s="340"/>
      <c r="BYH474" s="340"/>
      <c r="BYI474" s="340"/>
      <c r="BYJ474" s="340"/>
      <c r="BYK474" s="340"/>
      <c r="BYL474" s="340"/>
      <c r="BYM474" s="340"/>
      <c r="BYN474" s="340"/>
      <c r="BYO474" s="340"/>
      <c r="BYP474" s="340"/>
      <c r="BYQ474" s="340"/>
      <c r="BYR474" s="340"/>
      <c r="BYS474" s="340"/>
      <c r="BYT474" s="340"/>
      <c r="BYU474" s="340"/>
      <c r="BYV474" s="340"/>
      <c r="BYW474" s="340"/>
      <c r="BYX474" s="340"/>
      <c r="BYY474" s="340"/>
      <c r="BYZ474" s="340"/>
      <c r="BZA474" s="340"/>
      <c r="BZB474" s="340"/>
      <c r="BZC474" s="340"/>
      <c r="BZD474" s="340"/>
      <c r="BZE474" s="340"/>
      <c r="BZF474" s="340"/>
      <c r="BZG474" s="340"/>
      <c r="BZH474" s="340"/>
      <c r="BZI474" s="340"/>
      <c r="BZJ474" s="340"/>
      <c r="BZK474" s="340"/>
      <c r="BZL474" s="340"/>
      <c r="BZM474" s="340"/>
      <c r="BZN474" s="340"/>
      <c r="BZO474" s="340"/>
      <c r="BZP474" s="340"/>
      <c r="BZQ474" s="340"/>
      <c r="BZR474" s="340"/>
      <c r="BZS474" s="340"/>
      <c r="BZT474" s="340"/>
      <c r="BZU474" s="340"/>
      <c r="BZV474" s="340"/>
      <c r="BZW474" s="340"/>
      <c r="BZX474" s="340"/>
      <c r="BZY474" s="340"/>
      <c r="BZZ474" s="340"/>
      <c r="CAA474" s="340"/>
      <c r="CAB474" s="340"/>
      <c r="CAC474" s="340"/>
      <c r="CAD474" s="340"/>
      <c r="CAE474" s="340"/>
      <c r="CAF474" s="340"/>
      <c r="CAG474" s="340"/>
      <c r="CAH474" s="340"/>
      <c r="CAI474" s="340"/>
      <c r="CAJ474" s="340"/>
      <c r="CAK474" s="340"/>
      <c r="CAL474" s="340"/>
      <c r="CAM474" s="340"/>
      <c r="CAN474" s="340"/>
      <c r="CAO474" s="340"/>
      <c r="CAP474" s="340"/>
      <c r="CAQ474" s="340"/>
      <c r="CAR474" s="340"/>
      <c r="CAS474" s="340"/>
      <c r="CAT474" s="340"/>
      <c r="CAU474" s="340"/>
      <c r="CAV474" s="340"/>
      <c r="CAW474" s="340"/>
      <c r="CAX474" s="340"/>
      <c r="CAY474" s="340"/>
      <c r="CAZ474" s="340"/>
      <c r="CBA474" s="340"/>
      <c r="CBB474" s="340"/>
      <c r="CBC474" s="340"/>
      <c r="CBD474" s="340"/>
      <c r="CBE474" s="340"/>
      <c r="CBF474" s="340"/>
      <c r="CBG474" s="340"/>
      <c r="CBH474" s="340"/>
      <c r="CBI474" s="340"/>
      <c r="CBJ474" s="340"/>
      <c r="CBK474" s="340"/>
      <c r="CBL474" s="340"/>
      <c r="CBM474" s="340"/>
      <c r="CBN474" s="340"/>
      <c r="CBO474" s="340"/>
      <c r="CBP474" s="340"/>
      <c r="CBQ474" s="340"/>
      <c r="CBR474" s="340"/>
      <c r="CBS474" s="340"/>
      <c r="CBT474" s="340"/>
      <c r="CBU474" s="340"/>
      <c r="CBV474" s="340"/>
      <c r="CBW474" s="340"/>
      <c r="CBX474" s="340"/>
      <c r="CBY474" s="340"/>
      <c r="CBZ474" s="340"/>
      <c r="CCA474" s="340"/>
      <c r="CCB474" s="340"/>
      <c r="CCC474" s="340"/>
      <c r="CCD474" s="340"/>
      <c r="CCE474" s="340"/>
      <c r="CCF474" s="340"/>
      <c r="CCG474" s="340"/>
      <c r="CCH474" s="340"/>
      <c r="CCI474" s="340"/>
      <c r="CCJ474" s="340"/>
      <c r="CCK474" s="340"/>
      <c r="CCL474" s="340"/>
      <c r="CCM474" s="340"/>
      <c r="CCN474" s="340"/>
      <c r="CCO474" s="340"/>
      <c r="CCP474" s="340"/>
      <c r="CCQ474" s="340"/>
      <c r="CCR474" s="340"/>
      <c r="CCS474" s="340"/>
      <c r="CCT474" s="340"/>
      <c r="CCU474" s="340"/>
      <c r="CCV474" s="340"/>
      <c r="CCW474" s="340"/>
      <c r="CCX474" s="340"/>
      <c r="CCY474" s="340"/>
      <c r="CCZ474" s="340"/>
      <c r="CDA474" s="340"/>
      <c r="CDB474" s="340"/>
      <c r="CDC474" s="340"/>
      <c r="CDD474" s="340"/>
      <c r="CDE474" s="340"/>
      <c r="CDF474" s="340"/>
      <c r="CDG474" s="340"/>
      <c r="CDH474" s="340"/>
      <c r="CDI474" s="340"/>
      <c r="CDJ474" s="340"/>
      <c r="CDK474" s="340"/>
      <c r="CDL474" s="340"/>
      <c r="CDM474" s="340"/>
      <c r="CDN474" s="340"/>
      <c r="CDO474" s="340"/>
      <c r="CDP474" s="340"/>
      <c r="CDQ474" s="340"/>
      <c r="CDR474" s="340"/>
      <c r="CDS474" s="340"/>
      <c r="CDT474" s="340"/>
      <c r="CDU474" s="340"/>
      <c r="CDV474" s="340"/>
      <c r="CDW474" s="340"/>
      <c r="CDX474" s="340"/>
      <c r="CDY474" s="340"/>
      <c r="CDZ474" s="340"/>
      <c r="CEA474" s="340"/>
      <c r="CEB474" s="340"/>
      <c r="CEC474" s="340"/>
      <c r="CED474" s="340"/>
      <c r="CEE474" s="340"/>
      <c r="CEF474" s="340"/>
      <c r="CEG474" s="340"/>
      <c r="CEH474" s="340"/>
      <c r="CEI474" s="340"/>
      <c r="CEJ474" s="340"/>
      <c r="CEK474" s="340"/>
      <c r="CEL474" s="340"/>
      <c r="CEM474" s="340"/>
      <c r="CEN474" s="340"/>
      <c r="CEO474" s="340"/>
      <c r="CEP474" s="340"/>
      <c r="CEQ474" s="340"/>
      <c r="CER474" s="340"/>
      <c r="CES474" s="340"/>
      <c r="CET474" s="340"/>
      <c r="CEU474" s="340"/>
      <c r="CEV474" s="340"/>
      <c r="CEW474" s="340"/>
      <c r="CEX474" s="340"/>
      <c r="CEY474" s="340"/>
      <c r="CEZ474" s="340"/>
      <c r="CFA474" s="340"/>
      <c r="CFB474" s="340"/>
      <c r="CFC474" s="340"/>
      <c r="CFD474" s="340"/>
      <c r="CFE474" s="340"/>
      <c r="CFF474" s="340"/>
      <c r="CFG474" s="340"/>
      <c r="CFH474" s="340"/>
      <c r="CFI474" s="340"/>
      <c r="CFJ474" s="340"/>
      <c r="CFK474" s="340"/>
      <c r="CFL474" s="340"/>
      <c r="CFM474" s="340"/>
      <c r="CFN474" s="340"/>
      <c r="CFO474" s="340"/>
      <c r="CFP474" s="340"/>
      <c r="CFQ474" s="340"/>
      <c r="CFR474" s="340"/>
      <c r="CFS474" s="340"/>
      <c r="CFT474" s="340"/>
      <c r="CFU474" s="340"/>
      <c r="CFV474" s="340"/>
      <c r="CFW474" s="340"/>
      <c r="CFX474" s="340"/>
      <c r="CFY474" s="340"/>
      <c r="CFZ474" s="340"/>
      <c r="CGA474" s="340"/>
      <c r="CGB474" s="340"/>
      <c r="CGC474" s="340"/>
      <c r="CGD474" s="340"/>
      <c r="CGE474" s="340"/>
      <c r="CGF474" s="340"/>
      <c r="CGG474" s="340"/>
      <c r="CGH474" s="340"/>
      <c r="CGI474" s="340"/>
      <c r="CGJ474" s="340"/>
      <c r="CGK474" s="340"/>
      <c r="CGL474" s="340"/>
      <c r="CGM474" s="340"/>
      <c r="CGN474" s="340"/>
      <c r="CGO474" s="340"/>
      <c r="CGP474" s="340"/>
      <c r="CGQ474" s="340"/>
      <c r="CGR474" s="340"/>
      <c r="CGS474" s="340"/>
      <c r="CGT474" s="340"/>
      <c r="CGU474" s="340"/>
      <c r="CGV474" s="340"/>
      <c r="CGW474" s="340"/>
      <c r="CGX474" s="340"/>
      <c r="CGY474" s="340"/>
      <c r="CGZ474" s="340"/>
      <c r="CHA474" s="340"/>
      <c r="CHB474" s="340"/>
      <c r="CHC474" s="340"/>
      <c r="CHD474" s="340"/>
      <c r="CHE474" s="340"/>
      <c r="CHF474" s="340"/>
      <c r="CHG474" s="340"/>
      <c r="CHH474" s="340"/>
      <c r="CHI474" s="340"/>
      <c r="CHJ474" s="340"/>
      <c r="CHK474" s="340"/>
      <c r="CHL474" s="340"/>
      <c r="CHM474" s="340"/>
      <c r="CHN474" s="340"/>
      <c r="CHO474" s="340"/>
      <c r="CHP474" s="340"/>
      <c r="CHQ474" s="340"/>
      <c r="CHR474" s="340"/>
      <c r="CHS474" s="340"/>
      <c r="CHT474" s="340"/>
      <c r="CHU474" s="340"/>
      <c r="CHV474" s="340"/>
      <c r="CHW474" s="340"/>
      <c r="CHX474" s="340"/>
      <c r="CHY474" s="340"/>
      <c r="CHZ474" s="340"/>
      <c r="CIA474" s="340"/>
      <c r="CIB474" s="340"/>
      <c r="CIC474" s="340"/>
      <c r="CID474" s="340"/>
      <c r="CIE474" s="340"/>
      <c r="CIF474" s="340"/>
      <c r="CIG474" s="340"/>
      <c r="CIH474" s="340"/>
      <c r="CII474" s="340"/>
      <c r="CIJ474" s="340"/>
      <c r="CIK474" s="340"/>
      <c r="CIL474" s="340"/>
      <c r="CIM474" s="340"/>
      <c r="CIN474" s="340"/>
      <c r="CIO474" s="340"/>
      <c r="CIP474" s="340"/>
      <c r="CIQ474" s="340"/>
      <c r="CIR474" s="340"/>
      <c r="CIS474" s="340"/>
      <c r="CIT474" s="340"/>
      <c r="CIU474" s="340"/>
      <c r="CIV474" s="340"/>
      <c r="CIW474" s="340"/>
      <c r="CIX474" s="340"/>
      <c r="CIY474" s="340"/>
      <c r="CIZ474" s="340"/>
      <c r="CJA474" s="340"/>
      <c r="CJB474" s="340"/>
      <c r="CJC474" s="340"/>
      <c r="CJD474" s="340"/>
      <c r="CJE474" s="340"/>
      <c r="CJF474" s="340"/>
      <c r="CJG474" s="340"/>
      <c r="CJH474" s="340"/>
      <c r="CJI474" s="340"/>
      <c r="CJJ474" s="340"/>
      <c r="CJK474" s="340"/>
      <c r="CJL474" s="340"/>
      <c r="CJM474" s="340"/>
      <c r="CJN474" s="340"/>
      <c r="CJO474" s="340"/>
      <c r="CJP474" s="340"/>
      <c r="CJQ474" s="340"/>
      <c r="CJR474" s="340"/>
      <c r="CJS474" s="340"/>
      <c r="CJT474" s="340"/>
      <c r="CJU474" s="340"/>
      <c r="CJV474" s="340"/>
      <c r="CJW474" s="340"/>
      <c r="CJX474" s="340"/>
      <c r="CJY474" s="340"/>
      <c r="CJZ474" s="340"/>
      <c r="CKA474" s="340"/>
      <c r="CKB474" s="340"/>
      <c r="CKC474" s="340"/>
      <c r="CKD474" s="340"/>
      <c r="CKE474" s="340"/>
      <c r="CKF474" s="340"/>
      <c r="CKG474" s="340"/>
      <c r="CKH474" s="340"/>
      <c r="CKI474" s="340"/>
      <c r="CKJ474" s="340"/>
      <c r="CKK474" s="340"/>
      <c r="CKL474" s="340"/>
      <c r="CKM474" s="340"/>
      <c r="CKN474" s="340"/>
      <c r="CKO474" s="340"/>
      <c r="CKP474" s="340"/>
      <c r="CKQ474" s="340"/>
      <c r="CKR474" s="340"/>
      <c r="CKS474" s="340"/>
      <c r="CKT474" s="340"/>
      <c r="CKU474" s="340"/>
      <c r="CKV474" s="340"/>
      <c r="CKW474" s="340"/>
      <c r="CKX474" s="340"/>
      <c r="CKY474" s="340"/>
      <c r="CKZ474" s="340"/>
      <c r="CLA474" s="340"/>
      <c r="CLB474" s="340"/>
      <c r="CLC474" s="340"/>
      <c r="CLD474" s="340"/>
      <c r="CLE474" s="340"/>
      <c r="CLF474" s="340"/>
      <c r="CLG474" s="340"/>
      <c r="CLH474" s="340"/>
      <c r="CLI474" s="340"/>
      <c r="CLJ474" s="340"/>
      <c r="CLK474" s="340"/>
      <c r="CLL474" s="340"/>
      <c r="CLM474" s="340"/>
      <c r="CLN474" s="340"/>
      <c r="CLO474" s="340"/>
      <c r="CLP474" s="340"/>
      <c r="CLQ474" s="340"/>
      <c r="CLR474" s="340"/>
      <c r="CLS474" s="340"/>
      <c r="CLT474" s="340"/>
      <c r="CLU474" s="340"/>
      <c r="CLV474" s="340"/>
      <c r="CLW474" s="340"/>
      <c r="CLX474" s="340"/>
      <c r="CLY474" s="340"/>
      <c r="CLZ474" s="340"/>
      <c r="CMA474" s="340"/>
      <c r="CMB474" s="340"/>
      <c r="CMC474" s="340"/>
      <c r="CMD474" s="340"/>
      <c r="CME474" s="340"/>
      <c r="CMF474" s="340"/>
      <c r="CMG474" s="340"/>
      <c r="CMH474" s="340"/>
      <c r="CMI474" s="340"/>
      <c r="CMJ474" s="340"/>
      <c r="CMK474" s="340"/>
      <c r="CML474" s="340"/>
      <c r="CMM474" s="340"/>
      <c r="CMN474" s="340"/>
      <c r="CMO474" s="340"/>
      <c r="CMP474" s="340"/>
      <c r="CMQ474" s="340"/>
      <c r="CMR474" s="340"/>
      <c r="CMS474" s="340"/>
      <c r="CMT474" s="340"/>
      <c r="CMU474" s="340"/>
      <c r="CMV474" s="340"/>
      <c r="CMW474" s="340"/>
      <c r="CMX474" s="340"/>
      <c r="CMY474" s="340"/>
      <c r="CMZ474" s="340"/>
      <c r="CNA474" s="340"/>
      <c r="CNB474" s="340"/>
      <c r="CNC474" s="340"/>
      <c r="CND474" s="340"/>
      <c r="CNE474" s="340"/>
      <c r="CNF474" s="340"/>
      <c r="CNG474" s="340"/>
      <c r="CNH474" s="340"/>
      <c r="CNI474" s="340"/>
      <c r="CNJ474" s="340"/>
      <c r="CNK474" s="340"/>
      <c r="CNL474" s="340"/>
      <c r="CNM474" s="340"/>
      <c r="CNN474" s="340"/>
      <c r="CNO474" s="340"/>
      <c r="CNP474" s="340"/>
      <c r="CNQ474" s="340"/>
      <c r="CNR474" s="340"/>
      <c r="CNS474" s="340"/>
      <c r="CNT474" s="340"/>
      <c r="CNU474" s="340"/>
      <c r="CNV474" s="340"/>
      <c r="CNW474" s="340"/>
      <c r="CNX474" s="340"/>
      <c r="CNY474" s="340"/>
      <c r="CNZ474" s="340"/>
      <c r="COA474" s="340"/>
      <c r="COB474" s="340"/>
      <c r="COC474" s="340"/>
      <c r="COD474" s="340"/>
      <c r="COE474" s="340"/>
      <c r="COF474" s="340"/>
      <c r="COG474" s="340"/>
      <c r="COH474" s="340"/>
      <c r="COI474" s="340"/>
      <c r="COJ474" s="340"/>
      <c r="COK474" s="340"/>
      <c r="COL474" s="340"/>
      <c r="COM474" s="340"/>
      <c r="CON474" s="340"/>
      <c r="COO474" s="340"/>
      <c r="COP474" s="340"/>
      <c r="COQ474" s="340"/>
      <c r="COR474" s="340"/>
      <c r="COS474" s="340"/>
      <c r="COT474" s="340"/>
      <c r="COU474" s="340"/>
      <c r="COV474" s="340"/>
      <c r="COW474" s="340"/>
      <c r="COX474" s="340"/>
      <c r="COY474" s="340"/>
      <c r="COZ474" s="340"/>
      <c r="CPA474" s="340"/>
      <c r="CPB474" s="340"/>
      <c r="CPC474" s="340"/>
      <c r="CPD474" s="340"/>
      <c r="CPE474" s="340"/>
      <c r="CPF474" s="340"/>
      <c r="CPG474" s="340"/>
      <c r="CPH474" s="340"/>
      <c r="CPI474" s="340"/>
      <c r="CPJ474" s="340"/>
      <c r="CPK474" s="340"/>
      <c r="CPL474" s="340"/>
      <c r="CPM474" s="340"/>
      <c r="CPN474" s="340"/>
      <c r="CPO474" s="340"/>
      <c r="CPP474" s="340"/>
      <c r="CPQ474" s="340"/>
      <c r="CPR474" s="340"/>
      <c r="CPS474" s="340"/>
      <c r="CPT474" s="340"/>
      <c r="CPU474" s="340"/>
      <c r="CPV474" s="340"/>
      <c r="CPW474" s="340"/>
      <c r="CPX474" s="340"/>
      <c r="CPY474" s="340"/>
      <c r="CPZ474" s="340"/>
      <c r="CQA474" s="340"/>
      <c r="CQB474" s="340"/>
      <c r="CQC474" s="340"/>
      <c r="CQD474" s="340"/>
      <c r="CQE474" s="340"/>
      <c r="CQF474" s="340"/>
      <c r="CQG474" s="340"/>
      <c r="CQH474" s="340"/>
      <c r="CQI474" s="340"/>
      <c r="CQJ474" s="340"/>
      <c r="CQK474" s="340"/>
      <c r="CQL474" s="340"/>
      <c r="CQM474" s="340"/>
      <c r="CQN474" s="340"/>
      <c r="CQO474" s="340"/>
      <c r="CQP474" s="340"/>
      <c r="CQQ474" s="340"/>
      <c r="CQR474" s="340"/>
      <c r="CQS474" s="340"/>
      <c r="CQT474" s="340"/>
      <c r="CQU474" s="340"/>
      <c r="CQV474" s="340"/>
      <c r="CQW474" s="340"/>
      <c r="CQX474" s="340"/>
      <c r="CQY474" s="340"/>
      <c r="CQZ474" s="340"/>
      <c r="CRA474" s="340"/>
      <c r="CRB474" s="340"/>
      <c r="CRC474" s="340"/>
      <c r="CRD474" s="340"/>
      <c r="CRE474" s="340"/>
      <c r="CRF474" s="340"/>
      <c r="CRG474" s="340"/>
      <c r="CRH474" s="340"/>
      <c r="CRI474" s="340"/>
      <c r="CRJ474" s="340"/>
      <c r="CRK474" s="340"/>
      <c r="CRL474" s="340"/>
      <c r="CRM474" s="340"/>
      <c r="CRN474" s="340"/>
      <c r="CRO474" s="340"/>
      <c r="CRP474" s="340"/>
      <c r="CRQ474" s="340"/>
      <c r="CRR474" s="340"/>
      <c r="CRS474" s="340"/>
      <c r="CRT474" s="340"/>
      <c r="CRU474" s="340"/>
      <c r="CRV474" s="340"/>
      <c r="CRW474" s="340"/>
      <c r="CRX474" s="340"/>
      <c r="CRY474" s="340"/>
      <c r="CRZ474" s="340"/>
      <c r="CSA474" s="340"/>
      <c r="CSB474" s="340"/>
      <c r="CSC474" s="340"/>
      <c r="CSD474" s="340"/>
      <c r="CSE474" s="340"/>
      <c r="CSF474" s="340"/>
      <c r="CSG474" s="340"/>
      <c r="CSH474" s="340"/>
      <c r="CSI474" s="340"/>
      <c r="CSJ474" s="340"/>
      <c r="CSK474" s="340"/>
      <c r="CSL474" s="340"/>
      <c r="CSM474" s="340"/>
      <c r="CSN474" s="340"/>
      <c r="CSO474" s="340"/>
      <c r="CSP474" s="340"/>
      <c r="CSQ474" s="340"/>
      <c r="CSR474" s="340"/>
      <c r="CSS474" s="340"/>
      <c r="CST474" s="340"/>
      <c r="CSU474" s="340"/>
      <c r="CSV474" s="340"/>
      <c r="CSW474" s="340"/>
      <c r="CSX474" s="340"/>
      <c r="CSY474" s="340"/>
      <c r="CSZ474" s="340"/>
      <c r="CTA474" s="340"/>
      <c r="CTB474" s="340"/>
      <c r="CTC474" s="340"/>
      <c r="CTD474" s="340"/>
      <c r="CTE474" s="340"/>
      <c r="CTF474" s="340"/>
      <c r="CTG474" s="340"/>
      <c r="CTH474" s="340"/>
      <c r="CTI474" s="340"/>
      <c r="CTJ474" s="340"/>
      <c r="CTK474" s="340"/>
      <c r="CTL474" s="340"/>
      <c r="CTM474" s="340"/>
      <c r="CTN474" s="340"/>
      <c r="CTO474" s="340"/>
      <c r="CTP474" s="340"/>
      <c r="CTQ474" s="340"/>
      <c r="CTR474" s="340"/>
      <c r="CTS474" s="340"/>
      <c r="CTT474" s="340"/>
      <c r="CTU474" s="340"/>
      <c r="CTV474" s="340"/>
      <c r="CTW474" s="340"/>
      <c r="CTX474" s="340"/>
      <c r="CTY474" s="340"/>
      <c r="CTZ474" s="340"/>
      <c r="CUA474" s="340"/>
      <c r="CUB474" s="340"/>
      <c r="CUC474" s="340"/>
      <c r="CUD474" s="340"/>
      <c r="CUE474" s="340"/>
      <c r="CUF474" s="340"/>
      <c r="CUG474" s="340"/>
      <c r="CUH474" s="340"/>
      <c r="CUI474" s="340"/>
      <c r="CUJ474" s="340"/>
      <c r="CUK474" s="340"/>
      <c r="CUL474" s="340"/>
      <c r="CUM474" s="340"/>
      <c r="CUN474" s="340"/>
      <c r="CUO474" s="340"/>
      <c r="CUP474" s="340"/>
      <c r="CUQ474" s="340"/>
      <c r="CUR474" s="340"/>
      <c r="CUS474" s="340"/>
      <c r="CUT474" s="340"/>
      <c r="CUU474" s="340"/>
      <c r="CUV474" s="340"/>
      <c r="CUW474" s="340"/>
      <c r="CUX474" s="340"/>
      <c r="CUY474" s="340"/>
      <c r="CUZ474" s="340"/>
      <c r="CVA474" s="340"/>
      <c r="CVB474" s="340"/>
      <c r="CVC474" s="340"/>
      <c r="CVD474" s="340"/>
      <c r="CVE474" s="340"/>
      <c r="CVF474" s="340"/>
      <c r="CVG474" s="340"/>
      <c r="CVH474" s="340"/>
      <c r="CVI474" s="340"/>
      <c r="CVJ474" s="340"/>
      <c r="CVK474" s="340"/>
      <c r="CVL474" s="340"/>
      <c r="CVM474" s="340"/>
      <c r="CVN474" s="340"/>
      <c r="CVO474" s="340"/>
      <c r="CVP474" s="340"/>
      <c r="CVQ474" s="340"/>
      <c r="CVR474" s="340"/>
      <c r="CVS474" s="340"/>
      <c r="CVT474" s="340"/>
      <c r="CVU474" s="340"/>
      <c r="CVV474" s="340"/>
      <c r="CVW474" s="340"/>
      <c r="CVX474" s="340"/>
      <c r="CVY474" s="340"/>
      <c r="CVZ474" s="340"/>
      <c r="CWA474" s="340"/>
      <c r="CWB474" s="340"/>
      <c r="CWC474" s="340"/>
      <c r="CWD474" s="340"/>
      <c r="CWE474" s="340"/>
      <c r="CWF474" s="340"/>
      <c r="CWG474" s="340"/>
      <c r="CWH474" s="340"/>
      <c r="CWI474" s="340"/>
      <c r="CWJ474" s="340"/>
      <c r="CWK474" s="340"/>
      <c r="CWL474" s="340"/>
      <c r="CWM474" s="340"/>
      <c r="CWN474" s="340"/>
      <c r="CWO474" s="340"/>
      <c r="CWP474" s="340"/>
      <c r="CWQ474" s="340"/>
      <c r="CWR474" s="340"/>
      <c r="CWS474" s="340"/>
      <c r="CWT474" s="340"/>
      <c r="CWU474" s="340"/>
      <c r="CWV474" s="340"/>
      <c r="CWW474" s="340"/>
      <c r="CWX474" s="340"/>
      <c r="CWY474" s="340"/>
      <c r="CWZ474" s="340"/>
      <c r="CXA474" s="340"/>
      <c r="CXB474" s="340"/>
      <c r="CXC474" s="340"/>
      <c r="CXD474" s="340"/>
      <c r="CXE474" s="340"/>
      <c r="CXF474" s="340"/>
      <c r="CXG474" s="340"/>
      <c r="CXH474" s="340"/>
      <c r="CXI474" s="340"/>
      <c r="CXJ474" s="340"/>
      <c r="CXK474" s="340"/>
      <c r="CXL474" s="340"/>
      <c r="CXM474" s="340"/>
      <c r="CXN474" s="340"/>
      <c r="CXO474" s="340"/>
      <c r="CXP474" s="340"/>
      <c r="CXQ474" s="340"/>
      <c r="CXR474" s="340"/>
      <c r="CXS474" s="340"/>
      <c r="CXT474" s="340"/>
      <c r="CXU474" s="340"/>
      <c r="CXV474" s="340"/>
      <c r="CXW474" s="340"/>
      <c r="CXX474" s="340"/>
      <c r="CXY474" s="340"/>
      <c r="CXZ474" s="340"/>
      <c r="CYA474" s="340"/>
      <c r="CYB474" s="340"/>
      <c r="CYC474" s="340"/>
      <c r="CYD474" s="340"/>
      <c r="CYE474" s="340"/>
      <c r="CYF474" s="340"/>
      <c r="CYG474" s="340"/>
      <c r="CYH474" s="340"/>
      <c r="CYI474" s="340"/>
      <c r="CYJ474" s="340"/>
      <c r="CYK474" s="340"/>
      <c r="CYL474" s="340"/>
      <c r="CYM474" s="340"/>
      <c r="CYN474" s="340"/>
      <c r="CYO474" s="340"/>
      <c r="CYP474" s="340"/>
      <c r="CYQ474" s="340"/>
      <c r="CYR474" s="340"/>
      <c r="CYS474" s="340"/>
      <c r="CYT474" s="340"/>
      <c r="CYU474" s="340"/>
      <c r="CYV474" s="340"/>
      <c r="CYW474" s="340"/>
      <c r="CYX474" s="340"/>
      <c r="CYY474" s="340"/>
      <c r="CYZ474" s="340"/>
      <c r="CZA474" s="340"/>
      <c r="CZB474" s="340"/>
      <c r="CZC474" s="340"/>
      <c r="CZD474" s="340"/>
      <c r="CZE474" s="340"/>
      <c r="CZF474" s="340"/>
      <c r="CZG474" s="340"/>
      <c r="CZH474" s="340"/>
      <c r="CZI474" s="340"/>
      <c r="CZJ474" s="340"/>
      <c r="CZK474" s="340"/>
      <c r="CZL474" s="340"/>
      <c r="CZM474" s="340"/>
      <c r="CZN474" s="340"/>
      <c r="CZO474" s="340"/>
      <c r="CZP474" s="340"/>
      <c r="CZQ474" s="340"/>
      <c r="CZR474" s="340"/>
      <c r="CZS474" s="340"/>
      <c r="CZT474" s="340"/>
      <c r="CZU474" s="340"/>
      <c r="CZV474" s="340"/>
      <c r="CZW474" s="340"/>
      <c r="CZX474" s="340"/>
      <c r="CZY474" s="340"/>
      <c r="CZZ474" s="340"/>
      <c r="DAA474" s="340"/>
      <c r="DAB474" s="340"/>
      <c r="DAC474" s="340"/>
      <c r="DAD474" s="340"/>
      <c r="DAE474" s="340"/>
      <c r="DAF474" s="340"/>
      <c r="DAG474" s="340"/>
      <c r="DAH474" s="340"/>
      <c r="DAI474" s="340"/>
      <c r="DAJ474" s="340"/>
      <c r="DAK474" s="340"/>
      <c r="DAL474" s="340"/>
      <c r="DAM474" s="340"/>
      <c r="DAN474" s="340"/>
      <c r="DAO474" s="340"/>
      <c r="DAP474" s="340"/>
      <c r="DAQ474" s="340"/>
      <c r="DAR474" s="340"/>
      <c r="DAS474" s="340"/>
      <c r="DAT474" s="340"/>
      <c r="DAU474" s="340"/>
      <c r="DAV474" s="340"/>
      <c r="DAW474" s="340"/>
      <c r="DAX474" s="340"/>
      <c r="DAY474" s="340"/>
      <c r="DAZ474" s="340"/>
      <c r="DBA474" s="340"/>
      <c r="DBB474" s="340"/>
      <c r="DBC474" s="340"/>
      <c r="DBD474" s="340"/>
      <c r="DBE474" s="340"/>
      <c r="DBF474" s="340"/>
      <c r="DBG474" s="340"/>
      <c r="DBH474" s="340"/>
      <c r="DBI474" s="340"/>
      <c r="DBJ474" s="340"/>
      <c r="DBK474" s="340"/>
      <c r="DBL474" s="340"/>
      <c r="DBM474" s="340"/>
      <c r="DBN474" s="340"/>
      <c r="DBO474" s="340"/>
      <c r="DBP474" s="340"/>
      <c r="DBQ474" s="340"/>
      <c r="DBR474" s="340"/>
      <c r="DBS474" s="340"/>
      <c r="DBT474" s="340"/>
      <c r="DBU474" s="340"/>
      <c r="DBV474" s="340"/>
      <c r="DBW474" s="340"/>
      <c r="DBX474" s="340"/>
      <c r="DBY474" s="340"/>
      <c r="DBZ474" s="340"/>
      <c r="DCA474" s="340"/>
      <c r="DCB474" s="340"/>
      <c r="DCC474" s="340"/>
      <c r="DCD474" s="340"/>
      <c r="DCE474" s="340"/>
      <c r="DCF474" s="340"/>
      <c r="DCG474" s="340"/>
      <c r="DCH474" s="340"/>
      <c r="DCI474" s="340"/>
      <c r="DCJ474" s="340"/>
      <c r="DCK474" s="340"/>
      <c r="DCL474" s="340"/>
      <c r="DCM474" s="340"/>
      <c r="DCN474" s="340"/>
      <c r="DCO474" s="340"/>
      <c r="DCP474" s="340"/>
      <c r="DCQ474" s="340"/>
      <c r="DCR474" s="340"/>
      <c r="DCS474" s="340"/>
      <c r="DCT474" s="340"/>
      <c r="DCU474" s="340"/>
      <c r="DCV474" s="340"/>
      <c r="DCW474" s="340"/>
      <c r="DCX474" s="340"/>
      <c r="DCY474" s="340"/>
      <c r="DCZ474" s="340"/>
      <c r="DDA474" s="340"/>
      <c r="DDB474" s="340"/>
      <c r="DDC474" s="340"/>
      <c r="DDD474" s="340"/>
      <c r="DDE474" s="340"/>
      <c r="DDF474" s="340"/>
      <c r="DDG474" s="340"/>
      <c r="DDH474" s="340"/>
      <c r="DDI474" s="340"/>
      <c r="DDJ474" s="340"/>
      <c r="DDK474" s="340"/>
      <c r="DDL474" s="340"/>
      <c r="DDM474" s="340"/>
      <c r="DDN474" s="340"/>
      <c r="DDO474" s="340"/>
      <c r="DDP474" s="340"/>
      <c r="DDQ474" s="340"/>
      <c r="DDR474" s="340"/>
      <c r="DDS474" s="340"/>
      <c r="DDT474" s="340"/>
      <c r="DDU474" s="340"/>
      <c r="DDV474" s="340"/>
      <c r="DDW474" s="340"/>
      <c r="DDX474" s="340"/>
      <c r="DDY474" s="340"/>
      <c r="DDZ474" s="340"/>
      <c r="DEA474" s="340"/>
      <c r="DEB474" s="340"/>
      <c r="DEC474" s="340"/>
      <c r="DED474" s="340"/>
      <c r="DEE474" s="340"/>
      <c r="DEF474" s="340"/>
      <c r="DEG474" s="340"/>
      <c r="DEH474" s="340"/>
      <c r="DEI474" s="340"/>
      <c r="DEJ474" s="340"/>
      <c r="DEK474" s="340"/>
      <c r="DEL474" s="340"/>
      <c r="DEM474" s="340"/>
      <c r="DEN474" s="340"/>
      <c r="DEO474" s="340"/>
      <c r="DEP474" s="340"/>
      <c r="DEQ474" s="340"/>
      <c r="DER474" s="340"/>
      <c r="DES474" s="340"/>
      <c r="DET474" s="340"/>
      <c r="DEU474" s="340"/>
      <c r="DEV474" s="340"/>
      <c r="DEW474" s="340"/>
      <c r="DEX474" s="340"/>
      <c r="DEY474" s="340"/>
      <c r="DEZ474" s="340"/>
      <c r="DFA474" s="340"/>
      <c r="DFB474" s="340"/>
      <c r="DFC474" s="340"/>
      <c r="DFD474" s="340"/>
      <c r="DFE474" s="340"/>
      <c r="DFF474" s="340"/>
      <c r="DFG474" s="340"/>
      <c r="DFH474" s="340"/>
      <c r="DFI474" s="340"/>
      <c r="DFJ474" s="340"/>
      <c r="DFK474" s="340"/>
      <c r="DFL474" s="340"/>
      <c r="DFM474" s="340"/>
      <c r="DFN474" s="340"/>
      <c r="DFO474" s="340"/>
      <c r="DFP474" s="340"/>
      <c r="DFQ474" s="340"/>
      <c r="DFR474" s="340"/>
      <c r="DFS474" s="340"/>
      <c r="DFT474" s="340"/>
      <c r="DFU474" s="340"/>
      <c r="DFV474" s="340"/>
      <c r="DFW474" s="340"/>
      <c r="DFX474" s="340"/>
      <c r="DFY474" s="340"/>
      <c r="DFZ474" s="340"/>
      <c r="DGA474" s="340"/>
      <c r="DGB474" s="340"/>
      <c r="DGC474" s="340"/>
      <c r="DGD474" s="340"/>
      <c r="DGE474" s="340"/>
      <c r="DGF474" s="340"/>
      <c r="DGG474" s="340"/>
      <c r="DGH474" s="340"/>
      <c r="DGI474" s="340"/>
      <c r="DGJ474" s="340"/>
      <c r="DGK474" s="340"/>
      <c r="DGL474" s="340"/>
      <c r="DGM474" s="340"/>
      <c r="DGN474" s="340"/>
      <c r="DGO474" s="340"/>
      <c r="DGP474" s="340"/>
      <c r="DGQ474" s="340"/>
      <c r="DGR474" s="340"/>
      <c r="DGS474" s="340"/>
      <c r="DGT474" s="340"/>
      <c r="DGU474" s="340"/>
      <c r="DGV474" s="340"/>
      <c r="DGW474" s="340"/>
      <c r="DGX474" s="340"/>
      <c r="DGY474" s="340"/>
      <c r="DGZ474" s="340"/>
      <c r="DHA474" s="340"/>
      <c r="DHB474" s="340"/>
      <c r="DHC474" s="340"/>
      <c r="DHD474" s="340"/>
      <c r="DHE474" s="340"/>
      <c r="DHF474" s="340"/>
      <c r="DHG474" s="340"/>
      <c r="DHH474" s="340"/>
      <c r="DHI474" s="340"/>
      <c r="DHJ474" s="340"/>
      <c r="DHK474" s="340"/>
      <c r="DHL474" s="340"/>
      <c r="DHM474" s="340"/>
      <c r="DHN474" s="340"/>
      <c r="DHO474" s="340"/>
      <c r="DHP474" s="340"/>
      <c r="DHQ474" s="340"/>
      <c r="DHR474" s="340"/>
      <c r="DHS474" s="340"/>
      <c r="DHT474" s="340"/>
      <c r="DHU474" s="340"/>
      <c r="DHV474" s="340"/>
      <c r="DHW474" s="340"/>
      <c r="DHX474" s="340"/>
      <c r="DHY474" s="340"/>
      <c r="DHZ474" s="340"/>
      <c r="DIA474" s="340"/>
      <c r="DIB474" s="340"/>
      <c r="DIC474" s="340"/>
      <c r="DID474" s="340"/>
      <c r="DIE474" s="340"/>
      <c r="DIF474" s="340"/>
      <c r="DIG474" s="340"/>
      <c r="DIH474" s="340"/>
      <c r="DII474" s="340"/>
      <c r="DIJ474" s="340"/>
      <c r="DIK474" s="340"/>
      <c r="DIL474" s="340"/>
      <c r="DIM474" s="340"/>
      <c r="DIN474" s="340"/>
      <c r="DIO474" s="340"/>
      <c r="DIP474" s="340"/>
      <c r="DIQ474" s="340"/>
      <c r="DIR474" s="340"/>
      <c r="DIS474" s="340"/>
      <c r="DIT474" s="340"/>
      <c r="DIU474" s="340"/>
      <c r="DIV474" s="340"/>
      <c r="DIW474" s="340"/>
      <c r="DIX474" s="340"/>
      <c r="DIY474" s="340"/>
      <c r="DIZ474" s="340"/>
      <c r="DJA474" s="340"/>
      <c r="DJB474" s="340"/>
      <c r="DJC474" s="340"/>
      <c r="DJD474" s="340"/>
      <c r="DJE474" s="340"/>
      <c r="DJF474" s="340"/>
      <c r="DJG474" s="340"/>
      <c r="DJH474" s="340"/>
      <c r="DJI474" s="340"/>
      <c r="DJJ474" s="340"/>
      <c r="DJK474" s="340"/>
      <c r="DJL474" s="340"/>
      <c r="DJM474" s="340"/>
      <c r="DJN474" s="340"/>
      <c r="DJO474" s="340"/>
      <c r="DJP474" s="340"/>
      <c r="DJQ474" s="340"/>
      <c r="DJR474" s="340"/>
      <c r="DJS474" s="340"/>
      <c r="DJT474" s="340"/>
      <c r="DJU474" s="340"/>
      <c r="DJV474" s="340"/>
      <c r="DJW474" s="340"/>
      <c r="DJX474" s="340"/>
      <c r="DJY474" s="340"/>
      <c r="DJZ474" s="340"/>
      <c r="DKA474" s="340"/>
      <c r="DKB474" s="340"/>
      <c r="DKC474" s="340"/>
      <c r="DKD474" s="340"/>
      <c r="DKE474" s="340"/>
      <c r="DKF474" s="340"/>
      <c r="DKG474" s="340"/>
      <c r="DKH474" s="340"/>
      <c r="DKI474" s="340"/>
      <c r="DKJ474" s="340"/>
      <c r="DKK474" s="340"/>
      <c r="DKL474" s="340"/>
      <c r="DKM474" s="340"/>
      <c r="DKN474" s="340"/>
      <c r="DKO474" s="340"/>
      <c r="DKP474" s="340"/>
      <c r="DKQ474" s="340"/>
      <c r="DKR474" s="340"/>
      <c r="DKS474" s="340"/>
      <c r="DKT474" s="340"/>
      <c r="DKU474" s="340"/>
      <c r="DKV474" s="340"/>
      <c r="DKW474" s="340"/>
      <c r="DKX474" s="340"/>
      <c r="DKY474" s="340"/>
      <c r="DKZ474" s="340"/>
      <c r="DLA474" s="340"/>
      <c r="DLB474" s="340"/>
      <c r="DLC474" s="340"/>
      <c r="DLD474" s="340"/>
      <c r="DLE474" s="340"/>
      <c r="DLF474" s="340"/>
      <c r="DLG474" s="340"/>
      <c r="DLH474" s="340"/>
      <c r="DLI474" s="340"/>
      <c r="DLJ474" s="340"/>
      <c r="DLK474" s="340"/>
      <c r="DLL474" s="340"/>
      <c r="DLM474" s="340"/>
      <c r="DLN474" s="340"/>
      <c r="DLO474" s="340"/>
      <c r="DLP474" s="340"/>
      <c r="DLQ474" s="340"/>
      <c r="DLR474" s="340"/>
      <c r="DLS474" s="340"/>
      <c r="DLT474" s="340"/>
      <c r="DLU474" s="340"/>
      <c r="DLV474" s="340"/>
      <c r="DLW474" s="340"/>
      <c r="DLX474" s="340"/>
      <c r="DLY474" s="340"/>
      <c r="DLZ474" s="340"/>
      <c r="DMA474" s="340"/>
      <c r="DMB474" s="340"/>
      <c r="DMC474" s="340"/>
      <c r="DMD474" s="340"/>
      <c r="DME474" s="340"/>
      <c r="DMF474" s="340"/>
      <c r="DMG474" s="340"/>
      <c r="DMH474" s="340"/>
      <c r="DMI474" s="340"/>
      <c r="DMJ474" s="340"/>
      <c r="DMK474" s="340"/>
      <c r="DML474" s="340"/>
      <c r="DMM474" s="340"/>
      <c r="DMN474" s="340"/>
      <c r="DMO474" s="340"/>
      <c r="DMP474" s="340"/>
      <c r="DMQ474" s="340"/>
      <c r="DMR474" s="340"/>
      <c r="DMS474" s="340"/>
      <c r="DMT474" s="340"/>
      <c r="DMU474" s="340"/>
      <c r="DMV474" s="340"/>
      <c r="DMW474" s="340"/>
      <c r="DMX474" s="340"/>
      <c r="DMY474" s="340"/>
      <c r="DMZ474" s="340"/>
      <c r="DNA474" s="340"/>
      <c r="DNB474" s="340"/>
      <c r="DNC474" s="340"/>
      <c r="DND474" s="340"/>
      <c r="DNE474" s="340"/>
      <c r="DNF474" s="340"/>
      <c r="DNG474" s="340"/>
      <c r="DNH474" s="340"/>
      <c r="DNI474" s="340"/>
      <c r="DNJ474" s="340"/>
      <c r="DNK474" s="340"/>
      <c r="DNL474" s="340"/>
      <c r="DNM474" s="340"/>
      <c r="DNN474" s="340"/>
      <c r="DNO474" s="340"/>
      <c r="DNP474" s="340"/>
      <c r="DNQ474" s="340"/>
      <c r="DNR474" s="340"/>
      <c r="DNS474" s="340"/>
      <c r="DNT474" s="340"/>
      <c r="DNU474" s="340"/>
      <c r="DNV474" s="340"/>
      <c r="DNW474" s="340"/>
      <c r="DNX474" s="340"/>
      <c r="DNY474" s="340"/>
      <c r="DNZ474" s="340"/>
      <c r="DOA474" s="340"/>
      <c r="DOB474" s="340"/>
      <c r="DOC474" s="340"/>
      <c r="DOD474" s="340"/>
      <c r="DOE474" s="340"/>
      <c r="DOF474" s="340"/>
      <c r="DOG474" s="340"/>
      <c r="DOH474" s="340"/>
      <c r="DOI474" s="340"/>
      <c r="DOJ474" s="340"/>
      <c r="DOK474" s="340"/>
      <c r="DOL474" s="340"/>
      <c r="DOM474" s="340"/>
      <c r="DON474" s="340"/>
      <c r="DOO474" s="340"/>
      <c r="DOP474" s="340"/>
      <c r="DOQ474" s="340"/>
      <c r="DOR474" s="340"/>
      <c r="DOS474" s="340"/>
      <c r="DOT474" s="340"/>
      <c r="DOU474" s="340"/>
      <c r="DOV474" s="340"/>
      <c r="DOW474" s="340"/>
      <c r="DOX474" s="340"/>
      <c r="DOY474" s="340"/>
      <c r="DOZ474" s="340"/>
      <c r="DPA474" s="340"/>
      <c r="DPB474" s="340"/>
      <c r="DPC474" s="340"/>
      <c r="DPD474" s="340"/>
      <c r="DPE474" s="340"/>
      <c r="DPF474" s="340"/>
      <c r="DPG474" s="340"/>
      <c r="DPH474" s="340"/>
      <c r="DPI474" s="340"/>
      <c r="DPJ474" s="340"/>
      <c r="DPK474" s="340"/>
      <c r="DPL474" s="340"/>
      <c r="DPM474" s="340"/>
      <c r="DPN474" s="340"/>
      <c r="DPO474" s="340"/>
      <c r="DPP474" s="340"/>
      <c r="DPQ474" s="340"/>
      <c r="DPR474" s="340"/>
      <c r="DPS474" s="340"/>
      <c r="DPT474" s="340"/>
      <c r="DPU474" s="340"/>
      <c r="DPV474" s="340"/>
      <c r="DPW474" s="340"/>
      <c r="DPX474" s="340"/>
      <c r="DPY474" s="340"/>
      <c r="DPZ474" s="340"/>
      <c r="DQA474" s="340"/>
      <c r="DQB474" s="340"/>
      <c r="DQC474" s="340"/>
      <c r="DQD474" s="340"/>
      <c r="DQE474" s="340"/>
      <c r="DQF474" s="340"/>
      <c r="DQG474" s="340"/>
      <c r="DQH474" s="340"/>
      <c r="DQI474" s="340"/>
      <c r="DQJ474" s="340"/>
      <c r="DQK474" s="340"/>
      <c r="DQL474" s="340"/>
      <c r="DQM474" s="340"/>
      <c r="DQN474" s="340"/>
      <c r="DQO474" s="340"/>
      <c r="DQP474" s="340"/>
      <c r="DQQ474" s="340"/>
      <c r="DQR474" s="340"/>
      <c r="DQS474" s="340"/>
      <c r="DQT474" s="340"/>
      <c r="DQU474" s="340"/>
      <c r="DQV474" s="340"/>
      <c r="DQW474" s="340"/>
      <c r="DQX474" s="340"/>
      <c r="DQY474" s="340"/>
      <c r="DQZ474" s="340"/>
      <c r="DRA474" s="340"/>
      <c r="DRB474" s="340"/>
      <c r="DRC474" s="340"/>
      <c r="DRD474" s="340"/>
      <c r="DRE474" s="340"/>
      <c r="DRF474" s="340"/>
      <c r="DRG474" s="340"/>
      <c r="DRH474" s="340"/>
      <c r="DRI474" s="340"/>
      <c r="DRJ474" s="340"/>
      <c r="DRK474" s="340"/>
      <c r="DRL474" s="340"/>
      <c r="DRM474" s="340"/>
      <c r="DRN474" s="340"/>
      <c r="DRO474" s="340"/>
      <c r="DRP474" s="340"/>
      <c r="DRQ474" s="340"/>
      <c r="DRR474" s="340"/>
      <c r="DRS474" s="340"/>
      <c r="DRT474" s="340"/>
      <c r="DRU474" s="340"/>
      <c r="DRV474" s="340"/>
      <c r="DRW474" s="340"/>
      <c r="DRX474" s="340"/>
      <c r="DRY474" s="340"/>
      <c r="DRZ474" s="340"/>
      <c r="DSA474" s="340"/>
      <c r="DSB474" s="340"/>
      <c r="DSC474" s="340"/>
      <c r="DSD474" s="340"/>
      <c r="DSE474" s="340"/>
      <c r="DSF474" s="340"/>
      <c r="DSG474" s="340"/>
      <c r="DSH474" s="340"/>
      <c r="DSI474" s="340"/>
      <c r="DSJ474" s="340"/>
      <c r="DSK474" s="340"/>
      <c r="DSL474" s="340"/>
      <c r="DSM474" s="340"/>
      <c r="DSN474" s="340"/>
      <c r="DSO474" s="340"/>
      <c r="DSP474" s="340"/>
      <c r="DSQ474" s="340"/>
      <c r="DSR474" s="340"/>
      <c r="DSS474" s="340"/>
      <c r="DST474" s="340"/>
      <c r="DSU474" s="340"/>
      <c r="DSV474" s="340"/>
      <c r="DSW474" s="340"/>
      <c r="DSX474" s="340"/>
      <c r="DSY474" s="340"/>
      <c r="DSZ474" s="340"/>
      <c r="DTA474" s="340"/>
      <c r="DTB474" s="340"/>
      <c r="DTC474" s="340"/>
      <c r="DTD474" s="340"/>
      <c r="DTE474" s="340"/>
      <c r="DTF474" s="340"/>
      <c r="DTG474" s="340"/>
      <c r="DTH474" s="340"/>
      <c r="DTI474" s="340"/>
      <c r="DTJ474" s="340"/>
      <c r="DTK474" s="340"/>
      <c r="DTL474" s="340"/>
      <c r="DTM474" s="340"/>
      <c r="DTN474" s="340"/>
      <c r="DTO474" s="340"/>
      <c r="DTP474" s="340"/>
      <c r="DTQ474" s="340"/>
      <c r="DTR474" s="340"/>
      <c r="DTS474" s="340"/>
      <c r="DTT474" s="340"/>
      <c r="DTU474" s="340"/>
      <c r="DTV474" s="340"/>
      <c r="DTW474" s="340"/>
      <c r="DTX474" s="340"/>
      <c r="DTY474" s="340"/>
      <c r="DTZ474" s="340"/>
      <c r="DUA474" s="340"/>
      <c r="DUB474" s="340"/>
      <c r="DUC474" s="340"/>
      <c r="DUD474" s="340"/>
      <c r="DUE474" s="340"/>
      <c r="DUF474" s="340"/>
      <c r="DUG474" s="340"/>
      <c r="DUH474" s="340"/>
      <c r="DUI474" s="340"/>
      <c r="DUJ474" s="340"/>
      <c r="DUK474" s="340"/>
      <c r="DUL474" s="340"/>
      <c r="DUM474" s="340"/>
      <c r="DUN474" s="340"/>
      <c r="DUO474" s="340"/>
      <c r="DUP474" s="340"/>
      <c r="DUQ474" s="340"/>
      <c r="DUR474" s="340"/>
      <c r="DUS474" s="340"/>
      <c r="DUT474" s="340"/>
      <c r="DUU474" s="340"/>
      <c r="DUV474" s="340"/>
      <c r="DUW474" s="340"/>
      <c r="DUX474" s="340"/>
      <c r="DUY474" s="340"/>
      <c r="DUZ474" s="340"/>
      <c r="DVA474" s="340"/>
      <c r="DVB474" s="340"/>
      <c r="DVC474" s="340"/>
      <c r="DVD474" s="340"/>
      <c r="DVE474" s="340"/>
      <c r="DVF474" s="340"/>
      <c r="DVG474" s="340"/>
      <c r="DVH474" s="340"/>
      <c r="DVI474" s="340"/>
      <c r="DVJ474" s="340"/>
      <c r="DVK474" s="340"/>
      <c r="DVL474" s="340"/>
      <c r="DVM474" s="340"/>
      <c r="DVN474" s="340"/>
      <c r="DVO474" s="340"/>
      <c r="DVP474" s="340"/>
      <c r="DVQ474" s="340"/>
      <c r="DVR474" s="340"/>
      <c r="DVS474" s="340"/>
      <c r="DVT474" s="340"/>
      <c r="DVU474" s="340"/>
      <c r="DVV474" s="340"/>
      <c r="DVW474" s="340"/>
      <c r="DVX474" s="340"/>
      <c r="DVY474" s="340"/>
      <c r="DVZ474" s="340"/>
      <c r="DWA474" s="340"/>
      <c r="DWB474" s="340"/>
      <c r="DWC474" s="340"/>
      <c r="DWD474" s="340"/>
      <c r="DWE474" s="340"/>
      <c r="DWF474" s="340"/>
      <c r="DWG474" s="340"/>
      <c r="DWH474" s="340"/>
      <c r="DWI474" s="340"/>
      <c r="DWJ474" s="340"/>
      <c r="DWK474" s="340"/>
      <c r="DWL474" s="340"/>
      <c r="DWM474" s="340"/>
      <c r="DWN474" s="340"/>
      <c r="DWO474" s="340"/>
      <c r="DWP474" s="340"/>
      <c r="DWQ474" s="340"/>
      <c r="DWR474" s="340"/>
      <c r="DWS474" s="340"/>
      <c r="DWT474" s="340"/>
      <c r="DWU474" s="340"/>
      <c r="DWV474" s="340"/>
      <c r="DWW474" s="340"/>
      <c r="DWX474" s="340"/>
      <c r="DWY474" s="340"/>
      <c r="DWZ474" s="340"/>
      <c r="DXA474" s="340"/>
      <c r="DXB474" s="340"/>
      <c r="DXC474" s="340"/>
      <c r="DXD474" s="340"/>
      <c r="DXE474" s="340"/>
      <c r="DXF474" s="340"/>
      <c r="DXG474" s="340"/>
      <c r="DXH474" s="340"/>
      <c r="DXI474" s="340"/>
      <c r="DXJ474" s="340"/>
      <c r="DXK474" s="340"/>
      <c r="DXL474" s="340"/>
      <c r="DXM474" s="340"/>
      <c r="DXN474" s="340"/>
      <c r="DXO474" s="340"/>
      <c r="DXP474" s="340"/>
      <c r="DXQ474" s="340"/>
      <c r="DXR474" s="340"/>
      <c r="DXS474" s="340"/>
      <c r="DXT474" s="340"/>
      <c r="DXU474" s="340"/>
      <c r="DXV474" s="340"/>
      <c r="DXW474" s="340"/>
      <c r="DXX474" s="340"/>
      <c r="DXY474" s="340"/>
      <c r="DXZ474" s="340"/>
      <c r="DYA474" s="340"/>
      <c r="DYB474" s="340"/>
      <c r="DYC474" s="340"/>
      <c r="DYD474" s="340"/>
      <c r="DYE474" s="340"/>
      <c r="DYF474" s="340"/>
      <c r="DYG474" s="340"/>
      <c r="DYH474" s="340"/>
      <c r="DYI474" s="340"/>
      <c r="DYJ474" s="340"/>
      <c r="DYK474" s="340"/>
      <c r="DYL474" s="340"/>
      <c r="DYM474" s="340"/>
      <c r="DYN474" s="340"/>
      <c r="DYO474" s="340"/>
      <c r="DYP474" s="340"/>
      <c r="DYQ474" s="340"/>
      <c r="DYR474" s="340"/>
      <c r="DYS474" s="340"/>
      <c r="DYT474" s="340"/>
      <c r="DYU474" s="340"/>
      <c r="DYV474" s="340"/>
      <c r="DYW474" s="340"/>
      <c r="DYX474" s="340"/>
      <c r="DYY474" s="340"/>
      <c r="DYZ474" s="340"/>
      <c r="DZA474" s="340"/>
      <c r="DZB474" s="340"/>
      <c r="DZC474" s="340"/>
      <c r="DZD474" s="340"/>
      <c r="DZE474" s="340"/>
      <c r="DZF474" s="340"/>
      <c r="DZG474" s="340"/>
      <c r="DZH474" s="340"/>
      <c r="DZI474" s="340"/>
      <c r="DZJ474" s="340"/>
      <c r="DZK474" s="340"/>
      <c r="DZL474" s="340"/>
      <c r="DZM474" s="340"/>
      <c r="DZN474" s="340"/>
      <c r="DZO474" s="340"/>
      <c r="DZP474" s="340"/>
      <c r="DZQ474" s="340"/>
      <c r="DZR474" s="340"/>
      <c r="DZS474" s="340"/>
      <c r="DZT474" s="340"/>
      <c r="DZU474" s="340"/>
      <c r="DZV474" s="340"/>
      <c r="DZW474" s="340"/>
      <c r="DZX474" s="340"/>
      <c r="DZY474" s="340"/>
      <c r="DZZ474" s="340"/>
      <c r="EAA474" s="340"/>
      <c r="EAB474" s="340"/>
      <c r="EAC474" s="340"/>
      <c r="EAD474" s="340"/>
      <c r="EAE474" s="340"/>
      <c r="EAF474" s="340"/>
      <c r="EAG474" s="340"/>
      <c r="EAH474" s="340"/>
      <c r="EAI474" s="340"/>
      <c r="EAJ474" s="340"/>
      <c r="EAK474" s="340"/>
      <c r="EAL474" s="340"/>
      <c r="EAM474" s="340"/>
      <c r="EAN474" s="340"/>
      <c r="EAO474" s="340"/>
      <c r="EAP474" s="340"/>
      <c r="EAQ474" s="340"/>
      <c r="EAR474" s="340"/>
      <c r="EAS474" s="340"/>
      <c r="EAT474" s="340"/>
      <c r="EAU474" s="340"/>
      <c r="EAV474" s="340"/>
      <c r="EAW474" s="340"/>
      <c r="EAX474" s="340"/>
      <c r="EAY474" s="340"/>
      <c r="EAZ474" s="340"/>
      <c r="EBA474" s="340"/>
      <c r="EBB474" s="340"/>
      <c r="EBC474" s="340"/>
      <c r="EBD474" s="340"/>
      <c r="EBE474" s="340"/>
      <c r="EBF474" s="340"/>
      <c r="EBG474" s="340"/>
      <c r="EBH474" s="340"/>
      <c r="EBI474" s="340"/>
      <c r="EBJ474" s="340"/>
      <c r="EBK474" s="340"/>
      <c r="EBL474" s="340"/>
      <c r="EBM474" s="340"/>
      <c r="EBN474" s="340"/>
      <c r="EBO474" s="340"/>
      <c r="EBP474" s="340"/>
      <c r="EBQ474" s="340"/>
      <c r="EBR474" s="340"/>
      <c r="EBS474" s="340"/>
      <c r="EBT474" s="340"/>
      <c r="EBU474" s="340"/>
      <c r="EBV474" s="340"/>
      <c r="EBW474" s="340"/>
      <c r="EBX474" s="340"/>
      <c r="EBY474" s="340"/>
      <c r="EBZ474" s="340"/>
      <c r="ECA474" s="340"/>
      <c r="ECB474" s="340"/>
      <c r="ECC474" s="340"/>
      <c r="ECD474" s="340"/>
      <c r="ECE474" s="340"/>
      <c r="ECF474" s="340"/>
      <c r="ECG474" s="340"/>
      <c r="ECH474" s="340"/>
      <c r="ECI474" s="340"/>
      <c r="ECJ474" s="340"/>
      <c r="ECK474" s="340"/>
      <c r="ECL474" s="340"/>
      <c r="ECM474" s="340"/>
      <c r="ECN474" s="340"/>
      <c r="ECO474" s="340"/>
      <c r="ECP474" s="340"/>
      <c r="ECQ474" s="340"/>
      <c r="ECR474" s="340"/>
      <c r="ECS474" s="340"/>
      <c r="ECT474" s="340"/>
      <c r="ECU474" s="340"/>
      <c r="ECV474" s="340"/>
      <c r="ECW474" s="340"/>
      <c r="ECX474" s="340"/>
      <c r="ECY474" s="340"/>
      <c r="ECZ474" s="340"/>
      <c r="EDA474" s="340"/>
      <c r="EDB474" s="340"/>
      <c r="EDC474" s="340"/>
      <c r="EDD474" s="340"/>
      <c r="EDE474" s="340"/>
      <c r="EDF474" s="340"/>
      <c r="EDG474" s="340"/>
      <c r="EDH474" s="340"/>
      <c r="EDI474" s="340"/>
      <c r="EDJ474" s="340"/>
      <c r="EDK474" s="340"/>
      <c r="EDL474" s="340"/>
      <c r="EDM474" s="340"/>
      <c r="EDN474" s="340"/>
      <c r="EDO474" s="340"/>
      <c r="EDP474" s="340"/>
      <c r="EDQ474" s="340"/>
      <c r="EDR474" s="340"/>
      <c r="EDS474" s="340"/>
      <c r="EDT474" s="340"/>
      <c r="EDU474" s="340"/>
      <c r="EDV474" s="340"/>
      <c r="EDW474" s="340"/>
      <c r="EDX474" s="340"/>
      <c r="EDY474" s="340"/>
      <c r="EDZ474" s="340"/>
      <c r="EEA474" s="340"/>
      <c r="EEB474" s="340"/>
      <c r="EEC474" s="340"/>
      <c r="EED474" s="340"/>
      <c r="EEE474" s="340"/>
      <c r="EEF474" s="340"/>
      <c r="EEG474" s="340"/>
      <c r="EEH474" s="340"/>
      <c r="EEI474" s="340"/>
      <c r="EEJ474" s="340"/>
      <c r="EEK474" s="340"/>
      <c r="EEL474" s="340"/>
      <c r="EEM474" s="340"/>
      <c r="EEN474" s="340"/>
      <c r="EEO474" s="340"/>
      <c r="EEP474" s="340"/>
      <c r="EEQ474" s="340"/>
      <c r="EER474" s="340"/>
      <c r="EES474" s="340"/>
      <c r="EET474" s="340"/>
      <c r="EEU474" s="340"/>
      <c r="EEV474" s="340"/>
      <c r="EEW474" s="340"/>
      <c r="EEX474" s="340"/>
      <c r="EEY474" s="340"/>
      <c r="EEZ474" s="340"/>
      <c r="EFA474" s="340"/>
      <c r="EFB474" s="340"/>
      <c r="EFC474" s="340"/>
      <c r="EFD474" s="340"/>
      <c r="EFE474" s="340"/>
      <c r="EFF474" s="340"/>
      <c r="EFG474" s="340"/>
      <c r="EFH474" s="340"/>
      <c r="EFI474" s="340"/>
      <c r="EFJ474" s="340"/>
      <c r="EFK474" s="340"/>
      <c r="EFL474" s="340"/>
      <c r="EFM474" s="340"/>
      <c r="EFN474" s="340"/>
      <c r="EFO474" s="340"/>
      <c r="EFP474" s="340"/>
      <c r="EFQ474" s="340"/>
      <c r="EFR474" s="340"/>
      <c r="EFS474" s="340"/>
      <c r="EFT474" s="340"/>
      <c r="EFU474" s="340"/>
      <c r="EFV474" s="340"/>
      <c r="EFW474" s="340"/>
      <c r="EFX474" s="340"/>
      <c r="EFY474" s="340"/>
      <c r="EFZ474" s="340"/>
      <c r="EGA474" s="340"/>
      <c r="EGB474" s="340"/>
      <c r="EGC474" s="340"/>
      <c r="EGD474" s="340"/>
      <c r="EGE474" s="340"/>
      <c r="EGF474" s="340"/>
      <c r="EGG474" s="340"/>
      <c r="EGH474" s="340"/>
      <c r="EGI474" s="340"/>
      <c r="EGJ474" s="340"/>
      <c r="EGK474" s="340"/>
      <c r="EGL474" s="340"/>
      <c r="EGM474" s="340"/>
      <c r="EGN474" s="340"/>
      <c r="EGO474" s="340"/>
      <c r="EGP474" s="340"/>
      <c r="EGQ474" s="340"/>
      <c r="EGR474" s="340"/>
      <c r="EGS474" s="340"/>
      <c r="EGT474" s="340"/>
      <c r="EGU474" s="340"/>
      <c r="EGV474" s="340"/>
      <c r="EGW474" s="340"/>
      <c r="EGX474" s="340"/>
      <c r="EGY474" s="340"/>
      <c r="EGZ474" s="340"/>
      <c r="EHA474" s="340"/>
      <c r="EHB474" s="340"/>
      <c r="EHC474" s="340"/>
      <c r="EHD474" s="340"/>
      <c r="EHE474" s="340"/>
      <c r="EHF474" s="340"/>
      <c r="EHG474" s="340"/>
      <c r="EHH474" s="340"/>
      <c r="EHI474" s="340"/>
      <c r="EHJ474" s="340"/>
      <c r="EHK474" s="340"/>
      <c r="EHL474" s="340"/>
      <c r="EHM474" s="340"/>
      <c r="EHN474" s="340"/>
      <c r="EHO474" s="340"/>
      <c r="EHP474" s="340"/>
      <c r="EHQ474" s="340"/>
      <c r="EHR474" s="340"/>
      <c r="EHS474" s="340"/>
      <c r="EHT474" s="340"/>
      <c r="EHU474" s="340"/>
      <c r="EHV474" s="340"/>
      <c r="EHW474" s="340"/>
      <c r="EHX474" s="340"/>
      <c r="EHY474" s="340"/>
      <c r="EHZ474" s="340"/>
      <c r="EIA474" s="340"/>
      <c r="EIB474" s="340"/>
      <c r="EIC474" s="340"/>
      <c r="EID474" s="340"/>
      <c r="EIE474" s="340"/>
      <c r="EIF474" s="340"/>
      <c r="EIG474" s="340"/>
      <c r="EIH474" s="340"/>
      <c r="EII474" s="340"/>
      <c r="EIJ474" s="340"/>
      <c r="EIK474" s="340"/>
      <c r="EIL474" s="340"/>
      <c r="EIM474" s="340"/>
      <c r="EIN474" s="340"/>
      <c r="EIO474" s="340"/>
      <c r="EIP474" s="340"/>
      <c r="EIQ474" s="340"/>
      <c r="EIR474" s="340"/>
      <c r="EIS474" s="340"/>
      <c r="EIT474" s="340"/>
      <c r="EIU474" s="340"/>
      <c r="EIV474" s="340"/>
      <c r="EIW474" s="340"/>
      <c r="EIX474" s="340"/>
      <c r="EIY474" s="340"/>
      <c r="EIZ474" s="340"/>
      <c r="EJA474" s="340"/>
      <c r="EJB474" s="340"/>
      <c r="EJC474" s="340"/>
      <c r="EJD474" s="340"/>
      <c r="EJE474" s="340"/>
      <c r="EJF474" s="340"/>
      <c r="EJG474" s="340"/>
      <c r="EJH474" s="340"/>
      <c r="EJI474" s="340"/>
      <c r="EJJ474" s="340"/>
      <c r="EJK474" s="340"/>
      <c r="EJL474" s="340"/>
      <c r="EJM474" s="340"/>
      <c r="EJN474" s="340"/>
      <c r="EJO474" s="340"/>
      <c r="EJP474" s="340"/>
      <c r="EJQ474" s="340"/>
      <c r="EJR474" s="340"/>
      <c r="EJS474" s="340"/>
      <c r="EJT474" s="340"/>
      <c r="EJU474" s="340"/>
      <c r="EJV474" s="340"/>
      <c r="EJW474" s="340"/>
      <c r="EJX474" s="340"/>
      <c r="EJY474" s="340"/>
      <c r="EJZ474" s="340"/>
      <c r="EKA474" s="340"/>
      <c r="EKB474" s="340"/>
      <c r="EKC474" s="340"/>
      <c r="EKD474" s="340"/>
      <c r="EKE474" s="340"/>
      <c r="EKF474" s="340"/>
      <c r="EKG474" s="340"/>
      <c r="EKH474" s="340"/>
      <c r="EKI474" s="340"/>
      <c r="EKJ474" s="340"/>
      <c r="EKK474" s="340"/>
      <c r="EKL474" s="340"/>
      <c r="EKM474" s="340"/>
      <c r="EKN474" s="340"/>
      <c r="EKO474" s="340"/>
      <c r="EKP474" s="340"/>
      <c r="EKQ474" s="340"/>
      <c r="EKR474" s="340"/>
      <c r="EKS474" s="340"/>
      <c r="EKT474" s="340"/>
      <c r="EKU474" s="340"/>
      <c r="EKV474" s="340"/>
      <c r="EKW474" s="340"/>
      <c r="EKX474" s="340"/>
      <c r="EKY474" s="340"/>
      <c r="EKZ474" s="340"/>
      <c r="ELA474" s="340"/>
      <c r="ELB474" s="340"/>
      <c r="ELC474" s="340"/>
      <c r="ELD474" s="340"/>
      <c r="ELE474" s="340"/>
      <c r="ELF474" s="340"/>
      <c r="ELG474" s="340"/>
      <c r="ELH474" s="340"/>
      <c r="ELI474" s="340"/>
      <c r="ELJ474" s="340"/>
      <c r="ELK474" s="340"/>
      <c r="ELL474" s="340"/>
      <c r="ELM474" s="340"/>
      <c r="ELN474" s="340"/>
      <c r="ELO474" s="340"/>
      <c r="ELP474" s="340"/>
      <c r="ELQ474" s="340"/>
      <c r="ELR474" s="340"/>
      <c r="ELS474" s="340"/>
      <c r="ELT474" s="340"/>
      <c r="ELU474" s="340"/>
      <c r="ELV474" s="340"/>
      <c r="ELW474" s="340"/>
      <c r="ELX474" s="340"/>
      <c r="ELY474" s="340"/>
      <c r="ELZ474" s="340"/>
      <c r="EMA474" s="340"/>
      <c r="EMB474" s="340"/>
      <c r="EMC474" s="340"/>
      <c r="EMD474" s="340"/>
      <c r="EME474" s="340"/>
      <c r="EMF474" s="340"/>
      <c r="EMG474" s="340"/>
      <c r="EMH474" s="340"/>
      <c r="EMI474" s="340"/>
      <c r="EMJ474" s="340"/>
      <c r="EMK474" s="340"/>
      <c r="EML474" s="340"/>
      <c r="EMM474" s="340"/>
      <c r="EMN474" s="340"/>
      <c r="EMO474" s="340"/>
      <c r="EMP474" s="340"/>
      <c r="EMQ474" s="340"/>
      <c r="EMR474" s="340"/>
      <c r="EMS474" s="340"/>
      <c r="EMT474" s="340"/>
      <c r="EMU474" s="340"/>
      <c r="EMV474" s="340"/>
      <c r="EMW474" s="340"/>
      <c r="EMX474" s="340"/>
      <c r="EMY474" s="340"/>
      <c r="EMZ474" s="340"/>
      <c r="ENA474" s="340"/>
      <c r="ENB474" s="340"/>
      <c r="ENC474" s="340"/>
      <c r="END474" s="340"/>
      <c r="ENE474" s="340"/>
      <c r="ENF474" s="340"/>
      <c r="ENG474" s="340"/>
      <c r="ENH474" s="340"/>
      <c r="ENI474" s="340"/>
      <c r="ENJ474" s="340"/>
      <c r="ENK474" s="340"/>
      <c r="ENL474" s="340"/>
      <c r="ENM474" s="340"/>
      <c r="ENN474" s="340"/>
      <c r="ENO474" s="340"/>
      <c r="ENP474" s="340"/>
      <c r="ENQ474" s="340"/>
      <c r="ENR474" s="340"/>
      <c r="ENS474" s="340"/>
      <c r="ENT474" s="340"/>
      <c r="ENU474" s="340"/>
      <c r="ENV474" s="340"/>
      <c r="ENW474" s="340"/>
      <c r="ENX474" s="340"/>
      <c r="ENY474" s="340"/>
      <c r="ENZ474" s="340"/>
      <c r="EOA474" s="340"/>
      <c r="EOB474" s="340"/>
      <c r="EOC474" s="340"/>
      <c r="EOD474" s="340"/>
      <c r="EOE474" s="340"/>
      <c r="EOF474" s="340"/>
      <c r="EOG474" s="340"/>
      <c r="EOH474" s="340"/>
      <c r="EOI474" s="340"/>
      <c r="EOJ474" s="340"/>
      <c r="EOK474" s="340"/>
      <c r="EOL474" s="340"/>
      <c r="EOM474" s="340"/>
      <c r="EON474" s="340"/>
      <c r="EOO474" s="340"/>
      <c r="EOP474" s="340"/>
      <c r="EOQ474" s="340"/>
      <c r="EOR474" s="340"/>
      <c r="EOS474" s="340"/>
      <c r="EOT474" s="340"/>
      <c r="EOU474" s="340"/>
      <c r="EOV474" s="340"/>
      <c r="EOW474" s="340"/>
      <c r="EOX474" s="340"/>
      <c r="EOY474" s="340"/>
      <c r="EOZ474" s="340"/>
      <c r="EPA474" s="340"/>
      <c r="EPB474" s="340"/>
      <c r="EPC474" s="340"/>
      <c r="EPD474" s="340"/>
      <c r="EPE474" s="340"/>
      <c r="EPF474" s="340"/>
      <c r="EPG474" s="340"/>
      <c r="EPH474" s="340"/>
      <c r="EPI474" s="340"/>
      <c r="EPJ474" s="340"/>
      <c r="EPK474" s="340"/>
      <c r="EPL474" s="340"/>
      <c r="EPM474" s="340"/>
      <c r="EPN474" s="340"/>
      <c r="EPO474" s="340"/>
      <c r="EPP474" s="340"/>
      <c r="EPQ474" s="340"/>
      <c r="EPR474" s="340"/>
      <c r="EPS474" s="340"/>
      <c r="EPT474" s="340"/>
      <c r="EPU474" s="340"/>
      <c r="EPV474" s="340"/>
      <c r="EPW474" s="340"/>
      <c r="EPX474" s="340"/>
      <c r="EPY474" s="340"/>
      <c r="EPZ474" s="340"/>
      <c r="EQA474" s="340"/>
      <c r="EQB474" s="340"/>
      <c r="EQC474" s="340"/>
      <c r="EQD474" s="340"/>
      <c r="EQE474" s="340"/>
      <c r="EQF474" s="340"/>
      <c r="EQG474" s="340"/>
      <c r="EQH474" s="340"/>
      <c r="EQI474" s="340"/>
      <c r="EQJ474" s="340"/>
      <c r="EQK474" s="340"/>
      <c r="EQL474" s="340"/>
      <c r="EQM474" s="340"/>
      <c r="EQN474" s="340"/>
      <c r="EQO474" s="340"/>
      <c r="EQP474" s="340"/>
      <c r="EQQ474" s="340"/>
      <c r="EQR474" s="340"/>
      <c r="EQS474" s="340"/>
      <c r="EQT474" s="340"/>
      <c r="EQU474" s="340"/>
      <c r="EQV474" s="340"/>
      <c r="EQW474" s="340"/>
      <c r="EQX474" s="340"/>
      <c r="EQY474" s="340"/>
      <c r="EQZ474" s="340"/>
      <c r="ERA474" s="340"/>
      <c r="ERB474" s="340"/>
      <c r="ERC474" s="340"/>
      <c r="ERD474" s="340"/>
      <c r="ERE474" s="340"/>
      <c r="ERF474" s="340"/>
      <c r="ERG474" s="340"/>
      <c r="ERH474" s="340"/>
      <c r="ERI474" s="340"/>
      <c r="ERJ474" s="340"/>
      <c r="ERK474" s="340"/>
      <c r="ERL474" s="340"/>
      <c r="ERM474" s="340"/>
      <c r="ERN474" s="340"/>
      <c r="ERO474" s="340"/>
      <c r="ERP474" s="340"/>
      <c r="ERQ474" s="340"/>
      <c r="ERR474" s="340"/>
      <c r="ERS474" s="340"/>
      <c r="ERT474" s="340"/>
      <c r="ERU474" s="340"/>
      <c r="ERV474" s="340"/>
      <c r="ERW474" s="340"/>
      <c r="ERX474" s="340"/>
      <c r="ERY474" s="340"/>
      <c r="ERZ474" s="340"/>
      <c r="ESA474" s="340"/>
      <c r="ESB474" s="340"/>
      <c r="ESC474" s="340"/>
      <c r="ESD474" s="340"/>
      <c r="ESE474" s="340"/>
      <c r="ESF474" s="340"/>
      <c r="ESG474" s="340"/>
      <c r="ESH474" s="340"/>
      <c r="ESI474" s="340"/>
      <c r="ESJ474" s="340"/>
      <c r="ESK474" s="340"/>
      <c r="ESL474" s="340"/>
      <c r="ESM474" s="340"/>
      <c r="ESN474" s="340"/>
      <c r="ESO474" s="340"/>
      <c r="ESP474" s="340"/>
      <c r="ESQ474" s="340"/>
      <c r="ESR474" s="340"/>
      <c r="ESS474" s="340"/>
      <c r="EST474" s="340"/>
      <c r="ESU474" s="340"/>
      <c r="ESV474" s="340"/>
      <c r="ESW474" s="340"/>
      <c r="ESX474" s="340"/>
      <c r="ESY474" s="340"/>
      <c r="ESZ474" s="340"/>
      <c r="ETA474" s="340"/>
      <c r="ETB474" s="340"/>
      <c r="ETC474" s="340"/>
      <c r="ETD474" s="340"/>
      <c r="ETE474" s="340"/>
      <c r="ETF474" s="340"/>
      <c r="ETG474" s="340"/>
      <c r="ETH474" s="340"/>
      <c r="ETI474" s="340"/>
      <c r="ETJ474" s="340"/>
      <c r="ETK474" s="340"/>
      <c r="ETL474" s="340"/>
      <c r="ETM474" s="340"/>
      <c r="ETN474" s="340"/>
      <c r="ETO474" s="340"/>
      <c r="ETP474" s="340"/>
      <c r="ETQ474" s="340"/>
      <c r="ETR474" s="340"/>
      <c r="ETS474" s="340"/>
      <c r="ETT474" s="340"/>
      <c r="ETU474" s="340"/>
      <c r="ETV474" s="340"/>
      <c r="ETW474" s="340"/>
      <c r="ETX474" s="340"/>
      <c r="ETY474" s="340"/>
      <c r="ETZ474" s="340"/>
      <c r="EUA474" s="340"/>
      <c r="EUB474" s="340"/>
      <c r="EUC474" s="340"/>
      <c r="EUD474" s="340"/>
      <c r="EUE474" s="340"/>
      <c r="EUF474" s="340"/>
      <c r="EUG474" s="340"/>
      <c r="EUH474" s="340"/>
      <c r="EUI474" s="340"/>
      <c r="EUJ474" s="340"/>
      <c r="EUK474" s="340"/>
      <c r="EUL474" s="340"/>
      <c r="EUM474" s="340"/>
      <c r="EUN474" s="340"/>
      <c r="EUO474" s="340"/>
      <c r="EUP474" s="340"/>
      <c r="EUQ474" s="340"/>
      <c r="EUR474" s="340"/>
      <c r="EUS474" s="340"/>
      <c r="EUT474" s="340"/>
      <c r="EUU474" s="340"/>
      <c r="EUV474" s="340"/>
      <c r="EUW474" s="340"/>
      <c r="EUX474" s="340"/>
      <c r="EUY474" s="340"/>
      <c r="EUZ474" s="340"/>
      <c r="EVA474" s="340"/>
      <c r="EVB474" s="340"/>
      <c r="EVC474" s="340"/>
      <c r="EVD474" s="340"/>
      <c r="EVE474" s="340"/>
      <c r="EVF474" s="340"/>
      <c r="EVG474" s="340"/>
      <c r="EVH474" s="340"/>
      <c r="EVI474" s="340"/>
      <c r="EVJ474" s="340"/>
      <c r="EVK474" s="340"/>
      <c r="EVL474" s="340"/>
      <c r="EVM474" s="340"/>
      <c r="EVN474" s="340"/>
      <c r="EVO474" s="340"/>
      <c r="EVP474" s="340"/>
      <c r="EVQ474" s="340"/>
      <c r="EVR474" s="340"/>
      <c r="EVS474" s="340"/>
      <c r="EVT474" s="340"/>
      <c r="EVU474" s="340"/>
      <c r="EVV474" s="340"/>
      <c r="EVW474" s="340"/>
      <c r="EVX474" s="340"/>
      <c r="EVY474" s="340"/>
      <c r="EVZ474" s="340"/>
      <c r="EWA474" s="340"/>
      <c r="EWB474" s="340"/>
      <c r="EWC474" s="340"/>
      <c r="EWD474" s="340"/>
      <c r="EWE474" s="340"/>
      <c r="EWF474" s="340"/>
      <c r="EWG474" s="340"/>
      <c r="EWH474" s="340"/>
      <c r="EWI474" s="340"/>
      <c r="EWJ474" s="340"/>
      <c r="EWK474" s="340"/>
      <c r="EWL474" s="340"/>
      <c r="EWM474" s="340"/>
      <c r="EWN474" s="340"/>
      <c r="EWO474" s="340"/>
      <c r="EWP474" s="340"/>
      <c r="EWQ474" s="340"/>
      <c r="EWR474" s="340"/>
      <c r="EWS474" s="340"/>
      <c r="EWT474" s="340"/>
      <c r="EWU474" s="340"/>
      <c r="EWV474" s="340"/>
      <c r="EWW474" s="340"/>
      <c r="EWX474" s="340"/>
      <c r="EWY474" s="340"/>
      <c r="EWZ474" s="340"/>
      <c r="EXA474" s="340"/>
      <c r="EXB474" s="340"/>
      <c r="EXC474" s="340"/>
      <c r="EXD474" s="340"/>
      <c r="EXE474" s="340"/>
      <c r="EXF474" s="340"/>
      <c r="EXG474" s="340"/>
      <c r="EXH474" s="340"/>
      <c r="EXI474" s="340"/>
      <c r="EXJ474" s="340"/>
      <c r="EXK474" s="340"/>
      <c r="EXL474" s="340"/>
      <c r="EXM474" s="340"/>
      <c r="EXN474" s="340"/>
      <c r="EXO474" s="340"/>
      <c r="EXP474" s="340"/>
      <c r="EXQ474" s="340"/>
      <c r="EXR474" s="340"/>
      <c r="EXS474" s="340"/>
      <c r="EXT474" s="340"/>
      <c r="EXU474" s="340"/>
      <c r="EXV474" s="340"/>
      <c r="EXW474" s="340"/>
      <c r="EXX474" s="340"/>
      <c r="EXY474" s="340"/>
      <c r="EXZ474" s="340"/>
      <c r="EYA474" s="340"/>
      <c r="EYB474" s="340"/>
      <c r="EYC474" s="340"/>
      <c r="EYD474" s="340"/>
      <c r="EYE474" s="340"/>
      <c r="EYF474" s="340"/>
      <c r="EYG474" s="340"/>
      <c r="EYH474" s="340"/>
      <c r="EYI474" s="340"/>
      <c r="EYJ474" s="340"/>
      <c r="EYK474" s="340"/>
      <c r="EYL474" s="340"/>
      <c r="EYM474" s="340"/>
      <c r="EYN474" s="340"/>
      <c r="EYO474" s="340"/>
      <c r="EYP474" s="340"/>
      <c r="EYQ474" s="340"/>
      <c r="EYR474" s="340"/>
      <c r="EYS474" s="340"/>
      <c r="EYT474" s="340"/>
      <c r="EYU474" s="340"/>
      <c r="EYV474" s="340"/>
      <c r="EYW474" s="340"/>
      <c r="EYX474" s="340"/>
      <c r="EYY474" s="340"/>
      <c r="EYZ474" s="340"/>
      <c r="EZA474" s="340"/>
      <c r="EZB474" s="340"/>
      <c r="EZC474" s="340"/>
      <c r="EZD474" s="340"/>
      <c r="EZE474" s="340"/>
      <c r="EZF474" s="340"/>
      <c r="EZG474" s="340"/>
      <c r="EZH474" s="340"/>
      <c r="EZI474" s="340"/>
      <c r="EZJ474" s="340"/>
      <c r="EZK474" s="340"/>
      <c r="EZL474" s="340"/>
      <c r="EZM474" s="340"/>
      <c r="EZN474" s="340"/>
      <c r="EZO474" s="340"/>
      <c r="EZP474" s="340"/>
      <c r="EZQ474" s="340"/>
      <c r="EZR474" s="340"/>
      <c r="EZS474" s="340"/>
      <c r="EZT474" s="340"/>
      <c r="EZU474" s="340"/>
      <c r="EZV474" s="340"/>
      <c r="EZW474" s="340"/>
      <c r="EZX474" s="340"/>
      <c r="EZY474" s="340"/>
      <c r="EZZ474" s="340"/>
      <c r="FAA474" s="340"/>
      <c r="FAB474" s="340"/>
      <c r="FAC474" s="340"/>
      <c r="FAD474" s="340"/>
      <c r="FAE474" s="340"/>
      <c r="FAF474" s="340"/>
      <c r="FAG474" s="340"/>
      <c r="FAH474" s="340"/>
      <c r="FAI474" s="340"/>
      <c r="FAJ474" s="340"/>
      <c r="FAK474" s="340"/>
      <c r="FAL474" s="340"/>
      <c r="FAM474" s="340"/>
      <c r="FAN474" s="340"/>
      <c r="FAO474" s="340"/>
      <c r="FAP474" s="340"/>
      <c r="FAQ474" s="340"/>
      <c r="FAR474" s="340"/>
      <c r="FAS474" s="340"/>
      <c r="FAT474" s="340"/>
      <c r="FAU474" s="340"/>
      <c r="FAV474" s="340"/>
      <c r="FAW474" s="340"/>
      <c r="FAX474" s="340"/>
      <c r="FAY474" s="340"/>
      <c r="FAZ474" s="340"/>
      <c r="FBA474" s="340"/>
      <c r="FBB474" s="340"/>
      <c r="FBC474" s="340"/>
      <c r="FBD474" s="340"/>
      <c r="FBE474" s="340"/>
      <c r="FBF474" s="340"/>
      <c r="FBG474" s="340"/>
      <c r="FBH474" s="340"/>
      <c r="FBI474" s="340"/>
      <c r="FBJ474" s="340"/>
      <c r="FBK474" s="340"/>
      <c r="FBL474" s="340"/>
      <c r="FBM474" s="340"/>
      <c r="FBN474" s="340"/>
      <c r="FBO474" s="340"/>
      <c r="FBP474" s="340"/>
      <c r="FBQ474" s="340"/>
      <c r="FBR474" s="340"/>
      <c r="FBS474" s="340"/>
      <c r="FBT474" s="340"/>
      <c r="FBU474" s="340"/>
      <c r="FBV474" s="340"/>
      <c r="FBW474" s="340"/>
      <c r="FBX474" s="340"/>
      <c r="FBY474" s="340"/>
      <c r="FBZ474" s="340"/>
      <c r="FCA474" s="340"/>
      <c r="FCB474" s="340"/>
      <c r="FCC474" s="340"/>
      <c r="FCD474" s="340"/>
      <c r="FCE474" s="340"/>
      <c r="FCF474" s="340"/>
      <c r="FCG474" s="340"/>
      <c r="FCH474" s="340"/>
      <c r="FCI474" s="340"/>
      <c r="FCJ474" s="340"/>
      <c r="FCK474" s="340"/>
      <c r="FCL474" s="340"/>
      <c r="FCM474" s="340"/>
      <c r="FCN474" s="340"/>
      <c r="FCO474" s="340"/>
      <c r="FCP474" s="340"/>
      <c r="FCQ474" s="340"/>
      <c r="FCR474" s="340"/>
      <c r="FCS474" s="340"/>
      <c r="FCT474" s="340"/>
      <c r="FCU474" s="340"/>
      <c r="FCV474" s="340"/>
      <c r="FCW474" s="340"/>
      <c r="FCX474" s="340"/>
      <c r="FCY474" s="340"/>
      <c r="FCZ474" s="340"/>
      <c r="FDA474" s="340"/>
      <c r="FDB474" s="340"/>
      <c r="FDC474" s="340"/>
      <c r="FDD474" s="340"/>
      <c r="FDE474" s="340"/>
      <c r="FDF474" s="340"/>
      <c r="FDG474" s="340"/>
      <c r="FDH474" s="340"/>
      <c r="FDI474" s="340"/>
      <c r="FDJ474" s="340"/>
      <c r="FDK474" s="340"/>
      <c r="FDL474" s="340"/>
      <c r="FDM474" s="340"/>
      <c r="FDN474" s="340"/>
      <c r="FDO474" s="340"/>
      <c r="FDP474" s="340"/>
      <c r="FDQ474" s="340"/>
      <c r="FDR474" s="340"/>
      <c r="FDS474" s="340"/>
      <c r="FDT474" s="340"/>
      <c r="FDU474" s="340"/>
      <c r="FDV474" s="340"/>
      <c r="FDW474" s="340"/>
      <c r="FDX474" s="340"/>
      <c r="FDY474" s="340"/>
      <c r="FDZ474" s="340"/>
      <c r="FEA474" s="340"/>
      <c r="FEB474" s="340"/>
      <c r="FEC474" s="340"/>
      <c r="FED474" s="340"/>
      <c r="FEE474" s="340"/>
      <c r="FEF474" s="340"/>
      <c r="FEG474" s="340"/>
      <c r="FEH474" s="340"/>
      <c r="FEI474" s="340"/>
      <c r="FEJ474" s="340"/>
      <c r="FEK474" s="340"/>
      <c r="FEL474" s="340"/>
      <c r="FEM474" s="340"/>
      <c r="FEN474" s="340"/>
      <c r="FEO474" s="340"/>
      <c r="FEP474" s="340"/>
      <c r="FEQ474" s="340"/>
      <c r="FER474" s="340"/>
      <c r="FES474" s="340"/>
      <c r="FET474" s="340"/>
      <c r="FEU474" s="340"/>
      <c r="FEV474" s="340"/>
      <c r="FEW474" s="340"/>
      <c r="FEX474" s="340"/>
      <c r="FEY474" s="340"/>
      <c r="FEZ474" s="340"/>
      <c r="FFA474" s="340"/>
      <c r="FFB474" s="340"/>
      <c r="FFC474" s="340"/>
      <c r="FFD474" s="340"/>
      <c r="FFE474" s="340"/>
      <c r="FFF474" s="340"/>
      <c r="FFG474" s="340"/>
      <c r="FFH474" s="340"/>
      <c r="FFI474" s="340"/>
      <c r="FFJ474" s="340"/>
      <c r="FFK474" s="340"/>
      <c r="FFL474" s="340"/>
      <c r="FFM474" s="340"/>
      <c r="FFN474" s="340"/>
      <c r="FFO474" s="340"/>
      <c r="FFP474" s="340"/>
      <c r="FFQ474" s="340"/>
      <c r="FFR474" s="340"/>
      <c r="FFS474" s="340"/>
      <c r="FFT474" s="340"/>
      <c r="FFU474" s="340"/>
      <c r="FFV474" s="340"/>
      <c r="FFW474" s="340"/>
      <c r="FFX474" s="340"/>
      <c r="FFY474" s="340"/>
      <c r="FFZ474" s="340"/>
      <c r="FGA474" s="340"/>
      <c r="FGB474" s="340"/>
      <c r="FGC474" s="340"/>
      <c r="FGD474" s="340"/>
      <c r="FGE474" s="340"/>
      <c r="FGF474" s="340"/>
      <c r="FGG474" s="340"/>
      <c r="FGH474" s="340"/>
      <c r="FGI474" s="340"/>
      <c r="FGJ474" s="340"/>
      <c r="FGK474" s="340"/>
      <c r="FGL474" s="340"/>
      <c r="FGM474" s="340"/>
      <c r="FGN474" s="340"/>
      <c r="FGO474" s="340"/>
      <c r="FGP474" s="340"/>
      <c r="FGQ474" s="340"/>
      <c r="FGR474" s="340"/>
      <c r="FGS474" s="340"/>
      <c r="FGT474" s="340"/>
      <c r="FGU474" s="340"/>
      <c r="FGV474" s="340"/>
      <c r="FGW474" s="340"/>
      <c r="FGX474" s="340"/>
      <c r="FGY474" s="340"/>
      <c r="FGZ474" s="340"/>
      <c r="FHA474" s="340"/>
      <c r="FHB474" s="340"/>
      <c r="FHC474" s="340"/>
      <c r="FHD474" s="340"/>
      <c r="FHE474" s="340"/>
      <c r="FHF474" s="340"/>
      <c r="FHG474" s="340"/>
      <c r="FHH474" s="340"/>
      <c r="FHI474" s="340"/>
      <c r="FHJ474" s="340"/>
      <c r="FHK474" s="340"/>
      <c r="FHL474" s="340"/>
      <c r="FHM474" s="340"/>
      <c r="FHN474" s="340"/>
      <c r="FHO474" s="340"/>
      <c r="FHP474" s="340"/>
      <c r="FHQ474" s="340"/>
      <c r="FHR474" s="340"/>
      <c r="FHS474" s="340"/>
      <c r="FHT474" s="340"/>
      <c r="FHU474" s="340"/>
      <c r="FHV474" s="340"/>
      <c r="FHW474" s="340"/>
      <c r="FHX474" s="340"/>
      <c r="FHY474" s="340"/>
      <c r="FHZ474" s="340"/>
      <c r="FIA474" s="340"/>
      <c r="FIB474" s="340"/>
      <c r="FIC474" s="340"/>
      <c r="FID474" s="340"/>
      <c r="FIE474" s="340"/>
      <c r="FIF474" s="340"/>
      <c r="FIG474" s="340"/>
      <c r="FIH474" s="340"/>
      <c r="FII474" s="340"/>
      <c r="FIJ474" s="340"/>
      <c r="FIK474" s="340"/>
      <c r="FIL474" s="340"/>
      <c r="FIM474" s="340"/>
      <c r="FIN474" s="340"/>
      <c r="FIO474" s="340"/>
      <c r="FIP474" s="340"/>
      <c r="FIQ474" s="340"/>
      <c r="FIR474" s="340"/>
      <c r="FIS474" s="340"/>
      <c r="FIT474" s="340"/>
      <c r="FIU474" s="340"/>
      <c r="FIV474" s="340"/>
      <c r="FIW474" s="340"/>
      <c r="FIX474" s="340"/>
      <c r="FIY474" s="340"/>
      <c r="FIZ474" s="340"/>
      <c r="FJA474" s="340"/>
      <c r="FJB474" s="340"/>
      <c r="FJC474" s="340"/>
      <c r="FJD474" s="340"/>
      <c r="FJE474" s="340"/>
      <c r="FJF474" s="340"/>
      <c r="FJG474" s="340"/>
      <c r="FJH474" s="340"/>
      <c r="FJI474" s="340"/>
      <c r="FJJ474" s="340"/>
      <c r="FJK474" s="340"/>
      <c r="FJL474" s="340"/>
      <c r="FJM474" s="340"/>
      <c r="FJN474" s="340"/>
      <c r="FJO474" s="340"/>
      <c r="FJP474" s="340"/>
      <c r="FJQ474" s="340"/>
      <c r="FJR474" s="340"/>
      <c r="FJS474" s="340"/>
      <c r="FJT474" s="340"/>
      <c r="FJU474" s="340"/>
      <c r="FJV474" s="340"/>
      <c r="FJW474" s="340"/>
      <c r="FJX474" s="340"/>
      <c r="FJY474" s="340"/>
      <c r="FJZ474" s="340"/>
      <c r="FKA474" s="340"/>
      <c r="FKB474" s="340"/>
      <c r="FKC474" s="340"/>
      <c r="FKD474" s="340"/>
      <c r="FKE474" s="340"/>
      <c r="FKF474" s="340"/>
      <c r="FKG474" s="340"/>
      <c r="FKH474" s="340"/>
      <c r="FKI474" s="340"/>
      <c r="FKJ474" s="340"/>
      <c r="FKK474" s="340"/>
      <c r="FKL474" s="340"/>
      <c r="FKM474" s="340"/>
      <c r="FKN474" s="340"/>
      <c r="FKO474" s="340"/>
      <c r="FKP474" s="340"/>
      <c r="FKQ474" s="340"/>
      <c r="FKR474" s="340"/>
      <c r="FKS474" s="340"/>
      <c r="FKT474" s="340"/>
      <c r="FKU474" s="340"/>
      <c r="FKV474" s="340"/>
      <c r="FKW474" s="340"/>
      <c r="FKX474" s="340"/>
      <c r="FKY474" s="340"/>
      <c r="FKZ474" s="340"/>
      <c r="FLA474" s="340"/>
      <c r="FLB474" s="340"/>
      <c r="FLC474" s="340"/>
      <c r="FLD474" s="340"/>
      <c r="FLE474" s="340"/>
      <c r="FLF474" s="340"/>
      <c r="FLG474" s="340"/>
      <c r="FLH474" s="340"/>
      <c r="FLI474" s="340"/>
      <c r="FLJ474" s="340"/>
      <c r="FLK474" s="340"/>
      <c r="FLL474" s="340"/>
      <c r="FLM474" s="340"/>
      <c r="FLN474" s="340"/>
      <c r="FLO474" s="340"/>
      <c r="FLP474" s="340"/>
      <c r="FLQ474" s="340"/>
      <c r="FLR474" s="340"/>
      <c r="FLS474" s="340"/>
      <c r="FLT474" s="340"/>
      <c r="FLU474" s="340"/>
      <c r="FLV474" s="340"/>
      <c r="FLW474" s="340"/>
      <c r="FLX474" s="340"/>
      <c r="FLY474" s="340"/>
      <c r="FLZ474" s="340"/>
      <c r="FMA474" s="340"/>
      <c r="FMB474" s="340"/>
      <c r="FMC474" s="340"/>
      <c r="FMD474" s="340"/>
      <c r="FME474" s="340"/>
      <c r="FMF474" s="340"/>
      <c r="FMG474" s="340"/>
      <c r="FMH474" s="340"/>
      <c r="FMI474" s="340"/>
      <c r="FMJ474" s="340"/>
      <c r="FMK474" s="340"/>
      <c r="FML474" s="340"/>
      <c r="FMM474" s="340"/>
      <c r="FMN474" s="340"/>
      <c r="FMO474" s="340"/>
      <c r="FMP474" s="340"/>
      <c r="FMQ474" s="340"/>
      <c r="FMR474" s="340"/>
      <c r="FMS474" s="340"/>
      <c r="FMT474" s="340"/>
      <c r="FMU474" s="340"/>
      <c r="FMV474" s="340"/>
      <c r="FMW474" s="340"/>
      <c r="FMX474" s="340"/>
      <c r="FMY474" s="340"/>
      <c r="FMZ474" s="340"/>
      <c r="FNA474" s="340"/>
      <c r="FNB474" s="340"/>
      <c r="FNC474" s="340"/>
      <c r="FND474" s="340"/>
      <c r="FNE474" s="340"/>
      <c r="FNF474" s="340"/>
      <c r="FNG474" s="340"/>
      <c r="FNH474" s="340"/>
      <c r="FNI474" s="340"/>
      <c r="FNJ474" s="340"/>
      <c r="FNK474" s="340"/>
      <c r="FNL474" s="340"/>
      <c r="FNM474" s="340"/>
      <c r="FNN474" s="340"/>
      <c r="FNO474" s="340"/>
      <c r="FNP474" s="340"/>
      <c r="FNQ474" s="340"/>
      <c r="FNR474" s="340"/>
      <c r="FNS474" s="340"/>
      <c r="FNT474" s="340"/>
      <c r="FNU474" s="340"/>
      <c r="FNV474" s="340"/>
      <c r="FNW474" s="340"/>
      <c r="FNX474" s="340"/>
      <c r="FNY474" s="340"/>
      <c r="FNZ474" s="340"/>
      <c r="FOA474" s="340"/>
      <c r="FOB474" s="340"/>
      <c r="FOC474" s="340"/>
      <c r="FOD474" s="340"/>
      <c r="FOE474" s="340"/>
      <c r="FOF474" s="340"/>
      <c r="FOG474" s="340"/>
      <c r="FOH474" s="340"/>
      <c r="FOI474" s="340"/>
      <c r="FOJ474" s="340"/>
      <c r="FOK474" s="340"/>
      <c r="FOL474" s="340"/>
      <c r="FOM474" s="340"/>
      <c r="FON474" s="340"/>
      <c r="FOO474" s="340"/>
      <c r="FOP474" s="340"/>
      <c r="FOQ474" s="340"/>
      <c r="FOR474" s="340"/>
      <c r="FOS474" s="340"/>
      <c r="FOT474" s="340"/>
      <c r="FOU474" s="340"/>
      <c r="FOV474" s="340"/>
      <c r="FOW474" s="340"/>
      <c r="FOX474" s="340"/>
      <c r="FOY474" s="340"/>
      <c r="FOZ474" s="340"/>
      <c r="FPA474" s="340"/>
      <c r="FPB474" s="340"/>
      <c r="FPC474" s="340"/>
      <c r="FPD474" s="340"/>
      <c r="FPE474" s="340"/>
      <c r="FPF474" s="340"/>
      <c r="FPG474" s="340"/>
      <c r="FPH474" s="340"/>
      <c r="FPI474" s="340"/>
      <c r="FPJ474" s="340"/>
      <c r="FPK474" s="340"/>
      <c r="FPL474" s="340"/>
      <c r="FPM474" s="340"/>
      <c r="FPN474" s="340"/>
      <c r="FPO474" s="340"/>
      <c r="FPP474" s="340"/>
      <c r="FPQ474" s="340"/>
      <c r="FPR474" s="340"/>
      <c r="FPS474" s="340"/>
      <c r="FPT474" s="340"/>
      <c r="FPU474" s="340"/>
      <c r="FPV474" s="340"/>
      <c r="FPW474" s="340"/>
      <c r="FPX474" s="340"/>
      <c r="FPY474" s="340"/>
      <c r="FPZ474" s="340"/>
      <c r="FQA474" s="340"/>
      <c r="FQB474" s="340"/>
      <c r="FQC474" s="340"/>
      <c r="FQD474" s="340"/>
      <c r="FQE474" s="340"/>
      <c r="FQF474" s="340"/>
      <c r="FQG474" s="340"/>
      <c r="FQH474" s="340"/>
      <c r="FQI474" s="340"/>
      <c r="FQJ474" s="340"/>
      <c r="FQK474" s="340"/>
      <c r="FQL474" s="340"/>
      <c r="FQM474" s="340"/>
      <c r="FQN474" s="340"/>
      <c r="FQO474" s="340"/>
      <c r="FQP474" s="340"/>
      <c r="FQQ474" s="340"/>
      <c r="FQR474" s="340"/>
      <c r="FQS474" s="340"/>
      <c r="FQT474" s="340"/>
      <c r="FQU474" s="340"/>
      <c r="FQV474" s="340"/>
      <c r="FQW474" s="340"/>
      <c r="FQX474" s="340"/>
      <c r="FQY474" s="340"/>
      <c r="FQZ474" s="340"/>
      <c r="FRA474" s="340"/>
      <c r="FRB474" s="340"/>
      <c r="FRC474" s="340"/>
      <c r="FRD474" s="340"/>
      <c r="FRE474" s="340"/>
      <c r="FRF474" s="340"/>
      <c r="FRG474" s="340"/>
      <c r="FRH474" s="340"/>
      <c r="FRI474" s="340"/>
      <c r="FRJ474" s="340"/>
      <c r="FRK474" s="340"/>
      <c r="FRL474" s="340"/>
      <c r="FRM474" s="340"/>
      <c r="FRN474" s="340"/>
      <c r="FRO474" s="340"/>
      <c r="FRP474" s="340"/>
      <c r="FRQ474" s="340"/>
      <c r="FRR474" s="340"/>
      <c r="FRS474" s="340"/>
      <c r="FRT474" s="340"/>
      <c r="FRU474" s="340"/>
      <c r="FRV474" s="340"/>
      <c r="FRW474" s="340"/>
      <c r="FRX474" s="340"/>
      <c r="FRY474" s="340"/>
      <c r="FRZ474" s="340"/>
      <c r="FSA474" s="340"/>
      <c r="FSB474" s="340"/>
      <c r="FSC474" s="340"/>
      <c r="FSD474" s="340"/>
      <c r="FSE474" s="340"/>
      <c r="FSF474" s="340"/>
      <c r="FSG474" s="340"/>
      <c r="FSH474" s="340"/>
      <c r="FSI474" s="340"/>
      <c r="FSJ474" s="340"/>
      <c r="FSK474" s="340"/>
      <c r="FSL474" s="340"/>
      <c r="FSM474" s="340"/>
      <c r="FSN474" s="340"/>
      <c r="FSO474" s="340"/>
      <c r="FSP474" s="340"/>
      <c r="FSQ474" s="340"/>
      <c r="FSR474" s="340"/>
      <c r="FSS474" s="340"/>
      <c r="FST474" s="340"/>
      <c r="FSU474" s="340"/>
      <c r="FSV474" s="340"/>
      <c r="FSW474" s="340"/>
      <c r="FSX474" s="340"/>
      <c r="FSY474" s="340"/>
      <c r="FSZ474" s="340"/>
      <c r="FTA474" s="340"/>
      <c r="FTB474" s="340"/>
      <c r="FTC474" s="340"/>
      <c r="FTD474" s="340"/>
      <c r="FTE474" s="340"/>
      <c r="FTF474" s="340"/>
      <c r="FTG474" s="340"/>
      <c r="FTH474" s="340"/>
      <c r="FTI474" s="340"/>
      <c r="FTJ474" s="340"/>
      <c r="FTK474" s="340"/>
      <c r="FTL474" s="340"/>
      <c r="FTM474" s="340"/>
      <c r="FTN474" s="340"/>
      <c r="FTO474" s="340"/>
      <c r="FTP474" s="340"/>
      <c r="FTQ474" s="340"/>
      <c r="FTR474" s="340"/>
      <c r="FTS474" s="340"/>
      <c r="FTT474" s="340"/>
      <c r="FTU474" s="340"/>
      <c r="FTV474" s="340"/>
      <c r="FTW474" s="340"/>
      <c r="FTX474" s="340"/>
      <c r="FTY474" s="340"/>
      <c r="FTZ474" s="340"/>
      <c r="FUA474" s="340"/>
      <c r="FUB474" s="340"/>
      <c r="FUC474" s="340"/>
      <c r="FUD474" s="340"/>
      <c r="FUE474" s="340"/>
      <c r="FUF474" s="340"/>
      <c r="FUG474" s="340"/>
      <c r="FUH474" s="340"/>
      <c r="FUI474" s="340"/>
      <c r="FUJ474" s="340"/>
      <c r="FUK474" s="340"/>
      <c r="FUL474" s="340"/>
      <c r="FUM474" s="340"/>
      <c r="FUN474" s="340"/>
      <c r="FUO474" s="340"/>
      <c r="FUP474" s="340"/>
      <c r="FUQ474" s="340"/>
      <c r="FUR474" s="340"/>
      <c r="FUS474" s="340"/>
      <c r="FUT474" s="340"/>
      <c r="FUU474" s="340"/>
      <c r="FUV474" s="340"/>
      <c r="FUW474" s="340"/>
      <c r="FUX474" s="340"/>
      <c r="FUY474" s="340"/>
      <c r="FUZ474" s="340"/>
      <c r="FVA474" s="340"/>
      <c r="FVB474" s="340"/>
      <c r="FVC474" s="340"/>
      <c r="FVD474" s="340"/>
      <c r="FVE474" s="340"/>
      <c r="FVF474" s="340"/>
      <c r="FVG474" s="340"/>
      <c r="FVH474" s="340"/>
      <c r="FVI474" s="340"/>
      <c r="FVJ474" s="340"/>
      <c r="FVK474" s="340"/>
      <c r="FVL474" s="340"/>
      <c r="FVM474" s="340"/>
      <c r="FVN474" s="340"/>
      <c r="FVO474" s="340"/>
      <c r="FVP474" s="340"/>
      <c r="FVQ474" s="340"/>
      <c r="FVR474" s="340"/>
      <c r="FVS474" s="340"/>
      <c r="FVT474" s="340"/>
      <c r="FVU474" s="340"/>
      <c r="FVV474" s="340"/>
      <c r="FVW474" s="340"/>
      <c r="FVX474" s="340"/>
      <c r="FVY474" s="340"/>
      <c r="FVZ474" s="340"/>
      <c r="FWA474" s="340"/>
      <c r="FWB474" s="340"/>
      <c r="FWC474" s="340"/>
      <c r="FWD474" s="340"/>
      <c r="FWE474" s="340"/>
      <c r="FWF474" s="340"/>
      <c r="FWG474" s="340"/>
      <c r="FWH474" s="340"/>
      <c r="FWI474" s="340"/>
      <c r="FWJ474" s="340"/>
      <c r="FWK474" s="340"/>
      <c r="FWL474" s="340"/>
      <c r="FWM474" s="340"/>
      <c r="FWN474" s="340"/>
      <c r="FWO474" s="340"/>
      <c r="FWP474" s="340"/>
      <c r="FWQ474" s="340"/>
      <c r="FWR474" s="340"/>
      <c r="FWS474" s="340"/>
      <c r="FWT474" s="340"/>
      <c r="FWU474" s="340"/>
      <c r="FWV474" s="340"/>
      <c r="FWW474" s="340"/>
      <c r="FWX474" s="340"/>
      <c r="FWY474" s="340"/>
      <c r="FWZ474" s="340"/>
      <c r="FXA474" s="340"/>
      <c r="FXB474" s="340"/>
      <c r="FXC474" s="340"/>
      <c r="FXD474" s="340"/>
      <c r="FXE474" s="340"/>
      <c r="FXF474" s="340"/>
      <c r="FXG474" s="340"/>
      <c r="FXH474" s="340"/>
      <c r="FXI474" s="340"/>
      <c r="FXJ474" s="340"/>
      <c r="FXK474" s="340"/>
      <c r="FXL474" s="340"/>
      <c r="FXM474" s="340"/>
      <c r="FXN474" s="340"/>
      <c r="FXO474" s="340"/>
      <c r="FXP474" s="340"/>
      <c r="FXQ474" s="340"/>
      <c r="FXR474" s="340"/>
      <c r="FXS474" s="340"/>
      <c r="FXT474" s="340"/>
      <c r="FXU474" s="340"/>
      <c r="FXV474" s="340"/>
      <c r="FXW474" s="340"/>
      <c r="FXX474" s="340"/>
      <c r="FXY474" s="340"/>
      <c r="FXZ474" s="340"/>
      <c r="FYA474" s="340"/>
      <c r="FYB474" s="340"/>
      <c r="FYC474" s="340"/>
      <c r="FYD474" s="340"/>
      <c r="FYE474" s="340"/>
      <c r="FYF474" s="340"/>
      <c r="FYG474" s="340"/>
      <c r="FYH474" s="340"/>
      <c r="FYI474" s="340"/>
      <c r="FYJ474" s="340"/>
      <c r="FYK474" s="340"/>
      <c r="FYL474" s="340"/>
      <c r="FYM474" s="340"/>
      <c r="FYN474" s="340"/>
      <c r="FYO474" s="340"/>
      <c r="FYP474" s="340"/>
      <c r="FYQ474" s="340"/>
      <c r="FYR474" s="340"/>
      <c r="FYS474" s="340"/>
      <c r="FYT474" s="340"/>
      <c r="FYU474" s="340"/>
      <c r="FYV474" s="340"/>
      <c r="FYW474" s="340"/>
      <c r="FYX474" s="340"/>
      <c r="FYY474" s="340"/>
      <c r="FYZ474" s="340"/>
      <c r="FZA474" s="340"/>
      <c r="FZB474" s="340"/>
      <c r="FZC474" s="340"/>
      <c r="FZD474" s="340"/>
      <c r="FZE474" s="340"/>
      <c r="FZF474" s="340"/>
      <c r="FZG474" s="340"/>
      <c r="FZH474" s="340"/>
      <c r="FZI474" s="340"/>
      <c r="FZJ474" s="340"/>
      <c r="FZK474" s="340"/>
      <c r="FZL474" s="340"/>
      <c r="FZM474" s="340"/>
      <c r="FZN474" s="340"/>
      <c r="FZO474" s="340"/>
      <c r="FZP474" s="340"/>
      <c r="FZQ474" s="340"/>
      <c r="FZR474" s="340"/>
      <c r="FZS474" s="340"/>
      <c r="FZT474" s="340"/>
      <c r="FZU474" s="340"/>
      <c r="FZV474" s="340"/>
      <c r="FZW474" s="340"/>
      <c r="FZX474" s="340"/>
      <c r="FZY474" s="340"/>
      <c r="FZZ474" s="340"/>
      <c r="GAA474" s="340"/>
      <c r="GAB474" s="340"/>
      <c r="GAC474" s="340"/>
      <c r="GAD474" s="340"/>
      <c r="GAE474" s="340"/>
      <c r="GAF474" s="340"/>
      <c r="GAG474" s="340"/>
      <c r="GAH474" s="340"/>
      <c r="GAI474" s="340"/>
      <c r="GAJ474" s="340"/>
      <c r="GAK474" s="340"/>
      <c r="GAL474" s="340"/>
      <c r="GAM474" s="340"/>
      <c r="GAN474" s="340"/>
      <c r="GAO474" s="340"/>
      <c r="GAP474" s="340"/>
      <c r="GAQ474" s="340"/>
      <c r="GAR474" s="340"/>
      <c r="GAS474" s="340"/>
      <c r="GAT474" s="340"/>
      <c r="GAU474" s="340"/>
      <c r="GAV474" s="340"/>
      <c r="GAW474" s="340"/>
      <c r="GAX474" s="340"/>
      <c r="GAY474" s="340"/>
      <c r="GAZ474" s="340"/>
      <c r="GBA474" s="340"/>
      <c r="GBB474" s="340"/>
      <c r="GBC474" s="340"/>
      <c r="GBD474" s="340"/>
      <c r="GBE474" s="340"/>
      <c r="GBF474" s="340"/>
      <c r="GBG474" s="340"/>
      <c r="GBH474" s="340"/>
      <c r="GBI474" s="340"/>
      <c r="GBJ474" s="340"/>
      <c r="GBK474" s="340"/>
      <c r="GBL474" s="340"/>
      <c r="GBM474" s="340"/>
      <c r="GBN474" s="340"/>
      <c r="GBO474" s="340"/>
      <c r="GBP474" s="340"/>
      <c r="GBQ474" s="340"/>
      <c r="GBR474" s="340"/>
      <c r="GBS474" s="340"/>
      <c r="GBT474" s="340"/>
      <c r="GBU474" s="340"/>
      <c r="GBV474" s="340"/>
      <c r="GBW474" s="340"/>
      <c r="GBX474" s="340"/>
      <c r="GBY474" s="340"/>
      <c r="GBZ474" s="340"/>
      <c r="GCA474" s="340"/>
      <c r="GCB474" s="340"/>
      <c r="GCC474" s="340"/>
      <c r="GCD474" s="340"/>
      <c r="GCE474" s="340"/>
      <c r="GCF474" s="340"/>
      <c r="GCG474" s="340"/>
      <c r="GCH474" s="340"/>
      <c r="GCI474" s="340"/>
      <c r="GCJ474" s="340"/>
      <c r="GCK474" s="340"/>
      <c r="GCL474" s="340"/>
      <c r="GCM474" s="340"/>
      <c r="GCN474" s="340"/>
      <c r="GCO474" s="340"/>
      <c r="GCP474" s="340"/>
      <c r="GCQ474" s="340"/>
      <c r="GCR474" s="340"/>
      <c r="GCS474" s="340"/>
      <c r="GCT474" s="340"/>
      <c r="GCU474" s="340"/>
      <c r="GCV474" s="340"/>
      <c r="GCW474" s="340"/>
      <c r="GCX474" s="340"/>
      <c r="GCY474" s="340"/>
      <c r="GCZ474" s="340"/>
      <c r="GDA474" s="340"/>
      <c r="GDB474" s="340"/>
      <c r="GDC474" s="340"/>
      <c r="GDD474" s="340"/>
      <c r="GDE474" s="340"/>
      <c r="GDF474" s="340"/>
      <c r="GDG474" s="340"/>
      <c r="GDH474" s="340"/>
      <c r="GDI474" s="340"/>
      <c r="GDJ474" s="340"/>
      <c r="GDK474" s="340"/>
      <c r="GDL474" s="340"/>
      <c r="GDM474" s="340"/>
      <c r="GDN474" s="340"/>
      <c r="GDO474" s="340"/>
      <c r="GDP474" s="340"/>
      <c r="GDQ474" s="340"/>
      <c r="GDR474" s="340"/>
      <c r="GDS474" s="340"/>
      <c r="GDT474" s="340"/>
      <c r="GDU474" s="340"/>
      <c r="GDV474" s="340"/>
      <c r="GDW474" s="340"/>
      <c r="GDX474" s="340"/>
      <c r="GDY474" s="340"/>
      <c r="GDZ474" s="340"/>
      <c r="GEA474" s="340"/>
      <c r="GEB474" s="340"/>
      <c r="GEC474" s="340"/>
      <c r="GED474" s="340"/>
      <c r="GEE474" s="340"/>
      <c r="GEF474" s="340"/>
      <c r="GEG474" s="340"/>
      <c r="GEH474" s="340"/>
      <c r="GEI474" s="340"/>
      <c r="GEJ474" s="340"/>
      <c r="GEK474" s="340"/>
      <c r="GEL474" s="340"/>
      <c r="GEM474" s="340"/>
      <c r="GEN474" s="340"/>
      <c r="GEO474" s="340"/>
      <c r="GEP474" s="340"/>
      <c r="GEQ474" s="340"/>
      <c r="GER474" s="340"/>
      <c r="GES474" s="340"/>
      <c r="GET474" s="340"/>
      <c r="GEU474" s="340"/>
      <c r="GEV474" s="340"/>
      <c r="GEW474" s="340"/>
      <c r="GEX474" s="340"/>
      <c r="GEY474" s="340"/>
      <c r="GEZ474" s="340"/>
      <c r="GFA474" s="340"/>
      <c r="GFB474" s="340"/>
      <c r="GFC474" s="340"/>
      <c r="GFD474" s="340"/>
      <c r="GFE474" s="340"/>
      <c r="GFF474" s="340"/>
      <c r="GFG474" s="340"/>
      <c r="GFH474" s="340"/>
      <c r="GFI474" s="340"/>
      <c r="GFJ474" s="340"/>
      <c r="GFK474" s="340"/>
      <c r="GFL474" s="340"/>
      <c r="GFM474" s="340"/>
      <c r="GFN474" s="340"/>
      <c r="GFO474" s="340"/>
      <c r="GFP474" s="340"/>
      <c r="GFQ474" s="340"/>
      <c r="GFR474" s="340"/>
      <c r="GFS474" s="340"/>
      <c r="GFT474" s="340"/>
      <c r="GFU474" s="340"/>
      <c r="GFV474" s="340"/>
      <c r="GFW474" s="340"/>
      <c r="GFX474" s="340"/>
      <c r="GFY474" s="340"/>
      <c r="GFZ474" s="340"/>
      <c r="GGA474" s="340"/>
      <c r="GGB474" s="340"/>
      <c r="GGC474" s="340"/>
      <c r="GGD474" s="340"/>
      <c r="GGE474" s="340"/>
      <c r="GGF474" s="340"/>
      <c r="GGG474" s="340"/>
      <c r="GGH474" s="340"/>
      <c r="GGI474" s="340"/>
      <c r="GGJ474" s="340"/>
      <c r="GGK474" s="340"/>
      <c r="GGL474" s="340"/>
      <c r="GGM474" s="340"/>
      <c r="GGN474" s="340"/>
      <c r="GGO474" s="340"/>
      <c r="GGP474" s="340"/>
      <c r="GGQ474" s="340"/>
      <c r="GGR474" s="340"/>
      <c r="GGS474" s="340"/>
      <c r="GGT474" s="340"/>
      <c r="GGU474" s="340"/>
      <c r="GGV474" s="340"/>
      <c r="GGW474" s="340"/>
      <c r="GGX474" s="340"/>
      <c r="GGY474" s="340"/>
      <c r="GGZ474" s="340"/>
      <c r="GHA474" s="340"/>
      <c r="GHB474" s="340"/>
      <c r="GHC474" s="340"/>
      <c r="GHD474" s="340"/>
      <c r="GHE474" s="340"/>
      <c r="GHF474" s="340"/>
      <c r="GHG474" s="340"/>
      <c r="GHH474" s="340"/>
      <c r="GHI474" s="340"/>
      <c r="GHJ474" s="340"/>
      <c r="GHK474" s="340"/>
      <c r="GHL474" s="340"/>
      <c r="GHM474" s="340"/>
      <c r="GHN474" s="340"/>
      <c r="GHO474" s="340"/>
      <c r="GHP474" s="340"/>
      <c r="GHQ474" s="340"/>
      <c r="GHR474" s="340"/>
      <c r="GHS474" s="340"/>
      <c r="GHT474" s="340"/>
      <c r="GHU474" s="340"/>
      <c r="GHV474" s="340"/>
      <c r="GHW474" s="340"/>
      <c r="GHX474" s="340"/>
      <c r="GHY474" s="340"/>
      <c r="GHZ474" s="340"/>
      <c r="GIA474" s="340"/>
      <c r="GIB474" s="340"/>
      <c r="GIC474" s="340"/>
      <c r="GID474" s="340"/>
      <c r="GIE474" s="340"/>
      <c r="GIF474" s="340"/>
      <c r="GIG474" s="340"/>
      <c r="GIH474" s="340"/>
      <c r="GII474" s="340"/>
      <c r="GIJ474" s="340"/>
      <c r="GIK474" s="340"/>
      <c r="GIL474" s="340"/>
      <c r="GIM474" s="340"/>
      <c r="GIN474" s="340"/>
      <c r="GIO474" s="340"/>
      <c r="GIP474" s="340"/>
      <c r="GIQ474" s="340"/>
      <c r="GIR474" s="340"/>
      <c r="GIS474" s="340"/>
      <c r="GIT474" s="340"/>
      <c r="GIU474" s="340"/>
      <c r="GIV474" s="340"/>
      <c r="GIW474" s="340"/>
      <c r="GIX474" s="340"/>
      <c r="GIY474" s="340"/>
      <c r="GIZ474" s="340"/>
      <c r="GJA474" s="340"/>
      <c r="GJB474" s="340"/>
      <c r="GJC474" s="340"/>
      <c r="GJD474" s="340"/>
      <c r="GJE474" s="340"/>
      <c r="GJF474" s="340"/>
      <c r="GJG474" s="340"/>
      <c r="GJH474" s="340"/>
      <c r="GJI474" s="340"/>
      <c r="GJJ474" s="340"/>
      <c r="GJK474" s="340"/>
      <c r="GJL474" s="340"/>
      <c r="GJM474" s="340"/>
      <c r="GJN474" s="340"/>
      <c r="GJO474" s="340"/>
      <c r="GJP474" s="340"/>
      <c r="GJQ474" s="340"/>
      <c r="GJR474" s="340"/>
      <c r="GJS474" s="340"/>
      <c r="GJT474" s="340"/>
      <c r="GJU474" s="340"/>
      <c r="GJV474" s="340"/>
      <c r="GJW474" s="340"/>
      <c r="GJX474" s="340"/>
      <c r="GJY474" s="340"/>
      <c r="GJZ474" s="340"/>
      <c r="GKA474" s="340"/>
      <c r="GKB474" s="340"/>
      <c r="GKC474" s="340"/>
      <c r="GKD474" s="340"/>
      <c r="GKE474" s="340"/>
      <c r="GKF474" s="340"/>
      <c r="GKG474" s="340"/>
      <c r="GKH474" s="340"/>
      <c r="GKI474" s="340"/>
      <c r="GKJ474" s="340"/>
      <c r="GKK474" s="340"/>
      <c r="GKL474" s="340"/>
      <c r="GKM474" s="340"/>
      <c r="GKN474" s="340"/>
      <c r="GKO474" s="340"/>
      <c r="GKP474" s="340"/>
      <c r="GKQ474" s="340"/>
      <c r="GKR474" s="340"/>
      <c r="GKS474" s="340"/>
      <c r="GKT474" s="340"/>
      <c r="GKU474" s="340"/>
      <c r="GKV474" s="340"/>
      <c r="GKW474" s="340"/>
      <c r="GKX474" s="340"/>
      <c r="GKY474" s="340"/>
      <c r="GKZ474" s="340"/>
      <c r="GLA474" s="340"/>
      <c r="GLB474" s="340"/>
      <c r="GLC474" s="340"/>
      <c r="GLD474" s="340"/>
      <c r="GLE474" s="340"/>
      <c r="GLF474" s="340"/>
      <c r="GLG474" s="340"/>
      <c r="GLH474" s="340"/>
      <c r="GLI474" s="340"/>
      <c r="GLJ474" s="340"/>
      <c r="GLK474" s="340"/>
      <c r="GLL474" s="340"/>
      <c r="GLM474" s="340"/>
      <c r="GLN474" s="340"/>
      <c r="GLO474" s="340"/>
      <c r="GLP474" s="340"/>
      <c r="GLQ474" s="340"/>
      <c r="GLR474" s="340"/>
      <c r="GLS474" s="340"/>
      <c r="GLT474" s="340"/>
      <c r="GLU474" s="340"/>
      <c r="GLV474" s="340"/>
      <c r="GLW474" s="340"/>
      <c r="GLX474" s="340"/>
      <c r="GLY474" s="340"/>
      <c r="GLZ474" s="340"/>
      <c r="GMA474" s="340"/>
      <c r="GMB474" s="340"/>
      <c r="GMC474" s="340"/>
      <c r="GMD474" s="340"/>
      <c r="GME474" s="340"/>
      <c r="GMF474" s="340"/>
      <c r="GMG474" s="340"/>
      <c r="GMH474" s="340"/>
      <c r="GMI474" s="340"/>
      <c r="GMJ474" s="340"/>
      <c r="GMK474" s="340"/>
      <c r="GML474" s="340"/>
      <c r="GMM474" s="340"/>
      <c r="GMN474" s="340"/>
      <c r="GMO474" s="340"/>
      <c r="GMP474" s="340"/>
      <c r="GMQ474" s="340"/>
      <c r="GMR474" s="340"/>
      <c r="GMS474" s="340"/>
      <c r="GMT474" s="340"/>
      <c r="GMU474" s="340"/>
      <c r="GMV474" s="340"/>
      <c r="GMW474" s="340"/>
      <c r="GMX474" s="340"/>
      <c r="GMY474" s="340"/>
      <c r="GMZ474" s="340"/>
      <c r="GNA474" s="340"/>
      <c r="GNB474" s="340"/>
      <c r="GNC474" s="340"/>
      <c r="GND474" s="340"/>
      <c r="GNE474" s="340"/>
      <c r="GNF474" s="340"/>
      <c r="GNG474" s="340"/>
      <c r="GNH474" s="340"/>
      <c r="GNI474" s="340"/>
      <c r="GNJ474" s="340"/>
      <c r="GNK474" s="340"/>
      <c r="GNL474" s="340"/>
      <c r="GNM474" s="340"/>
      <c r="GNN474" s="340"/>
      <c r="GNO474" s="340"/>
      <c r="GNP474" s="340"/>
      <c r="GNQ474" s="340"/>
      <c r="GNR474" s="340"/>
      <c r="GNS474" s="340"/>
      <c r="GNT474" s="340"/>
      <c r="GNU474" s="340"/>
      <c r="GNV474" s="340"/>
      <c r="GNW474" s="340"/>
      <c r="GNX474" s="340"/>
      <c r="GNY474" s="340"/>
      <c r="GNZ474" s="340"/>
      <c r="GOA474" s="340"/>
      <c r="GOB474" s="340"/>
      <c r="GOC474" s="340"/>
      <c r="GOD474" s="340"/>
      <c r="GOE474" s="340"/>
      <c r="GOF474" s="340"/>
      <c r="GOG474" s="340"/>
      <c r="GOH474" s="340"/>
      <c r="GOI474" s="340"/>
      <c r="GOJ474" s="340"/>
      <c r="GOK474" s="340"/>
      <c r="GOL474" s="340"/>
      <c r="GOM474" s="340"/>
      <c r="GON474" s="340"/>
      <c r="GOO474" s="340"/>
      <c r="GOP474" s="340"/>
      <c r="GOQ474" s="340"/>
      <c r="GOR474" s="340"/>
      <c r="GOS474" s="340"/>
      <c r="GOT474" s="340"/>
      <c r="GOU474" s="340"/>
      <c r="GOV474" s="340"/>
      <c r="GOW474" s="340"/>
      <c r="GOX474" s="340"/>
      <c r="GOY474" s="340"/>
      <c r="GOZ474" s="340"/>
      <c r="GPA474" s="340"/>
      <c r="GPB474" s="340"/>
      <c r="GPC474" s="340"/>
      <c r="GPD474" s="340"/>
      <c r="GPE474" s="340"/>
      <c r="GPF474" s="340"/>
      <c r="GPG474" s="340"/>
      <c r="GPH474" s="340"/>
      <c r="GPI474" s="340"/>
      <c r="GPJ474" s="340"/>
      <c r="GPK474" s="340"/>
      <c r="GPL474" s="340"/>
      <c r="GPM474" s="340"/>
      <c r="GPN474" s="340"/>
      <c r="GPO474" s="340"/>
      <c r="GPP474" s="340"/>
      <c r="GPQ474" s="340"/>
      <c r="GPR474" s="340"/>
      <c r="GPS474" s="340"/>
      <c r="GPT474" s="340"/>
      <c r="GPU474" s="340"/>
      <c r="GPV474" s="340"/>
      <c r="GPW474" s="340"/>
      <c r="GPX474" s="340"/>
      <c r="GPY474" s="340"/>
      <c r="GPZ474" s="340"/>
      <c r="GQA474" s="340"/>
      <c r="GQB474" s="340"/>
      <c r="GQC474" s="340"/>
      <c r="GQD474" s="340"/>
      <c r="GQE474" s="340"/>
      <c r="GQF474" s="340"/>
      <c r="GQG474" s="340"/>
      <c r="GQH474" s="340"/>
      <c r="GQI474" s="340"/>
      <c r="GQJ474" s="340"/>
      <c r="GQK474" s="340"/>
      <c r="GQL474" s="340"/>
      <c r="GQM474" s="340"/>
      <c r="GQN474" s="340"/>
      <c r="GQO474" s="340"/>
      <c r="GQP474" s="340"/>
      <c r="GQQ474" s="340"/>
      <c r="GQR474" s="340"/>
      <c r="GQS474" s="340"/>
      <c r="GQT474" s="340"/>
      <c r="GQU474" s="340"/>
      <c r="GQV474" s="340"/>
      <c r="GQW474" s="340"/>
      <c r="GQX474" s="340"/>
      <c r="GQY474" s="340"/>
      <c r="GQZ474" s="340"/>
      <c r="GRA474" s="340"/>
      <c r="GRB474" s="340"/>
      <c r="GRC474" s="340"/>
      <c r="GRD474" s="340"/>
      <c r="GRE474" s="340"/>
      <c r="GRF474" s="340"/>
      <c r="GRG474" s="340"/>
      <c r="GRH474" s="340"/>
      <c r="GRI474" s="340"/>
      <c r="GRJ474" s="340"/>
      <c r="GRK474" s="340"/>
      <c r="GRL474" s="340"/>
      <c r="GRM474" s="340"/>
      <c r="GRN474" s="340"/>
      <c r="GRO474" s="340"/>
      <c r="GRP474" s="340"/>
      <c r="GRQ474" s="340"/>
      <c r="GRR474" s="340"/>
      <c r="GRS474" s="340"/>
      <c r="GRT474" s="340"/>
      <c r="GRU474" s="340"/>
      <c r="GRV474" s="340"/>
      <c r="GRW474" s="340"/>
      <c r="GRX474" s="340"/>
      <c r="GRY474" s="340"/>
      <c r="GRZ474" s="340"/>
      <c r="GSA474" s="340"/>
      <c r="GSB474" s="340"/>
      <c r="GSC474" s="340"/>
      <c r="GSD474" s="340"/>
      <c r="GSE474" s="340"/>
      <c r="GSF474" s="340"/>
      <c r="GSG474" s="340"/>
      <c r="GSH474" s="340"/>
      <c r="GSI474" s="340"/>
      <c r="GSJ474" s="340"/>
      <c r="GSK474" s="340"/>
      <c r="GSL474" s="340"/>
      <c r="GSM474" s="340"/>
      <c r="GSN474" s="340"/>
      <c r="GSO474" s="340"/>
      <c r="GSP474" s="340"/>
      <c r="GSQ474" s="340"/>
      <c r="GSR474" s="340"/>
      <c r="GSS474" s="340"/>
      <c r="GST474" s="340"/>
      <c r="GSU474" s="340"/>
      <c r="GSV474" s="340"/>
      <c r="GSW474" s="340"/>
      <c r="GSX474" s="340"/>
      <c r="GSY474" s="340"/>
      <c r="GSZ474" s="340"/>
      <c r="GTA474" s="340"/>
      <c r="GTB474" s="340"/>
      <c r="GTC474" s="340"/>
      <c r="GTD474" s="340"/>
      <c r="GTE474" s="340"/>
      <c r="GTF474" s="340"/>
      <c r="GTG474" s="340"/>
      <c r="GTH474" s="340"/>
      <c r="GTI474" s="340"/>
      <c r="GTJ474" s="340"/>
      <c r="GTK474" s="340"/>
      <c r="GTL474" s="340"/>
      <c r="GTM474" s="340"/>
      <c r="GTN474" s="340"/>
      <c r="GTO474" s="340"/>
      <c r="GTP474" s="340"/>
      <c r="GTQ474" s="340"/>
      <c r="GTR474" s="340"/>
      <c r="GTS474" s="340"/>
      <c r="GTT474" s="340"/>
      <c r="GTU474" s="340"/>
      <c r="GTV474" s="340"/>
      <c r="GTW474" s="340"/>
      <c r="GTX474" s="340"/>
      <c r="GTY474" s="340"/>
      <c r="GTZ474" s="340"/>
      <c r="GUA474" s="340"/>
      <c r="GUB474" s="340"/>
      <c r="GUC474" s="340"/>
      <c r="GUD474" s="340"/>
      <c r="GUE474" s="340"/>
      <c r="GUF474" s="340"/>
      <c r="GUG474" s="340"/>
      <c r="GUH474" s="340"/>
      <c r="GUI474" s="340"/>
      <c r="GUJ474" s="340"/>
      <c r="GUK474" s="340"/>
      <c r="GUL474" s="340"/>
      <c r="GUM474" s="340"/>
      <c r="GUN474" s="340"/>
      <c r="GUO474" s="340"/>
      <c r="GUP474" s="340"/>
      <c r="GUQ474" s="340"/>
      <c r="GUR474" s="340"/>
      <c r="GUS474" s="340"/>
      <c r="GUT474" s="340"/>
      <c r="GUU474" s="340"/>
      <c r="GUV474" s="340"/>
      <c r="GUW474" s="340"/>
      <c r="GUX474" s="340"/>
      <c r="GUY474" s="340"/>
      <c r="GUZ474" s="340"/>
      <c r="GVA474" s="340"/>
      <c r="GVB474" s="340"/>
      <c r="GVC474" s="340"/>
      <c r="GVD474" s="340"/>
      <c r="GVE474" s="340"/>
      <c r="GVF474" s="340"/>
      <c r="GVG474" s="340"/>
      <c r="GVH474" s="340"/>
      <c r="GVI474" s="340"/>
      <c r="GVJ474" s="340"/>
      <c r="GVK474" s="340"/>
      <c r="GVL474" s="340"/>
      <c r="GVM474" s="340"/>
      <c r="GVN474" s="340"/>
      <c r="GVO474" s="340"/>
      <c r="GVP474" s="340"/>
      <c r="GVQ474" s="340"/>
      <c r="GVR474" s="340"/>
      <c r="GVS474" s="340"/>
      <c r="GVT474" s="340"/>
      <c r="GVU474" s="340"/>
      <c r="GVV474" s="340"/>
      <c r="GVW474" s="340"/>
      <c r="GVX474" s="340"/>
      <c r="GVY474" s="340"/>
      <c r="GVZ474" s="340"/>
      <c r="GWA474" s="340"/>
      <c r="GWB474" s="340"/>
      <c r="GWC474" s="340"/>
      <c r="GWD474" s="340"/>
      <c r="GWE474" s="340"/>
      <c r="GWF474" s="340"/>
      <c r="GWG474" s="340"/>
      <c r="GWH474" s="340"/>
      <c r="GWI474" s="340"/>
      <c r="GWJ474" s="340"/>
      <c r="GWK474" s="340"/>
      <c r="GWL474" s="340"/>
      <c r="GWM474" s="340"/>
      <c r="GWN474" s="340"/>
      <c r="GWO474" s="340"/>
      <c r="GWP474" s="340"/>
      <c r="GWQ474" s="340"/>
      <c r="GWR474" s="340"/>
      <c r="GWS474" s="340"/>
      <c r="GWT474" s="340"/>
      <c r="GWU474" s="340"/>
      <c r="GWV474" s="340"/>
      <c r="GWW474" s="340"/>
      <c r="GWX474" s="340"/>
      <c r="GWY474" s="340"/>
      <c r="GWZ474" s="340"/>
      <c r="GXA474" s="340"/>
      <c r="GXB474" s="340"/>
      <c r="GXC474" s="340"/>
      <c r="GXD474" s="340"/>
      <c r="GXE474" s="340"/>
      <c r="GXF474" s="340"/>
      <c r="GXG474" s="340"/>
      <c r="GXH474" s="340"/>
      <c r="GXI474" s="340"/>
      <c r="GXJ474" s="340"/>
      <c r="GXK474" s="340"/>
      <c r="GXL474" s="340"/>
      <c r="GXM474" s="340"/>
      <c r="GXN474" s="340"/>
      <c r="GXO474" s="340"/>
      <c r="GXP474" s="340"/>
      <c r="GXQ474" s="340"/>
      <c r="GXR474" s="340"/>
      <c r="GXS474" s="340"/>
      <c r="GXT474" s="340"/>
      <c r="GXU474" s="340"/>
      <c r="GXV474" s="340"/>
      <c r="GXW474" s="340"/>
      <c r="GXX474" s="340"/>
      <c r="GXY474" s="340"/>
      <c r="GXZ474" s="340"/>
      <c r="GYA474" s="340"/>
      <c r="GYB474" s="340"/>
      <c r="GYC474" s="340"/>
      <c r="GYD474" s="340"/>
      <c r="GYE474" s="340"/>
      <c r="GYF474" s="340"/>
      <c r="GYG474" s="340"/>
      <c r="GYH474" s="340"/>
      <c r="GYI474" s="340"/>
      <c r="GYJ474" s="340"/>
      <c r="GYK474" s="340"/>
      <c r="GYL474" s="340"/>
      <c r="GYM474" s="340"/>
      <c r="GYN474" s="340"/>
      <c r="GYO474" s="340"/>
      <c r="GYP474" s="340"/>
      <c r="GYQ474" s="340"/>
      <c r="GYR474" s="340"/>
      <c r="GYS474" s="340"/>
      <c r="GYT474" s="340"/>
      <c r="GYU474" s="340"/>
      <c r="GYV474" s="340"/>
      <c r="GYW474" s="340"/>
      <c r="GYX474" s="340"/>
      <c r="GYY474" s="340"/>
      <c r="GYZ474" s="340"/>
      <c r="GZA474" s="340"/>
      <c r="GZB474" s="340"/>
      <c r="GZC474" s="340"/>
      <c r="GZD474" s="340"/>
      <c r="GZE474" s="340"/>
      <c r="GZF474" s="340"/>
      <c r="GZG474" s="340"/>
      <c r="GZH474" s="340"/>
      <c r="GZI474" s="340"/>
      <c r="GZJ474" s="340"/>
      <c r="GZK474" s="340"/>
      <c r="GZL474" s="340"/>
      <c r="GZM474" s="340"/>
      <c r="GZN474" s="340"/>
      <c r="GZO474" s="340"/>
      <c r="GZP474" s="340"/>
      <c r="GZQ474" s="340"/>
      <c r="GZR474" s="340"/>
      <c r="GZS474" s="340"/>
      <c r="GZT474" s="340"/>
      <c r="GZU474" s="340"/>
      <c r="GZV474" s="340"/>
      <c r="GZW474" s="340"/>
      <c r="GZX474" s="340"/>
      <c r="GZY474" s="340"/>
      <c r="GZZ474" s="340"/>
      <c r="HAA474" s="340"/>
      <c r="HAB474" s="340"/>
      <c r="HAC474" s="340"/>
      <c r="HAD474" s="340"/>
      <c r="HAE474" s="340"/>
      <c r="HAF474" s="340"/>
      <c r="HAG474" s="340"/>
      <c r="HAH474" s="340"/>
      <c r="HAI474" s="340"/>
      <c r="HAJ474" s="340"/>
      <c r="HAK474" s="340"/>
      <c r="HAL474" s="340"/>
      <c r="HAM474" s="340"/>
      <c r="HAN474" s="340"/>
      <c r="HAO474" s="340"/>
      <c r="HAP474" s="340"/>
      <c r="HAQ474" s="340"/>
      <c r="HAR474" s="340"/>
      <c r="HAS474" s="340"/>
      <c r="HAT474" s="340"/>
      <c r="HAU474" s="340"/>
      <c r="HAV474" s="340"/>
      <c r="HAW474" s="340"/>
      <c r="HAX474" s="340"/>
      <c r="HAY474" s="340"/>
      <c r="HAZ474" s="340"/>
      <c r="HBA474" s="340"/>
      <c r="HBB474" s="340"/>
      <c r="HBC474" s="340"/>
      <c r="HBD474" s="340"/>
      <c r="HBE474" s="340"/>
      <c r="HBF474" s="340"/>
      <c r="HBG474" s="340"/>
      <c r="HBH474" s="340"/>
      <c r="HBI474" s="340"/>
      <c r="HBJ474" s="340"/>
      <c r="HBK474" s="340"/>
      <c r="HBL474" s="340"/>
      <c r="HBM474" s="340"/>
      <c r="HBN474" s="340"/>
      <c r="HBO474" s="340"/>
      <c r="HBP474" s="340"/>
      <c r="HBQ474" s="340"/>
      <c r="HBR474" s="340"/>
      <c r="HBS474" s="340"/>
      <c r="HBT474" s="340"/>
      <c r="HBU474" s="340"/>
      <c r="HBV474" s="340"/>
      <c r="HBW474" s="340"/>
      <c r="HBX474" s="340"/>
      <c r="HBY474" s="340"/>
      <c r="HBZ474" s="340"/>
      <c r="HCA474" s="340"/>
      <c r="HCB474" s="340"/>
      <c r="HCC474" s="340"/>
      <c r="HCD474" s="340"/>
      <c r="HCE474" s="340"/>
      <c r="HCF474" s="340"/>
      <c r="HCG474" s="340"/>
      <c r="HCH474" s="340"/>
      <c r="HCI474" s="340"/>
      <c r="HCJ474" s="340"/>
      <c r="HCK474" s="340"/>
      <c r="HCL474" s="340"/>
      <c r="HCM474" s="340"/>
      <c r="HCN474" s="340"/>
      <c r="HCO474" s="340"/>
      <c r="HCP474" s="340"/>
      <c r="HCQ474" s="340"/>
      <c r="HCR474" s="340"/>
      <c r="HCS474" s="340"/>
      <c r="HCT474" s="340"/>
      <c r="HCU474" s="340"/>
      <c r="HCV474" s="340"/>
      <c r="HCW474" s="340"/>
      <c r="HCX474" s="340"/>
      <c r="HCY474" s="340"/>
      <c r="HCZ474" s="340"/>
      <c r="HDA474" s="340"/>
      <c r="HDB474" s="340"/>
      <c r="HDC474" s="340"/>
      <c r="HDD474" s="340"/>
      <c r="HDE474" s="340"/>
      <c r="HDF474" s="340"/>
      <c r="HDG474" s="340"/>
      <c r="HDH474" s="340"/>
      <c r="HDI474" s="340"/>
      <c r="HDJ474" s="340"/>
      <c r="HDK474" s="340"/>
      <c r="HDL474" s="340"/>
      <c r="HDM474" s="340"/>
      <c r="HDN474" s="340"/>
      <c r="HDO474" s="340"/>
      <c r="HDP474" s="340"/>
      <c r="HDQ474" s="340"/>
      <c r="HDR474" s="340"/>
      <c r="HDS474" s="340"/>
      <c r="HDT474" s="340"/>
      <c r="HDU474" s="340"/>
      <c r="HDV474" s="340"/>
      <c r="HDW474" s="340"/>
      <c r="HDX474" s="340"/>
      <c r="HDY474" s="340"/>
      <c r="HDZ474" s="340"/>
      <c r="HEA474" s="340"/>
      <c r="HEB474" s="340"/>
      <c r="HEC474" s="340"/>
      <c r="HED474" s="340"/>
      <c r="HEE474" s="340"/>
      <c r="HEF474" s="340"/>
      <c r="HEG474" s="340"/>
      <c r="HEH474" s="340"/>
      <c r="HEI474" s="340"/>
      <c r="HEJ474" s="340"/>
      <c r="HEK474" s="340"/>
      <c r="HEL474" s="340"/>
      <c r="HEM474" s="340"/>
      <c r="HEN474" s="340"/>
      <c r="HEO474" s="340"/>
      <c r="HEP474" s="340"/>
      <c r="HEQ474" s="340"/>
      <c r="HER474" s="340"/>
      <c r="HES474" s="340"/>
      <c r="HET474" s="340"/>
      <c r="HEU474" s="340"/>
      <c r="HEV474" s="340"/>
      <c r="HEW474" s="340"/>
      <c r="HEX474" s="340"/>
      <c r="HEY474" s="340"/>
      <c r="HEZ474" s="340"/>
      <c r="HFA474" s="340"/>
      <c r="HFB474" s="340"/>
      <c r="HFC474" s="340"/>
      <c r="HFD474" s="340"/>
      <c r="HFE474" s="340"/>
      <c r="HFF474" s="340"/>
      <c r="HFG474" s="340"/>
      <c r="HFH474" s="340"/>
      <c r="HFI474" s="340"/>
      <c r="HFJ474" s="340"/>
      <c r="HFK474" s="340"/>
      <c r="HFL474" s="340"/>
      <c r="HFM474" s="340"/>
      <c r="HFN474" s="340"/>
      <c r="HFO474" s="340"/>
      <c r="HFP474" s="340"/>
      <c r="HFQ474" s="340"/>
      <c r="HFR474" s="340"/>
      <c r="HFS474" s="340"/>
      <c r="HFT474" s="340"/>
      <c r="HFU474" s="340"/>
      <c r="HFV474" s="340"/>
      <c r="HFW474" s="340"/>
      <c r="HFX474" s="340"/>
      <c r="HFY474" s="340"/>
      <c r="HFZ474" s="340"/>
      <c r="HGA474" s="340"/>
      <c r="HGB474" s="340"/>
      <c r="HGC474" s="340"/>
      <c r="HGD474" s="340"/>
      <c r="HGE474" s="340"/>
      <c r="HGF474" s="340"/>
      <c r="HGG474" s="340"/>
      <c r="HGH474" s="340"/>
      <c r="HGI474" s="340"/>
      <c r="HGJ474" s="340"/>
      <c r="HGK474" s="340"/>
      <c r="HGL474" s="340"/>
      <c r="HGM474" s="340"/>
      <c r="HGN474" s="340"/>
      <c r="HGO474" s="340"/>
      <c r="HGP474" s="340"/>
      <c r="HGQ474" s="340"/>
      <c r="HGR474" s="340"/>
      <c r="HGS474" s="340"/>
      <c r="HGT474" s="340"/>
      <c r="HGU474" s="340"/>
      <c r="HGV474" s="340"/>
      <c r="HGW474" s="340"/>
      <c r="HGX474" s="340"/>
      <c r="HGY474" s="340"/>
      <c r="HGZ474" s="340"/>
      <c r="HHA474" s="340"/>
      <c r="HHB474" s="340"/>
      <c r="HHC474" s="340"/>
      <c r="HHD474" s="340"/>
      <c r="HHE474" s="340"/>
      <c r="HHF474" s="340"/>
      <c r="HHG474" s="340"/>
      <c r="HHH474" s="340"/>
      <c r="HHI474" s="340"/>
      <c r="HHJ474" s="340"/>
      <c r="HHK474" s="340"/>
      <c r="HHL474" s="340"/>
      <c r="HHM474" s="340"/>
      <c r="HHN474" s="340"/>
      <c r="HHO474" s="340"/>
      <c r="HHP474" s="340"/>
      <c r="HHQ474" s="340"/>
      <c r="HHR474" s="340"/>
      <c r="HHS474" s="340"/>
      <c r="HHT474" s="340"/>
      <c r="HHU474" s="340"/>
      <c r="HHV474" s="340"/>
      <c r="HHW474" s="340"/>
      <c r="HHX474" s="340"/>
      <c r="HHY474" s="340"/>
      <c r="HHZ474" s="340"/>
      <c r="HIA474" s="340"/>
      <c r="HIB474" s="340"/>
      <c r="HIC474" s="340"/>
      <c r="HID474" s="340"/>
      <c r="HIE474" s="340"/>
      <c r="HIF474" s="340"/>
      <c r="HIG474" s="340"/>
      <c r="HIH474" s="340"/>
      <c r="HII474" s="340"/>
      <c r="HIJ474" s="340"/>
      <c r="HIK474" s="340"/>
      <c r="HIL474" s="340"/>
      <c r="HIM474" s="340"/>
      <c r="HIN474" s="340"/>
      <c r="HIO474" s="340"/>
      <c r="HIP474" s="340"/>
      <c r="HIQ474" s="340"/>
      <c r="HIR474" s="340"/>
      <c r="HIS474" s="340"/>
      <c r="HIT474" s="340"/>
      <c r="HIU474" s="340"/>
      <c r="HIV474" s="340"/>
      <c r="HIW474" s="340"/>
      <c r="HIX474" s="340"/>
      <c r="HIY474" s="340"/>
      <c r="HIZ474" s="340"/>
      <c r="HJA474" s="340"/>
      <c r="HJB474" s="340"/>
      <c r="HJC474" s="340"/>
      <c r="HJD474" s="340"/>
      <c r="HJE474" s="340"/>
      <c r="HJF474" s="340"/>
      <c r="HJG474" s="340"/>
      <c r="HJH474" s="340"/>
      <c r="HJI474" s="340"/>
      <c r="HJJ474" s="340"/>
      <c r="HJK474" s="340"/>
      <c r="HJL474" s="340"/>
      <c r="HJM474" s="340"/>
      <c r="HJN474" s="340"/>
      <c r="HJO474" s="340"/>
      <c r="HJP474" s="340"/>
      <c r="HJQ474" s="340"/>
      <c r="HJR474" s="340"/>
      <c r="HJS474" s="340"/>
      <c r="HJT474" s="340"/>
      <c r="HJU474" s="340"/>
      <c r="HJV474" s="340"/>
      <c r="HJW474" s="340"/>
      <c r="HJX474" s="340"/>
      <c r="HJY474" s="340"/>
      <c r="HJZ474" s="340"/>
      <c r="HKA474" s="340"/>
      <c r="HKB474" s="340"/>
      <c r="HKC474" s="340"/>
      <c r="HKD474" s="340"/>
      <c r="HKE474" s="340"/>
      <c r="HKF474" s="340"/>
      <c r="HKG474" s="340"/>
      <c r="HKH474" s="340"/>
      <c r="HKI474" s="340"/>
      <c r="HKJ474" s="340"/>
      <c r="HKK474" s="340"/>
      <c r="HKL474" s="340"/>
      <c r="HKM474" s="340"/>
      <c r="HKN474" s="340"/>
      <c r="HKO474" s="340"/>
      <c r="HKP474" s="340"/>
      <c r="HKQ474" s="340"/>
      <c r="HKR474" s="340"/>
      <c r="HKS474" s="340"/>
      <c r="HKT474" s="340"/>
      <c r="HKU474" s="340"/>
      <c r="HKV474" s="340"/>
      <c r="HKW474" s="340"/>
      <c r="HKX474" s="340"/>
      <c r="HKY474" s="340"/>
      <c r="HKZ474" s="340"/>
      <c r="HLA474" s="340"/>
      <c r="HLB474" s="340"/>
      <c r="HLC474" s="340"/>
      <c r="HLD474" s="340"/>
      <c r="HLE474" s="340"/>
      <c r="HLF474" s="340"/>
      <c r="HLG474" s="340"/>
      <c r="HLH474" s="340"/>
      <c r="HLI474" s="340"/>
      <c r="HLJ474" s="340"/>
      <c r="HLK474" s="340"/>
      <c r="HLL474" s="340"/>
      <c r="HLM474" s="340"/>
      <c r="HLN474" s="340"/>
      <c r="HLO474" s="340"/>
      <c r="HLP474" s="340"/>
      <c r="HLQ474" s="340"/>
      <c r="HLR474" s="340"/>
      <c r="HLS474" s="340"/>
      <c r="HLT474" s="340"/>
      <c r="HLU474" s="340"/>
      <c r="HLV474" s="340"/>
      <c r="HLW474" s="340"/>
      <c r="HLX474" s="340"/>
      <c r="HLY474" s="340"/>
      <c r="HLZ474" s="340"/>
      <c r="HMA474" s="340"/>
      <c r="HMB474" s="340"/>
      <c r="HMC474" s="340"/>
      <c r="HMD474" s="340"/>
      <c r="HME474" s="340"/>
      <c r="HMF474" s="340"/>
      <c r="HMG474" s="340"/>
      <c r="HMH474" s="340"/>
      <c r="HMI474" s="340"/>
      <c r="HMJ474" s="340"/>
      <c r="HMK474" s="340"/>
      <c r="HML474" s="340"/>
      <c r="HMM474" s="340"/>
      <c r="HMN474" s="340"/>
      <c r="HMO474" s="340"/>
      <c r="HMP474" s="340"/>
      <c r="HMQ474" s="340"/>
      <c r="HMR474" s="340"/>
      <c r="HMS474" s="340"/>
      <c r="HMT474" s="340"/>
      <c r="HMU474" s="340"/>
      <c r="HMV474" s="340"/>
      <c r="HMW474" s="340"/>
      <c r="HMX474" s="340"/>
      <c r="HMY474" s="340"/>
      <c r="HMZ474" s="340"/>
      <c r="HNA474" s="340"/>
      <c r="HNB474" s="340"/>
      <c r="HNC474" s="340"/>
      <c r="HND474" s="340"/>
      <c r="HNE474" s="340"/>
      <c r="HNF474" s="340"/>
      <c r="HNG474" s="340"/>
      <c r="HNH474" s="340"/>
      <c r="HNI474" s="340"/>
      <c r="HNJ474" s="340"/>
      <c r="HNK474" s="340"/>
      <c r="HNL474" s="340"/>
      <c r="HNM474" s="340"/>
      <c r="HNN474" s="340"/>
      <c r="HNO474" s="340"/>
      <c r="HNP474" s="340"/>
      <c r="HNQ474" s="340"/>
      <c r="HNR474" s="340"/>
      <c r="HNS474" s="340"/>
      <c r="HNT474" s="340"/>
      <c r="HNU474" s="340"/>
      <c r="HNV474" s="340"/>
      <c r="HNW474" s="340"/>
      <c r="HNX474" s="340"/>
      <c r="HNY474" s="340"/>
      <c r="HNZ474" s="340"/>
      <c r="HOA474" s="340"/>
      <c r="HOB474" s="340"/>
      <c r="HOC474" s="340"/>
      <c r="HOD474" s="340"/>
      <c r="HOE474" s="340"/>
      <c r="HOF474" s="340"/>
      <c r="HOG474" s="340"/>
      <c r="HOH474" s="340"/>
      <c r="HOI474" s="340"/>
      <c r="HOJ474" s="340"/>
      <c r="HOK474" s="340"/>
      <c r="HOL474" s="340"/>
      <c r="HOM474" s="340"/>
      <c r="HON474" s="340"/>
      <c r="HOO474" s="340"/>
      <c r="HOP474" s="340"/>
      <c r="HOQ474" s="340"/>
      <c r="HOR474" s="340"/>
      <c r="HOS474" s="340"/>
      <c r="HOT474" s="340"/>
      <c r="HOU474" s="340"/>
      <c r="HOV474" s="340"/>
      <c r="HOW474" s="340"/>
      <c r="HOX474" s="340"/>
      <c r="HOY474" s="340"/>
      <c r="HOZ474" s="340"/>
      <c r="HPA474" s="340"/>
      <c r="HPB474" s="340"/>
      <c r="HPC474" s="340"/>
      <c r="HPD474" s="340"/>
      <c r="HPE474" s="340"/>
      <c r="HPF474" s="340"/>
      <c r="HPG474" s="340"/>
      <c r="HPH474" s="340"/>
      <c r="HPI474" s="340"/>
      <c r="HPJ474" s="340"/>
      <c r="HPK474" s="340"/>
      <c r="HPL474" s="340"/>
      <c r="HPM474" s="340"/>
      <c r="HPN474" s="340"/>
      <c r="HPO474" s="340"/>
      <c r="HPP474" s="340"/>
      <c r="HPQ474" s="340"/>
      <c r="HPR474" s="340"/>
      <c r="HPS474" s="340"/>
      <c r="HPT474" s="340"/>
      <c r="HPU474" s="340"/>
      <c r="HPV474" s="340"/>
      <c r="HPW474" s="340"/>
      <c r="HPX474" s="340"/>
      <c r="HPY474" s="340"/>
      <c r="HPZ474" s="340"/>
      <c r="HQA474" s="340"/>
      <c r="HQB474" s="340"/>
      <c r="HQC474" s="340"/>
      <c r="HQD474" s="340"/>
      <c r="HQE474" s="340"/>
      <c r="HQF474" s="340"/>
      <c r="HQG474" s="340"/>
      <c r="HQH474" s="340"/>
      <c r="HQI474" s="340"/>
      <c r="HQJ474" s="340"/>
      <c r="HQK474" s="340"/>
      <c r="HQL474" s="340"/>
      <c r="HQM474" s="340"/>
      <c r="HQN474" s="340"/>
      <c r="HQO474" s="340"/>
      <c r="HQP474" s="340"/>
      <c r="HQQ474" s="340"/>
      <c r="HQR474" s="340"/>
      <c r="HQS474" s="340"/>
      <c r="HQT474" s="340"/>
      <c r="HQU474" s="340"/>
      <c r="HQV474" s="340"/>
      <c r="HQW474" s="340"/>
      <c r="HQX474" s="340"/>
      <c r="HQY474" s="340"/>
      <c r="HQZ474" s="340"/>
      <c r="HRA474" s="340"/>
      <c r="HRB474" s="340"/>
      <c r="HRC474" s="340"/>
      <c r="HRD474" s="340"/>
      <c r="HRE474" s="340"/>
      <c r="HRF474" s="340"/>
      <c r="HRG474" s="340"/>
      <c r="HRH474" s="340"/>
      <c r="HRI474" s="340"/>
      <c r="HRJ474" s="340"/>
      <c r="HRK474" s="340"/>
      <c r="HRL474" s="340"/>
      <c r="HRM474" s="340"/>
      <c r="HRN474" s="340"/>
      <c r="HRO474" s="340"/>
      <c r="HRP474" s="340"/>
      <c r="HRQ474" s="340"/>
      <c r="HRR474" s="340"/>
      <c r="HRS474" s="340"/>
      <c r="HRT474" s="340"/>
      <c r="HRU474" s="340"/>
      <c r="HRV474" s="340"/>
      <c r="HRW474" s="340"/>
      <c r="HRX474" s="340"/>
      <c r="HRY474" s="340"/>
      <c r="HRZ474" s="340"/>
      <c r="HSA474" s="340"/>
      <c r="HSB474" s="340"/>
      <c r="HSC474" s="340"/>
      <c r="HSD474" s="340"/>
      <c r="HSE474" s="340"/>
      <c r="HSF474" s="340"/>
      <c r="HSG474" s="340"/>
      <c r="HSH474" s="340"/>
      <c r="HSI474" s="340"/>
      <c r="HSJ474" s="340"/>
      <c r="HSK474" s="340"/>
      <c r="HSL474" s="340"/>
      <c r="HSM474" s="340"/>
      <c r="HSN474" s="340"/>
      <c r="HSO474" s="340"/>
      <c r="HSP474" s="340"/>
      <c r="HSQ474" s="340"/>
      <c r="HSR474" s="340"/>
      <c r="HSS474" s="340"/>
      <c r="HST474" s="340"/>
      <c r="HSU474" s="340"/>
      <c r="HSV474" s="340"/>
      <c r="HSW474" s="340"/>
      <c r="HSX474" s="340"/>
      <c r="HSY474" s="340"/>
      <c r="HSZ474" s="340"/>
      <c r="HTA474" s="340"/>
      <c r="HTB474" s="340"/>
      <c r="HTC474" s="340"/>
      <c r="HTD474" s="340"/>
      <c r="HTE474" s="340"/>
      <c r="HTF474" s="340"/>
      <c r="HTG474" s="340"/>
      <c r="HTH474" s="340"/>
      <c r="HTI474" s="340"/>
      <c r="HTJ474" s="340"/>
      <c r="HTK474" s="340"/>
      <c r="HTL474" s="340"/>
      <c r="HTM474" s="340"/>
      <c r="HTN474" s="340"/>
      <c r="HTO474" s="340"/>
      <c r="HTP474" s="340"/>
      <c r="HTQ474" s="340"/>
      <c r="HTR474" s="340"/>
      <c r="HTS474" s="340"/>
      <c r="HTT474" s="340"/>
      <c r="HTU474" s="340"/>
      <c r="HTV474" s="340"/>
      <c r="HTW474" s="340"/>
      <c r="HTX474" s="340"/>
      <c r="HTY474" s="340"/>
      <c r="HTZ474" s="340"/>
      <c r="HUA474" s="340"/>
      <c r="HUB474" s="340"/>
      <c r="HUC474" s="340"/>
      <c r="HUD474" s="340"/>
      <c r="HUE474" s="340"/>
      <c r="HUF474" s="340"/>
      <c r="HUG474" s="340"/>
      <c r="HUH474" s="340"/>
      <c r="HUI474" s="340"/>
      <c r="HUJ474" s="340"/>
      <c r="HUK474" s="340"/>
      <c r="HUL474" s="340"/>
      <c r="HUM474" s="340"/>
      <c r="HUN474" s="340"/>
      <c r="HUO474" s="340"/>
      <c r="HUP474" s="340"/>
      <c r="HUQ474" s="340"/>
      <c r="HUR474" s="340"/>
      <c r="HUS474" s="340"/>
      <c r="HUT474" s="340"/>
      <c r="HUU474" s="340"/>
      <c r="HUV474" s="340"/>
      <c r="HUW474" s="340"/>
      <c r="HUX474" s="340"/>
      <c r="HUY474" s="340"/>
      <c r="HUZ474" s="340"/>
      <c r="HVA474" s="340"/>
      <c r="HVB474" s="340"/>
      <c r="HVC474" s="340"/>
      <c r="HVD474" s="340"/>
      <c r="HVE474" s="340"/>
      <c r="HVF474" s="340"/>
      <c r="HVG474" s="340"/>
      <c r="HVH474" s="340"/>
      <c r="HVI474" s="340"/>
      <c r="HVJ474" s="340"/>
      <c r="HVK474" s="340"/>
      <c r="HVL474" s="340"/>
      <c r="HVM474" s="340"/>
      <c r="HVN474" s="340"/>
      <c r="HVO474" s="340"/>
      <c r="HVP474" s="340"/>
      <c r="HVQ474" s="340"/>
      <c r="HVR474" s="340"/>
      <c r="HVS474" s="340"/>
      <c r="HVT474" s="340"/>
      <c r="HVU474" s="340"/>
      <c r="HVV474" s="340"/>
      <c r="HVW474" s="340"/>
      <c r="HVX474" s="340"/>
      <c r="HVY474" s="340"/>
      <c r="HVZ474" s="340"/>
      <c r="HWA474" s="340"/>
      <c r="HWB474" s="340"/>
      <c r="HWC474" s="340"/>
      <c r="HWD474" s="340"/>
      <c r="HWE474" s="340"/>
      <c r="HWF474" s="340"/>
      <c r="HWG474" s="340"/>
      <c r="HWH474" s="340"/>
      <c r="HWI474" s="340"/>
      <c r="HWJ474" s="340"/>
      <c r="HWK474" s="340"/>
      <c r="HWL474" s="340"/>
      <c r="HWM474" s="340"/>
      <c r="HWN474" s="340"/>
      <c r="HWO474" s="340"/>
      <c r="HWP474" s="340"/>
      <c r="HWQ474" s="340"/>
      <c r="HWR474" s="340"/>
      <c r="HWS474" s="340"/>
      <c r="HWT474" s="340"/>
      <c r="HWU474" s="340"/>
      <c r="HWV474" s="340"/>
      <c r="HWW474" s="340"/>
      <c r="HWX474" s="340"/>
      <c r="HWY474" s="340"/>
      <c r="HWZ474" s="340"/>
      <c r="HXA474" s="340"/>
      <c r="HXB474" s="340"/>
      <c r="HXC474" s="340"/>
      <c r="HXD474" s="340"/>
      <c r="HXE474" s="340"/>
      <c r="HXF474" s="340"/>
      <c r="HXG474" s="340"/>
      <c r="HXH474" s="340"/>
      <c r="HXI474" s="340"/>
      <c r="HXJ474" s="340"/>
      <c r="HXK474" s="340"/>
      <c r="HXL474" s="340"/>
      <c r="HXM474" s="340"/>
      <c r="HXN474" s="340"/>
      <c r="HXO474" s="340"/>
      <c r="HXP474" s="340"/>
      <c r="HXQ474" s="340"/>
      <c r="HXR474" s="340"/>
      <c r="HXS474" s="340"/>
      <c r="HXT474" s="340"/>
      <c r="HXU474" s="340"/>
      <c r="HXV474" s="340"/>
      <c r="HXW474" s="340"/>
      <c r="HXX474" s="340"/>
      <c r="HXY474" s="340"/>
      <c r="HXZ474" s="340"/>
      <c r="HYA474" s="340"/>
      <c r="HYB474" s="340"/>
      <c r="HYC474" s="340"/>
      <c r="HYD474" s="340"/>
      <c r="HYE474" s="340"/>
      <c r="HYF474" s="340"/>
      <c r="HYG474" s="340"/>
      <c r="HYH474" s="340"/>
      <c r="HYI474" s="340"/>
      <c r="HYJ474" s="340"/>
      <c r="HYK474" s="340"/>
      <c r="HYL474" s="340"/>
      <c r="HYM474" s="340"/>
      <c r="HYN474" s="340"/>
      <c r="HYO474" s="340"/>
      <c r="HYP474" s="340"/>
      <c r="HYQ474" s="340"/>
      <c r="HYR474" s="340"/>
      <c r="HYS474" s="340"/>
      <c r="HYT474" s="340"/>
      <c r="HYU474" s="340"/>
      <c r="HYV474" s="340"/>
      <c r="HYW474" s="340"/>
      <c r="HYX474" s="340"/>
      <c r="HYY474" s="340"/>
      <c r="HYZ474" s="340"/>
      <c r="HZA474" s="340"/>
      <c r="HZB474" s="340"/>
      <c r="HZC474" s="340"/>
      <c r="HZD474" s="340"/>
      <c r="HZE474" s="340"/>
      <c r="HZF474" s="340"/>
      <c r="HZG474" s="340"/>
      <c r="HZH474" s="340"/>
      <c r="HZI474" s="340"/>
      <c r="HZJ474" s="340"/>
      <c r="HZK474" s="340"/>
      <c r="HZL474" s="340"/>
      <c r="HZM474" s="340"/>
      <c r="HZN474" s="340"/>
      <c r="HZO474" s="340"/>
      <c r="HZP474" s="340"/>
      <c r="HZQ474" s="340"/>
      <c r="HZR474" s="340"/>
      <c r="HZS474" s="340"/>
      <c r="HZT474" s="340"/>
      <c r="HZU474" s="340"/>
      <c r="HZV474" s="340"/>
      <c r="HZW474" s="340"/>
      <c r="HZX474" s="340"/>
      <c r="HZY474" s="340"/>
      <c r="HZZ474" s="340"/>
      <c r="IAA474" s="340"/>
      <c r="IAB474" s="340"/>
      <c r="IAC474" s="340"/>
      <c r="IAD474" s="340"/>
      <c r="IAE474" s="340"/>
      <c r="IAF474" s="340"/>
      <c r="IAG474" s="340"/>
      <c r="IAH474" s="340"/>
      <c r="IAI474" s="340"/>
      <c r="IAJ474" s="340"/>
      <c r="IAK474" s="340"/>
      <c r="IAL474" s="340"/>
      <c r="IAM474" s="340"/>
      <c r="IAN474" s="340"/>
      <c r="IAO474" s="340"/>
      <c r="IAP474" s="340"/>
      <c r="IAQ474" s="340"/>
      <c r="IAR474" s="340"/>
      <c r="IAS474" s="340"/>
      <c r="IAT474" s="340"/>
      <c r="IAU474" s="340"/>
      <c r="IAV474" s="340"/>
      <c r="IAW474" s="340"/>
      <c r="IAX474" s="340"/>
      <c r="IAY474" s="340"/>
      <c r="IAZ474" s="340"/>
      <c r="IBA474" s="340"/>
      <c r="IBB474" s="340"/>
      <c r="IBC474" s="340"/>
      <c r="IBD474" s="340"/>
      <c r="IBE474" s="340"/>
      <c r="IBF474" s="340"/>
      <c r="IBG474" s="340"/>
      <c r="IBH474" s="340"/>
      <c r="IBI474" s="340"/>
      <c r="IBJ474" s="340"/>
      <c r="IBK474" s="340"/>
      <c r="IBL474" s="340"/>
      <c r="IBM474" s="340"/>
      <c r="IBN474" s="340"/>
      <c r="IBO474" s="340"/>
      <c r="IBP474" s="340"/>
      <c r="IBQ474" s="340"/>
      <c r="IBR474" s="340"/>
      <c r="IBS474" s="340"/>
      <c r="IBT474" s="340"/>
      <c r="IBU474" s="340"/>
      <c r="IBV474" s="340"/>
      <c r="IBW474" s="340"/>
      <c r="IBX474" s="340"/>
      <c r="IBY474" s="340"/>
      <c r="IBZ474" s="340"/>
      <c r="ICA474" s="340"/>
      <c r="ICB474" s="340"/>
      <c r="ICC474" s="340"/>
      <c r="ICD474" s="340"/>
      <c r="ICE474" s="340"/>
      <c r="ICF474" s="340"/>
      <c r="ICG474" s="340"/>
      <c r="ICH474" s="340"/>
      <c r="ICI474" s="340"/>
      <c r="ICJ474" s="340"/>
      <c r="ICK474" s="340"/>
      <c r="ICL474" s="340"/>
      <c r="ICM474" s="340"/>
      <c r="ICN474" s="340"/>
      <c r="ICO474" s="340"/>
      <c r="ICP474" s="340"/>
      <c r="ICQ474" s="340"/>
      <c r="ICR474" s="340"/>
      <c r="ICS474" s="340"/>
      <c r="ICT474" s="340"/>
      <c r="ICU474" s="340"/>
      <c r="ICV474" s="340"/>
      <c r="ICW474" s="340"/>
      <c r="ICX474" s="340"/>
      <c r="ICY474" s="340"/>
      <c r="ICZ474" s="340"/>
      <c r="IDA474" s="340"/>
      <c r="IDB474" s="340"/>
      <c r="IDC474" s="340"/>
      <c r="IDD474" s="340"/>
      <c r="IDE474" s="340"/>
      <c r="IDF474" s="340"/>
      <c r="IDG474" s="340"/>
      <c r="IDH474" s="340"/>
      <c r="IDI474" s="340"/>
      <c r="IDJ474" s="340"/>
      <c r="IDK474" s="340"/>
      <c r="IDL474" s="340"/>
      <c r="IDM474" s="340"/>
      <c r="IDN474" s="340"/>
      <c r="IDO474" s="340"/>
      <c r="IDP474" s="340"/>
      <c r="IDQ474" s="340"/>
      <c r="IDR474" s="340"/>
      <c r="IDS474" s="340"/>
      <c r="IDT474" s="340"/>
      <c r="IDU474" s="340"/>
      <c r="IDV474" s="340"/>
      <c r="IDW474" s="340"/>
      <c r="IDX474" s="340"/>
      <c r="IDY474" s="340"/>
      <c r="IDZ474" s="340"/>
      <c r="IEA474" s="340"/>
      <c r="IEB474" s="340"/>
      <c r="IEC474" s="340"/>
      <c r="IED474" s="340"/>
      <c r="IEE474" s="340"/>
      <c r="IEF474" s="340"/>
      <c r="IEG474" s="340"/>
      <c r="IEH474" s="340"/>
      <c r="IEI474" s="340"/>
      <c r="IEJ474" s="340"/>
      <c r="IEK474" s="340"/>
      <c r="IEL474" s="340"/>
      <c r="IEM474" s="340"/>
      <c r="IEN474" s="340"/>
      <c r="IEO474" s="340"/>
      <c r="IEP474" s="340"/>
      <c r="IEQ474" s="340"/>
      <c r="IER474" s="340"/>
      <c r="IES474" s="340"/>
      <c r="IET474" s="340"/>
      <c r="IEU474" s="340"/>
      <c r="IEV474" s="340"/>
      <c r="IEW474" s="340"/>
      <c r="IEX474" s="340"/>
      <c r="IEY474" s="340"/>
      <c r="IEZ474" s="340"/>
      <c r="IFA474" s="340"/>
      <c r="IFB474" s="340"/>
      <c r="IFC474" s="340"/>
      <c r="IFD474" s="340"/>
      <c r="IFE474" s="340"/>
      <c r="IFF474" s="340"/>
      <c r="IFG474" s="340"/>
      <c r="IFH474" s="340"/>
      <c r="IFI474" s="340"/>
      <c r="IFJ474" s="340"/>
      <c r="IFK474" s="340"/>
      <c r="IFL474" s="340"/>
      <c r="IFM474" s="340"/>
      <c r="IFN474" s="340"/>
      <c r="IFO474" s="340"/>
      <c r="IFP474" s="340"/>
      <c r="IFQ474" s="340"/>
      <c r="IFR474" s="340"/>
      <c r="IFS474" s="340"/>
      <c r="IFT474" s="340"/>
      <c r="IFU474" s="340"/>
      <c r="IFV474" s="340"/>
      <c r="IFW474" s="340"/>
      <c r="IFX474" s="340"/>
      <c r="IFY474" s="340"/>
      <c r="IFZ474" s="340"/>
      <c r="IGA474" s="340"/>
      <c r="IGB474" s="340"/>
      <c r="IGC474" s="340"/>
      <c r="IGD474" s="340"/>
      <c r="IGE474" s="340"/>
      <c r="IGF474" s="340"/>
      <c r="IGG474" s="340"/>
      <c r="IGH474" s="340"/>
      <c r="IGI474" s="340"/>
      <c r="IGJ474" s="340"/>
      <c r="IGK474" s="340"/>
      <c r="IGL474" s="340"/>
      <c r="IGM474" s="340"/>
      <c r="IGN474" s="340"/>
      <c r="IGO474" s="340"/>
      <c r="IGP474" s="340"/>
      <c r="IGQ474" s="340"/>
      <c r="IGR474" s="340"/>
      <c r="IGS474" s="340"/>
      <c r="IGT474" s="340"/>
      <c r="IGU474" s="340"/>
      <c r="IGV474" s="340"/>
      <c r="IGW474" s="340"/>
      <c r="IGX474" s="340"/>
      <c r="IGY474" s="340"/>
      <c r="IGZ474" s="340"/>
      <c r="IHA474" s="340"/>
      <c r="IHB474" s="340"/>
      <c r="IHC474" s="340"/>
      <c r="IHD474" s="340"/>
      <c r="IHE474" s="340"/>
      <c r="IHF474" s="340"/>
      <c r="IHG474" s="340"/>
      <c r="IHH474" s="340"/>
      <c r="IHI474" s="340"/>
      <c r="IHJ474" s="340"/>
      <c r="IHK474" s="340"/>
      <c r="IHL474" s="340"/>
      <c r="IHM474" s="340"/>
      <c r="IHN474" s="340"/>
      <c r="IHO474" s="340"/>
      <c r="IHP474" s="340"/>
      <c r="IHQ474" s="340"/>
      <c r="IHR474" s="340"/>
      <c r="IHS474" s="340"/>
      <c r="IHT474" s="340"/>
      <c r="IHU474" s="340"/>
      <c r="IHV474" s="340"/>
      <c r="IHW474" s="340"/>
      <c r="IHX474" s="340"/>
      <c r="IHY474" s="340"/>
      <c r="IHZ474" s="340"/>
      <c r="IIA474" s="340"/>
      <c r="IIB474" s="340"/>
      <c r="IIC474" s="340"/>
      <c r="IID474" s="340"/>
      <c r="IIE474" s="340"/>
      <c r="IIF474" s="340"/>
      <c r="IIG474" s="340"/>
      <c r="IIH474" s="340"/>
      <c r="III474" s="340"/>
      <c r="IIJ474" s="340"/>
      <c r="IIK474" s="340"/>
      <c r="IIL474" s="340"/>
      <c r="IIM474" s="340"/>
      <c r="IIN474" s="340"/>
      <c r="IIO474" s="340"/>
      <c r="IIP474" s="340"/>
      <c r="IIQ474" s="340"/>
      <c r="IIR474" s="340"/>
      <c r="IIS474" s="340"/>
      <c r="IIT474" s="340"/>
      <c r="IIU474" s="340"/>
      <c r="IIV474" s="340"/>
      <c r="IIW474" s="340"/>
      <c r="IIX474" s="340"/>
      <c r="IIY474" s="340"/>
      <c r="IIZ474" s="340"/>
      <c r="IJA474" s="340"/>
      <c r="IJB474" s="340"/>
      <c r="IJC474" s="340"/>
      <c r="IJD474" s="340"/>
      <c r="IJE474" s="340"/>
      <c r="IJF474" s="340"/>
      <c r="IJG474" s="340"/>
      <c r="IJH474" s="340"/>
      <c r="IJI474" s="340"/>
      <c r="IJJ474" s="340"/>
      <c r="IJK474" s="340"/>
      <c r="IJL474" s="340"/>
      <c r="IJM474" s="340"/>
      <c r="IJN474" s="340"/>
      <c r="IJO474" s="340"/>
      <c r="IJP474" s="340"/>
      <c r="IJQ474" s="340"/>
      <c r="IJR474" s="340"/>
      <c r="IJS474" s="340"/>
      <c r="IJT474" s="340"/>
      <c r="IJU474" s="340"/>
      <c r="IJV474" s="340"/>
      <c r="IJW474" s="340"/>
      <c r="IJX474" s="340"/>
      <c r="IJY474" s="340"/>
      <c r="IJZ474" s="340"/>
      <c r="IKA474" s="340"/>
      <c r="IKB474" s="340"/>
      <c r="IKC474" s="340"/>
      <c r="IKD474" s="340"/>
      <c r="IKE474" s="340"/>
      <c r="IKF474" s="340"/>
      <c r="IKG474" s="340"/>
      <c r="IKH474" s="340"/>
      <c r="IKI474" s="340"/>
      <c r="IKJ474" s="340"/>
      <c r="IKK474" s="340"/>
      <c r="IKL474" s="340"/>
      <c r="IKM474" s="340"/>
      <c r="IKN474" s="340"/>
      <c r="IKO474" s="340"/>
      <c r="IKP474" s="340"/>
      <c r="IKQ474" s="340"/>
      <c r="IKR474" s="340"/>
      <c r="IKS474" s="340"/>
      <c r="IKT474" s="340"/>
      <c r="IKU474" s="340"/>
      <c r="IKV474" s="340"/>
      <c r="IKW474" s="340"/>
      <c r="IKX474" s="340"/>
      <c r="IKY474" s="340"/>
      <c r="IKZ474" s="340"/>
      <c r="ILA474" s="340"/>
      <c r="ILB474" s="340"/>
      <c r="ILC474" s="340"/>
      <c r="ILD474" s="340"/>
      <c r="ILE474" s="340"/>
      <c r="ILF474" s="340"/>
      <c r="ILG474" s="340"/>
      <c r="ILH474" s="340"/>
      <c r="ILI474" s="340"/>
      <c r="ILJ474" s="340"/>
      <c r="ILK474" s="340"/>
      <c r="ILL474" s="340"/>
      <c r="ILM474" s="340"/>
      <c r="ILN474" s="340"/>
      <c r="ILO474" s="340"/>
      <c r="ILP474" s="340"/>
      <c r="ILQ474" s="340"/>
      <c r="ILR474" s="340"/>
      <c r="ILS474" s="340"/>
      <c r="ILT474" s="340"/>
      <c r="ILU474" s="340"/>
      <c r="ILV474" s="340"/>
      <c r="ILW474" s="340"/>
      <c r="ILX474" s="340"/>
      <c r="ILY474" s="340"/>
      <c r="ILZ474" s="340"/>
      <c r="IMA474" s="340"/>
      <c r="IMB474" s="340"/>
      <c r="IMC474" s="340"/>
      <c r="IMD474" s="340"/>
      <c r="IME474" s="340"/>
      <c r="IMF474" s="340"/>
      <c r="IMG474" s="340"/>
      <c r="IMH474" s="340"/>
      <c r="IMI474" s="340"/>
      <c r="IMJ474" s="340"/>
      <c r="IMK474" s="340"/>
      <c r="IML474" s="340"/>
      <c r="IMM474" s="340"/>
      <c r="IMN474" s="340"/>
      <c r="IMO474" s="340"/>
      <c r="IMP474" s="340"/>
      <c r="IMQ474" s="340"/>
      <c r="IMR474" s="340"/>
      <c r="IMS474" s="340"/>
      <c r="IMT474" s="340"/>
      <c r="IMU474" s="340"/>
      <c r="IMV474" s="340"/>
      <c r="IMW474" s="340"/>
      <c r="IMX474" s="340"/>
      <c r="IMY474" s="340"/>
      <c r="IMZ474" s="340"/>
      <c r="INA474" s="340"/>
      <c r="INB474" s="340"/>
      <c r="INC474" s="340"/>
      <c r="IND474" s="340"/>
      <c r="INE474" s="340"/>
      <c r="INF474" s="340"/>
      <c r="ING474" s="340"/>
      <c r="INH474" s="340"/>
      <c r="INI474" s="340"/>
      <c r="INJ474" s="340"/>
      <c r="INK474" s="340"/>
      <c r="INL474" s="340"/>
      <c r="INM474" s="340"/>
      <c r="INN474" s="340"/>
      <c r="INO474" s="340"/>
      <c r="INP474" s="340"/>
      <c r="INQ474" s="340"/>
      <c r="INR474" s="340"/>
      <c r="INS474" s="340"/>
      <c r="INT474" s="340"/>
      <c r="INU474" s="340"/>
      <c r="INV474" s="340"/>
      <c r="INW474" s="340"/>
      <c r="INX474" s="340"/>
      <c r="INY474" s="340"/>
      <c r="INZ474" s="340"/>
      <c r="IOA474" s="340"/>
      <c r="IOB474" s="340"/>
      <c r="IOC474" s="340"/>
      <c r="IOD474" s="340"/>
      <c r="IOE474" s="340"/>
      <c r="IOF474" s="340"/>
      <c r="IOG474" s="340"/>
      <c r="IOH474" s="340"/>
      <c r="IOI474" s="340"/>
      <c r="IOJ474" s="340"/>
      <c r="IOK474" s="340"/>
      <c r="IOL474" s="340"/>
      <c r="IOM474" s="340"/>
      <c r="ION474" s="340"/>
      <c r="IOO474" s="340"/>
      <c r="IOP474" s="340"/>
      <c r="IOQ474" s="340"/>
      <c r="IOR474" s="340"/>
      <c r="IOS474" s="340"/>
      <c r="IOT474" s="340"/>
      <c r="IOU474" s="340"/>
      <c r="IOV474" s="340"/>
      <c r="IOW474" s="340"/>
      <c r="IOX474" s="340"/>
      <c r="IOY474" s="340"/>
      <c r="IOZ474" s="340"/>
      <c r="IPA474" s="340"/>
      <c r="IPB474" s="340"/>
      <c r="IPC474" s="340"/>
      <c r="IPD474" s="340"/>
      <c r="IPE474" s="340"/>
      <c r="IPF474" s="340"/>
      <c r="IPG474" s="340"/>
      <c r="IPH474" s="340"/>
      <c r="IPI474" s="340"/>
      <c r="IPJ474" s="340"/>
      <c r="IPK474" s="340"/>
      <c r="IPL474" s="340"/>
      <c r="IPM474" s="340"/>
      <c r="IPN474" s="340"/>
      <c r="IPO474" s="340"/>
      <c r="IPP474" s="340"/>
      <c r="IPQ474" s="340"/>
      <c r="IPR474" s="340"/>
      <c r="IPS474" s="340"/>
      <c r="IPT474" s="340"/>
      <c r="IPU474" s="340"/>
      <c r="IPV474" s="340"/>
      <c r="IPW474" s="340"/>
      <c r="IPX474" s="340"/>
      <c r="IPY474" s="340"/>
      <c r="IPZ474" s="340"/>
      <c r="IQA474" s="340"/>
      <c r="IQB474" s="340"/>
      <c r="IQC474" s="340"/>
      <c r="IQD474" s="340"/>
      <c r="IQE474" s="340"/>
      <c r="IQF474" s="340"/>
      <c r="IQG474" s="340"/>
      <c r="IQH474" s="340"/>
      <c r="IQI474" s="340"/>
      <c r="IQJ474" s="340"/>
      <c r="IQK474" s="340"/>
      <c r="IQL474" s="340"/>
      <c r="IQM474" s="340"/>
      <c r="IQN474" s="340"/>
      <c r="IQO474" s="340"/>
      <c r="IQP474" s="340"/>
      <c r="IQQ474" s="340"/>
      <c r="IQR474" s="340"/>
      <c r="IQS474" s="340"/>
      <c r="IQT474" s="340"/>
      <c r="IQU474" s="340"/>
      <c r="IQV474" s="340"/>
      <c r="IQW474" s="340"/>
      <c r="IQX474" s="340"/>
      <c r="IQY474" s="340"/>
      <c r="IQZ474" s="340"/>
      <c r="IRA474" s="340"/>
      <c r="IRB474" s="340"/>
      <c r="IRC474" s="340"/>
      <c r="IRD474" s="340"/>
      <c r="IRE474" s="340"/>
      <c r="IRF474" s="340"/>
      <c r="IRG474" s="340"/>
      <c r="IRH474" s="340"/>
      <c r="IRI474" s="340"/>
      <c r="IRJ474" s="340"/>
      <c r="IRK474" s="340"/>
      <c r="IRL474" s="340"/>
      <c r="IRM474" s="340"/>
      <c r="IRN474" s="340"/>
      <c r="IRO474" s="340"/>
      <c r="IRP474" s="340"/>
      <c r="IRQ474" s="340"/>
      <c r="IRR474" s="340"/>
      <c r="IRS474" s="340"/>
      <c r="IRT474" s="340"/>
      <c r="IRU474" s="340"/>
      <c r="IRV474" s="340"/>
      <c r="IRW474" s="340"/>
      <c r="IRX474" s="340"/>
      <c r="IRY474" s="340"/>
      <c r="IRZ474" s="340"/>
      <c r="ISA474" s="340"/>
      <c r="ISB474" s="340"/>
      <c r="ISC474" s="340"/>
      <c r="ISD474" s="340"/>
      <c r="ISE474" s="340"/>
      <c r="ISF474" s="340"/>
      <c r="ISG474" s="340"/>
      <c r="ISH474" s="340"/>
      <c r="ISI474" s="340"/>
      <c r="ISJ474" s="340"/>
      <c r="ISK474" s="340"/>
      <c r="ISL474" s="340"/>
      <c r="ISM474" s="340"/>
      <c r="ISN474" s="340"/>
      <c r="ISO474" s="340"/>
      <c r="ISP474" s="340"/>
      <c r="ISQ474" s="340"/>
      <c r="ISR474" s="340"/>
      <c r="ISS474" s="340"/>
      <c r="IST474" s="340"/>
      <c r="ISU474" s="340"/>
      <c r="ISV474" s="340"/>
      <c r="ISW474" s="340"/>
      <c r="ISX474" s="340"/>
      <c r="ISY474" s="340"/>
      <c r="ISZ474" s="340"/>
      <c r="ITA474" s="340"/>
      <c r="ITB474" s="340"/>
      <c r="ITC474" s="340"/>
      <c r="ITD474" s="340"/>
      <c r="ITE474" s="340"/>
      <c r="ITF474" s="340"/>
      <c r="ITG474" s="340"/>
      <c r="ITH474" s="340"/>
      <c r="ITI474" s="340"/>
      <c r="ITJ474" s="340"/>
      <c r="ITK474" s="340"/>
      <c r="ITL474" s="340"/>
      <c r="ITM474" s="340"/>
      <c r="ITN474" s="340"/>
      <c r="ITO474" s="340"/>
      <c r="ITP474" s="340"/>
      <c r="ITQ474" s="340"/>
      <c r="ITR474" s="340"/>
      <c r="ITS474" s="340"/>
      <c r="ITT474" s="340"/>
      <c r="ITU474" s="340"/>
      <c r="ITV474" s="340"/>
      <c r="ITW474" s="340"/>
      <c r="ITX474" s="340"/>
      <c r="ITY474" s="340"/>
      <c r="ITZ474" s="340"/>
      <c r="IUA474" s="340"/>
      <c r="IUB474" s="340"/>
      <c r="IUC474" s="340"/>
      <c r="IUD474" s="340"/>
      <c r="IUE474" s="340"/>
      <c r="IUF474" s="340"/>
      <c r="IUG474" s="340"/>
      <c r="IUH474" s="340"/>
      <c r="IUI474" s="340"/>
      <c r="IUJ474" s="340"/>
      <c r="IUK474" s="340"/>
      <c r="IUL474" s="340"/>
      <c r="IUM474" s="340"/>
      <c r="IUN474" s="340"/>
      <c r="IUO474" s="340"/>
      <c r="IUP474" s="340"/>
      <c r="IUQ474" s="340"/>
      <c r="IUR474" s="340"/>
      <c r="IUS474" s="340"/>
      <c r="IUT474" s="340"/>
      <c r="IUU474" s="340"/>
      <c r="IUV474" s="340"/>
      <c r="IUW474" s="340"/>
      <c r="IUX474" s="340"/>
      <c r="IUY474" s="340"/>
      <c r="IUZ474" s="340"/>
      <c r="IVA474" s="340"/>
      <c r="IVB474" s="340"/>
      <c r="IVC474" s="340"/>
      <c r="IVD474" s="340"/>
      <c r="IVE474" s="340"/>
      <c r="IVF474" s="340"/>
      <c r="IVG474" s="340"/>
      <c r="IVH474" s="340"/>
      <c r="IVI474" s="340"/>
      <c r="IVJ474" s="340"/>
      <c r="IVK474" s="340"/>
      <c r="IVL474" s="340"/>
      <c r="IVM474" s="340"/>
      <c r="IVN474" s="340"/>
      <c r="IVO474" s="340"/>
      <c r="IVP474" s="340"/>
      <c r="IVQ474" s="340"/>
      <c r="IVR474" s="340"/>
      <c r="IVS474" s="340"/>
      <c r="IVT474" s="340"/>
      <c r="IVU474" s="340"/>
      <c r="IVV474" s="340"/>
      <c r="IVW474" s="340"/>
      <c r="IVX474" s="340"/>
      <c r="IVY474" s="340"/>
      <c r="IVZ474" s="340"/>
      <c r="IWA474" s="340"/>
      <c r="IWB474" s="340"/>
      <c r="IWC474" s="340"/>
      <c r="IWD474" s="340"/>
      <c r="IWE474" s="340"/>
      <c r="IWF474" s="340"/>
      <c r="IWG474" s="340"/>
      <c r="IWH474" s="340"/>
      <c r="IWI474" s="340"/>
      <c r="IWJ474" s="340"/>
      <c r="IWK474" s="340"/>
      <c r="IWL474" s="340"/>
      <c r="IWM474" s="340"/>
      <c r="IWN474" s="340"/>
      <c r="IWO474" s="340"/>
      <c r="IWP474" s="340"/>
      <c r="IWQ474" s="340"/>
      <c r="IWR474" s="340"/>
      <c r="IWS474" s="340"/>
      <c r="IWT474" s="340"/>
      <c r="IWU474" s="340"/>
      <c r="IWV474" s="340"/>
      <c r="IWW474" s="340"/>
      <c r="IWX474" s="340"/>
      <c r="IWY474" s="340"/>
      <c r="IWZ474" s="340"/>
      <c r="IXA474" s="340"/>
      <c r="IXB474" s="340"/>
      <c r="IXC474" s="340"/>
      <c r="IXD474" s="340"/>
      <c r="IXE474" s="340"/>
      <c r="IXF474" s="340"/>
      <c r="IXG474" s="340"/>
      <c r="IXH474" s="340"/>
      <c r="IXI474" s="340"/>
      <c r="IXJ474" s="340"/>
      <c r="IXK474" s="340"/>
      <c r="IXL474" s="340"/>
      <c r="IXM474" s="340"/>
      <c r="IXN474" s="340"/>
      <c r="IXO474" s="340"/>
      <c r="IXP474" s="340"/>
      <c r="IXQ474" s="340"/>
      <c r="IXR474" s="340"/>
      <c r="IXS474" s="340"/>
      <c r="IXT474" s="340"/>
      <c r="IXU474" s="340"/>
      <c r="IXV474" s="340"/>
      <c r="IXW474" s="340"/>
      <c r="IXX474" s="340"/>
      <c r="IXY474" s="340"/>
      <c r="IXZ474" s="340"/>
      <c r="IYA474" s="340"/>
      <c r="IYB474" s="340"/>
      <c r="IYC474" s="340"/>
      <c r="IYD474" s="340"/>
      <c r="IYE474" s="340"/>
      <c r="IYF474" s="340"/>
      <c r="IYG474" s="340"/>
      <c r="IYH474" s="340"/>
      <c r="IYI474" s="340"/>
      <c r="IYJ474" s="340"/>
      <c r="IYK474" s="340"/>
      <c r="IYL474" s="340"/>
      <c r="IYM474" s="340"/>
      <c r="IYN474" s="340"/>
      <c r="IYO474" s="340"/>
      <c r="IYP474" s="340"/>
      <c r="IYQ474" s="340"/>
      <c r="IYR474" s="340"/>
      <c r="IYS474" s="340"/>
      <c r="IYT474" s="340"/>
      <c r="IYU474" s="340"/>
      <c r="IYV474" s="340"/>
      <c r="IYW474" s="340"/>
      <c r="IYX474" s="340"/>
      <c r="IYY474" s="340"/>
      <c r="IYZ474" s="340"/>
      <c r="IZA474" s="340"/>
      <c r="IZB474" s="340"/>
      <c r="IZC474" s="340"/>
      <c r="IZD474" s="340"/>
      <c r="IZE474" s="340"/>
      <c r="IZF474" s="340"/>
      <c r="IZG474" s="340"/>
      <c r="IZH474" s="340"/>
      <c r="IZI474" s="340"/>
      <c r="IZJ474" s="340"/>
      <c r="IZK474" s="340"/>
      <c r="IZL474" s="340"/>
      <c r="IZM474" s="340"/>
      <c r="IZN474" s="340"/>
      <c r="IZO474" s="340"/>
      <c r="IZP474" s="340"/>
      <c r="IZQ474" s="340"/>
      <c r="IZR474" s="340"/>
      <c r="IZS474" s="340"/>
      <c r="IZT474" s="340"/>
      <c r="IZU474" s="340"/>
      <c r="IZV474" s="340"/>
      <c r="IZW474" s="340"/>
      <c r="IZX474" s="340"/>
      <c r="IZY474" s="340"/>
      <c r="IZZ474" s="340"/>
      <c r="JAA474" s="340"/>
      <c r="JAB474" s="340"/>
      <c r="JAC474" s="340"/>
      <c r="JAD474" s="340"/>
      <c r="JAE474" s="340"/>
      <c r="JAF474" s="340"/>
      <c r="JAG474" s="340"/>
      <c r="JAH474" s="340"/>
      <c r="JAI474" s="340"/>
      <c r="JAJ474" s="340"/>
      <c r="JAK474" s="340"/>
      <c r="JAL474" s="340"/>
      <c r="JAM474" s="340"/>
      <c r="JAN474" s="340"/>
      <c r="JAO474" s="340"/>
      <c r="JAP474" s="340"/>
      <c r="JAQ474" s="340"/>
      <c r="JAR474" s="340"/>
      <c r="JAS474" s="340"/>
      <c r="JAT474" s="340"/>
      <c r="JAU474" s="340"/>
      <c r="JAV474" s="340"/>
      <c r="JAW474" s="340"/>
      <c r="JAX474" s="340"/>
      <c r="JAY474" s="340"/>
      <c r="JAZ474" s="340"/>
      <c r="JBA474" s="340"/>
      <c r="JBB474" s="340"/>
      <c r="JBC474" s="340"/>
      <c r="JBD474" s="340"/>
      <c r="JBE474" s="340"/>
      <c r="JBF474" s="340"/>
      <c r="JBG474" s="340"/>
      <c r="JBH474" s="340"/>
      <c r="JBI474" s="340"/>
      <c r="JBJ474" s="340"/>
      <c r="JBK474" s="340"/>
      <c r="JBL474" s="340"/>
      <c r="JBM474" s="340"/>
      <c r="JBN474" s="340"/>
      <c r="JBO474" s="340"/>
      <c r="JBP474" s="340"/>
      <c r="JBQ474" s="340"/>
      <c r="JBR474" s="340"/>
      <c r="JBS474" s="340"/>
      <c r="JBT474" s="340"/>
      <c r="JBU474" s="340"/>
      <c r="JBV474" s="340"/>
      <c r="JBW474" s="340"/>
      <c r="JBX474" s="340"/>
      <c r="JBY474" s="340"/>
      <c r="JBZ474" s="340"/>
      <c r="JCA474" s="340"/>
      <c r="JCB474" s="340"/>
      <c r="JCC474" s="340"/>
      <c r="JCD474" s="340"/>
      <c r="JCE474" s="340"/>
      <c r="JCF474" s="340"/>
      <c r="JCG474" s="340"/>
      <c r="JCH474" s="340"/>
      <c r="JCI474" s="340"/>
      <c r="JCJ474" s="340"/>
      <c r="JCK474" s="340"/>
      <c r="JCL474" s="340"/>
      <c r="JCM474" s="340"/>
      <c r="JCN474" s="340"/>
      <c r="JCO474" s="340"/>
      <c r="JCP474" s="340"/>
      <c r="JCQ474" s="340"/>
      <c r="JCR474" s="340"/>
      <c r="JCS474" s="340"/>
      <c r="JCT474" s="340"/>
      <c r="JCU474" s="340"/>
      <c r="JCV474" s="340"/>
      <c r="JCW474" s="340"/>
      <c r="JCX474" s="340"/>
      <c r="JCY474" s="340"/>
      <c r="JCZ474" s="340"/>
      <c r="JDA474" s="340"/>
      <c r="JDB474" s="340"/>
      <c r="JDC474" s="340"/>
      <c r="JDD474" s="340"/>
      <c r="JDE474" s="340"/>
      <c r="JDF474" s="340"/>
      <c r="JDG474" s="340"/>
      <c r="JDH474" s="340"/>
      <c r="JDI474" s="340"/>
      <c r="JDJ474" s="340"/>
      <c r="JDK474" s="340"/>
      <c r="JDL474" s="340"/>
      <c r="JDM474" s="340"/>
      <c r="JDN474" s="340"/>
      <c r="JDO474" s="340"/>
      <c r="JDP474" s="340"/>
      <c r="JDQ474" s="340"/>
      <c r="JDR474" s="340"/>
      <c r="JDS474" s="340"/>
      <c r="JDT474" s="340"/>
      <c r="JDU474" s="340"/>
      <c r="JDV474" s="340"/>
      <c r="JDW474" s="340"/>
      <c r="JDX474" s="340"/>
      <c r="JDY474" s="340"/>
      <c r="JDZ474" s="340"/>
      <c r="JEA474" s="340"/>
      <c r="JEB474" s="340"/>
      <c r="JEC474" s="340"/>
      <c r="JED474" s="340"/>
      <c r="JEE474" s="340"/>
      <c r="JEF474" s="340"/>
      <c r="JEG474" s="340"/>
      <c r="JEH474" s="340"/>
      <c r="JEI474" s="340"/>
      <c r="JEJ474" s="340"/>
      <c r="JEK474" s="340"/>
      <c r="JEL474" s="340"/>
      <c r="JEM474" s="340"/>
      <c r="JEN474" s="340"/>
      <c r="JEO474" s="340"/>
      <c r="JEP474" s="340"/>
      <c r="JEQ474" s="340"/>
      <c r="JER474" s="340"/>
      <c r="JES474" s="340"/>
      <c r="JET474" s="340"/>
      <c r="JEU474" s="340"/>
      <c r="JEV474" s="340"/>
      <c r="JEW474" s="340"/>
      <c r="JEX474" s="340"/>
      <c r="JEY474" s="340"/>
      <c r="JEZ474" s="340"/>
      <c r="JFA474" s="340"/>
      <c r="JFB474" s="340"/>
      <c r="JFC474" s="340"/>
      <c r="JFD474" s="340"/>
      <c r="JFE474" s="340"/>
      <c r="JFF474" s="340"/>
      <c r="JFG474" s="340"/>
      <c r="JFH474" s="340"/>
      <c r="JFI474" s="340"/>
      <c r="JFJ474" s="340"/>
      <c r="JFK474" s="340"/>
      <c r="JFL474" s="340"/>
      <c r="JFM474" s="340"/>
      <c r="JFN474" s="340"/>
      <c r="JFO474" s="340"/>
      <c r="JFP474" s="340"/>
      <c r="JFQ474" s="340"/>
      <c r="JFR474" s="340"/>
      <c r="JFS474" s="340"/>
      <c r="JFT474" s="340"/>
      <c r="JFU474" s="340"/>
      <c r="JFV474" s="340"/>
      <c r="JFW474" s="340"/>
      <c r="JFX474" s="340"/>
      <c r="JFY474" s="340"/>
      <c r="JFZ474" s="340"/>
      <c r="JGA474" s="340"/>
      <c r="JGB474" s="340"/>
      <c r="JGC474" s="340"/>
      <c r="JGD474" s="340"/>
      <c r="JGE474" s="340"/>
      <c r="JGF474" s="340"/>
      <c r="JGG474" s="340"/>
      <c r="JGH474" s="340"/>
      <c r="JGI474" s="340"/>
      <c r="JGJ474" s="340"/>
      <c r="JGK474" s="340"/>
      <c r="JGL474" s="340"/>
      <c r="JGM474" s="340"/>
      <c r="JGN474" s="340"/>
      <c r="JGO474" s="340"/>
      <c r="JGP474" s="340"/>
      <c r="JGQ474" s="340"/>
      <c r="JGR474" s="340"/>
      <c r="JGS474" s="340"/>
      <c r="JGT474" s="340"/>
      <c r="JGU474" s="340"/>
      <c r="JGV474" s="340"/>
      <c r="JGW474" s="340"/>
      <c r="JGX474" s="340"/>
      <c r="JGY474" s="340"/>
      <c r="JGZ474" s="340"/>
      <c r="JHA474" s="340"/>
      <c r="JHB474" s="340"/>
      <c r="JHC474" s="340"/>
      <c r="JHD474" s="340"/>
      <c r="JHE474" s="340"/>
      <c r="JHF474" s="340"/>
      <c r="JHG474" s="340"/>
      <c r="JHH474" s="340"/>
      <c r="JHI474" s="340"/>
      <c r="JHJ474" s="340"/>
      <c r="JHK474" s="340"/>
      <c r="JHL474" s="340"/>
      <c r="JHM474" s="340"/>
      <c r="JHN474" s="340"/>
      <c r="JHO474" s="340"/>
      <c r="JHP474" s="340"/>
      <c r="JHQ474" s="340"/>
      <c r="JHR474" s="340"/>
      <c r="JHS474" s="340"/>
      <c r="JHT474" s="340"/>
      <c r="JHU474" s="340"/>
      <c r="JHV474" s="340"/>
      <c r="JHW474" s="340"/>
      <c r="JHX474" s="340"/>
      <c r="JHY474" s="340"/>
      <c r="JHZ474" s="340"/>
      <c r="JIA474" s="340"/>
      <c r="JIB474" s="340"/>
      <c r="JIC474" s="340"/>
      <c r="JID474" s="340"/>
      <c r="JIE474" s="340"/>
      <c r="JIF474" s="340"/>
      <c r="JIG474" s="340"/>
      <c r="JIH474" s="340"/>
      <c r="JII474" s="340"/>
      <c r="JIJ474" s="340"/>
      <c r="JIK474" s="340"/>
      <c r="JIL474" s="340"/>
      <c r="JIM474" s="340"/>
      <c r="JIN474" s="340"/>
      <c r="JIO474" s="340"/>
      <c r="JIP474" s="340"/>
      <c r="JIQ474" s="340"/>
      <c r="JIR474" s="340"/>
      <c r="JIS474" s="340"/>
      <c r="JIT474" s="340"/>
      <c r="JIU474" s="340"/>
      <c r="JIV474" s="340"/>
      <c r="JIW474" s="340"/>
      <c r="JIX474" s="340"/>
      <c r="JIY474" s="340"/>
      <c r="JIZ474" s="340"/>
      <c r="JJA474" s="340"/>
      <c r="JJB474" s="340"/>
      <c r="JJC474" s="340"/>
      <c r="JJD474" s="340"/>
      <c r="JJE474" s="340"/>
      <c r="JJF474" s="340"/>
      <c r="JJG474" s="340"/>
      <c r="JJH474" s="340"/>
      <c r="JJI474" s="340"/>
      <c r="JJJ474" s="340"/>
      <c r="JJK474" s="340"/>
      <c r="JJL474" s="340"/>
      <c r="JJM474" s="340"/>
      <c r="JJN474" s="340"/>
      <c r="JJO474" s="340"/>
      <c r="JJP474" s="340"/>
      <c r="JJQ474" s="340"/>
      <c r="JJR474" s="340"/>
      <c r="JJS474" s="340"/>
      <c r="JJT474" s="340"/>
      <c r="JJU474" s="340"/>
      <c r="JJV474" s="340"/>
      <c r="JJW474" s="340"/>
      <c r="JJX474" s="340"/>
      <c r="JJY474" s="340"/>
      <c r="JJZ474" s="340"/>
      <c r="JKA474" s="340"/>
      <c r="JKB474" s="340"/>
      <c r="JKC474" s="340"/>
      <c r="JKD474" s="340"/>
      <c r="JKE474" s="340"/>
      <c r="JKF474" s="340"/>
      <c r="JKG474" s="340"/>
      <c r="JKH474" s="340"/>
      <c r="JKI474" s="340"/>
      <c r="JKJ474" s="340"/>
      <c r="JKK474" s="340"/>
      <c r="JKL474" s="340"/>
      <c r="JKM474" s="340"/>
      <c r="JKN474" s="340"/>
      <c r="JKO474" s="340"/>
      <c r="JKP474" s="340"/>
      <c r="JKQ474" s="340"/>
      <c r="JKR474" s="340"/>
      <c r="JKS474" s="340"/>
      <c r="JKT474" s="340"/>
      <c r="JKU474" s="340"/>
      <c r="JKV474" s="340"/>
      <c r="JKW474" s="340"/>
      <c r="JKX474" s="340"/>
      <c r="JKY474" s="340"/>
      <c r="JKZ474" s="340"/>
      <c r="JLA474" s="340"/>
      <c r="JLB474" s="340"/>
      <c r="JLC474" s="340"/>
      <c r="JLD474" s="340"/>
      <c r="JLE474" s="340"/>
      <c r="JLF474" s="340"/>
      <c r="JLG474" s="340"/>
      <c r="JLH474" s="340"/>
      <c r="JLI474" s="340"/>
      <c r="JLJ474" s="340"/>
      <c r="JLK474" s="340"/>
      <c r="JLL474" s="340"/>
      <c r="JLM474" s="340"/>
      <c r="JLN474" s="340"/>
      <c r="JLO474" s="340"/>
      <c r="JLP474" s="340"/>
      <c r="JLQ474" s="340"/>
      <c r="JLR474" s="340"/>
      <c r="JLS474" s="340"/>
      <c r="JLT474" s="340"/>
      <c r="JLU474" s="340"/>
      <c r="JLV474" s="340"/>
      <c r="JLW474" s="340"/>
      <c r="JLX474" s="340"/>
      <c r="JLY474" s="340"/>
      <c r="JLZ474" s="340"/>
      <c r="JMA474" s="340"/>
      <c r="JMB474" s="340"/>
      <c r="JMC474" s="340"/>
      <c r="JMD474" s="340"/>
      <c r="JME474" s="340"/>
      <c r="JMF474" s="340"/>
      <c r="JMG474" s="340"/>
      <c r="JMH474" s="340"/>
      <c r="JMI474" s="340"/>
      <c r="JMJ474" s="340"/>
      <c r="JMK474" s="340"/>
      <c r="JML474" s="340"/>
      <c r="JMM474" s="340"/>
      <c r="JMN474" s="340"/>
      <c r="JMO474" s="340"/>
      <c r="JMP474" s="340"/>
      <c r="JMQ474" s="340"/>
      <c r="JMR474" s="340"/>
      <c r="JMS474" s="340"/>
      <c r="JMT474" s="340"/>
      <c r="JMU474" s="340"/>
      <c r="JMV474" s="340"/>
      <c r="JMW474" s="340"/>
      <c r="JMX474" s="340"/>
      <c r="JMY474" s="340"/>
      <c r="JMZ474" s="340"/>
      <c r="JNA474" s="340"/>
      <c r="JNB474" s="340"/>
      <c r="JNC474" s="340"/>
      <c r="JND474" s="340"/>
      <c r="JNE474" s="340"/>
      <c r="JNF474" s="340"/>
      <c r="JNG474" s="340"/>
      <c r="JNH474" s="340"/>
      <c r="JNI474" s="340"/>
      <c r="JNJ474" s="340"/>
      <c r="JNK474" s="340"/>
      <c r="JNL474" s="340"/>
      <c r="JNM474" s="340"/>
      <c r="JNN474" s="340"/>
      <c r="JNO474" s="340"/>
      <c r="JNP474" s="340"/>
      <c r="JNQ474" s="340"/>
      <c r="JNR474" s="340"/>
      <c r="JNS474" s="340"/>
      <c r="JNT474" s="340"/>
      <c r="JNU474" s="340"/>
      <c r="JNV474" s="340"/>
      <c r="JNW474" s="340"/>
      <c r="JNX474" s="340"/>
      <c r="JNY474" s="340"/>
      <c r="JNZ474" s="340"/>
      <c r="JOA474" s="340"/>
      <c r="JOB474" s="340"/>
      <c r="JOC474" s="340"/>
      <c r="JOD474" s="340"/>
      <c r="JOE474" s="340"/>
      <c r="JOF474" s="340"/>
      <c r="JOG474" s="340"/>
      <c r="JOH474" s="340"/>
      <c r="JOI474" s="340"/>
      <c r="JOJ474" s="340"/>
      <c r="JOK474" s="340"/>
      <c r="JOL474" s="340"/>
      <c r="JOM474" s="340"/>
      <c r="JON474" s="340"/>
      <c r="JOO474" s="340"/>
      <c r="JOP474" s="340"/>
      <c r="JOQ474" s="340"/>
      <c r="JOR474" s="340"/>
      <c r="JOS474" s="340"/>
      <c r="JOT474" s="340"/>
      <c r="JOU474" s="340"/>
      <c r="JOV474" s="340"/>
      <c r="JOW474" s="340"/>
      <c r="JOX474" s="340"/>
      <c r="JOY474" s="340"/>
      <c r="JOZ474" s="340"/>
      <c r="JPA474" s="340"/>
      <c r="JPB474" s="340"/>
      <c r="JPC474" s="340"/>
      <c r="JPD474" s="340"/>
      <c r="JPE474" s="340"/>
      <c r="JPF474" s="340"/>
      <c r="JPG474" s="340"/>
      <c r="JPH474" s="340"/>
      <c r="JPI474" s="340"/>
      <c r="JPJ474" s="340"/>
      <c r="JPK474" s="340"/>
      <c r="JPL474" s="340"/>
      <c r="JPM474" s="340"/>
      <c r="JPN474" s="340"/>
      <c r="JPO474" s="340"/>
      <c r="JPP474" s="340"/>
      <c r="JPQ474" s="340"/>
      <c r="JPR474" s="340"/>
      <c r="JPS474" s="340"/>
      <c r="JPT474" s="340"/>
      <c r="JPU474" s="340"/>
      <c r="JPV474" s="340"/>
      <c r="JPW474" s="340"/>
      <c r="JPX474" s="340"/>
      <c r="JPY474" s="340"/>
      <c r="JPZ474" s="340"/>
      <c r="JQA474" s="340"/>
      <c r="JQB474" s="340"/>
      <c r="JQC474" s="340"/>
      <c r="JQD474" s="340"/>
      <c r="JQE474" s="340"/>
      <c r="JQF474" s="340"/>
      <c r="JQG474" s="340"/>
      <c r="JQH474" s="340"/>
      <c r="JQI474" s="340"/>
      <c r="JQJ474" s="340"/>
      <c r="JQK474" s="340"/>
      <c r="JQL474" s="340"/>
      <c r="JQM474" s="340"/>
      <c r="JQN474" s="340"/>
      <c r="JQO474" s="340"/>
      <c r="JQP474" s="340"/>
      <c r="JQQ474" s="340"/>
      <c r="JQR474" s="340"/>
      <c r="JQS474" s="340"/>
      <c r="JQT474" s="340"/>
      <c r="JQU474" s="340"/>
      <c r="JQV474" s="340"/>
      <c r="JQW474" s="340"/>
      <c r="JQX474" s="340"/>
      <c r="JQY474" s="340"/>
      <c r="JQZ474" s="340"/>
      <c r="JRA474" s="340"/>
      <c r="JRB474" s="340"/>
      <c r="JRC474" s="340"/>
      <c r="JRD474" s="340"/>
      <c r="JRE474" s="340"/>
      <c r="JRF474" s="340"/>
      <c r="JRG474" s="340"/>
      <c r="JRH474" s="340"/>
      <c r="JRI474" s="340"/>
      <c r="JRJ474" s="340"/>
      <c r="JRK474" s="340"/>
      <c r="JRL474" s="340"/>
      <c r="JRM474" s="340"/>
      <c r="JRN474" s="340"/>
      <c r="JRO474" s="340"/>
      <c r="JRP474" s="340"/>
      <c r="JRQ474" s="340"/>
      <c r="JRR474" s="340"/>
      <c r="JRS474" s="340"/>
      <c r="JRT474" s="340"/>
      <c r="JRU474" s="340"/>
      <c r="JRV474" s="340"/>
      <c r="JRW474" s="340"/>
      <c r="JRX474" s="340"/>
      <c r="JRY474" s="340"/>
      <c r="JRZ474" s="340"/>
      <c r="JSA474" s="340"/>
      <c r="JSB474" s="340"/>
      <c r="JSC474" s="340"/>
      <c r="JSD474" s="340"/>
      <c r="JSE474" s="340"/>
      <c r="JSF474" s="340"/>
      <c r="JSG474" s="340"/>
      <c r="JSH474" s="340"/>
      <c r="JSI474" s="340"/>
      <c r="JSJ474" s="340"/>
      <c r="JSK474" s="340"/>
      <c r="JSL474" s="340"/>
      <c r="JSM474" s="340"/>
      <c r="JSN474" s="340"/>
      <c r="JSO474" s="340"/>
      <c r="JSP474" s="340"/>
      <c r="JSQ474" s="340"/>
      <c r="JSR474" s="340"/>
      <c r="JSS474" s="340"/>
      <c r="JST474" s="340"/>
      <c r="JSU474" s="340"/>
      <c r="JSV474" s="340"/>
      <c r="JSW474" s="340"/>
      <c r="JSX474" s="340"/>
      <c r="JSY474" s="340"/>
      <c r="JSZ474" s="340"/>
      <c r="JTA474" s="340"/>
      <c r="JTB474" s="340"/>
      <c r="JTC474" s="340"/>
      <c r="JTD474" s="340"/>
      <c r="JTE474" s="340"/>
      <c r="JTF474" s="340"/>
      <c r="JTG474" s="340"/>
      <c r="JTH474" s="340"/>
      <c r="JTI474" s="340"/>
      <c r="JTJ474" s="340"/>
      <c r="JTK474" s="340"/>
      <c r="JTL474" s="340"/>
      <c r="JTM474" s="340"/>
      <c r="JTN474" s="340"/>
      <c r="JTO474" s="340"/>
      <c r="JTP474" s="340"/>
      <c r="JTQ474" s="340"/>
      <c r="JTR474" s="340"/>
      <c r="JTS474" s="340"/>
      <c r="JTT474" s="340"/>
      <c r="JTU474" s="340"/>
      <c r="JTV474" s="340"/>
      <c r="JTW474" s="340"/>
      <c r="JTX474" s="340"/>
      <c r="JTY474" s="340"/>
      <c r="JTZ474" s="340"/>
      <c r="JUA474" s="340"/>
      <c r="JUB474" s="340"/>
      <c r="JUC474" s="340"/>
      <c r="JUD474" s="340"/>
      <c r="JUE474" s="340"/>
      <c r="JUF474" s="340"/>
      <c r="JUG474" s="340"/>
      <c r="JUH474" s="340"/>
      <c r="JUI474" s="340"/>
      <c r="JUJ474" s="340"/>
      <c r="JUK474" s="340"/>
      <c r="JUL474" s="340"/>
      <c r="JUM474" s="340"/>
      <c r="JUN474" s="340"/>
      <c r="JUO474" s="340"/>
      <c r="JUP474" s="340"/>
      <c r="JUQ474" s="340"/>
      <c r="JUR474" s="340"/>
      <c r="JUS474" s="340"/>
      <c r="JUT474" s="340"/>
      <c r="JUU474" s="340"/>
      <c r="JUV474" s="340"/>
      <c r="JUW474" s="340"/>
      <c r="JUX474" s="340"/>
      <c r="JUY474" s="340"/>
      <c r="JUZ474" s="340"/>
      <c r="JVA474" s="340"/>
      <c r="JVB474" s="340"/>
      <c r="JVC474" s="340"/>
      <c r="JVD474" s="340"/>
      <c r="JVE474" s="340"/>
      <c r="JVF474" s="340"/>
      <c r="JVG474" s="340"/>
      <c r="JVH474" s="340"/>
      <c r="JVI474" s="340"/>
      <c r="JVJ474" s="340"/>
      <c r="JVK474" s="340"/>
      <c r="JVL474" s="340"/>
      <c r="JVM474" s="340"/>
      <c r="JVN474" s="340"/>
      <c r="JVO474" s="340"/>
      <c r="JVP474" s="340"/>
      <c r="JVQ474" s="340"/>
      <c r="JVR474" s="340"/>
      <c r="JVS474" s="340"/>
      <c r="JVT474" s="340"/>
      <c r="JVU474" s="340"/>
      <c r="JVV474" s="340"/>
      <c r="JVW474" s="340"/>
      <c r="JVX474" s="340"/>
      <c r="JVY474" s="340"/>
      <c r="JVZ474" s="340"/>
      <c r="JWA474" s="340"/>
      <c r="JWB474" s="340"/>
      <c r="JWC474" s="340"/>
      <c r="JWD474" s="340"/>
      <c r="JWE474" s="340"/>
      <c r="JWF474" s="340"/>
      <c r="JWG474" s="340"/>
      <c r="JWH474" s="340"/>
      <c r="JWI474" s="340"/>
      <c r="JWJ474" s="340"/>
      <c r="JWK474" s="340"/>
      <c r="JWL474" s="340"/>
      <c r="JWM474" s="340"/>
      <c r="JWN474" s="340"/>
      <c r="JWO474" s="340"/>
      <c r="JWP474" s="340"/>
      <c r="JWQ474" s="340"/>
      <c r="JWR474" s="340"/>
      <c r="JWS474" s="340"/>
      <c r="JWT474" s="340"/>
      <c r="JWU474" s="340"/>
      <c r="JWV474" s="340"/>
      <c r="JWW474" s="340"/>
      <c r="JWX474" s="340"/>
      <c r="JWY474" s="340"/>
      <c r="JWZ474" s="340"/>
      <c r="JXA474" s="340"/>
      <c r="JXB474" s="340"/>
      <c r="JXC474" s="340"/>
      <c r="JXD474" s="340"/>
      <c r="JXE474" s="340"/>
      <c r="JXF474" s="340"/>
      <c r="JXG474" s="340"/>
      <c r="JXH474" s="340"/>
      <c r="JXI474" s="340"/>
      <c r="JXJ474" s="340"/>
      <c r="JXK474" s="340"/>
      <c r="JXL474" s="340"/>
      <c r="JXM474" s="340"/>
      <c r="JXN474" s="340"/>
      <c r="JXO474" s="340"/>
      <c r="JXP474" s="340"/>
      <c r="JXQ474" s="340"/>
      <c r="JXR474" s="340"/>
      <c r="JXS474" s="340"/>
      <c r="JXT474" s="340"/>
      <c r="JXU474" s="340"/>
      <c r="JXV474" s="340"/>
      <c r="JXW474" s="340"/>
      <c r="JXX474" s="340"/>
      <c r="JXY474" s="340"/>
      <c r="JXZ474" s="340"/>
      <c r="JYA474" s="340"/>
      <c r="JYB474" s="340"/>
      <c r="JYC474" s="340"/>
      <c r="JYD474" s="340"/>
      <c r="JYE474" s="340"/>
      <c r="JYF474" s="340"/>
      <c r="JYG474" s="340"/>
      <c r="JYH474" s="340"/>
      <c r="JYI474" s="340"/>
      <c r="JYJ474" s="340"/>
      <c r="JYK474" s="340"/>
      <c r="JYL474" s="340"/>
      <c r="JYM474" s="340"/>
      <c r="JYN474" s="340"/>
      <c r="JYO474" s="340"/>
      <c r="JYP474" s="340"/>
      <c r="JYQ474" s="340"/>
      <c r="JYR474" s="340"/>
      <c r="JYS474" s="340"/>
      <c r="JYT474" s="340"/>
      <c r="JYU474" s="340"/>
      <c r="JYV474" s="340"/>
      <c r="JYW474" s="340"/>
      <c r="JYX474" s="340"/>
      <c r="JYY474" s="340"/>
      <c r="JYZ474" s="340"/>
      <c r="JZA474" s="340"/>
      <c r="JZB474" s="340"/>
      <c r="JZC474" s="340"/>
      <c r="JZD474" s="340"/>
      <c r="JZE474" s="340"/>
      <c r="JZF474" s="340"/>
      <c r="JZG474" s="340"/>
      <c r="JZH474" s="340"/>
      <c r="JZI474" s="340"/>
      <c r="JZJ474" s="340"/>
      <c r="JZK474" s="340"/>
      <c r="JZL474" s="340"/>
      <c r="JZM474" s="340"/>
      <c r="JZN474" s="340"/>
      <c r="JZO474" s="340"/>
      <c r="JZP474" s="340"/>
      <c r="JZQ474" s="340"/>
      <c r="JZR474" s="340"/>
      <c r="JZS474" s="340"/>
      <c r="JZT474" s="340"/>
      <c r="JZU474" s="340"/>
      <c r="JZV474" s="340"/>
      <c r="JZW474" s="340"/>
      <c r="JZX474" s="340"/>
      <c r="JZY474" s="340"/>
      <c r="JZZ474" s="340"/>
      <c r="KAA474" s="340"/>
      <c r="KAB474" s="340"/>
      <c r="KAC474" s="340"/>
      <c r="KAD474" s="340"/>
      <c r="KAE474" s="340"/>
      <c r="KAF474" s="340"/>
      <c r="KAG474" s="340"/>
      <c r="KAH474" s="340"/>
      <c r="KAI474" s="340"/>
      <c r="KAJ474" s="340"/>
      <c r="KAK474" s="340"/>
      <c r="KAL474" s="340"/>
      <c r="KAM474" s="340"/>
      <c r="KAN474" s="340"/>
      <c r="KAO474" s="340"/>
      <c r="KAP474" s="340"/>
      <c r="KAQ474" s="340"/>
      <c r="KAR474" s="340"/>
      <c r="KAS474" s="340"/>
      <c r="KAT474" s="340"/>
      <c r="KAU474" s="340"/>
      <c r="KAV474" s="340"/>
      <c r="KAW474" s="340"/>
      <c r="KAX474" s="340"/>
      <c r="KAY474" s="340"/>
      <c r="KAZ474" s="340"/>
      <c r="KBA474" s="340"/>
      <c r="KBB474" s="340"/>
      <c r="KBC474" s="340"/>
      <c r="KBD474" s="340"/>
      <c r="KBE474" s="340"/>
      <c r="KBF474" s="340"/>
      <c r="KBG474" s="340"/>
      <c r="KBH474" s="340"/>
      <c r="KBI474" s="340"/>
      <c r="KBJ474" s="340"/>
      <c r="KBK474" s="340"/>
      <c r="KBL474" s="340"/>
      <c r="KBM474" s="340"/>
      <c r="KBN474" s="340"/>
      <c r="KBO474" s="340"/>
      <c r="KBP474" s="340"/>
      <c r="KBQ474" s="340"/>
      <c r="KBR474" s="340"/>
      <c r="KBS474" s="340"/>
      <c r="KBT474" s="340"/>
      <c r="KBU474" s="340"/>
      <c r="KBV474" s="340"/>
      <c r="KBW474" s="340"/>
      <c r="KBX474" s="340"/>
      <c r="KBY474" s="340"/>
      <c r="KBZ474" s="340"/>
      <c r="KCA474" s="340"/>
      <c r="KCB474" s="340"/>
      <c r="KCC474" s="340"/>
      <c r="KCD474" s="340"/>
      <c r="KCE474" s="340"/>
      <c r="KCF474" s="340"/>
      <c r="KCG474" s="340"/>
      <c r="KCH474" s="340"/>
      <c r="KCI474" s="340"/>
      <c r="KCJ474" s="340"/>
      <c r="KCK474" s="340"/>
      <c r="KCL474" s="340"/>
      <c r="KCM474" s="340"/>
      <c r="KCN474" s="340"/>
      <c r="KCO474" s="340"/>
      <c r="KCP474" s="340"/>
      <c r="KCQ474" s="340"/>
      <c r="KCR474" s="340"/>
      <c r="KCS474" s="340"/>
      <c r="KCT474" s="340"/>
      <c r="KCU474" s="340"/>
      <c r="KCV474" s="340"/>
      <c r="KCW474" s="340"/>
      <c r="KCX474" s="340"/>
      <c r="KCY474" s="340"/>
      <c r="KCZ474" s="340"/>
      <c r="KDA474" s="340"/>
      <c r="KDB474" s="340"/>
      <c r="KDC474" s="340"/>
      <c r="KDD474" s="340"/>
      <c r="KDE474" s="340"/>
      <c r="KDF474" s="340"/>
      <c r="KDG474" s="340"/>
      <c r="KDH474" s="340"/>
      <c r="KDI474" s="340"/>
      <c r="KDJ474" s="340"/>
      <c r="KDK474" s="340"/>
      <c r="KDL474" s="340"/>
      <c r="KDM474" s="340"/>
      <c r="KDN474" s="340"/>
      <c r="KDO474" s="340"/>
      <c r="KDP474" s="340"/>
      <c r="KDQ474" s="340"/>
      <c r="KDR474" s="340"/>
      <c r="KDS474" s="340"/>
      <c r="KDT474" s="340"/>
      <c r="KDU474" s="340"/>
      <c r="KDV474" s="340"/>
      <c r="KDW474" s="340"/>
      <c r="KDX474" s="340"/>
      <c r="KDY474" s="340"/>
      <c r="KDZ474" s="340"/>
      <c r="KEA474" s="340"/>
      <c r="KEB474" s="340"/>
      <c r="KEC474" s="340"/>
      <c r="KED474" s="340"/>
      <c r="KEE474" s="340"/>
      <c r="KEF474" s="340"/>
      <c r="KEG474" s="340"/>
      <c r="KEH474" s="340"/>
      <c r="KEI474" s="340"/>
      <c r="KEJ474" s="340"/>
      <c r="KEK474" s="340"/>
      <c r="KEL474" s="340"/>
      <c r="KEM474" s="340"/>
      <c r="KEN474" s="340"/>
      <c r="KEO474" s="340"/>
      <c r="KEP474" s="340"/>
      <c r="KEQ474" s="340"/>
      <c r="KER474" s="340"/>
      <c r="KES474" s="340"/>
      <c r="KET474" s="340"/>
      <c r="KEU474" s="340"/>
      <c r="KEV474" s="340"/>
      <c r="KEW474" s="340"/>
      <c r="KEX474" s="340"/>
      <c r="KEY474" s="340"/>
      <c r="KEZ474" s="340"/>
      <c r="KFA474" s="340"/>
      <c r="KFB474" s="340"/>
      <c r="KFC474" s="340"/>
      <c r="KFD474" s="340"/>
      <c r="KFE474" s="340"/>
      <c r="KFF474" s="340"/>
      <c r="KFG474" s="340"/>
      <c r="KFH474" s="340"/>
      <c r="KFI474" s="340"/>
      <c r="KFJ474" s="340"/>
      <c r="KFK474" s="340"/>
      <c r="KFL474" s="340"/>
      <c r="KFM474" s="340"/>
      <c r="KFN474" s="340"/>
      <c r="KFO474" s="340"/>
      <c r="KFP474" s="340"/>
      <c r="KFQ474" s="340"/>
      <c r="KFR474" s="340"/>
      <c r="KFS474" s="340"/>
      <c r="KFT474" s="340"/>
      <c r="KFU474" s="340"/>
      <c r="KFV474" s="340"/>
      <c r="KFW474" s="340"/>
      <c r="KFX474" s="340"/>
      <c r="KFY474" s="340"/>
      <c r="KFZ474" s="340"/>
      <c r="KGA474" s="340"/>
      <c r="KGB474" s="340"/>
      <c r="KGC474" s="340"/>
      <c r="KGD474" s="340"/>
      <c r="KGE474" s="340"/>
      <c r="KGF474" s="340"/>
      <c r="KGG474" s="340"/>
      <c r="KGH474" s="340"/>
      <c r="KGI474" s="340"/>
      <c r="KGJ474" s="340"/>
      <c r="KGK474" s="340"/>
      <c r="KGL474" s="340"/>
      <c r="KGM474" s="340"/>
      <c r="KGN474" s="340"/>
      <c r="KGO474" s="340"/>
      <c r="KGP474" s="340"/>
      <c r="KGQ474" s="340"/>
      <c r="KGR474" s="340"/>
      <c r="KGS474" s="340"/>
      <c r="KGT474" s="340"/>
      <c r="KGU474" s="340"/>
      <c r="KGV474" s="340"/>
      <c r="KGW474" s="340"/>
      <c r="KGX474" s="340"/>
      <c r="KGY474" s="340"/>
      <c r="KGZ474" s="340"/>
      <c r="KHA474" s="340"/>
      <c r="KHB474" s="340"/>
      <c r="KHC474" s="340"/>
      <c r="KHD474" s="340"/>
      <c r="KHE474" s="340"/>
      <c r="KHF474" s="340"/>
      <c r="KHG474" s="340"/>
      <c r="KHH474" s="340"/>
      <c r="KHI474" s="340"/>
      <c r="KHJ474" s="340"/>
      <c r="KHK474" s="340"/>
      <c r="KHL474" s="340"/>
      <c r="KHM474" s="340"/>
      <c r="KHN474" s="340"/>
      <c r="KHO474" s="340"/>
      <c r="KHP474" s="340"/>
      <c r="KHQ474" s="340"/>
      <c r="KHR474" s="340"/>
      <c r="KHS474" s="340"/>
      <c r="KHT474" s="340"/>
      <c r="KHU474" s="340"/>
      <c r="KHV474" s="340"/>
      <c r="KHW474" s="340"/>
      <c r="KHX474" s="340"/>
      <c r="KHY474" s="340"/>
      <c r="KHZ474" s="340"/>
      <c r="KIA474" s="340"/>
      <c r="KIB474" s="340"/>
      <c r="KIC474" s="340"/>
      <c r="KID474" s="340"/>
      <c r="KIE474" s="340"/>
      <c r="KIF474" s="340"/>
      <c r="KIG474" s="340"/>
      <c r="KIH474" s="340"/>
      <c r="KII474" s="340"/>
      <c r="KIJ474" s="340"/>
      <c r="KIK474" s="340"/>
      <c r="KIL474" s="340"/>
      <c r="KIM474" s="340"/>
      <c r="KIN474" s="340"/>
      <c r="KIO474" s="340"/>
      <c r="KIP474" s="340"/>
      <c r="KIQ474" s="340"/>
      <c r="KIR474" s="340"/>
      <c r="KIS474" s="340"/>
      <c r="KIT474" s="340"/>
      <c r="KIU474" s="340"/>
      <c r="KIV474" s="340"/>
      <c r="KIW474" s="340"/>
      <c r="KIX474" s="340"/>
      <c r="KIY474" s="340"/>
      <c r="KIZ474" s="340"/>
      <c r="KJA474" s="340"/>
      <c r="KJB474" s="340"/>
      <c r="KJC474" s="340"/>
      <c r="KJD474" s="340"/>
      <c r="KJE474" s="340"/>
      <c r="KJF474" s="340"/>
      <c r="KJG474" s="340"/>
      <c r="KJH474" s="340"/>
      <c r="KJI474" s="340"/>
      <c r="KJJ474" s="340"/>
      <c r="KJK474" s="340"/>
      <c r="KJL474" s="340"/>
      <c r="KJM474" s="340"/>
      <c r="KJN474" s="340"/>
      <c r="KJO474" s="340"/>
      <c r="KJP474" s="340"/>
      <c r="KJQ474" s="340"/>
      <c r="KJR474" s="340"/>
      <c r="KJS474" s="340"/>
      <c r="KJT474" s="340"/>
      <c r="KJU474" s="340"/>
      <c r="KJV474" s="340"/>
      <c r="KJW474" s="340"/>
      <c r="KJX474" s="340"/>
      <c r="KJY474" s="340"/>
      <c r="KJZ474" s="340"/>
      <c r="KKA474" s="340"/>
      <c r="KKB474" s="340"/>
      <c r="KKC474" s="340"/>
      <c r="KKD474" s="340"/>
      <c r="KKE474" s="340"/>
      <c r="KKF474" s="340"/>
      <c r="KKG474" s="340"/>
      <c r="KKH474" s="340"/>
      <c r="KKI474" s="340"/>
      <c r="KKJ474" s="340"/>
      <c r="KKK474" s="340"/>
      <c r="KKL474" s="340"/>
      <c r="KKM474" s="340"/>
      <c r="KKN474" s="340"/>
      <c r="KKO474" s="340"/>
      <c r="KKP474" s="340"/>
      <c r="KKQ474" s="340"/>
      <c r="KKR474" s="340"/>
      <c r="KKS474" s="340"/>
      <c r="KKT474" s="340"/>
      <c r="KKU474" s="340"/>
      <c r="KKV474" s="340"/>
      <c r="KKW474" s="340"/>
      <c r="KKX474" s="340"/>
      <c r="KKY474" s="340"/>
      <c r="KKZ474" s="340"/>
      <c r="KLA474" s="340"/>
      <c r="KLB474" s="340"/>
      <c r="KLC474" s="340"/>
      <c r="KLD474" s="340"/>
      <c r="KLE474" s="340"/>
      <c r="KLF474" s="340"/>
      <c r="KLG474" s="340"/>
      <c r="KLH474" s="340"/>
      <c r="KLI474" s="340"/>
      <c r="KLJ474" s="340"/>
      <c r="KLK474" s="340"/>
      <c r="KLL474" s="340"/>
      <c r="KLM474" s="340"/>
      <c r="KLN474" s="340"/>
      <c r="KLO474" s="340"/>
      <c r="KLP474" s="340"/>
      <c r="KLQ474" s="340"/>
      <c r="KLR474" s="340"/>
      <c r="KLS474" s="340"/>
      <c r="KLT474" s="340"/>
      <c r="KLU474" s="340"/>
      <c r="KLV474" s="340"/>
      <c r="KLW474" s="340"/>
      <c r="KLX474" s="340"/>
      <c r="KLY474" s="340"/>
      <c r="KLZ474" s="340"/>
      <c r="KMA474" s="340"/>
      <c r="KMB474" s="340"/>
      <c r="KMC474" s="340"/>
      <c r="KMD474" s="340"/>
      <c r="KME474" s="340"/>
      <c r="KMF474" s="340"/>
      <c r="KMG474" s="340"/>
      <c r="KMH474" s="340"/>
      <c r="KMI474" s="340"/>
      <c r="KMJ474" s="340"/>
      <c r="KMK474" s="340"/>
      <c r="KML474" s="340"/>
      <c r="KMM474" s="340"/>
      <c r="KMN474" s="340"/>
      <c r="KMO474" s="340"/>
      <c r="KMP474" s="340"/>
      <c r="KMQ474" s="340"/>
      <c r="KMR474" s="340"/>
      <c r="KMS474" s="340"/>
      <c r="KMT474" s="340"/>
      <c r="KMU474" s="340"/>
      <c r="KMV474" s="340"/>
      <c r="KMW474" s="340"/>
      <c r="KMX474" s="340"/>
      <c r="KMY474" s="340"/>
      <c r="KMZ474" s="340"/>
      <c r="KNA474" s="340"/>
      <c r="KNB474" s="340"/>
      <c r="KNC474" s="340"/>
      <c r="KND474" s="340"/>
      <c r="KNE474" s="340"/>
      <c r="KNF474" s="340"/>
      <c r="KNG474" s="340"/>
      <c r="KNH474" s="340"/>
      <c r="KNI474" s="340"/>
      <c r="KNJ474" s="340"/>
      <c r="KNK474" s="340"/>
      <c r="KNL474" s="340"/>
      <c r="KNM474" s="340"/>
      <c r="KNN474" s="340"/>
      <c r="KNO474" s="340"/>
      <c r="KNP474" s="340"/>
      <c r="KNQ474" s="340"/>
      <c r="KNR474" s="340"/>
      <c r="KNS474" s="340"/>
      <c r="KNT474" s="340"/>
      <c r="KNU474" s="340"/>
      <c r="KNV474" s="340"/>
      <c r="KNW474" s="340"/>
      <c r="KNX474" s="340"/>
      <c r="KNY474" s="340"/>
      <c r="KNZ474" s="340"/>
      <c r="KOA474" s="340"/>
      <c r="KOB474" s="340"/>
      <c r="KOC474" s="340"/>
      <c r="KOD474" s="340"/>
      <c r="KOE474" s="340"/>
      <c r="KOF474" s="340"/>
      <c r="KOG474" s="340"/>
      <c r="KOH474" s="340"/>
      <c r="KOI474" s="340"/>
      <c r="KOJ474" s="340"/>
      <c r="KOK474" s="340"/>
      <c r="KOL474" s="340"/>
      <c r="KOM474" s="340"/>
      <c r="KON474" s="340"/>
      <c r="KOO474" s="340"/>
      <c r="KOP474" s="340"/>
      <c r="KOQ474" s="340"/>
      <c r="KOR474" s="340"/>
      <c r="KOS474" s="340"/>
      <c r="KOT474" s="340"/>
      <c r="KOU474" s="340"/>
      <c r="KOV474" s="340"/>
      <c r="KOW474" s="340"/>
      <c r="KOX474" s="340"/>
      <c r="KOY474" s="340"/>
      <c r="KOZ474" s="340"/>
      <c r="KPA474" s="340"/>
      <c r="KPB474" s="340"/>
      <c r="KPC474" s="340"/>
      <c r="KPD474" s="340"/>
      <c r="KPE474" s="340"/>
      <c r="KPF474" s="340"/>
      <c r="KPG474" s="340"/>
      <c r="KPH474" s="340"/>
      <c r="KPI474" s="340"/>
      <c r="KPJ474" s="340"/>
      <c r="KPK474" s="340"/>
      <c r="KPL474" s="340"/>
      <c r="KPM474" s="340"/>
      <c r="KPN474" s="340"/>
      <c r="KPO474" s="340"/>
      <c r="KPP474" s="340"/>
      <c r="KPQ474" s="340"/>
      <c r="KPR474" s="340"/>
      <c r="KPS474" s="340"/>
      <c r="KPT474" s="340"/>
      <c r="KPU474" s="340"/>
      <c r="KPV474" s="340"/>
      <c r="KPW474" s="340"/>
      <c r="KPX474" s="340"/>
      <c r="KPY474" s="340"/>
      <c r="KPZ474" s="340"/>
      <c r="KQA474" s="340"/>
      <c r="KQB474" s="340"/>
      <c r="KQC474" s="340"/>
      <c r="KQD474" s="340"/>
      <c r="KQE474" s="340"/>
      <c r="KQF474" s="340"/>
      <c r="KQG474" s="340"/>
      <c r="KQH474" s="340"/>
      <c r="KQI474" s="340"/>
      <c r="KQJ474" s="340"/>
      <c r="KQK474" s="340"/>
      <c r="KQL474" s="340"/>
      <c r="KQM474" s="340"/>
      <c r="KQN474" s="340"/>
      <c r="KQO474" s="340"/>
      <c r="KQP474" s="340"/>
      <c r="KQQ474" s="340"/>
      <c r="KQR474" s="340"/>
      <c r="KQS474" s="340"/>
      <c r="KQT474" s="340"/>
      <c r="KQU474" s="340"/>
      <c r="KQV474" s="340"/>
      <c r="KQW474" s="340"/>
      <c r="KQX474" s="340"/>
      <c r="KQY474" s="340"/>
      <c r="KQZ474" s="340"/>
      <c r="KRA474" s="340"/>
      <c r="KRB474" s="340"/>
      <c r="KRC474" s="340"/>
      <c r="KRD474" s="340"/>
      <c r="KRE474" s="340"/>
      <c r="KRF474" s="340"/>
      <c r="KRG474" s="340"/>
      <c r="KRH474" s="340"/>
      <c r="KRI474" s="340"/>
      <c r="KRJ474" s="340"/>
      <c r="KRK474" s="340"/>
      <c r="KRL474" s="340"/>
      <c r="KRM474" s="340"/>
      <c r="KRN474" s="340"/>
      <c r="KRO474" s="340"/>
      <c r="KRP474" s="340"/>
      <c r="KRQ474" s="340"/>
      <c r="KRR474" s="340"/>
      <c r="KRS474" s="340"/>
      <c r="KRT474" s="340"/>
      <c r="KRU474" s="340"/>
      <c r="KRV474" s="340"/>
      <c r="KRW474" s="340"/>
      <c r="KRX474" s="340"/>
      <c r="KRY474" s="340"/>
      <c r="KRZ474" s="340"/>
      <c r="KSA474" s="340"/>
      <c r="KSB474" s="340"/>
      <c r="KSC474" s="340"/>
      <c r="KSD474" s="340"/>
      <c r="KSE474" s="340"/>
      <c r="KSF474" s="340"/>
      <c r="KSG474" s="340"/>
      <c r="KSH474" s="340"/>
      <c r="KSI474" s="340"/>
      <c r="KSJ474" s="340"/>
      <c r="KSK474" s="340"/>
      <c r="KSL474" s="340"/>
      <c r="KSM474" s="340"/>
      <c r="KSN474" s="340"/>
      <c r="KSO474" s="340"/>
      <c r="KSP474" s="340"/>
      <c r="KSQ474" s="340"/>
      <c r="KSR474" s="340"/>
      <c r="KSS474" s="340"/>
      <c r="KST474" s="340"/>
      <c r="KSU474" s="340"/>
      <c r="KSV474" s="340"/>
      <c r="KSW474" s="340"/>
      <c r="KSX474" s="340"/>
      <c r="KSY474" s="340"/>
      <c r="KSZ474" s="340"/>
      <c r="KTA474" s="340"/>
      <c r="KTB474" s="340"/>
      <c r="KTC474" s="340"/>
      <c r="KTD474" s="340"/>
      <c r="KTE474" s="340"/>
      <c r="KTF474" s="340"/>
      <c r="KTG474" s="340"/>
      <c r="KTH474" s="340"/>
      <c r="KTI474" s="340"/>
      <c r="KTJ474" s="340"/>
      <c r="KTK474" s="340"/>
      <c r="KTL474" s="340"/>
      <c r="KTM474" s="340"/>
      <c r="KTN474" s="340"/>
      <c r="KTO474" s="340"/>
      <c r="KTP474" s="340"/>
      <c r="KTQ474" s="340"/>
      <c r="KTR474" s="340"/>
      <c r="KTS474" s="340"/>
      <c r="KTT474" s="340"/>
      <c r="KTU474" s="340"/>
      <c r="KTV474" s="340"/>
      <c r="KTW474" s="340"/>
      <c r="KTX474" s="340"/>
      <c r="KTY474" s="340"/>
      <c r="KTZ474" s="340"/>
      <c r="KUA474" s="340"/>
      <c r="KUB474" s="340"/>
      <c r="KUC474" s="340"/>
      <c r="KUD474" s="340"/>
      <c r="KUE474" s="340"/>
      <c r="KUF474" s="340"/>
      <c r="KUG474" s="340"/>
      <c r="KUH474" s="340"/>
      <c r="KUI474" s="340"/>
      <c r="KUJ474" s="340"/>
      <c r="KUK474" s="340"/>
      <c r="KUL474" s="340"/>
      <c r="KUM474" s="340"/>
      <c r="KUN474" s="340"/>
      <c r="KUO474" s="340"/>
      <c r="KUP474" s="340"/>
      <c r="KUQ474" s="340"/>
      <c r="KUR474" s="340"/>
      <c r="KUS474" s="340"/>
      <c r="KUT474" s="340"/>
      <c r="KUU474" s="340"/>
      <c r="KUV474" s="340"/>
      <c r="KUW474" s="340"/>
      <c r="KUX474" s="340"/>
      <c r="KUY474" s="340"/>
      <c r="KUZ474" s="340"/>
      <c r="KVA474" s="340"/>
      <c r="KVB474" s="340"/>
      <c r="KVC474" s="340"/>
      <c r="KVD474" s="340"/>
      <c r="KVE474" s="340"/>
      <c r="KVF474" s="340"/>
      <c r="KVG474" s="340"/>
      <c r="KVH474" s="340"/>
      <c r="KVI474" s="340"/>
      <c r="KVJ474" s="340"/>
      <c r="KVK474" s="340"/>
      <c r="KVL474" s="340"/>
      <c r="KVM474" s="340"/>
      <c r="KVN474" s="340"/>
      <c r="KVO474" s="340"/>
      <c r="KVP474" s="340"/>
      <c r="KVQ474" s="340"/>
      <c r="KVR474" s="340"/>
      <c r="KVS474" s="340"/>
      <c r="KVT474" s="340"/>
      <c r="KVU474" s="340"/>
      <c r="KVV474" s="340"/>
      <c r="KVW474" s="340"/>
      <c r="KVX474" s="340"/>
      <c r="KVY474" s="340"/>
      <c r="KVZ474" s="340"/>
      <c r="KWA474" s="340"/>
      <c r="KWB474" s="340"/>
      <c r="KWC474" s="340"/>
      <c r="KWD474" s="340"/>
      <c r="KWE474" s="340"/>
      <c r="KWF474" s="340"/>
      <c r="KWG474" s="340"/>
      <c r="KWH474" s="340"/>
      <c r="KWI474" s="340"/>
      <c r="KWJ474" s="340"/>
      <c r="KWK474" s="340"/>
      <c r="KWL474" s="340"/>
      <c r="KWM474" s="340"/>
      <c r="KWN474" s="340"/>
      <c r="KWO474" s="340"/>
      <c r="KWP474" s="340"/>
      <c r="KWQ474" s="340"/>
      <c r="KWR474" s="340"/>
      <c r="KWS474" s="340"/>
      <c r="KWT474" s="340"/>
      <c r="KWU474" s="340"/>
      <c r="KWV474" s="340"/>
      <c r="KWW474" s="340"/>
      <c r="KWX474" s="340"/>
      <c r="KWY474" s="340"/>
      <c r="KWZ474" s="340"/>
      <c r="KXA474" s="340"/>
      <c r="KXB474" s="340"/>
      <c r="KXC474" s="340"/>
      <c r="KXD474" s="340"/>
      <c r="KXE474" s="340"/>
      <c r="KXF474" s="340"/>
      <c r="KXG474" s="340"/>
      <c r="KXH474" s="340"/>
      <c r="KXI474" s="340"/>
      <c r="KXJ474" s="340"/>
      <c r="KXK474" s="340"/>
      <c r="KXL474" s="340"/>
      <c r="KXM474" s="340"/>
      <c r="KXN474" s="340"/>
      <c r="KXO474" s="340"/>
      <c r="KXP474" s="340"/>
      <c r="KXQ474" s="340"/>
      <c r="KXR474" s="340"/>
      <c r="KXS474" s="340"/>
      <c r="KXT474" s="340"/>
      <c r="KXU474" s="340"/>
      <c r="KXV474" s="340"/>
      <c r="KXW474" s="340"/>
      <c r="KXX474" s="340"/>
      <c r="KXY474" s="340"/>
      <c r="KXZ474" s="340"/>
      <c r="KYA474" s="340"/>
      <c r="KYB474" s="340"/>
      <c r="KYC474" s="340"/>
      <c r="KYD474" s="340"/>
      <c r="KYE474" s="340"/>
      <c r="KYF474" s="340"/>
      <c r="KYG474" s="340"/>
      <c r="KYH474" s="340"/>
      <c r="KYI474" s="340"/>
      <c r="KYJ474" s="340"/>
      <c r="KYK474" s="340"/>
      <c r="KYL474" s="340"/>
      <c r="KYM474" s="340"/>
      <c r="KYN474" s="340"/>
      <c r="KYO474" s="340"/>
      <c r="KYP474" s="340"/>
      <c r="KYQ474" s="340"/>
      <c r="KYR474" s="340"/>
      <c r="KYS474" s="340"/>
      <c r="KYT474" s="340"/>
      <c r="KYU474" s="340"/>
      <c r="KYV474" s="340"/>
      <c r="KYW474" s="340"/>
      <c r="KYX474" s="340"/>
      <c r="KYY474" s="340"/>
      <c r="KYZ474" s="340"/>
      <c r="KZA474" s="340"/>
      <c r="KZB474" s="340"/>
      <c r="KZC474" s="340"/>
      <c r="KZD474" s="340"/>
      <c r="KZE474" s="340"/>
      <c r="KZF474" s="340"/>
      <c r="KZG474" s="340"/>
      <c r="KZH474" s="340"/>
      <c r="KZI474" s="340"/>
      <c r="KZJ474" s="340"/>
      <c r="KZK474" s="340"/>
      <c r="KZL474" s="340"/>
      <c r="KZM474" s="340"/>
      <c r="KZN474" s="340"/>
      <c r="KZO474" s="340"/>
      <c r="KZP474" s="340"/>
      <c r="KZQ474" s="340"/>
      <c r="KZR474" s="340"/>
      <c r="KZS474" s="340"/>
      <c r="KZT474" s="340"/>
      <c r="KZU474" s="340"/>
      <c r="KZV474" s="340"/>
      <c r="KZW474" s="340"/>
      <c r="KZX474" s="340"/>
      <c r="KZY474" s="340"/>
      <c r="KZZ474" s="340"/>
      <c r="LAA474" s="340"/>
      <c r="LAB474" s="340"/>
      <c r="LAC474" s="340"/>
      <c r="LAD474" s="340"/>
      <c r="LAE474" s="340"/>
      <c r="LAF474" s="340"/>
      <c r="LAG474" s="340"/>
      <c r="LAH474" s="340"/>
      <c r="LAI474" s="340"/>
      <c r="LAJ474" s="340"/>
      <c r="LAK474" s="340"/>
      <c r="LAL474" s="340"/>
      <c r="LAM474" s="340"/>
      <c r="LAN474" s="340"/>
      <c r="LAO474" s="340"/>
      <c r="LAP474" s="340"/>
      <c r="LAQ474" s="340"/>
      <c r="LAR474" s="340"/>
      <c r="LAS474" s="340"/>
      <c r="LAT474" s="340"/>
      <c r="LAU474" s="340"/>
      <c r="LAV474" s="340"/>
      <c r="LAW474" s="340"/>
      <c r="LAX474" s="340"/>
      <c r="LAY474" s="340"/>
      <c r="LAZ474" s="340"/>
      <c r="LBA474" s="340"/>
      <c r="LBB474" s="340"/>
      <c r="LBC474" s="340"/>
      <c r="LBD474" s="340"/>
      <c r="LBE474" s="340"/>
      <c r="LBF474" s="340"/>
      <c r="LBG474" s="340"/>
      <c r="LBH474" s="340"/>
      <c r="LBI474" s="340"/>
      <c r="LBJ474" s="340"/>
      <c r="LBK474" s="340"/>
      <c r="LBL474" s="340"/>
      <c r="LBM474" s="340"/>
      <c r="LBN474" s="340"/>
      <c r="LBO474" s="340"/>
      <c r="LBP474" s="340"/>
      <c r="LBQ474" s="340"/>
      <c r="LBR474" s="340"/>
      <c r="LBS474" s="340"/>
      <c r="LBT474" s="340"/>
      <c r="LBU474" s="340"/>
      <c r="LBV474" s="340"/>
      <c r="LBW474" s="340"/>
      <c r="LBX474" s="340"/>
      <c r="LBY474" s="340"/>
      <c r="LBZ474" s="340"/>
      <c r="LCA474" s="340"/>
      <c r="LCB474" s="340"/>
      <c r="LCC474" s="340"/>
      <c r="LCD474" s="340"/>
      <c r="LCE474" s="340"/>
      <c r="LCF474" s="340"/>
      <c r="LCG474" s="340"/>
      <c r="LCH474" s="340"/>
      <c r="LCI474" s="340"/>
      <c r="LCJ474" s="340"/>
      <c r="LCK474" s="340"/>
      <c r="LCL474" s="340"/>
      <c r="LCM474" s="340"/>
      <c r="LCN474" s="340"/>
      <c r="LCO474" s="340"/>
      <c r="LCP474" s="340"/>
      <c r="LCQ474" s="340"/>
      <c r="LCR474" s="340"/>
      <c r="LCS474" s="340"/>
      <c r="LCT474" s="340"/>
      <c r="LCU474" s="340"/>
      <c r="LCV474" s="340"/>
      <c r="LCW474" s="340"/>
      <c r="LCX474" s="340"/>
      <c r="LCY474" s="340"/>
      <c r="LCZ474" s="340"/>
      <c r="LDA474" s="340"/>
      <c r="LDB474" s="340"/>
      <c r="LDC474" s="340"/>
      <c r="LDD474" s="340"/>
      <c r="LDE474" s="340"/>
      <c r="LDF474" s="340"/>
      <c r="LDG474" s="340"/>
      <c r="LDH474" s="340"/>
      <c r="LDI474" s="340"/>
      <c r="LDJ474" s="340"/>
      <c r="LDK474" s="340"/>
      <c r="LDL474" s="340"/>
      <c r="LDM474" s="340"/>
      <c r="LDN474" s="340"/>
      <c r="LDO474" s="340"/>
      <c r="LDP474" s="340"/>
      <c r="LDQ474" s="340"/>
      <c r="LDR474" s="340"/>
      <c r="LDS474" s="340"/>
      <c r="LDT474" s="340"/>
      <c r="LDU474" s="340"/>
      <c r="LDV474" s="340"/>
      <c r="LDW474" s="340"/>
      <c r="LDX474" s="340"/>
      <c r="LDY474" s="340"/>
      <c r="LDZ474" s="340"/>
      <c r="LEA474" s="340"/>
      <c r="LEB474" s="340"/>
      <c r="LEC474" s="340"/>
      <c r="LED474" s="340"/>
      <c r="LEE474" s="340"/>
      <c r="LEF474" s="340"/>
      <c r="LEG474" s="340"/>
      <c r="LEH474" s="340"/>
      <c r="LEI474" s="340"/>
      <c r="LEJ474" s="340"/>
      <c r="LEK474" s="340"/>
      <c r="LEL474" s="340"/>
      <c r="LEM474" s="340"/>
      <c r="LEN474" s="340"/>
      <c r="LEO474" s="340"/>
      <c r="LEP474" s="340"/>
      <c r="LEQ474" s="340"/>
      <c r="LER474" s="340"/>
      <c r="LES474" s="340"/>
      <c r="LET474" s="340"/>
      <c r="LEU474" s="340"/>
      <c r="LEV474" s="340"/>
      <c r="LEW474" s="340"/>
      <c r="LEX474" s="340"/>
      <c r="LEY474" s="340"/>
      <c r="LEZ474" s="340"/>
      <c r="LFA474" s="340"/>
      <c r="LFB474" s="340"/>
      <c r="LFC474" s="340"/>
      <c r="LFD474" s="340"/>
      <c r="LFE474" s="340"/>
      <c r="LFF474" s="340"/>
      <c r="LFG474" s="340"/>
      <c r="LFH474" s="340"/>
      <c r="LFI474" s="340"/>
      <c r="LFJ474" s="340"/>
      <c r="LFK474" s="340"/>
      <c r="LFL474" s="340"/>
      <c r="LFM474" s="340"/>
      <c r="LFN474" s="340"/>
      <c r="LFO474" s="340"/>
      <c r="LFP474" s="340"/>
      <c r="LFQ474" s="340"/>
      <c r="LFR474" s="340"/>
      <c r="LFS474" s="340"/>
      <c r="LFT474" s="340"/>
      <c r="LFU474" s="340"/>
      <c r="LFV474" s="340"/>
      <c r="LFW474" s="340"/>
      <c r="LFX474" s="340"/>
      <c r="LFY474" s="340"/>
      <c r="LFZ474" s="340"/>
      <c r="LGA474" s="340"/>
      <c r="LGB474" s="340"/>
      <c r="LGC474" s="340"/>
      <c r="LGD474" s="340"/>
      <c r="LGE474" s="340"/>
      <c r="LGF474" s="340"/>
      <c r="LGG474" s="340"/>
      <c r="LGH474" s="340"/>
      <c r="LGI474" s="340"/>
      <c r="LGJ474" s="340"/>
      <c r="LGK474" s="340"/>
      <c r="LGL474" s="340"/>
      <c r="LGM474" s="340"/>
      <c r="LGN474" s="340"/>
      <c r="LGO474" s="340"/>
      <c r="LGP474" s="340"/>
      <c r="LGQ474" s="340"/>
      <c r="LGR474" s="340"/>
      <c r="LGS474" s="340"/>
      <c r="LGT474" s="340"/>
      <c r="LGU474" s="340"/>
      <c r="LGV474" s="340"/>
      <c r="LGW474" s="340"/>
      <c r="LGX474" s="340"/>
      <c r="LGY474" s="340"/>
      <c r="LGZ474" s="340"/>
      <c r="LHA474" s="340"/>
      <c r="LHB474" s="340"/>
      <c r="LHC474" s="340"/>
      <c r="LHD474" s="340"/>
      <c r="LHE474" s="340"/>
      <c r="LHF474" s="340"/>
      <c r="LHG474" s="340"/>
      <c r="LHH474" s="340"/>
      <c r="LHI474" s="340"/>
      <c r="LHJ474" s="340"/>
      <c r="LHK474" s="340"/>
      <c r="LHL474" s="340"/>
      <c r="LHM474" s="340"/>
      <c r="LHN474" s="340"/>
      <c r="LHO474" s="340"/>
      <c r="LHP474" s="340"/>
      <c r="LHQ474" s="340"/>
      <c r="LHR474" s="340"/>
      <c r="LHS474" s="340"/>
      <c r="LHT474" s="340"/>
      <c r="LHU474" s="340"/>
      <c r="LHV474" s="340"/>
      <c r="LHW474" s="340"/>
      <c r="LHX474" s="340"/>
      <c r="LHY474" s="340"/>
      <c r="LHZ474" s="340"/>
      <c r="LIA474" s="340"/>
      <c r="LIB474" s="340"/>
      <c r="LIC474" s="340"/>
      <c r="LID474" s="340"/>
      <c r="LIE474" s="340"/>
      <c r="LIF474" s="340"/>
      <c r="LIG474" s="340"/>
      <c r="LIH474" s="340"/>
      <c r="LII474" s="340"/>
      <c r="LIJ474" s="340"/>
      <c r="LIK474" s="340"/>
      <c r="LIL474" s="340"/>
      <c r="LIM474" s="340"/>
      <c r="LIN474" s="340"/>
      <c r="LIO474" s="340"/>
      <c r="LIP474" s="340"/>
      <c r="LIQ474" s="340"/>
      <c r="LIR474" s="340"/>
      <c r="LIS474" s="340"/>
      <c r="LIT474" s="340"/>
      <c r="LIU474" s="340"/>
      <c r="LIV474" s="340"/>
      <c r="LIW474" s="340"/>
      <c r="LIX474" s="340"/>
      <c r="LIY474" s="340"/>
      <c r="LIZ474" s="340"/>
      <c r="LJA474" s="340"/>
      <c r="LJB474" s="340"/>
      <c r="LJC474" s="340"/>
      <c r="LJD474" s="340"/>
      <c r="LJE474" s="340"/>
      <c r="LJF474" s="340"/>
      <c r="LJG474" s="340"/>
      <c r="LJH474" s="340"/>
      <c r="LJI474" s="340"/>
      <c r="LJJ474" s="340"/>
      <c r="LJK474" s="340"/>
      <c r="LJL474" s="340"/>
      <c r="LJM474" s="340"/>
      <c r="LJN474" s="340"/>
      <c r="LJO474" s="340"/>
      <c r="LJP474" s="340"/>
      <c r="LJQ474" s="340"/>
      <c r="LJR474" s="340"/>
      <c r="LJS474" s="340"/>
      <c r="LJT474" s="340"/>
      <c r="LJU474" s="340"/>
      <c r="LJV474" s="340"/>
      <c r="LJW474" s="340"/>
      <c r="LJX474" s="340"/>
      <c r="LJY474" s="340"/>
      <c r="LJZ474" s="340"/>
      <c r="LKA474" s="340"/>
      <c r="LKB474" s="340"/>
      <c r="LKC474" s="340"/>
      <c r="LKD474" s="340"/>
      <c r="LKE474" s="340"/>
      <c r="LKF474" s="340"/>
      <c r="LKG474" s="340"/>
      <c r="LKH474" s="340"/>
      <c r="LKI474" s="340"/>
      <c r="LKJ474" s="340"/>
      <c r="LKK474" s="340"/>
      <c r="LKL474" s="340"/>
      <c r="LKM474" s="340"/>
      <c r="LKN474" s="340"/>
      <c r="LKO474" s="340"/>
      <c r="LKP474" s="340"/>
      <c r="LKQ474" s="340"/>
      <c r="LKR474" s="340"/>
      <c r="LKS474" s="340"/>
      <c r="LKT474" s="340"/>
      <c r="LKU474" s="340"/>
      <c r="LKV474" s="340"/>
      <c r="LKW474" s="340"/>
      <c r="LKX474" s="340"/>
      <c r="LKY474" s="340"/>
      <c r="LKZ474" s="340"/>
      <c r="LLA474" s="340"/>
      <c r="LLB474" s="340"/>
      <c r="LLC474" s="340"/>
      <c r="LLD474" s="340"/>
      <c r="LLE474" s="340"/>
      <c r="LLF474" s="340"/>
      <c r="LLG474" s="340"/>
      <c r="LLH474" s="340"/>
      <c r="LLI474" s="340"/>
      <c r="LLJ474" s="340"/>
      <c r="LLK474" s="340"/>
      <c r="LLL474" s="340"/>
      <c r="LLM474" s="340"/>
      <c r="LLN474" s="340"/>
      <c r="LLO474" s="340"/>
      <c r="LLP474" s="340"/>
      <c r="LLQ474" s="340"/>
      <c r="LLR474" s="340"/>
      <c r="LLS474" s="340"/>
      <c r="LLT474" s="340"/>
      <c r="LLU474" s="340"/>
      <c r="LLV474" s="340"/>
      <c r="LLW474" s="340"/>
      <c r="LLX474" s="340"/>
      <c r="LLY474" s="340"/>
      <c r="LLZ474" s="340"/>
      <c r="LMA474" s="340"/>
      <c r="LMB474" s="340"/>
      <c r="LMC474" s="340"/>
      <c r="LMD474" s="340"/>
      <c r="LME474" s="340"/>
      <c r="LMF474" s="340"/>
      <c r="LMG474" s="340"/>
      <c r="LMH474" s="340"/>
      <c r="LMI474" s="340"/>
      <c r="LMJ474" s="340"/>
      <c r="LMK474" s="340"/>
      <c r="LML474" s="340"/>
      <c r="LMM474" s="340"/>
      <c r="LMN474" s="340"/>
      <c r="LMO474" s="340"/>
      <c r="LMP474" s="340"/>
      <c r="LMQ474" s="340"/>
      <c r="LMR474" s="340"/>
      <c r="LMS474" s="340"/>
      <c r="LMT474" s="340"/>
      <c r="LMU474" s="340"/>
      <c r="LMV474" s="340"/>
      <c r="LMW474" s="340"/>
      <c r="LMX474" s="340"/>
      <c r="LMY474" s="340"/>
      <c r="LMZ474" s="340"/>
      <c r="LNA474" s="340"/>
      <c r="LNB474" s="340"/>
      <c r="LNC474" s="340"/>
      <c r="LND474" s="340"/>
      <c r="LNE474" s="340"/>
      <c r="LNF474" s="340"/>
      <c r="LNG474" s="340"/>
      <c r="LNH474" s="340"/>
      <c r="LNI474" s="340"/>
      <c r="LNJ474" s="340"/>
      <c r="LNK474" s="340"/>
      <c r="LNL474" s="340"/>
      <c r="LNM474" s="340"/>
      <c r="LNN474" s="340"/>
      <c r="LNO474" s="340"/>
      <c r="LNP474" s="340"/>
      <c r="LNQ474" s="340"/>
      <c r="LNR474" s="340"/>
      <c r="LNS474" s="340"/>
      <c r="LNT474" s="340"/>
      <c r="LNU474" s="340"/>
      <c r="LNV474" s="340"/>
      <c r="LNW474" s="340"/>
      <c r="LNX474" s="340"/>
      <c r="LNY474" s="340"/>
      <c r="LNZ474" s="340"/>
      <c r="LOA474" s="340"/>
      <c r="LOB474" s="340"/>
      <c r="LOC474" s="340"/>
      <c r="LOD474" s="340"/>
      <c r="LOE474" s="340"/>
      <c r="LOF474" s="340"/>
      <c r="LOG474" s="340"/>
      <c r="LOH474" s="340"/>
      <c r="LOI474" s="340"/>
      <c r="LOJ474" s="340"/>
      <c r="LOK474" s="340"/>
      <c r="LOL474" s="340"/>
      <c r="LOM474" s="340"/>
      <c r="LON474" s="340"/>
      <c r="LOO474" s="340"/>
      <c r="LOP474" s="340"/>
      <c r="LOQ474" s="340"/>
      <c r="LOR474" s="340"/>
      <c r="LOS474" s="340"/>
      <c r="LOT474" s="340"/>
      <c r="LOU474" s="340"/>
      <c r="LOV474" s="340"/>
      <c r="LOW474" s="340"/>
      <c r="LOX474" s="340"/>
      <c r="LOY474" s="340"/>
      <c r="LOZ474" s="340"/>
      <c r="LPA474" s="340"/>
      <c r="LPB474" s="340"/>
      <c r="LPC474" s="340"/>
      <c r="LPD474" s="340"/>
      <c r="LPE474" s="340"/>
      <c r="LPF474" s="340"/>
      <c r="LPG474" s="340"/>
      <c r="LPH474" s="340"/>
      <c r="LPI474" s="340"/>
      <c r="LPJ474" s="340"/>
      <c r="LPK474" s="340"/>
      <c r="LPL474" s="340"/>
      <c r="LPM474" s="340"/>
      <c r="LPN474" s="340"/>
      <c r="LPO474" s="340"/>
      <c r="LPP474" s="340"/>
      <c r="LPQ474" s="340"/>
      <c r="LPR474" s="340"/>
      <c r="LPS474" s="340"/>
      <c r="LPT474" s="340"/>
      <c r="LPU474" s="340"/>
      <c r="LPV474" s="340"/>
      <c r="LPW474" s="340"/>
      <c r="LPX474" s="340"/>
      <c r="LPY474" s="340"/>
      <c r="LPZ474" s="340"/>
      <c r="LQA474" s="340"/>
      <c r="LQB474" s="340"/>
      <c r="LQC474" s="340"/>
      <c r="LQD474" s="340"/>
      <c r="LQE474" s="340"/>
      <c r="LQF474" s="340"/>
      <c r="LQG474" s="340"/>
      <c r="LQH474" s="340"/>
      <c r="LQI474" s="340"/>
      <c r="LQJ474" s="340"/>
      <c r="LQK474" s="340"/>
      <c r="LQL474" s="340"/>
      <c r="LQM474" s="340"/>
      <c r="LQN474" s="340"/>
      <c r="LQO474" s="340"/>
      <c r="LQP474" s="340"/>
      <c r="LQQ474" s="340"/>
      <c r="LQR474" s="340"/>
      <c r="LQS474" s="340"/>
      <c r="LQT474" s="340"/>
      <c r="LQU474" s="340"/>
      <c r="LQV474" s="340"/>
      <c r="LQW474" s="340"/>
      <c r="LQX474" s="340"/>
      <c r="LQY474" s="340"/>
      <c r="LQZ474" s="340"/>
      <c r="LRA474" s="340"/>
      <c r="LRB474" s="340"/>
      <c r="LRC474" s="340"/>
      <c r="LRD474" s="340"/>
      <c r="LRE474" s="340"/>
      <c r="LRF474" s="340"/>
      <c r="LRG474" s="340"/>
      <c r="LRH474" s="340"/>
      <c r="LRI474" s="340"/>
      <c r="LRJ474" s="340"/>
      <c r="LRK474" s="340"/>
      <c r="LRL474" s="340"/>
      <c r="LRM474" s="340"/>
      <c r="LRN474" s="340"/>
      <c r="LRO474" s="340"/>
      <c r="LRP474" s="340"/>
      <c r="LRQ474" s="340"/>
      <c r="LRR474" s="340"/>
      <c r="LRS474" s="340"/>
      <c r="LRT474" s="340"/>
      <c r="LRU474" s="340"/>
      <c r="LRV474" s="340"/>
      <c r="LRW474" s="340"/>
      <c r="LRX474" s="340"/>
      <c r="LRY474" s="340"/>
      <c r="LRZ474" s="340"/>
      <c r="LSA474" s="340"/>
      <c r="LSB474" s="340"/>
      <c r="LSC474" s="340"/>
      <c r="LSD474" s="340"/>
      <c r="LSE474" s="340"/>
      <c r="LSF474" s="340"/>
      <c r="LSG474" s="340"/>
      <c r="LSH474" s="340"/>
      <c r="LSI474" s="340"/>
      <c r="LSJ474" s="340"/>
      <c r="LSK474" s="340"/>
      <c r="LSL474" s="340"/>
      <c r="LSM474" s="340"/>
      <c r="LSN474" s="340"/>
      <c r="LSO474" s="340"/>
      <c r="LSP474" s="340"/>
      <c r="LSQ474" s="340"/>
      <c r="LSR474" s="340"/>
      <c r="LSS474" s="340"/>
      <c r="LST474" s="340"/>
      <c r="LSU474" s="340"/>
      <c r="LSV474" s="340"/>
      <c r="LSW474" s="340"/>
      <c r="LSX474" s="340"/>
      <c r="LSY474" s="340"/>
      <c r="LSZ474" s="340"/>
      <c r="LTA474" s="340"/>
      <c r="LTB474" s="340"/>
      <c r="LTC474" s="340"/>
      <c r="LTD474" s="340"/>
      <c r="LTE474" s="340"/>
      <c r="LTF474" s="340"/>
      <c r="LTG474" s="340"/>
      <c r="LTH474" s="340"/>
      <c r="LTI474" s="340"/>
      <c r="LTJ474" s="340"/>
      <c r="LTK474" s="340"/>
      <c r="LTL474" s="340"/>
      <c r="LTM474" s="340"/>
      <c r="LTN474" s="340"/>
      <c r="LTO474" s="340"/>
      <c r="LTP474" s="340"/>
      <c r="LTQ474" s="340"/>
      <c r="LTR474" s="340"/>
      <c r="LTS474" s="340"/>
      <c r="LTT474" s="340"/>
      <c r="LTU474" s="340"/>
      <c r="LTV474" s="340"/>
      <c r="LTW474" s="340"/>
      <c r="LTX474" s="340"/>
      <c r="LTY474" s="340"/>
      <c r="LTZ474" s="340"/>
      <c r="LUA474" s="340"/>
      <c r="LUB474" s="340"/>
      <c r="LUC474" s="340"/>
      <c r="LUD474" s="340"/>
      <c r="LUE474" s="340"/>
      <c r="LUF474" s="340"/>
      <c r="LUG474" s="340"/>
      <c r="LUH474" s="340"/>
      <c r="LUI474" s="340"/>
      <c r="LUJ474" s="340"/>
      <c r="LUK474" s="340"/>
      <c r="LUL474" s="340"/>
      <c r="LUM474" s="340"/>
      <c r="LUN474" s="340"/>
      <c r="LUO474" s="340"/>
      <c r="LUP474" s="340"/>
      <c r="LUQ474" s="340"/>
      <c r="LUR474" s="340"/>
      <c r="LUS474" s="340"/>
      <c r="LUT474" s="340"/>
      <c r="LUU474" s="340"/>
      <c r="LUV474" s="340"/>
      <c r="LUW474" s="340"/>
      <c r="LUX474" s="340"/>
      <c r="LUY474" s="340"/>
      <c r="LUZ474" s="340"/>
      <c r="LVA474" s="340"/>
      <c r="LVB474" s="340"/>
      <c r="LVC474" s="340"/>
      <c r="LVD474" s="340"/>
      <c r="LVE474" s="340"/>
      <c r="LVF474" s="340"/>
      <c r="LVG474" s="340"/>
      <c r="LVH474" s="340"/>
      <c r="LVI474" s="340"/>
      <c r="LVJ474" s="340"/>
      <c r="LVK474" s="340"/>
      <c r="LVL474" s="340"/>
      <c r="LVM474" s="340"/>
      <c r="LVN474" s="340"/>
      <c r="LVO474" s="340"/>
      <c r="LVP474" s="340"/>
      <c r="LVQ474" s="340"/>
      <c r="LVR474" s="340"/>
      <c r="LVS474" s="340"/>
      <c r="LVT474" s="340"/>
      <c r="LVU474" s="340"/>
      <c r="LVV474" s="340"/>
      <c r="LVW474" s="340"/>
      <c r="LVX474" s="340"/>
      <c r="LVY474" s="340"/>
      <c r="LVZ474" s="340"/>
      <c r="LWA474" s="340"/>
      <c r="LWB474" s="340"/>
      <c r="LWC474" s="340"/>
      <c r="LWD474" s="340"/>
      <c r="LWE474" s="340"/>
      <c r="LWF474" s="340"/>
      <c r="LWG474" s="340"/>
      <c r="LWH474" s="340"/>
      <c r="LWI474" s="340"/>
      <c r="LWJ474" s="340"/>
      <c r="LWK474" s="340"/>
      <c r="LWL474" s="340"/>
      <c r="LWM474" s="340"/>
      <c r="LWN474" s="340"/>
      <c r="LWO474" s="340"/>
      <c r="LWP474" s="340"/>
      <c r="LWQ474" s="340"/>
      <c r="LWR474" s="340"/>
      <c r="LWS474" s="340"/>
      <c r="LWT474" s="340"/>
      <c r="LWU474" s="340"/>
      <c r="LWV474" s="340"/>
      <c r="LWW474" s="340"/>
      <c r="LWX474" s="340"/>
      <c r="LWY474" s="340"/>
      <c r="LWZ474" s="340"/>
      <c r="LXA474" s="340"/>
      <c r="LXB474" s="340"/>
      <c r="LXC474" s="340"/>
      <c r="LXD474" s="340"/>
      <c r="LXE474" s="340"/>
      <c r="LXF474" s="340"/>
      <c r="LXG474" s="340"/>
      <c r="LXH474" s="340"/>
      <c r="LXI474" s="340"/>
      <c r="LXJ474" s="340"/>
      <c r="LXK474" s="340"/>
      <c r="LXL474" s="340"/>
      <c r="LXM474" s="340"/>
      <c r="LXN474" s="340"/>
      <c r="LXO474" s="340"/>
      <c r="LXP474" s="340"/>
      <c r="LXQ474" s="340"/>
      <c r="LXR474" s="340"/>
      <c r="LXS474" s="340"/>
      <c r="LXT474" s="340"/>
      <c r="LXU474" s="340"/>
      <c r="LXV474" s="340"/>
      <c r="LXW474" s="340"/>
      <c r="LXX474" s="340"/>
      <c r="LXY474" s="340"/>
      <c r="LXZ474" s="340"/>
      <c r="LYA474" s="340"/>
      <c r="LYB474" s="340"/>
      <c r="LYC474" s="340"/>
      <c r="LYD474" s="340"/>
      <c r="LYE474" s="340"/>
      <c r="LYF474" s="340"/>
      <c r="LYG474" s="340"/>
      <c r="LYH474" s="340"/>
      <c r="LYI474" s="340"/>
      <c r="LYJ474" s="340"/>
      <c r="LYK474" s="340"/>
      <c r="LYL474" s="340"/>
      <c r="LYM474" s="340"/>
      <c r="LYN474" s="340"/>
      <c r="LYO474" s="340"/>
      <c r="LYP474" s="340"/>
      <c r="LYQ474" s="340"/>
      <c r="LYR474" s="340"/>
      <c r="LYS474" s="340"/>
      <c r="LYT474" s="340"/>
      <c r="LYU474" s="340"/>
      <c r="LYV474" s="340"/>
      <c r="LYW474" s="340"/>
      <c r="LYX474" s="340"/>
      <c r="LYY474" s="340"/>
      <c r="LYZ474" s="340"/>
      <c r="LZA474" s="340"/>
      <c r="LZB474" s="340"/>
      <c r="LZC474" s="340"/>
      <c r="LZD474" s="340"/>
      <c r="LZE474" s="340"/>
      <c r="LZF474" s="340"/>
      <c r="LZG474" s="340"/>
      <c r="LZH474" s="340"/>
      <c r="LZI474" s="340"/>
      <c r="LZJ474" s="340"/>
      <c r="LZK474" s="340"/>
      <c r="LZL474" s="340"/>
      <c r="LZM474" s="340"/>
      <c r="LZN474" s="340"/>
      <c r="LZO474" s="340"/>
      <c r="LZP474" s="340"/>
      <c r="LZQ474" s="340"/>
      <c r="LZR474" s="340"/>
      <c r="LZS474" s="340"/>
      <c r="LZT474" s="340"/>
      <c r="LZU474" s="340"/>
      <c r="LZV474" s="340"/>
      <c r="LZW474" s="340"/>
      <c r="LZX474" s="340"/>
      <c r="LZY474" s="340"/>
      <c r="LZZ474" s="340"/>
      <c r="MAA474" s="340"/>
      <c r="MAB474" s="340"/>
      <c r="MAC474" s="340"/>
      <c r="MAD474" s="340"/>
      <c r="MAE474" s="340"/>
      <c r="MAF474" s="340"/>
      <c r="MAG474" s="340"/>
      <c r="MAH474" s="340"/>
      <c r="MAI474" s="340"/>
      <c r="MAJ474" s="340"/>
      <c r="MAK474" s="340"/>
      <c r="MAL474" s="340"/>
      <c r="MAM474" s="340"/>
      <c r="MAN474" s="340"/>
      <c r="MAO474" s="340"/>
      <c r="MAP474" s="340"/>
      <c r="MAQ474" s="340"/>
      <c r="MAR474" s="340"/>
      <c r="MAS474" s="340"/>
      <c r="MAT474" s="340"/>
      <c r="MAU474" s="340"/>
      <c r="MAV474" s="340"/>
      <c r="MAW474" s="340"/>
      <c r="MAX474" s="340"/>
      <c r="MAY474" s="340"/>
      <c r="MAZ474" s="340"/>
      <c r="MBA474" s="340"/>
      <c r="MBB474" s="340"/>
      <c r="MBC474" s="340"/>
      <c r="MBD474" s="340"/>
      <c r="MBE474" s="340"/>
      <c r="MBF474" s="340"/>
      <c r="MBG474" s="340"/>
      <c r="MBH474" s="340"/>
      <c r="MBI474" s="340"/>
      <c r="MBJ474" s="340"/>
      <c r="MBK474" s="340"/>
      <c r="MBL474" s="340"/>
      <c r="MBM474" s="340"/>
      <c r="MBN474" s="340"/>
      <c r="MBO474" s="340"/>
      <c r="MBP474" s="340"/>
      <c r="MBQ474" s="340"/>
      <c r="MBR474" s="340"/>
      <c r="MBS474" s="340"/>
      <c r="MBT474" s="340"/>
      <c r="MBU474" s="340"/>
      <c r="MBV474" s="340"/>
      <c r="MBW474" s="340"/>
      <c r="MBX474" s="340"/>
      <c r="MBY474" s="340"/>
      <c r="MBZ474" s="340"/>
      <c r="MCA474" s="340"/>
      <c r="MCB474" s="340"/>
      <c r="MCC474" s="340"/>
      <c r="MCD474" s="340"/>
      <c r="MCE474" s="340"/>
      <c r="MCF474" s="340"/>
      <c r="MCG474" s="340"/>
      <c r="MCH474" s="340"/>
      <c r="MCI474" s="340"/>
      <c r="MCJ474" s="340"/>
      <c r="MCK474" s="340"/>
      <c r="MCL474" s="340"/>
      <c r="MCM474" s="340"/>
      <c r="MCN474" s="340"/>
      <c r="MCO474" s="340"/>
      <c r="MCP474" s="340"/>
      <c r="MCQ474" s="340"/>
      <c r="MCR474" s="340"/>
      <c r="MCS474" s="340"/>
      <c r="MCT474" s="340"/>
      <c r="MCU474" s="340"/>
      <c r="MCV474" s="340"/>
      <c r="MCW474" s="340"/>
      <c r="MCX474" s="340"/>
      <c r="MCY474" s="340"/>
      <c r="MCZ474" s="340"/>
      <c r="MDA474" s="340"/>
      <c r="MDB474" s="340"/>
      <c r="MDC474" s="340"/>
      <c r="MDD474" s="340"/>
      <c r="MDE474" s="340"/>
      <c r="MDF474" s="340"/>
      <c r="MDG474" s="340"/>
      <c r="MDH474" s="340"/>
      <c r="MDI474" s="340"/>
      <c r="MDJ474" s="340"/>
      <c r="MDK474" s="340"/>
      <c r="MDL474" s="340"/>
      <c r="MDM474" s="340"/>
      <c r="MDN474" s="340"/>
      <c r="MDO474" s="340"/>
      <c r="MDP474" s="340"/>
      <c r="MDQ474" s="340"/>
      <c r="MDR474" s="340"/>
      <c r="MDS474" s="340"/>
      <c r="MDT474" s="340"/>
      <c r="MDU474" s="340"/>
      <c r="MDV474" s="340"/>
      <c r="MDW474" s="340"/>
      <c r="MDX474" s="340"/>
      <c r="MDY474" s="340"/>
      <c r="MDZ474" s="340"/>
      <c r="MEA474" s="340"/>
      <c r="MEB474" s="340"/>
      <c r="MEC474" s="340"/>
      <c r="MED474" s="340"/>
      <c r="MEE474" s="340"/>
      <c r="MEF474" s="340"/>
      <c r="MEG474" s="340"/>
      <c r="MEH474" s="340"/>
      <c r="MEI474" s="340"/>
      <c r="MEJ474" s="340"/>
      <c r="MEK474" s="340"/>
      <c r="MEL474" s="340"/>
      <c r="MEM474" s="340"/>
      <c r="MEN474" s="340"/>
      <c r="MEO474" s="340"/>
      <c r="MEP474" s="340"/>
      <c r="MEQ474" s="340"/>
      <c r="MER474" s="340"/>
      <c r="MES474" s="340"/>
      <c r="MET474" s="340"/>
      <c r="MEU474" s="340"/>
      <c r="MEV474" s="340"/>
      <c r="MEW474" s="340"/>
      <c r="MEX474" s="340"/>
      <c r="MEY474" s="340"/>
      <c r="MEZ474" s="340"/>
      <c r="MFA474" s="340"/>
      <c r="MFB474" s="340"/>
      <c r="MFC474" s="340"/>
      <c r="MFD474" s="340"/>
      <c r="MFE474" s="340"/>
      <c r="MFF474" s="340"/>
      <c r="MFG474" s="340"/>
      <c r="MFH474" s="340"/>
      <c r="MFI474" s="340"/>
      <c r="MFJ474" s="340"/>
      <c r="MFK474" s="340"/>
      <c r="MFL474" s="340"/>
      <c r="MFM474" s="340"/>
      <c r="MFN474" s="340"/>
      <c r="MFO474" s="340"/>
      <c r="MFP474" s="340"/>
      <c r="MFQ474" s="340"/>
      <c r="MFR474" s="340"/>
      <c r="MFS474" s="340"/>
      <c r="MFT474" s="340"/>
      <c r="MFU474" s="340"/>
      <c r="MFV474" s="340"/>
      <c r="MFW474" s="340"/>
      <c r="MFX474" s="340"/>
      <c r="MFY474" s="340"/>
      <c r="MFZ474" s="340"/>
      <c r="MGA474" s="340"/>
      <c r="MGB474" s="340"/>
      <c r="MGC474" s="340"/>
      <c r="MGD474" s="340"/>
      <c r="MGE474" s="340"/>
      <c r="MGF474" s="340"/>
      <c r="MGG474" s="340"/>
      <c r="MGH474" s="340"/>
      <c r="MGI474" s="340"/>
      <c r="MGJ474" s="340"/>
      <c r="MGK474" s="340"/>
      <c r="MGL474" s="340"/>
      <c r="MGM474" s="340"/>
      <c r="MGN474" s="340"/>
      <c r="MGO474" s="340"/>
      <c r="MGP474" s="340"/>
      <c r="MGQ474" s="340"/>
      <c r="MGR474" s="340"/>
      <c r="MGS474" s="340"/>
      <c r="MGT474" s="340"/>
      <c r="MGU474" s="340"/>
      <c r="MGV474" s="340"/>
      <c r="MGW474" s="340"/>
      <c r="MGX474" s="340"/>
      <c r="MGY474" s="340"/>
      <c r="MGZ474" s="340"/>
      <c r="MHA474" s="340"/>
      <c r="MHB474" s="340"/>
      <c r="MHC474" s="340"/>
      <c r="MHD474" s="340"/>
      <c r="MHE474" s="340"/>
      <c r="MHF474" s="340"/>
      <c r="MHG474" s="340"/>
      <c r="MHH474" s="340"/>
      <c r="MHI474" s="340"/>
      <c r="MHJ474" s="340"/>
      <c r="MHK474" s="340"/>
      <c r="MHL474" s="340"/>
      <c r="MHM474" s="340"/>
      <c r="MHN474" s="340"/>
      <c r="MHO474" s="340"/>
      <c r="MHP474" s="340"/>
      <c r="MHQ474" s="340"/>
      <c r="MHR474" s="340"/>
      <c r="MHS474" s="340"/>
      <c r="MHT474" s="340"/>
      <c r="MHU474" s="340"/>
      <c r="MHV474" s="340"/>
      <c r="MHW474" s="340"/>
      <c r="MHX474" s="340"/>
      <c r="MHY474" s="340"/>
      <c r="MHZ474" s="340"/>
      <c r="MIA474" s="340"/>
      <c r="MIB474" s="340"/>
      <c r="MIC474" s="340"/>
      <c r="MID474" s="340"/>
      <c r="MIE474" s="340"/>
      <c r="MIF474" s="340"/>
      <c r="MIG474" s="340"/>
      <c r="MIH474" s="340"/>
      <c r="MII474" s="340"/>
      <c r="MIJ474" s="340"/>
      <c r="MIK474" s="340"/>
      <c r="MIL474" s="340"/>
      <c r="MIM474" s="340"/>
      <c r="MIN474" s="340"/>
      <c r="MIO474" s="340"/>
      <c r="MIP474" s="340"/>
      <c r="MIQ474" s="340"/>
      <c r="MIR474" s="340"/>
      <c r="MIS474" s="340"/>
      <c r="MIT474" s="340"/>
      <c r="MIU474" s="340"/>
      <c r="MIV474" s="340"/>
      <c r="MIW474" s="340"/>
      <c r="MIX474" s="340"/>
      <c r="MIY474" s="340"/>
      <c r="MIZ474" s="340"/>
      <c r="MJA474" s="340"/>
      <c r="MJB474" s="340"/>
      <c r="MJC474" s="340"/>
      <c r="MJD474" s="340"/>
      <c r="MJE474" s="340"/>
      <c r="MJF474" s="340"/>
      <c r="MJG474" s="340"/>
      <c r="MJH474" s="340"/>
      <c r="MJI474" s="340"/>
      <c r="MJJ474" s="340"/>
      <c r="MJK474" s="340"/>
      <c r="MJL474" s="340"/>
      <c r="MJM474" s="340"/>
      <c r="MJN474" s="340"/>
      <c r="MJO474" s="340"/>
      <c r="MJP474" s="340"/>
      <c r="MJQ474" s="340"/>
      <c r="MJR474" s="340"/>
      <c r="MJS474" s="340"/>
      <c r="MJT474" s="340"/>
      <c r="MJU474" s="340"/>
      <c r="MJV474" s="340"/>
      <c r="MJW474" s="340"/>
      <c r="MJX474" s="340"/>
      <c r="MJY474" s="340"/>
      <c r="MJZ474" s="340"/>
      <c r="MKA474" s="340"/>
      <c r="MKB474" s="340"/>
      <c r="MKC474" s="340"/>
      <c r="MKD474" s="340"/>
      <c r="MKE474" s="340"/>
      <c r="MKF474" s="340"/>
      <c r="MKG474" s="340"/>
      <c r="MKH474" s="340"/>
      <c r="MKI474" s="340"/>
      <c r="MKJ474" s="340"/>
      <c r="MKK474" s="340"/>
      <c r="MKL474" s="340"/>
      <c r="MKM474" s="340"/>
      <c r="MKN474" s="340"/>
      <c r="MKO474" s="340"/>
      <c r="MKP474" s="340"/>
      <c r="MKQ474" s="340"/>
      <c r="MKR474" s="340"/>
      <c r="MKS474" s="340"/>
      <c r="MKT474" s="340"/>
      <c r="MKU474" s="340"/>
      <c r="MKV474" s="340"/>
      <c r="MKW474" s="340"/>
      <c r="MKX474" s="340"/>
      <c r="MKY474" s="340"/>
      <c r="MKZ474" s="340"/>
      <c r="MLA474" s="340"/>
      <c r="MLB474" s="340"/>
      <c r="MLC474" s="340"/>
      <c r="MLD474" s="340"/>
      <c r="MLE474" s="340"/>
      <c r="MLF474" s="340"/>
      <c r="MLG474" s="340"/>
      <c r="MLH474" s="340"/>
      <c r="MLI474" s="340"/>
      <c r="MLJ474" s="340"/>
      <c r="MLK474" s="340"/>
      <c r="MLL474" s="340"/>
      <c r="MLM474" s="340"/>
      <c r="MLN474" s="340"/>
      <c r="MLO474" s="340"/>
      <c r="MLP474" s="340"/>
      <c r="MLQ474" s="340"/>
      <c r="MLR474" s="340"/>
      <c r="MLS474" s="340"/>
      <c r="MLT474" s="340"/>
      <c r="MLU474" s="340"/>
      <c r="MLV474" s="340"/>
      <c r="MLW474" s="340"/>
      <c r="MLX474" s="340"/>
      <c r="MLY474" s="340"/>
      <c r="MLZ474" s="340"/>
      <c r="MMA474" s="340"/>
      <c r="MMB474" s="340"/>
      <c r="MMC474" s="340"/>
      <c r="MMD474" s="340"/>
      <c r="MME474" s="340"/>
      <c r="MMF474" s="340"/>
      <c r="MMG474" s="340"/>
      <c r="MMH474" s="340"/>
      <c r="MMI474" s="340"/>
      <c r="MMJ474" s="340"/>
      <c r="MMK474" s="340"/>
      <c r="MML474" s="340"/>
      <c r="MMM474" s="340"/>
      <c r="MMN474" s="340"/>
      <c r="MMO474" s="340"/>
      <c r="MMP474" s="340"/>
      <c r="MMQ474" s="340"/>
      <c r="MMR474" s="340"/>
      <c r="MMS474" s="340"/>
      <c r="MMT474" s="340"/>
      <c r="MMU474" s="340"/>
      <c r="MMV474" s="340"/>
      <c r="MMW474" s="340"/>
      <c r="MMX474" s="340"/>
      <c r="MMY474" s="340"/>
      <c r="MMZ474" s="340"/>
      <c r="MNA474" s="340"/>
      <c r="MNB474" s="340"/>
      <c r="MNC474" s="340"/>
      <c r="MND474" s="340"/>
      <c r="MNE474" s="340"/>
      <c r="MNF474" s="340"/>
      <c r="MNG474" s="340"/>
      <c r="MNH474" s="340"/>
      <c r="MNI474" s="340"/>
      <c r="MNJ474" s="340"/>
      <c r="MNK474" s="340"/>
      <c r="MNL474" s="340"/>
      <c r="MNM474" s="340"/>
      <c r="MNN474" s="340"/>
      <c r="MNO474" s="340"/>
      <c r="MNP474" s="340"/>
      <c r="MNQ474" s="340"/>
      <c r="MNR474" s="340"/>
      <c r="MNS474" s="340"/>
      <c r="MNT474" s="340"/>
      <c r="MNU474" s="340"/>
      <c r="MNV474" s="340"/>
      <c r="MNW474" s="340"/>
      <c r="MNX474" s="340"/>
      <c r="MNY474" s="340"/>
      <c r="MNZ474" s="340"/>
      <c r="MOA474" s="340"/>
      <c r="MOB474" s="340"/>
      <c r="MOC474" s="340"/>
      <c r="MOD474" s="340"/>
      <c r="MOE474" s="340"/>
      <c r="MOF474" s="340"/>
      <c r="MOG474" s="340"/>
      <c r="MOH474" s="340"/>
      <c r="MOI474" s="340"/>
      <c r="MOJ474" s="340"/>
      <c r="MOK474" s="340"/>
      <c r="MOL474" s="340"/>
      <c r="MOM474" s="340"/>
      <c r="MON474" s="340"/>
      <c r="MOO474" s="340"/>
      <c r="MOP474" s="340"/>
      <c r="MOQ474" s="340"/>
      <c r="MOR474" s="340"/>
      <c r="MOS474" s="340"/>
      <c r="MOT474" s="340"/>
      <c r="MOU474" s="340"/>
      <c r="MOV474" s="340"/>
      <c r="MOW474" s="340"/>
      <c r="MOX474" s="340"/>
      <c r="MOY474" s="340"/>
      <c r="MOZ474" s="340"/>
      <c r="MPA474" s="340"/>
      <c r="MPB474" s="340"/>
      <c r="MPC474" s="340"/>
      <c r="MPD474" s="340"/>
      <c r="MPE474" s="340"/>
      <c r="MPF474" s="340"/>
      <c r="MPG474" s="340"/>
      <c r="MPH474" s="340"/>
      <c r="MPI474" s="340"/>
      <c r="MPJ474" s="340"/>
      <c r="MPK474" s="340"/>
      <c r="MPL474" s="340"/>
      <c r="MPM474" s="340"/>
      <c r="MPN474" s="340"/>
      <c r="MPO474" s="340"/>
      <c r="MPP474" s="340"/>
      <c r="MPQ474" s="340"/>
      <c r="MPR474" s="340"/>
      <c r="MPS474" s="340"/>
      <c r="MPT474" s="340"/>
      <c r="MPU474" s="340"/>
      <c r="MPV474" s="340"/>
      <c r="MPW474" s="340"/>
      <c r="MPX474" s="340"/>
      <c r="MPY474" s="340"/>
      <c r="MPZ474" s="340"/>
      <c r="MQA474" s="340"/>
      <c r="MQB474" s="340"/>
      <c r="MQC474" s="340"/>
      <c r="MQD474" s="340"/>
      <c r="MQE474" s="340"/>
      <c r="MQF474" s="340"/>
      <c r="MQG474" s="340"/>
      <c r="MQH474" s="340"/>
      <c r="MQI474" s="340"/>
      <c r="MQJ474" s="340"/>
      <c r="MQK474" s="340"/>
      <c r="MQL474" s="340"/>
      <c r="MQM474" s="340"/>
      <c r="MQN474" s="340"/>
      <c r="MQO474" s="340"/>
      <c r="MQP474" s="340"/>
      <c r="MQQ474" s="340"/>
      <c r="MQR474" s="340"/>
      <c r="MQS474" s="340"/>
      <c r="MQT474" s="340"/>
      <c r="MQU474" s="340"/>
      <c r="MQV474" s="340"/>
      <c r="MQW474" s="340"/>
      <c r="MQX474" s="340"/>
      <c r="MQY474" s="340"/>
      <c r="MQZ474" s="340"/>
      <c r="MRA474" s="340"/>
      <c r="MRB474" s="340"/>
      <c r="MRC474" s="340"/>
      <c r="MRD474" s="340"/>
      <c r="MRE474" s="340"/>
      <c r="MRF474" s="340"/>
      <c r="MRG474" s="340"/>
      <c r="MRH474" s="340"/>
      <c r="MRI474" s="340"/>
      <c r="MRJ474" s="340"/>
      <c r="MRK474" s="340"/>
      <c r="MRL474" s="340"/>
      <c r="MRM474" s="340"/>
      <c r="MRN474" s="340"/>
      <c r="MRO474" s="340"/>
      <c r="MRP474" s="340"/>
      <c r="MRQ474" s="340"/>
      <c r="MRR474" s="340"/>
      <c r="MRS474" s="340"/>
      <c r="MRT474" s="340"/>
      <c r="MRU474" s="340"/>
      <c r="MRV474" s="340"/>
      <c r="MRW474" s="340"/>
      <c r="MRX474" s="340"/>
      <c r="MRY474" s="340"/>
      <c r="MRZ474" s="340"/>
      <c r="MSA474" s="340"/>
      <c r="MSB474" s="340"/>
      <c r="MSC474" s="340"/>
      <c r="MSD474" s="340"/>
      <c r="MSE474" s="340"/>
      <c r="MSF474" s="340"/>
      <c r="MSG474" s="340"/>
      <c r="MSH474" s="340"/>
      <c r="MSI474" s="340"/>
      <c r="MSJ474" s="340"/>
      <c r="MSK474" s="340"/>
      <c r="MSL474" s="340"/>
      <c r="MSM474" s="340"/>
      <c r="MSN474" s="340"/>
      <c r="MSO474" s="340"/>
      <c r="MSP474" s="340"/>
      <c r="MSQ474" s="340"/>
      <c r="MSR474" s="340"/>
      <c r="MSS474" s="340"/>
      <c r="MST474" s="340"/>
      <c r="MSU474" s="340"/>
      <c r="MSV474" s="340"/>
      <c r="MSW474" s="340"/>
      <c r="MSX474" s="340"/>
      <c r="MSY474" s="340"/>
      <c r="MSZ474" s="340"/>
      <c r="MTA474" s="340"/>
      <c r="MTB474" s="340"/>
      <c r="MTC474" s="340"/>
      <c r="MTD474" s="340"/>
      <c r="MTE474" s="340"/>
      <c r="MTF474" s="340"/>
      <c r="MTG474" s="340"/>
      <c r="MTH474" s="340"/>
      <c r="MTI474" s="340"/>
      <c r="MTJ474" s="340"/>
      <c r="MTK474" s="340"/>
      <c r="MTL474" s="340"/>
      <c r="MTM474" s="340"/>
      <c r="MTN474" s="340"/>
      <c r="MTO474" s="340"/>
      <c r="MTP474" s="340"/>
      <c r="MTQ474" s="340"/>
      <c r="MTR474" s="340"/>
      <c r="MTS474" s="340"/>
      <c r="MTT474" s="340"/>
      <c r="MTU474" s="340"/>
      <c r="MTV474" s="340"/>
      <c r="MTW474" s="340"/>
      <c r="MTX474" s="340"/>
      <c r="MTY474" s="340"/>
      <c r="MTZ474" s="340"/>
      <c r="MUA474" s="340"/>
      <c r="MUB474" s="340"/>
      <c r="MUC474" s="340"/>
      <c r="MUD474" s="340"/>
      <c r="MUE474" s="340"/>
      <c r="MUF474" s="340"/>
      <c r="MUG474" s="340"/>
      <c r="MUH474" s="340"/>
      <c r="MUI474" s="340"/>
      <c r="MUJ474" s="340"/>
      <c r="MUK474" s="340"/>
      <c r="MUL474" s="340"/>
      <c r="MUM474" s="340"/>
      <c r="MUN474" s="340"/>
      <c r="MUO474" s="340"/>
      <c r="MUP474" s="340"/>
      <c r="MUQ474" s="340"/>
      <c r="MUR474" s="340"/>
      <c r="MUS474" s="340"/>
      <c r="MUT474" s="340"/>
      <c r="MUU474" s="340"/>
      <c r="MUV474" s="340"/>
      <c r="MUW474" s="340"/>
      <c r="MUX474" s="340"/>
      <c r="MUY474" s="340"/>
      <c r="MUZ474" s="340"/>
      <c r="MVA474" s="340"/>
      <c r="MVB474" s="340"/>
      <c r="MVC474" s="340"/>
      <c r="MVD474" s="340"/>
      <c r="MVE474" s="340"/>
      <c r="MVF474" s="340"/>
      <c r="MVG474" s="340"/>
      <c r="MVH474" s="340"/>
      <c r="MVI474" s="340"/>
      <c r="MVJ474" s="340"/>
      <c r="MVK474" s="340"/>
      <c r="MVL474" s="340"/>
      <c r="MVM474" s="340"/>
      <c r="MVN474" s="340"/>
      <c r="MVO474" s="340"/>
      <c r="MVP474" s="340"/>
      <c r="MVQ474" s="340"/>
      <c r="MVR474" s="340"/>
      <c r="MVS474" s="340"/>
      <c r="MVT474" s="340"/>
      <c r="MVU474" s="340"/>
      <c r="MVV474" s="340"/>
      <c r="MVW474" s="340"/>
      <c r="MVX474" s="340"/>
      <c r="MVY474" s="340"/>
      <c r="MVZ474" s="340"/>
      <c r="MWA474" s="340"/>
      <c r="MWB474" s="340"/>
      <c r="MWC474" s="340"/>
      <c r="MWD474" s="340"/>
      <c r="MWE474" s="340"/>
      <c r="MWF474" s="340"/>
      <c r="MWG474" s="340"/>
      <c r="MWH474" s="340"/>
      <c r="MWI474" s="340"/>
      <c r="MWJ474" s="340"/>
      <c r="MWK474" s="340"/>
      <c r="MWL474" s="340"/>
      <c r="MWM474" s="340"/>
      <c r="MWN474" s="340"/>
      <c r="MWO474" s="340"/>
      <c r="MWP474" s="340"/>
      <c r="MWQ474" s="340"/>
      <c r="MWR474" s="340"/>
      <c r="MWS474" s="340"/>
      <c r="MWT474" s="340"/>
      <c r="MWU474" s="340"/>
      <c r="MWV474" s="340"/>
      <c r="MWW474" s="340"/>
      <c r="MWX474" s="340"/>
      <c r="MWY474" s="340"/>
      <c r="MWZ474" s="340"/>
      <c r="MXA474" s="340"/>
      <c r="MXB474" s="340"/>
      <c r="MXC474" s="340"/>
      <c r="MXD474" s="340"/>
      <c r="MXE474" s="340"/>
      <c r="MXF474" s="340"/>
      <c r="MXG474" s="340"/>
      <c r="MXH474" s="340"/>
      <c r="MXI474" s="340"/>
      <c r="MXJ474" s="340"/>
      <c r="MXK474" s="340"/>
      <c r="MXL474" s="340"/>
      <c r="MXM474" s="340"/>
      <c r="MXN474" s="340"/>
      <c r="MXO474" s="340"/>
      <c r="MXP474" s="340"/>
      <c r="MXQ474" s="340"/>
      <c r="MXR474" s="340"/>
      <c r="MXS474" s="340"/>
      <c r="MXT474" s="340"/>
      <c r="MXU474" s="340"/>
      <c r="MXV474" s="340"/>
      <c r="MXW474" s="340"/>
      <c r="MXX474" s="340"/>
      <c r="MXY474" s="340"/>
      <c r="MXZ474" s="340"/>
      <c r="MYA474" s="340"/>
      <c r="MYB474" s="340"/>
      <c r="MYC474" s="340"/>
      <c r="MYD474" s="340"/>
      <c r="MYE474" s="340"/>
      <c r="MYF474" s="340"/>
      <c r="MYG474" s="340"/>
      <c r="MYH474" s="340"/>
      <c r="MYI474" s="340"/>
      <c r="MYJ474" s="340"/>
      <c r="MYK474" s="340"/>
      <c r="MYL474" s="340"/>
      <c r="MYM474" s="340"/>
      <c r="MYN474" s="340"/>
      <c r="MYO474" s="340"/>
      <c r="MYP474" s="340"/>
      <c r="MYQ474" s="340"/>
      <c r="MYR474" s="340"/>
      <c r="MYS474" s="340"/>
      <c r="MYT474" s="340"/>
      <c r="MYU474" s="340"/>
      <c r="MYV474" s="340"/>
      <c r="MYW474" s="340"/>
      <c r="MYX474" s="340"/>
      <c r="MYY474" s="340"/>
      <c r="MYZ474" s="340"/>
      <c r="MZA474" s="340"/>
      <c r="MZB474" s="340"/>
      <c r="MZC474" s="340"/>
      <c r="MZD474" s="340"/>
      <c r="MZE474" s="340"/>
      <c r="MZF474" s="340"/>
      <c r="MZG474" s="340"/>
      <c r="MZH474" s="340"/>
      <c r="MZI474" s="340"/>
      <c r="MZJ474" s="340"/>
      <c r="MZK474" s="340"/>
      <c r="MZL474" s="340"/>
      <c r="MZM474" s="340"/>
      <c r="MZN474" s="340"/>
      <c r="MZO474" s="340"/>
      <c r="MZP474" s="340"/>
      <c r="MZQ474" s="340"/>
      <c r="MZR474" s="340"/>
      <c r="MZS474" s="340"/>
      <c r="MZT474" s="340"/>
      <c r="MZU474" s="340"/>
      <c r="MZV474" s="340"/>
      <c r="MZW474" s="340"/>
      <c r="MZX474" s="340"/>
      <c r="MZY474" s="340"/>
      <c r="MZZ474" s="340"/>
      <c r="NAA474" s="340"/>
      <c r="NAB474" s="340"/>
      <c r="NAC474" s="340"/>
      <c r="NAD474" s="340"/>
      <c r="NAE474" s="340"/>
      <c r="NAF474" s="340"/>
      <c r="NAG474" s="340"/>
      <c r="NAH474" s="340"/>
      <c r="NAI474" s="340"/>
      <c r="NAJ474" s="340"/>
      <c r="NAK474" s="340"/>
      <c r="NAL474" s="340"/>
      <c r="NAM474" s="340"/>
      <c r="NAN474" s="340"/>
      <c r="NAO474" s="340"/>
      <c r="NAP474" s="340"/>
      <c r="NAQ474" s="340"/>
      <c r="NAR474" s="340"/>
      <c r="NAS474" s="340"/>
      <c r="NAT474" s="340"/>
      <c r="NAU474" s="340"/>
      <c r="NAV474" s="340"/>
      <c r="NAW474" s="340"/>
      <c r="NAX474" s="340"/>
      <c r="NAY474" s="340"/>
      <c r="NAZ474" s="340"/>
      <c r="NBA474" s="340"/>
      <c r="NBB474" s="340"/>
      <c r="NBC474" s="340"/>
      <c r="NBD474" s="340"/>
      <c r="NBE474" s="340"/>
      <c r="NBF474" s="340"/>
      <c r="NBG474" s="340"/>
      <c r="NBH474" s="340"/>
      <c r="NBI474" s="340"/>
      <c r="NBJ474" s="340"/>
      <c r="NBK474" s="340"/>
      <c r="NBL474" s="340"/>
      <c r="NBM474" s="340"/>
      <c r="NBN474" s="340"/>
      <c r="NBO474" s="340"/>
      <c r="NBP474" s="340"/>
      <c r="NBQ474" s="340"/>
      <c r="NBR474" s="340"/>
      <c r="NBS474" s="340"/>
      <c r="NBT474" s="340"/>
      <c r="NBU474" s="340"/>
      <c r="NBV474" s="340"/>
      <c r="NBW474" s="340"/>
      <c r="NBX474" s="340"/>
      <c r="NBY474" s="340"/>
      <c r="NBZ474" s="340"/>
      <c r="NCA474" s="340"/>
      <c r="NCB474" s="340"/>
      <c r="NCC474" s="340"/>
      <c r="NCD474" s="340"/>
      <c r="NCE474" s="340"/>
      <c r="NCF474" s="340"/>
      <c r="NCG474" s="340"/>
      <c r="NCH474" s="340"/>
      <c r="NCI474" s="340"/>
      <c r="NCJ474" s="340"/>
      <c r="NCK474" s="340"/>
      <c r="NCL474" s="340"/>
      <c r="NCM474" s="340"/>
      <c r="NCN474" s="340"/>
      <c r="NCO474" s="340"/>
      <c r="NCP474" s="340"/>
      <c r="NCQ474" s="340"/>
      <c r="NCR474" s="340"/>
      <c r="NCS474" s="340"/>
      <c r="NCT474" s="340"/>
      <c r="NCU474" s="340"/>
      <c r="NCV474" s="340"/>
      <c r="NCW474" s="340"/>
      <c r="NCX474" s="340"/>
      <c r="NCY474" s="340"/>
      <c r="NCZ474" s="340"/>
      <c r="NDA474" s="340"/>
      <c r="NDB474" s="340"/>
      <c r="NDC474" s="340"/>
      <c r="NDD474" s="340"/>
      <c r="NDE474" s="340"/>
      <c r="NDF474" s="340"/>
      <c r="NDG474" s="340"/>
      <c r="NDH474" s="340"/>
      <c r="NDI474" s="340"/>
      <c r="NDJ474" s="340"/>
      <c r="NDK474" s="340"/>
      <c r="NDL474" s="340"/>
      <c r="NDM474" s="340"/>
      <c r="NDN474" s="340"/>
      <c r="NDO474" s="340"/>
      <c r="NDP474" s="340"/>
      <c r="NDQ474" s="340"/>
      <c r="NDR474" s="340"/>
      <c r="NDS474" s="340"/>
      <c r="NDT474" s="340"/>
      <c r="NDU474" s="340"/>
      <c r="NDV474" s="340"/>
      <c r="NDW474" s="340"/>
      <c r="NDX474" s="340"/>
      <c r="NDY474" s="340"/>
      <c r="NDZ474" s="340"/>
      <c r="NEA474" s="340"/>
      <c r="NEB474" s="340"/>
      <c r="NEC474" s="340"/>
      <c r="NED474" s="340"/>
      <c r="NEE474" s="340"/>
      <c r="NEF474" s="340"/>
      <c r="NEG474" s="340"/>
      <c r="NEH474" s="340"/>
      <c r="NEI474" s="340"/>
      <c r="NEJ474" s="340"/>
      <c r="NEK474" s="340"/>
      <c r="NEL474" s="340"/>
      <c r="NEM474" s="340"/>
      <c r="NEN474" s="340"/>
      <c r="NEO474" s="340"/>
      <c r="NEP474" s="340"/>
      <c r="NEQ474" s="340"/>
      <c r="NER474" s="340"/>
      <c r="NES474" s="340"/>
      <c r="NET474" s="340"/>
      <c r="NEU474" s="340"/>
      <c r="NEV474" s="340"/>
      <c r="NEW474" s="340"/>
      <c r="NEX474" s="340"/>
      <c r="NEY474" s="340"/>
      <c r="NEZ474" s="340"/>
      <c r="NFA474" s="340"/>
      <c r="NFB474" s="340"/>
      <c r="NFC474" s="340"/>
      <c r="NFD474" s="340"/>
      <c r="NFE474" s="340"/>
      <c r="NFF474" s="340"/>
      <c r="NFG474" s="340"/>
      <c r="NFH474" s="340"/>
      <c r="NFI474" s="340"/>
      <c r="NFJ474" s="340"/>
      <c r="NFK474" s="340"/>
      <c r="NFL474" s="340"/>
      <c r="NFM474" s="340"/>
      <c r="NFN474" s="340"/>
      <c r="NFO474" s="340"/>
      <c r="NFP474" s="340"/>
      <c r="NFQ474" s="340"/>
      <c r="NFR474" s="340"/>
      <c r="NFS474" s="340"/>
      <c r="NFT474" s="340"/>
      <c r="NFU474" s="340"/>
      <c r="NFV474" s="340"/>
      <c r="NFW474" s="340"/>
      <c r="NFX474" s="340"/>
      <c r="NFY474" s="340"/>
      <c r="NFZ474" s="340"/>
      <c r="NGA474" s="340"/>
      <c r="NGB474" s="340"/>
      <c r="NGC474" s="340"/>
      <c r="NGD474" s="340"/>
      <c r="NGE474" s="340"/>
      <c r="NGF474" s="340"/>
      <c r="NGG474" s="340"/>
      <c r="NGH474" s="340"/>
      <c r="NGI474" s="340"/>
      <c r="NGJ474" s="340"/>
      <c r="NGK474" s="340"/>
      <c r="NGL474" s="340"/>
      <c r="NGM474" s="340"/>
      <c r="NGN474" s="340"/>
      <c r="NGO474" s="340"/>
      <c r="NGP474" s="340"/>
      <c r="NGQ474" s="340"/>
      <c r="NGR474" s="340"/>
      <c r="NGS474" s="340"/>
      <c r="NGT474" s="340"/>
      <c r="NGU474" s="340"/>
      <c r="NGV474" s="340"/>
      <c r="NGW474" s="340"/>
      <c r="NGX474" s="340"/>
      <c r="NGY474" s="340"/>
      <c r="NGZ474" s="340"/>
      <c r="NHA474" s="340"/>
      <c r="NHB474" s="340"/>
      <c r="NHC474" s="340"/>
      <c r="NHD474" s="340"/>
      <c r="NHE474" s="340"/>
      <c r="NHF474" s="340"/>
      <c r="NHG474" s="340"/>
      <c r="NHH474" s="340"/>
      <c r="NHI474" s="340"/>
      <c r="NHJ474" s="340"/>
      <c r="NHK474" s="340"/>
      <c r="NHL474" s="340"/>
      <c r="NHM474" s="340"/>
      <c r="NHN474" s="340"/>
      <c r="NHO474" s="340"/>
      <c r="NHP474" s="340"/>
      <c r="NHQ474" s="340"/>
      <c r="NHR474" s="340"/>
      <c r="NHS474" s="340"/>
      <c r="NHT474" s="340"/>
      <c r="NHU474" s="340"/>
      <c r="NHV474" s="340"/>
      <c r="NHW474" s="340"/>
      <c r="NHX474" s="340"/>
      <c r="NHY474" s="340"/>
      <c r="NHZ474" s="340"/>
      <c r="NIA474" s="340"/>
      <c r="NIB474" s="340"/>
      <c r="NIC474" s="340"/>
      <c r="NID474" s="340"/>
      <c r="NIE474" s="340"/>
      <c r="NIF474" s="340"/>
      <c r="NIG474" s="340"/>
      <c r="NIH474" s="340"/>
      <c r="NII474" s="340"/>
      <c r="NIJ474" s="340"/>
      <c r="NIK474" s="340"/>
      <c r="NIL474" s="340"/>
      <c r="NIM474" s="340"/>
      <c r="NIN474" s="340"/>
      <c r="NIO474" s="340"/>
      <c r="NIP474" s="340"/>
      <c r="NIQ474" s="340"/>
      <c r="NIR474" s="340"/>
      <c r="NIS474" s="340"/>
      <c r="NIT474" s="340"/>
      <c r="NIU474" s="340"/>
      <c r="NIV474" s="340"/>
      <c r="NIW474" s="340"/>
      <c r="NIX474" s="340"/>
      <c r="NIY474" s="340"/>
      <c r="NIZ474" s="340"/>
      <c r="NJA474" s="340"/>
      <c r="NJB474" s="340"/>
      <c r="NJC474" s="340"/>
      <c r="NJD474" s="340"/>
      <c r="NJE474" s="340"/>
      <c r="NJF474" s="340"/>
      <c r="NJG474" s="340"/>
      <c r="NJH474" s="340"/>
      <c r="NJI474" s="340"/>
      <c r="NJJ474" s="340"/>
      <c r="NJK474" s="340"/>
      <c r="NJL474" s="340"/>
      <c r="NJM474" s="340"/>
      <c r="NJN474" s="340"/>
      <c r="NJO474" s="340"/>
      <c r="NJP474" s="340"/>
      <c r="NJQ474" s="340"/>
      <c r="NJR474" s="340"/>
      <c r="NJS474" s="340"/>
      <c r="NJT474" s="340"/>
      <c r="NJU474" s="340"/>
      <c r="NJV474" s="340"/>
      <c r="NJW474" s="340"/>
      <c r="NJX474" s="340"/>
      <c r="NJY474" s="340"/>
      <c r="NJZ474" s="340"/>
      <c r="NKA474" s="340"/>
      <c r="NKB474" s="340"/>
      <c r="NKC474" s="340"/>
      <c r="NKD474" s="340"/>
      <c r="NKE474" s="340"/>
      <c r="NKF474" s="340"/>
      <c r="NKG474" s="340"/>
      <c r="NKH474" s="340"/>
      <c r="NKI474" s="340"/>
      <c r="NKJ474" s="340"/>
      <c r="NKK474" s="340"/>
      <c r="NKL474" s="340"/>
      <c r="NKM474" s="340"/>
      <c r="NKN474" s="340"/>
      <c r="NKO474" s="340"/>
      <c r="NKP474" s="340"/>
      <c r="NKQ474" s="340"/>
      <c r="NKR474" s="340"/>
      <c r="NKS474" s="340"/>
      <c r="NKT474" s="340"/>
      <c r="NKU474" s="340"/>
      <c r="NKV474" s="340"/>
      <c r="NKW474" s="340"/>
      <c r="NKX474" s="340"/>
      <c r="NKY474" s="340"/>
      <c r="NKZ474" s="340"/>
      <c r="NLA474" s="340"/>
      <c r="NLB474" s="340"/>
      <c r="NLC474" s="340"/>
      <c r="NLD474" s="340"/>
      <c r="NLE474" s="340"/>
      <c r="NLF474" s="340"/>
      <c r="NLG474" s="340"/>
      <c r="NLH474" s="340"/>
      <c r="NLI474" s="340"/>
      <c r="NLJ474" s="340"/>
      <c r="NLK474" s="340"/>
      <c r="NLL474" s="340"/>
      <c r="NLM474" s="340"/>
      <c r="NLN474" s="340"/>
      <c r="NLO474" s="340"/>
      <c r="NLP474" s="340"/>
      <c r="NLQ474" s="340"/>
      <c r="NLR474" s="340"/>
      <c r="NLS474" s="340"/>
      <c r="NLT474" s="340"/>
      <c r="NLU474" s="340"/>
      <c r="NLV474" s="340"/>
      <c r="NLW474" s="340"/>
      <c r="NLX474" s="340"/>
      <c r="NLY474" s="340"/>
      <c r="NLZ474" s="340"/>
      <c r="NMA474" s="340"/>
      <c r="NMB474" s="340"/>
      <c r="NMC474" s="340"/>
      <c r="NMD474" s="340"/>
      <c r="NME474" s="340"/>
      <c r="NMF474" s="340"/>
      <c r="NMG474" s="340"/>
      <c r="NMH474" s="340"/>
      <c r="NMI474" s="340"/>
      <c r="NMJ474" s="340"/>
      <c r="NMK474" s="340"/>
      <c r="NML474" s="340"/>
      <c r="NMM474" s="340"/>
      <c r="NMN474" s="340"/>
      <c r="NMO474" s="340"/>
      <c r="NMP474" s="340"/>
      <c r="NMQ474" s="340"/>
      <c r="NMR474" s="340"/>
      <c r="NMS474" s="340"/>
      <c r="NMT474" s="340"/>
      <c r="NMU474" s="340"/>
      <c r="NMV474" s="340"/>
      <c r="NMW474" s="340"/>
      <c r="NMX474" s="340"/>
      <c r="NMY474" s="340"/>
      <c r="NMZ474" s="340"/>
      <c r="NNA474" s="340"/>
      <c r="NNB474" s="340"/>
      <c r="NNC474" s="340"/>
      <c r="NND474" s="340"/>
      <c r="NNE474" s="340"/>
      <c r="NNF474" s="340"/>
      <c r="NNG474" s="340"/>
      <c r="NNH474" s="340"/>
      <c r="NNI474" s="340"/>
      <c r="NNJ474" s="340"/>
      <c r="NNK474" s="340"/>
      <c r="NNL474" s="340"/>
      <c r="NNM474" s="340"/>
      <c r="NNN474" s="340"/>
      <c r="NNO474" s="340"/>
      <c r="NNP474" s="340"/>
      <c r="NNQ474" s="340"/>
      <c r="NNR474" s="340"/>
      <c r="NNS474" s="340"/>
      <c r="NNT474" s="340"/>
      <c r="NNU474" s="340"/>
      <c r="NNV474" s="340"/>
      <c r="NNW474" s="340"/>
      <c r="NNX474" s="340"/>
      <c r="NNY474" s="340"/>
      <c r="NNZ474" s="340"/>
      <c r="NOA474" s="340"/>
      <c r="NOB474" s="340"/>
      <c r="NOC474" s="340"/>
      <c r="NOD474" s="340"/>
      <c r="NOE474" s="340"/>
      <c r="NOF474" s="340"/>
      <c r="NOG474" s="340"/>
      <c r="NOH474" s="340"/>
      <c r="NOI474" s="340"/>
      <c r="NOJ474" s="340"/>
      <c r="NOK474" s="340"/>
      <c r="NOL474" s="340"/>
      <c r="NOM474" s="340"/>
      <c r="NON474" s="340"/>
      <c r="NOO474" s="340"/>
      <c r="NOP474" s="340"/>
      <c r="NOQ474" s="340"/>
      <c r="NOR474" s="340"/>
      <c r="NOS474" s="340"/>
      <c r="NOT474" s="340"/>
      <c r="NOU474" s="340"/>
      <c r="NOV474" s="340"/>
      <c r="NOW474" s="340"/>
      <c r="NOX474" s="340"/>
      <c r="NOY474" s="340"/>
      <c r="NOZ474" s="340"/>
      <c r="NPA474" s="340"/>
      <c r="NPB474" s="340"/>
      <c r="NPC474" s="340"/>
      <c r="NPD474" s="340"/>
      <c r="NPE474" s="340"/>
      <c r="NPF474" s="340"/>
      <c r="NPG474" s="340"/>
      <c r="NPH474" s="340"/>
      <c r="NPI474" s="340"/>
      <c r="NPJ474" s="340"/>
      <c r="NPK474" s="340"/>
      <c r="NPL474" s="340"/>
      <c r="NPM474" s="340"/>
      <c r="NPN474" s="340"/>
      <c r="NPO474" s="340"/>
      <c r="NPP474" s="340"/>
      <c r="NPQ474" s="340"/>
      <c r="NPR474" s="340"/>
      <c r="NPS474" s="340"/>
      <c r="NPT474" s="340"/>
      <c r="NPU474" s="340"/>
      <c r="NPV474" s="340"/>
      <c r="NPW474" s="340"/>
      <c r="NPX474" s="340"/>
      <c r="NPY474" s="340"/>
      <c r="NPZ474" s="340"/>
      <c r="NQA474" s="340"/>
      <c r="NQB474" s="340"/>
      <c r="NQC474" s="340"/>
      <c r="NQD474" s="340"/>
      <c r="NQE474" s="340"/>
      <c r="NQF474" s="340"/>
      <c r="NQG474" s="340"/>
      <c r="NQH474" s="340"/>
      <c r="NQI474" s="340"/>
      <c r="NQJ474" s="340"/>
      <c r="NQK474" s="340"/>
      <c r="NQL474" s="340"/>
      <c r="NQM474" s="340"/>
      <c r="NQN474" s="340"/>
      <c r="NQO474" s="340"/>
      <c r="NQP474" s="340"/>
      <c r="NQQ474" s="340"/>
      <c r="NQR474" s="340"/>
      <c r="NQS474" s="340"/>
      <c r="NQT474" s="340"/>
      <c r="NQU474" s="340"/>
      <c r="NQV474" s="340"/>
      <c r="NQW474" s="340"/>
      <c r="NQX474" s="340"/>
      <c r="NQY474" s="340"/>
      <c r="NQZ474" s="340"/>
      <c r="NRA474" s="340"/>
      <c r="NRB474" s="340"/>
      <c r="NRC474" s="340"/>
      <c r="NRD474" s="340"/>
      <c r="NRE474" s="340"/>
      <c r="NRF474" s="340"/>
      <c r="NRG474" s="340"/>
      <c r="NRH474" s="340"/>
      <c r="NRI474" s="340"/>
      <c r="NRJ474" s="340"/>
      <c r="NRK474" s="340"/>
      <c r="NRL474" s="340"/>
      <c r="NRM474" s="340"/>
      <c r="NRN474" s="340"/>
      <c r="NRO474" s="340"/>
      <c r="NRP474" s="340"/>
      <c r="NRQ474" s="340"/>
      <c r="NRR474" s="340"/>
      <c r="NRS474" s="340"/>
      <c r="NRT474" s="340"/>
      <c r="NRU474" s="340"/>
      <c r="NRV474" s="340"/>
      <c r="NRW474" s="340"/>
      <c r="NRX474" s="340"/>
      <c r="NRY474" s="340"/>
      <c r="NRZ474" s="340"/>
      <c r="NSA474" s="340"/>
      <c r="NSB474" s="340"/>
      <c r="NSC474" s="340"/>
      <c r="NSD474" s="340"/>
      <c r="NSE474" s="340"/>
      <c r="NSF474" s="340"/>
      <c r="NSG474" s="340"/>
      <c r="NSH474" s="340"/>
      <c r="NSI474" s="340"/>
      <c r="NSJ474" s="340"/>
      <c r="NSK474" s="340"/>
      <c r="NSL474" s="340"/>
      <c r="NSM474" s="340"/>
      <c r="NSN474" s="340"/>
      <c r="NSO474" s="340"/>
      <c r="NSP474" s="340"/>
      <c r="NSQ474" s="340"/>
      <c r="NSR474" s="340"/>
      <c r="NSS474" s="340"/>
      <c r="NST474" s="340"/>
      <c r="NSU474" s="340"/>
      <c r="NSV474" s="340"/>
      <c r="NSW474" s="340"/>
      <c r="NSX474" s="340"/>
      <c r="NSY474" s="340"/>
      <c r="NSZ474" s="340"/>
      <c r="NTA474" s="340"/>
      <c r="NTB474" s="340"/>
      <c r="NTC474" s="340"/>
      <c r="NTD474" s="340"/>
      <c r="NTE474" s="340"/>
      <c r="NTF474" s="340"/>
      <c r="NTG474" s="340"/>
      <c r="NTH474" s="340"/>
      <c r="NTI474" s="340"/>
      <c r="NTJ474" s="340"/>
      <c r="NTK474" s="340"/>
      <c r="NTL474" s="340"/>
      <c r="NTM474" s="340"/>
      <c r="NTN474" s="340"/>
      <c r="NTO474" s="340"/>
      <c r="NTP474" s="340"/>
      <c r="NTQ474" s="340"/>
      <c r="NTR474" s="340"/>
      <c r="NTS474" s="340"/>
      <c r="NTT474" s="340"/>
      <c r="NTU474" s="340"/>
      <c r="NTV474" s="340"/>
      <c r="NTW474" s="340"/>
      <c r="NTX474" s="340"/>
      <c r="NTY474" s="340"/>
      <c r="NTZ474" s="340"/>
      <c r="NUA474" s="340"/>
      <c r="NUB474" s="340"/>
      <c r="NUC474" s="340"/>
      <c r="NUD474" s="340"/>
      <c r="NUE474" s="340"/>
      <c r="NUF474" s="340"/>
      <c r="NUG474" s="340"/>
      <c r="NUH474" s="340"/>
      <c r="NUI474" s="340"/>
      <c r="NUJ474" s="340"/>
      <c r="NUK474" s="340"/>
      <c r="NUL474" s="340"/>
      <c r="NUM474" s="340"/>
      <c r="NUN474" s="340"/>
      <c r="NUO474" s="340"/>
      <c r="NUP474" s="340"/>
      <c r="NUQ474" s="340"/>
      <c r="NUR474" s="340"/>
      <c r="NUS474" s="340"/>
      <c r="NUT474" s="340"/>
      <c r="NUU474" s="340"/>
      <c r="NUV474" s="340"/>
      <c r="NUW474" s="340"/>
      <c r="NUX474" s="340"/>
      <c r="NUY474" s="340"/>
      <c r="NUZ474" s="340"/>
      <c r="NVA474" s="340"/>
      <c r="NVB474" s="340"/>
      <c r="NVC474" s="340"/>
      <c r="NVD474" s="340"/>
      <c r="NVE474" s="340"/>
      <c r="NVF474" s="340"/>
      <c r="NVG474" s="340"/>
      <c r="NVH474" s="340"/>
      <c r="NVI474" s="340"/>
      <c r="NVJ474" s="340"/>
      <c r="NVK474" s="340"/>
      <c r="NVL474" s="340"/>
      <c r="NVM474" s="340"/>
      <c r="NVN474" s="340"/>
      <c r="NVO474" s="340"/>
      <c r="NVP474" s="340"/>
      <c r="NVQ474" s="340"/>
      <c r="NVR474" s="340"/>
      <c r="NVS474" s="340"/>
      <c r="NVT474" s="340"/>
      <c r="NVU474" s="340"/>
      <c r="NVV474" s="340"/>
      <c r="NVW474" s="340"/>
      <c r="NVX474" s="340"/>
      <c r="NVY474" s="340"/>
      <c r="NVZ474" s="340"/>
      <c r="NWA474" s="340"/>
      <c r="NWB474" s="340"/>
      <c r="NWC474" s="340"/>
      <c r="NWD474" s="340"/>
      <c r="NWE474" s="340"/>
      <c r="NWF474" s="340"/>
      <c r="NWG474" s="340"/>
      <c r="NWH474" s="340"/>
      <c r="NWI474" s="340"/>
      <c r="NWJ474" s="340"/>
      <c r="NWK474" s="340"/>
      <c r="NWL474" s="340"/>
      <c r="NWM474" s="340"/>
      <c r="NWN474" s="340"/>
      <c r="NWO474" s="340"/>
      <c r="NWP474" s="340"/>
      <c r="NWQ474" s="340"/>
      <c r="NWR474" s="340"/>
      <c r="NWS474" s="340"/>
      <c r="NWT474" s="340"/>
      <c r="NWU474" s="340"/>
      <c r="NWV474" s="340"/>
      <c r="NWW474" s="340"/>
      <c r="NWX474" s="340"/>
      <c r="NWY474" s="340"/>
      <c r="NWZ474" s="340"/>
      <c r="NXA474" s="340"/>
      <c r="NXB474" s="340"/>
      <c r="NXC474" s="340"/>
      <c r="NXD474" s="340"/>
      <c r="NXE474" s="340"/>
      <c r="NXF474" s="340"/>
      <c r="NXG474" s="340"/>
      <c r="NXH474" s="340"/>
      <c r="NXI474" s="340"/>
      <c r="NXJ474" s="340"/>
      <c r="NXK474" s="340"/>
      <c r="NXL474" s="340"/>
      <c r="NXM474" s="340"/>
      <c r="NXN474" s="340"/>
      <c r="NXO474" s="340"/>
      <c r="NXP474" s="340"/>
      <c r="NXQ474" s="340"/>
      <c r="NXR474" s="340"/>
      <c r="NXS474" s="340"/>
      <c r="NXT474" s="340"/>
      <c r="NXU474" s="340"/>
      <c r="NXV474" s="340"/>
      <c r="NXW474" s="340"/>
      <c r="NXX474" s="340"/>
      <c r="NXY474" s="340"/>
      <c r="NXZ474" s="340"/>
      <c r="NYA474" s="340"/>
      <c r="NYB474" s="340"/>
      <c r="NYC474" s="340"/>
      <c r="NYD474" s="340"/>
      <c r="NYE474" s="340"/>
      <c r="NYF474" s="340"/>
      <c r="NYG474" s="340"/>
      <c r="NYH474" s="340"/>
      <c r="NYI474" s="340"/>
      <c r="NYJ474" s="340"/>
      <c r="NYK474" s="340"/>
      <c r="NYL474" s="340"/>
      <c r="NYM474" s="340"/>
      <c r="NYN474" s="340"/>
      <c r="NYO474" s="340"/>
      <c r="NYP474" s="340"/>
      <c r="NYQ474" s="340"/>
      <c r="NYR474" s="340"/>
      <c r="NYS474" s="340"/>
      <c r="NYT474" s="340"/>
      <c r="NYU474" s="340"/>
      <c r="NYV474" s="340"/>
      <c r="NYW474" s="340"/>
      <c r="NYX474" s="340"/>
      <c r="NYY474" s="340"/>
      <c r="NYZ474" s="340"/>
      <c r="NZA474" s="340"/>
      <c r="NZB474" s="340"/>
      <c r="NZC474" s="340"/>
      <c r="NZD474" s="340"/>
      <c r="NZE474" s="340"/>
      <c r="NZF474" s="340"/>
      <c r="NZG474" s="340"/>
      <c r="NZH474" s="340"/>
      <c r="NZI474" s="340"/>
      <c r="NZJ474" s="340"/>
      <c r="NZK474" s="340"/>
      <c r="NZL474" s="340"/>
      <c r="NZM474" s="340"/>
      <c r="NZN474" s="340"/>
      <c r="NZO474" s="340"/>
      <c r="NZP474" s="340"/>
      <c r="NZQ474" s="340"/>
      <c r="NZR474" s="340"/>
      <c r="NZS474" s="340"/>
      <c r="NZT474" s="340"/>
      <c r="NZU474" s="340"/>
      <c r="NZV474" s="340"/>
      <c r="NZW474" s="340"/>
      <c r="NZX474" s="340"/>
      <c r="NZY474" s="340"/>
      <c r="NZZ474" s="340"/>
      <c r="OAA474" s="340"/>
      <c r="OAB474" s="340"/>
      <c r="OAC474" s="340"/>
      <c r="OAD474" s="340"/>
      <c r="OAE474" s="340"/>
      <c r="OAF474" s="340"/>
      <c r="OAG474" s="340"/>
      <c r="OAH474" s="340"/>
      <c r="OAI474" s="340"/>
      <c r="OAJ474" s="340"/>
      <c r="OAK474" s="340"/>
      <c r="OAL474" s="340"/>
      <c r="OAM474" s="340"/>
      <c r="OAN474" s="340"/>
      <c r="OAO474" s="340"/>
      <c r="OAP474" s="340"/>
      <c r="OAQ474" s="340"/>
      <c r="OAR474" s="340"/>
      <c r="OAS474" s="340"/>
      <c r="OAT474" s="340"/>
      <c r="OAU474" s="340"/>
      <c r="OAV474" s="340"/>
      <c r="OAW474" s="340"/>
      <c r="OAX474" s="340"/>
      <c r="OAY474" s="340"/>
      <c r="OAZ474" s="340"/>
      <c r="OBA474" s="340"/>
      <c r="OBB474" s="340"/>
      <c r="OBC474" s="340"/>
      <c r="OBD474" s="340"/>
      <c r="OBE474" s="340"/>
      <c r="OBF474" s="340"/>
      <c r="OBG474" s="340"/>
      <c r="OBH474" s="340"/>
      <c r="OBI474" s="340"/>
      <c r="OBJ474" s="340"/>
      <c r="OBK474" s="340"/>
      <c r="OBL474" s="340"/>
      <c r="OBM474" s="340"/>
      <c r="OBN474" s="340"/>
      <c r="OBO474" s="340"/>
      <c r="OBP474" s="340"/>
      <c r="OBQ474" s="340"/>
      <c r="OBR474" s="340"/>
      <c r="OBS474" s="340"/>
      <c r="OBT474" s="340"/>
      <c r="OBU474" s="340"/>
      <c r="OBV474" s="340"/>
      <c r="OBW474" s="340"/>
      <c r="OBX474" s="340"/>
      <c r="OBY474" s="340"/>
      <c r="OBZ474" s="340"/>
      <c r="OCA474" s="340"/>
      <c r="OCB474" s="340"/>
      <c r="OCC474" s="340"/>
      <c r="OCD474" s="340"/>
      <c r="OCE474" s="340"/>
      <c r="OCF474" s="340"/>
      <c r="OCG474" s="340"/>
      <c r="OCH474" s="340"/>
      <c r="OCI474" s="340"/>
      <c r="OCJ474" s="340"/>
      <c r="OCK474" s="340"/>
      <c r="OCL474" s="340"/>
      <c r="OCM474" s="340"/>
      <c r="OCN474" s="340"/>
      <c r="OCO474" s="340"/>
      <c r="OCP474" s="340"/>
      <c r="OCQ474" s="340"/>
      <c r="OCR474" s="340"/>
      <c r="OCS474" s="340"/>
      <c r="OCT474" s="340"/>
      <c r="OCU474" s="340"/>
      <c r="OCV474" s="340"/>
      <c r="OCW474" s="340"/>
      <c r="OCX474" s="340"/>
      <c r="OCY474" s="340"/>
      <c r="OCZ474" s="340"/>
      <c r="ODA474" s="340"/>
      <c r="ODB474" s="340"/>
      <c r="ODC474" s="340"/>
      <c r="ODD474" s="340"/>
      <c r="ODE474" s="340"/>
      <c r="ODF474" s="340"/>
      <c r="ODG474" s="340"/>
      <c r="ODH474" s="340"/>
      <c r="ODI474" s="340"/>
      <c r="ODJ474" s="340"/>
      <c r="ODK474" s="340"/>
      <c r="ODL474" s="340"/>
      <c r="ODM474" s="340"/>
      <c r="ODN474" s="340"/>
      <c r="ODO474" s="340"/>
      <c r="ODP474" s="340"/>
      <c r="ODQ474" s="340"/>
      <c r="ODR474" s="340"/>
      <c r="ODS474" s="340"/>
      <c r="ODT474" s="340"/>
      <c r="ODU474" s="340"/>
      <c r="ODV474" s="340"/>
      <c r="ODW474" s="340"/>
      <c r="ODX474" s="340"/>
      <c r="ODY474" s="340"/>
      <c r="ODZ474" s="340"/>
      <c r="OEA474" s="340"/>
      <c r="OEB474" s="340"/>
      <c r="OEC474" s="340"/>
      <c r="OED474" s="340"/>
      <c r="OEE474" s="340"/>
      <c r="OEF474" s="340"/>
      <c r="OEG474" s="340"/>
      <c r="OEH474" s="340"/>
      <c r="OEI474" s="340"/>
      <c r="OEJ474" s="340"/>
      <c r="OEK474" s="340"/>
      <c r="OEL474" s="340"/>
      <c r="OEM474" s="340"/>
      <c r="OEN474" s="340"/>
      <c r="OEO474" s="340"/>
      <c r="OEP474" s="340"/>
      <c r="OEQ474" s="340"/>
      <c r="OER474" s="340"/>
      <c r="OES474" s="340"/>
      <c r="OET474" s="340"/>
      <c r="OEU474" s="340"/>
      <c r="OEV474" s="340"/>
      <c r="OEW474" s="340"/>
      <c r="OEX474" s="340"/>
      <c r="OEY474" s="340"/>
      <c r="OEZ474" s="340"/>
      <c r="OFA474" s="340"/>
      <c r="OFB474" s="340"/>
      <c r="OFC474" s="340"/>
      <c r="OFD474" s="340"/>
      <c r="OFE474" s="340"/>
      <c r="OFF474" s="340"/>
      <c r="OFG474" s="340"/>
      <c r="OFH474" s="340"/>
      <c r="OFI474" s="340"/>
      <c r="OFJ474" s="340"/>
      <c r="OFK474" s="340"/>
      <c r="OFL474" s="340"/>
      <c r="OFM474" s="340"/>
      <c r="OFN474" s="340"/>
      <c r="OFO474" s="340"/>
      <c r="OFP474" s="340"/>
      <c r="OFQ474" s="340"/>
      <c r="OFR474" s="340"/>
      <c r="OFS474" s="340"/>
      <c r="OFT474" s="340"/>
      <c r="OFU474" s="340"/>
      <c r="OFV474" s="340"/>
      <c r="OFW474" s="340"/>
      <c r="OFX474" s="340"/>
      <c r="OFY474" s="340"/>
      <c r="OFZ474" s="340"/>
      <c r="OGA474" s="340"/>
      <c r="OGB474" s="340"/>
      <c r="OGC474" s="340"/>
      <c r="OGD474" s="340"/>
      <c r="OGE474" s="340"/>
      <c r="OGF474" s="340"/>
      <c r="OGG474" s="340"/>
      <c r="OGH474" s="340"/>
      <c r="OGI474" s="340"/>
      <c r="OGJ474" s="340"/>
      <c r="OGK474" s="340"/>
      <c r="OGL474" s="340"/>
      <c r="OGM474" s="340"/>
      <c r="OGN474" s="340"/>
      <c r="OGO474" s="340"/>
      <c r="OGP474" s="340"/>
      <c r="OGQ474" s="340"/>
      <c r="OGR474" s="340"/>
      <c r="OGS474" s="340"/>
      <c r="OGT474" s="340"/>
      <c r="OGU474" s="340"/>
      <c r="OGV474" s="340"/>
      <c r="OGW474" s="340"/>
      <c r="OGX474" s="340"/>
      <c r="OGY474" s="340"/>
      <c r="OGZ474" s="340"/>
      <c r="OHA474" s="340"/>
      <c r="OHB474" s="340"/>
      <c r="OHC474" s="340"/>
      <c r="OHD474" s="340"/>
      <c r="OHE474" s="340"/>
      <c r="OHF474" s="340"/>
      <c r="OHG474" s="340"/>
      <c r="OHH474" s="340"/>
      <c r="OHI474" s="340"/>
      <c r="OHJ474" s="340"/>
      <c r="OHK474" s="340"/>
      <c r="OHL474" s="340"/>
      <c r="OHM474" s="340"/>
      <c r="OHN474" s="340"/>
      <c r="OHO474" s="340"/>
      <c r="OHP474" s="340"/>
      <c r="OHQ474" s="340"/>
      <c r="OHR474" s="340"/>
      <c r="OHS474" s="340"/>
      <c r="OHT474" s="340"/>
      <c r="OHU474" s="340"/>
      <c r="OHV474" s="340"/>
      <c r="OHW474" s="340"/>
      <c r="OHX474" s="340"/>
      <c r="OHY474" s="340"/>
      <c r="OHZ474" s="340"/>
      <c r="OIA474" s="340"/>
      <c r="OIB474" s="340"/>
      <c r="OIC474" s="340"/>
      <c r="OID474" s="340"/>
      <c r="OIE474" s="340"/>
      <c r="OIF474" s="340"/>
      <c r="OIG474" s="340"/>
      <c r="OIH474" s="340"/>
      <c r="OII474" s="340"/>
      <c r="OIJ474" s="340"/>
      <c r="OIK474" s="340"/>
      <c r="OIL474" s="340"/>
      <c r="OIM474" s="340"/>
      <c r="OIN474" s="340"/>
      <c r="OIO474" s="340"/>
      <c r="OIP474" s="340"/>
      <c r="OIQ474" s="340"/>
      <c r="OIR474" s="340"/>
      <c r="OIS474" s="340"/>
      <c r="OIT474" s="340"/>
      <c r="OIU474" s="340"/>
      <c r="OIV474" s="340"/>
      <c r="OIW474" s="340"/>
      <c r="OIX474" s="340"/>
      <c r="OIY474" s="340"/>
      <c r="OIZ474" s="340"/>
      <c r="OJA474" s="340"/>
      <c r="OJB474" s="340"/>
      <c r="OJC474" s="340"/>
      <c r="OJD474" s="340"/>
      <c r="OJE474" s="340"/>
      <c r="OJF474" s="340"/>
      <c r="OJG474" s="340"/>
      <c r="OJH474" s="340"/>
      <c r="OJI474" s="340"/>
      <c r="OJJ474" s="340"/>
      <c r="OJK474" s="340"/>
      <c r="OJL474" s="340"/>
      <c r="OJM474" s="340"/>
      <c r="OJN474" s="340"/>
      <c r="OJO474" s="340"/>
      <c r="OJP474" s="340"/>
      <c r="OJQ474" s="340"/>
      <c r="OJR474" s="340"/>
      <c r="OJS474" s="340"/>
      <c r="OJT474" s="340"/>
      <c r="OJU474" s="340"/>
      <c r="OJV474" s="340"/>
      <c r="OJW474" s="340"/>
      <c r="OJX474" s="340"/>
      <c r="OJY474" s="340"/>
      <c r="OJZ474" s="340"/>
      <c r="OKA474" s="340"/>
      <c r="OKB474" s="340"/>
      <c r="OKC474" s="340"/>
      <c r="OKD474" s="340"/>
      <c r="OKE474" s="340"/>
      <c r="OKF474" s="340"/>
      <c r="OKG474" s="340"/>
      <c r="OKH474" s="340"/>
      <c r="OKI474" s="340"/>
      <c r="OKJ474" s="340"/>
      <c r="OKK474" s="340"/>
      <c r="OKL474" s="340"/>
      <c r="OKM474" s="340"/>
      <c r="OKN474" s="340"/>
      <c r="OKO474" s="340"/>
      <c r="OKP474" s="340"/>
      <c r="OKQ474" s="340"/>
      <c r="OKR474" s="340"/>
      <c r="OKS474" s="340"/>
      <c r="OKT474" s="340"/>
      <c r="OKU474" s="340"/>
      <c r="OKV474" s="340"/>
      <c r="OKW474" s="340"/>
      <c r="OKX474" s="340"/>
      <c r="OKY474" s="340"/>
      <c r="OKZ474" s="340"/>
      <c r="OLA474" s="340"/>
      <c r="OLB474" s="340"/>
      <c r="OLC474" s="340"/>
      <c r="OLD474" s="340"/>
      <c r="OLE474" s="340"/>
      <c r="OLF474" s="340"/>
      <c r="OLG474" s="340"/>
      <c r="OLH474" s="340"/>
      <c r="OLI474" s="340"/>
      <c r="OLJ474" s="340"/>
      <c r="OLK474" s="340"/>
      <c r="OLL474" s="340"/>
      <c r="OLM474" s="340"/>
      <c r="OLN474" s="340"/>
      <c r="OLO474" s="340"/>
      <c r="OLP474" s="340"/>
      <c r="OLQ474" s="340"/>
      <c r="OLR474" s="340"/>
      <c r="OLS474" s="340"/>
      <c r="OLT474" s="340"/>
      <c r="OLU474" s="340"/>
      <c r="OLV474" s="340"/>
      <c r="OLW474" s="340"/>
      <c r="OLX474" s="340"/>
      <c r="OLY474" s="340"/>
      <c r="OLZ474" s="340"/>
      <c r="OMA474" s="340"/>
      <c r="OMB474" s="340"/>
      <c r="OMC474" s="340"/>
      <c r="OMD474" s="340"/>
      <c r="OME474" s="340"/>
      <c r="OMF474" s="340"/>
      <c r="OMG474" s="340"/>
      <c r="OMH474" s="340"/>
      <c r="OMI474" s="340"/>
      <c r="OMJ474" s="340"/>
      <c r="OMK474" s="340"/>
      <c r="OML474" s="340"/>
      <c r="OMM474" s="340"/>
      <c r="OMN474" s="340"/>
      <c r="OMO474" s="340"/>
      <c r="OMP474" s="340"/>
      <c r="OMQ474" s="340"/>
      <c r="OMR474" s="340"/>
      <c r="OMS474" s="340"/>
      <c r="OMT474" s="340"/>
      <c r="OMU474" s="340"/>
      <c r="OMV474" s="340"/>
      <c r="OMW474" s="340"/>
      <c r="OMX474" s="340"/>
      <c r="OMY474" s="340"/>
      <c r="OMZ474" s="340"/>
      <c r="ONA474" s="340"/>
      <c r="ONB474" s="340"/>
      <c r="ONC474" s="340"/>
      <c r="OND474" s="340"/>
      <c r="ONE474" s="340"/>
      <c r="ONF474" s="340"/>
      <c r="ONG474" s="340"/>
      <c r="ONH474" s="340"/>
      <c r="ONI474" s="340"/>
      <c r="ONJ474" s="340"/>
      <c r="ONK474" s="340"/>
      <c r="ONL474" s="340"/>
      <c r="ONM474" s="340"/>
      <c r="ONN474" s="340"/>
      <c r="ONO474" s="340"/>
      <c r="ONP474" s="340"/>
      <c r="ONQ474" s="340"/>
      <c r="ONR474" s="340"/>
      <c r="ONS474" s="340"/>
      <c r="ONT474" s="340"/>
      <c r="ONU474" s="340"/>
      <c r="ONV474" s="340"/>
      <c r="ONW474" s="340"/>
      <c r="ONX474" s="340"/>
      <c r="ONY474" s="340"/>
      <c r="ONZ474" s="340"/>
      <c r="OOA474" s="340"/>
      <c r="OOB474" s="340"/>
      <c r="OOC474" s="340"/>
      <c r="OOD474" s="340"/>
      <c r="OOE474" s="340"/>
      <c r="OOF474" s="340"/>
      <c r="OOG474" s="340"/>
      <c r="OOH474" s="340"/>
      <c r="OOI474" s="340"/>
      <c r="OOJ474" s="340"/>
      <c r="OOK474" s="340"/>
      <c r="OOL474" s="340"/>
      <c r="OOM474" s="340"/>
      <c r="OON474" s="340"/>
      <c r="OOO474" s="340"/>
      <c r="OOP474" s="340"/>
      <c r="OOQ474" s="340"/>
      <c r="OOR474" s="340"/>
      <c r="OOS474" s="340"/>
      <c r="OOT474" s="340"/>
      <c r="OOU474" s="340"/>
      <c r="OOV474" s="340"/>
      <c r="OOW474" s="340"/>
      <c r="OOX474" s="340"/>
      <c r="OOY474" s="340"/>
      <c r="OOZ474" s="340"/>
      <c r="OPA474" s="340"/>
      <c r="OPB474" s="340"/>
      <c r="OPC474" s="340"/>
      <c r="OPD474" s="340"/>
      <c r="OPE474" s="340"/>
      <c r="OPF474" s="340"/>
      <c r="OPG474" s="340"/>
      <c r="OPH474" s="340"/>
      <c r="OPI474" s="340"/>
      <c r="OPJ474" s="340"/>
      <c r="OPK474" s="340"/>
      <c r="OPL474" s="340"/>
      <c r="OPM474" s="340"/>
      <c r="OPN474" s="340"/>
      <c r="OPO474" s="340"/>
      <c r="OPP474" s="340"/>
      <c r="OPQ474" s="340"/>
      <c r="OPR474" s="340"/>
      <c r="OPS474" s="340"/>
      <c r="OPT474" s="340"/>
      <c r="OPU474" s="340"/>
      <c r="OPV474" s="340"/>
      <c r="OPW474" s="340"/>
      <c r="OPX474" s="340"/>
      <c r="OPY474" s="340"/>
      <c r="OPZ474" s="340"/>
      <c r="OQA474" s="340"/>
      <c r="OQB474" s="340"/>
      <c r="OQC474" s="340"/>
      <c r="OQD474" s="340"/>
      <c r="OQE474" s="340"/>
      <c r="OQF474" s="340"/>
      <c r="OQG474" s="340"/>
      <c r="OQH474" s="340"/>
      <c r="OQI474" s="340"/>
      <c r="OQJ474" s="340"/>
      <c r="OQK474" s="340"/>
      <c r="OQL474" s="340"/>
      <c r="OQM474" s="340"/>
      <c r="OQN474" s="340"/>
      <c r="OQO474" s="340"/>
      <c r="OQP474" s="340"/>
      <c r="OQQ474" s="340"/>
      <c r="OQR474" s="340"/>
      <c r="OQS474" s="340"/>
      <c r="OQT474" s="340"/>
      <c r="OQU474" s="340"/>
      <c r="OQV474" s="340"/>
      <c r="OQW474" s="340"/>
      <c r="OQX474" s="340"/>
      <c r="OQY474" s="340"/>
      <c r="OQZ474" s="340"/>
      <c r="ORA474" s="340"/>
      <c r="ORB474" s="340"/>
      <c r="ORC474" s="340"/>
      <c r="ORD474" s="340"/>
      <c r="ORE474" s="340"/>
      <c r="ORF474" s="340"/>
      <c r="ORG474" s="340"/>
      <c r="ORH474" s="340"/>
      <c r="ORI474" s="340"/>
      <c r="ORJ474" s="340"/>
      <c r="ORK474" s="340"/>
      <c r="ORL474" s="340"/>
      <c r="ORM474" s="340"/>
      <c r="ORN474" s="340"/>
      <c r="ORO474" s="340"/>
      <c r="ORP474" s="340"/>
      <c r="ORQ474" s="340"/>
      <c r="ORR474" s="340"/>
      <c r="ORS474" s="340"/>
      <c r="ORT474" s="340"/>
      <c r="ORU474" s="340"/>
      <c r="ORV474" s="340"/>
      <c r="ORW474" s="340"/>
      <c r="ORX474" s="340"/>
      <c r="ORY474" s="340"/>
      <c r="ORZ474" s="340"/>
      <c r="OSA474" s="340"/>
      <c r="OSB474" s="340"/>
      <c r="OSC474" s="340"/>
      <c r="OSD474" s="340"/>
      <c r="OSE474" s="340"/>
      <c r="OSF474" s="340"/>
      <c r="OSG474" s="340"/>
      <c r="OSH474" s="340"/>
      <c r="OSI474" s="340"/>
      <c r="OSJ474" s="340"/>
      <c r="OSK474" s="340"/>
      <c r="OSL474" s="340"/>
      <c r="OSM474" s="340"/>
      <c r="OSN474" s="340"/>
      <c r="OSO474" s="340"/>
      <c r="OSP474" s="340"/>
      <c r="OSQ474" s="340"/>
      <c r="OSR474" s="340"/>
      <c r="OSS474" s="340"/>
      <c r="OST474" s="340"/>
      <c r="OSU474" s="340"/>
      <c r="OSV474" s="340"/>
      <c r="OSW474" s="340"/>
      <c r="OSX474" s="340"/>
      <c r="OSY474" s="340"/>
      <c r="OSZ474" s="340"/>
      <c r="OTA474" s="340"/>
      <c r="OTB474" s="340"/>
      <c r="OTC474" s="340"/>
      <c r="OTD474" s="340"/>
      <c r="OTE474" s="340"/>
      <c r="OTF474" s="340"/>
      <c r="OTG474" s="340"/>
      <c r="OTH474" s="340"/>
      <c r="OTI474" s="340"/>
      <c r="OTJ474" s="340"/>
      <c r="OTK474" s="340"/>
      <c r="OTL474" s="340"/>
      <c r="OTM474" s="340"/>
      <c r="OTN474" s="340"/>
      <c r="OTO474" s="340"/>
      <c r="OTP474" s="340"/>
      <c r="OTQ474" s="340"/>
      <c r="OTR474" s="340"/>
      <c r="OTS474" s="340"/>
      <c r="OTT474" s="340"/>
      <c r="OTU474" s="340"/>
      <c r="OTV474" s="340"/>
      <c r="OTW474" s="340"/>
      <c r="OTX474" s="340"/>
      <c r="OTY474" s="340"/>
      <c r="OTZ474" s="340"/>
      <c r="OUA474" s="340"/>
      <c r="OUB474" s="340"/>
      <c r="OUC474" s="340"/>
      <c r="OUD474" s="340"/>
      <c r="OUE474" s="340"/>
      <c r="OUF474" s="340"/>
      <c r="OUG474" s="340"/>
      <c r="OUH474" s="340"/>
      <c r="OUI474" s="340"/>
      <c r="OUJ474" s="340"/>
      <c r="OUK474" s="340"/>
      <c r="OUL474" s="340"/>
      <c r="OUM474" s="340"/>
      <c r="OUN474" s="340"/>
      <c r="OUO474" s="340"/>
      <c r="OUP474" s="340"/>
      <c r="OUQ474" s="340"/>
      <c r="OUR474" s="340"/>
      <c r="OUS474" s="340"/>
      <c r="OUT474" s="340"/>
      <c r="OUU474" s="340"/>
      <c r="OUV474" s="340"/>
      <c r="OUW474" s="340"/>
      <c r="OUX474" s="340"/>
      <c r="OUY474" s="340"/>
      <c r="OUZ474" s="340"/>
      <c r="OVA474" s="340"/>
      <c r="OVB474" s="340"/>
      <c r="OVC474" s="340"/>
      <c r="OVD474" s="340"/>
      <c r="OVE474" s="340"/>
      <c r="OVF474" s="340"/>
      <c r="OVG474" s="340"/>
      <c r="OVH474" s="340"/>
      <c r="OVI474" s="340"/>
      <c r="OVJ474" s="340"/>
      <c r="OVK474" s="340"/>
      <c r="OVL474" s="340"/>
      <c r="OVM474" s="340"/>
      <c r="OVN474" s="340"/>
      <c r="OVO474" s="340"/>
      <c r="OVP474" s="340"/>
      <c r="OVQ474" s="340"/>
      <c r="OVR474" s="340"/>
      <c r="OVS474" s="340"/>
      <c r="OVT474" s="340"/>
      <c r="OVU474" s="340"/>
      <c r="OVV474" s="340"/>
      <c r="OVW474" s="340"/>
      <c r="OVX474" s="340"/>
      <c r="OVY474" s="340"/>
      <c r="OVZ474" s="340"/>
      <c r="OWA474" s="340"/>
      <c r="OWB474" s="340"/>
      <c r="OWC474" s="340"/>
      <c r="OWD474" s="340"/>
      <c r="OWE474" s="340"/>
      <c r="OWF474" s="340"/>
      <c r="OWG474" s="340"/>
      <c r="OWH474" s="340"/>
      <c r="OWI474" s="340"/>
      <c r="OWJ474" s="340"/>
      <c r="OWK474" s="340"/>
      <c r="OWL474" s="340"/>
      <c r="OWM474" s="340"/>
      <c r="OWN474" s="340"/>
      <c r="OWO474" s="340"/>
      <c r="OWP474" s="340"/>
      <c r="OWQ474" s="340"/>
      <c r="OWR474" s="340"/>
      <c r="OWS474" s="340"/>
      <c r="OWT474" s="340"/>
      <c r="OWU474" s="340"/>
      <c r="OWV474" s="340"/>
      <c r="OWW474" s="340"/>
      <c r="OWX474" s="340"/>
      <c r="OWY474" s="340"/>
      <c r="OWZ474" s="340"/>
      <c r="OXA474" s="340"/>
      <c r="OXB474" s="340"/>
      <c r="OXC474" s="340"/>
      <c r="OXD474" s="340"/>
      <c r="OXE474" s="340"/>
      <c r="OXF474" s="340"/>
      <c r="OXG474" s="340"/>
      <c r="OXH474" s="340"/>
      <c r="OXI474" s="340"/>
      <c r="OXJ474" s="340"/>
      <c r="OXK474" s="340"/>
      <c r="OXL474" s="340"/>
      <c r="OXM474" s="340"/>
      <c r="OXN474" s="340"/>
      <c r="OXO474" s="340"/>
      <c r="OXP474" s="340"/>
      <c r="OXQ474" s="340"/>
      <c r="OXR474" s="340"/>
      <c r="OXS474" s="340"/>
      <c r="OXT474" s="340"/>
      <c r="OXU474" s="340"/>
      <c r="OXV474" s="340"/>
      <c r="OXW474" s="340"/>
      <c r="OXX474" s="340"/>
      <c r="OXY474" s="340"/>
      <c r="OXZ474" s="340"/>
      <c r="OYA474" s="340"/>
      <c r="OYB474" s="340"/>
      <c r="OYC474" s="340"/>
      <c r="OYD474" s="340"/>
      <c r="OYE474" s="340"/>
      <c r="OYF474" s="340"/>
      <c r="OYG474" s="340"/>
      <c r="OYH474" s="340"/>
      <c r="OYI474" s="340"/>
      <c r="OYJ474" s="340"/>
      <c r="OYK474" s="340"/>
      <c r="OYL474" s="340"/>
      <c r="OYM474" s="340"/>
      <c r="OYN474" s="340"/>
      <c r="OYO474" s="340"/>
      <c r="OYP474" s="340"/>
      <c r="OYQ474" s="340"/>
      <c r="OYR474" s="340"/>
      <c r="OYS474" s="340"/>
      <c r="OYT474" s="340"/>
      <c r="OYU474" s="340"/>
      <c r="OYV474" s="340"/>
      <c r="OYW474" s="340"/>
      <c r="OYX474" s="340"/>
      <c r="OYY474" s="340"/>
      <c r="OYZ474" s="340"/>
      <c r="OZA474" s="340"/>
      <c r="OZB474" s="340"/>
      <c r="OZC474" s="340"/>
      <c r="OZD474" s="340"/>
      <c r="OZE474" s="340"/>
      <c r="OZF474" s="340"/>
      <c r="OZG474" s="340"/>
      <c r="OZH474" s="340"/>
      <c r="OZI474" s="340"/>
      <c r="OZJ474" s="340"/>
      <c r="OZK474" s="340"/>
      <c r="OZL474" s="340"/>
      <c r="OZM474" s="340"/>
      <c r="OZN474" s="340"/>
      <c r="OZO474" s="340"/>
      <c r="OZP474" s="340"/>
      <c r="OZQ474" s="340"/>
      <c r="OZR474" s="340"/>
      <c r="OZS474" s="340"/>
      <c r="OZT474" s="340"/>
      <c r="OZU474" s="340"/>
      <c r="OZV474" s="340"/>
      <c r="OZW474" s="340"/>
      <c r="OZX474" s="340"/>
      <c r="OZY474" s="340"/>
      <c r="OZZ474" s="340"/>
      <c r="PAA474" s="340"/>
      <c r="PAB474" s="340"/>
      <c r="PAC474" s="340"/>
      <c r="PAD474" s="340"/>
      <c r="PAE474" s="340"/>
      <c r="PAF474" s="340"/>
      <c r="PAG474" s="340"/>
      <c r="PAH474" s="340"/>
      <c r="PAI474" s="340"/>
      <c r="PAJ474" s="340"/>
      <c r="PAK474" s="340"/>
      <c r="PAL474" s="340"/>
      <c r="PAM474" s="340"/>
      <c r="PAN474" s="340"/>
      <c r="PAO474" s="340"/>
      <c r="PAP474" s="340"/>
      <c r="PAQ474" s="340"/>
      <c r="PAR474" s="340"/>
      <c r="PAS474" s="340"/>
      <c r="PAT474" s="340"/>
      <c r="PAU474" s="340"/>
      <c r="PAV474" s="340"/>
      <c r="PAW474" s="340"/>
      <c r="PAX474" s="340"/>
      <c r="PAY474" s="340"/>
      <c r="PAZ474" s="340"/>
      <c r="PBA474" s="340"/>
      <c r="PBB474" s="340"/>
      <c r="PBC474" s="340"/>
      <c r="PBD474" s="340"/>
      <c r="PBE474" s="340"/>
      <c r="PBF474" s="340"/>
      <c r="PBG474" s="340"/>
      <c r="PBH474" s="340"/>
      <c r="PBI474" s="340"/>
      <c r="PBJ474" s="340"/>
      <c r="PBK474" s="340"/>
      <c r="PBL474" s="340"/>
      <c r="PBM474" s="340"/>
      <c r="PBN474" s="340"/>
      <c r="PBO474" s="340"/>
      <c r="PBP474" s="340"/>
      <c r="PBQ474" s="340"/>
      <c r="PBR474" s="340"/>
      <c r="PBS474" s="340"/>
      <c r="PBT474" s="340"/>
      <c r="PBU474" s="340"/>
      <c r="PBV474" s="340"/>
      <c r="PBW474" s="340"/>
      <c r="PBX474" s="340"/>
      <c r="PBY474" s="340"/>
      <c r="PBZ474" s="340"/>
      <c r="PCA474" s="340"/>
      <c r="PCB474" s="340"/>
      <c r="PCC474" s="340"/>
      <c r="PCD474" s="340"/>
      <c r="PCE474" s="340"/>
      <c r="PCF474" s="340"/>
      <c r="PCG474" s="340"/>
      <c r="PCH474" s="340"/>
      <c r="PCI474" s="340"/>
      <c r="PCJ474" s="340"/>
      <c r="PCK474" s="340"/>
      <c r="PCL474" s="340"/>
      <c r="PCM474" s="340"/>
      <c r="PCN474" s="340"/>
      <c r="PCO474" s="340"/>
      <c r="PCP474" s="340"/>
      <c r="PCQ474" s="340"/>
      <c r="PCR474" s="340"/>
      <c r="PCS474" s="340"/>
      <c r="PCT474" s="340"/>
      <c r="PCU474" s="340"/>
      <c r="PCV474" s="340"/>
      <c r="PCW474" s="340"/>
      <c r="PCX474" s="340"/>
      <c r="PCY474" s="340"/>
      <c r="PCZ474" s="340"/>
      <c r="PDA474" s="340"/>
      <c r="PDB474" s="340"/>
      <c r="PDC474" s="340"/>
      <c r="PDD474" s="340"/>
      <c r="PDE474" s="340"/>
      <c r="PDF474" s="340"/>
      <c r="PDG474" s="340"/>
      <c r="PDH474" s="340"/>
      <c r="PDI474" s="340"/>
      <c r="PDJ474" s="340"/>
      <c r="PDK474" s="340"/>
      <c r="PDL474" s="340"/>
      <c r="PDM474" s="340"/>
      <c r="PDN474" s="340"/>
      <c r="PDO474" s="340"/>
      <c r="PDP474" s="340"/>
      <c r="PDQ474" s="340"/>
      <c r="PDR474" s="340"/>
      <c r="PDS474" s="340"/>
      <c r="PDT474" s="340"/>
      <c r="PDU474" s="340"/>
      <c r="PDV474" s="340"/>
      <c r="PDW474" s="340"/>
      <c r="PDX474" s="340"/>
      <c r="PDY474" s="340"/>
      <c r="PDZ474" s="340"/>
      <c r="PEA474" s="340"/>
      <c r="PEB474" s="340"/>
      <c r="PEC474" s="340"/>
      <c r="PED474" s="340"/>
      <c r="PEE474" s="340"/>
      <c r="PEF474" s="340"/>
      <c r="PEG474" s="340"/>
      <c r="PEH474" s="340"/>
      <c r="PEI474" s="340"/>
      <c r="PEJ474" s="340"/>
      <c r="PEK474" s="340"/>
      <c r="PEL474" s="340"/>
      <c r="PEM474" s="340"/>
      <c r="PEN474" s="340"/>
      <c r="PEO474" s="340"/>
      <c r="PEP474" s="340"/>
      <c r="PEQ474" s="340"/>
      <c r="PER474" s="340"/>
      <c r="PES474" s="340"/>
      <c r="PET474" s="340"/>
      <c r="PEU474" s="340"/>
      <c r="PEV474" s="340"/>
      <c r="PEW474" s="340"/>
      <c r="PEX474" s="340"/>
      <c r="PEY474" s="340"/>
      <c r="PEZ474" s="340"/>
      <c r="PFA474" s="340"/>
      <c r="PFB474" s="340"/>
      <c r="PFC474" s="340"/>
      <c r="PFD474" s="340"/>
      <c r="PFE474" s="340"/>
      <c r="PFF474" s="340"/>
      <c r="PFG474" s="340"/>
      <c r="PFH474" s="340"/>
      <c r="PFI474" s="340"/>
      <c r="PFJ474" s="340"/>
      <c r="PFK474" s="340"/>
      <c r="PFL474" s="340"/>
      <c r="PFM474" s="340"/>
      <c r="PFN474" s="340"/>
      <c r="PFO474" s="340"/>
      <c r="PFP474" s="340"/>
      <c r="PFQ474" s="340"/>
      <c r="PFR474" s="340"/>
      <c r="PFS474" s="340"/>
      <c r="PFT474" s="340"/>
      <c r="PFU474" s="340"/>
      <c r="PFV474" s="340"/>
      <c r="PFW474" s="340"/>
      <c r="PFX474" s="340"/>
      <c r="PFY474" s="340"/>
      <c r="PFZ474" s="340"/>
      <c r="PGA474" s="340"/>
      <c r="PGB474" s="340"/>
      <c r="PGC474" s="340"/>
      <c r="PGD474" s="340"/>
      <c r="PGE474" s="340"/>
      <c r="PGF474" s="340"/>
      <c r="PGG474" s="340"/>
      <c r="PGH474" s="340"/>
      <c r="PGI474" s="340"/>
      <c r="PGJ474" s="340"/>
      <c r="PGK474" s="340"/>
      <c r="PGL474" s="340"/>
      <c r="PGM474" s="340"/>
      <c r="PGN474" s="340"/>
      <c r="PGO474" s="340"/>
      <c r="PGP474" s="340"/>
      <c r="PGQ474" s="340"/>
      <c r="PGR474" s="340"/>
      <c r="PGS474" s="340"/>
      <c r="PGT474" s="340"/>
      <c r="PGU474" s="340"/>
      <c r="PGV474" s="340"/>
      <c r="PGW474" s="340"/>
      <c r="PGX474" s="340"/>
      <c r="PGY474" s="340"/>
      <c r="PGZ474" s="340"/>
      <c r="PHA474" s="340"/>
      <c r="PHB474" s="340"/>
      <c r="PHC474" s="340"/>
      <c r="PHD474" s="340"/>
      <c r="PHE474" s="340"/>
      <c r="PHF474" s="340"/>
      <c r="PHG474" s="340"/>
      <c r="PHH474" s="340"/>
      <c r="PHI474" s="340"/>
      <c r="PHJ474" s="340"/>
      <c r="PHK474" s="340"/>
      <c r="PHL474" s="340"/>
      <c r="PHM474" s="340"/>
      <c r="PHN474" s="340"/>
      <c r="PHO474" s="340"/>
      <c r="PHP474" s="340"/>
      <c r="PHQ474" s="340"/>
      <c r="PHR474" s="340"/>
      <c r="PHS474" s="340"/>
      <c r="PHT474" s="340"/>
      <c r="PHU474" s="340"/>
      <c r="PHV474" s="340"/>
      <c r="PHW474" s="340"/>
      <c r="PHX474" s="340"/>
      <c r="PHY474" s="340"/>
      <c r="PHZ474" s="340"/>
      <c r="PIA474" s="340"/>
      <c r="PIB474" s="340"/>
      <c r="PIC474" s="340"/>
      <c r="PID474" s="340"/>
      <c r="PIE474" s="340"/>
      <c r="PIF474" s="340"/>
      <c r="PIG474" s="340"/>
      <c r="PIH474" s="340"/>
      <c r="PII474" s="340"/>
      <c r="PIJ474" s="340"/>
      <c r="PIK474" s="340"/>
      <c r="PIL474" s="340"/>
      <c r="PIM474" s="340"/>
      <c r="PIN474" s="340"/>
      <c r="PIO474" s="340"/>
      <c r="PIP474" s="340"/>
      <c r="PIQ474" s="340"/>
      <c r="PIR474" s="340"/>
      <c r="PIS474" s="340"/>
      <c r="PIT474" s="340"/>
      <c r="PIU474" s="340"/>
      <c r="PIV474" s="340"/>
      <c r="PIW474" s="340"/>
      <c r="PIX474" s="340"/>
      <c r="PIY474" s="340"/>
      <c r="PIZ474" s="340"/>
      <c r="PJA474" s="340"/>
      <c r="PJB474" s="340"/>
      <c r="PJC474" s="340"/>
      <c r="PJD474" s="340"/>
      <c r="PJE474" s="340"/>
      <c r="PJF474" s="340"/>
      <c r="PJG474" s="340"/>
      <c r="PJH474" s="340"/>
      <c r="PJI474" s="340"/>
      <c r="PJJ474" s="340"/>
      <c r="PJK474" s="340"/>
      <c r="PJL474" s="340"/>
      <c r="PJM474" s="340"/>
      <c r="PJN474" s="340"/>
      <c r="PJO474" s="340"/>
      <c r="PJP474" s="340"/>
      <c r="PJQ474" s="340"/>
      <c r="PJR474" s="340"/>
      <c r="PJS474" s="340"/>
      <c r="PJT474" s="340"/>
      <c r="PJU474" s="340"/>
      <c r="PJV474" s="340"/>
      <c r="PJW474" s="340"/>
      <c r="PJX474" s="340"/>
      <c r="PJY474" s="340"/>
      <c r="PJZ474" s="340"/>
      <c r="PKA474" s="340"/>
      <c r="PKB474" s="340"/>
      <c r="PKC474" s="340"/>
      <c r="PKD474" s="340"/>
      <c r="PKE474" s="340"/>
      <c r="PKF474" s="340"/>
      <c r="PKG474" s="340"/>
      <c r="PKH474" s="340"/>
      <c r="PKI474" s="340"/>
      <c r="PKJ474" s="340"/>
      <c r="PKK474" s="340"/>
      <c r="PKL474" s="340"/>
      <c r="PKM474" s="340"/>
      <c r="PKN474" s="340"/>
      <c r="PKO474" s="340"/>
      <c r="PKP474" s="340"/>
      <c r="PKQ474" s="340"/>
      <c r="PKR474" s="340"/>
      <c r="PKS474" s="340"/>
      <c r="PKT474" s="340"/>
      <c r="PKU474" s="340"/>
      <c r="PKV474" s="340"/>
      <c r="PKW474" s="340"/>
      <c r="PKX474" s="340"/>
      <c r="PKY474" s="340"/>
      <c r="PKZ474" s="340"/>
      <c r="PLA474" s="340"/>
      <c r="PLB474" s="340"/>
      <c r="PLC474" s="340"/>
      <c r="PLD474" s="340"/>
      <c r="PLE474" s="340"/>
      <c r="PLF474" s="340"/>
      <c r="PLG474" s="340"/>
      <c r="PLH474" s="340"/>
      <c r="PLI474" s="340"/>
      <c r="PLJ474" s="340"/>
      <c r="PLK474" s="340"/>
      <c r="PLL474" s="340"/>
      <c r="PLM474" s="340"/>
      <c r="PLN474" s="340"/>
      <c r="PLO474" s="340"/>
      <c r="PLP474" s="340"/>
      <c r="PLQ474" s="340"/>
      <c r="PLR474" s="340"/>
      <c r="PLS474" s="340"/>
      <c r="PLT474" s="340"/>
      <c r="PLU474" s="340"/>
      <c r="PLV474" s="340"/>
      <c r="PLW474" s="340"/>
      <c r="PLX474" s="340"/>
      <c r="PLY474" s="340"/>
      <c r="PLZ474" s="340"/>
      <c r="PMA474" s="340"/>
      <c r="PMB474" s="340"/>
      <c r="PMC474" s="340"/>
      <c r="PMD474" s="340"/>
      <c r="PME474" s="340"/>
      <c r="PMF474" s="340"/>
      <c r="PMG474" s="340"/>
      <c r="PMH474" s="340"/>
      <c r="PMI474" s="340"/>
      <c r="PMJ474" s="340"/>
      <c r="PMK474" s="340"/>
      <c r="PML474" s="340"/>
      <c r="PMM474" s="340"/>
      <c r="PMN474" s="340"/>
      <c r="PMO474" s="340"/>
      <c r="PMP474" s="340"/>
      <c r="PMQ474" s="340"/>
      <c r="PMR474" s="340"/>
      <c r="PMS474" s="340"/>
      <c r="PMT474" s="340"/>
      <c r="PMU474" s="340"/>
      <c r="PMV474" s="340"/>
      <c r="PMW474" s="340"/>
      <c r="PMX474" s="340"/>
      <c r="PMY474" s="340"/>
      <c r="PMZ474" s="340"/>
      <c r="PNA474" s="340"/>
      <c r="PNB474" s="340"/>
      <c r="PNC474" s="340"/>
      <c r="PND474" s="340"/>
      <c r="PNE474" s="340"/>
      <c r="PNF474" s="340"/>
      <c r="PNG474" s="340"/>
      <c r="PNH474" s="340"/>
      <c r="PNI474" s="340"/>
      <c r="PNJ474" s="340"/>
      <c r="PNK474" s="340"/>
      <c r="PNL474" s="340"/>
      <c r="PNM474" s="340"/>
      <c r="PNN474" s="340"/>
      <c r="PNO474" s="340"/>
      <c r="PNP474" s="340"/>
      <c r="PNQ474" s="340"/>
      <c r="PNR474" s="340"/>
      <c r="PNS474" s="340"/>
      <c r="PNT474" s="340"/>
      <c r="PNU474" s="340"/>
      <c r="PNV474" s="340"/>
      <c r="PNW474" s="340"/>
      <c r="PNX474" s="340"/>
      <c r="PNY474" s="340"/>
      <c r="PNZ474" s="340"/>
      <c r="POA474" s="340"/>
      <c r="POB474" s="340"/>
      <c r="POC474" s="340"/>
      <c r="POD474" s="340"/>
      <c r="POE474" s="340"/>
      <c r="POF474" s="340"/>
      <c r="POG474" s="340"/>
      <c r="POH474" s="340"/>
      <c r="POI474" s="340"/>
      <c r="POJ474" s="340"/>
      <c r="POK474" s="340"/>
      <c r="POL474" s="340"/>
      <c r="POM474" s="340"/>
      <c r="PON474" s="340"/>
      <c r="POO474" s="340"/>
      <c r="POP474" s="340"/>
      <c r="POQ474" s="340"/>
      <c r="POR474" s="340"/>
      <c r="POS474" s="340"/>
      <c r="POT474" s="340"/>
      <c r="POU474" s="340"/>
      <c r="POV474" s="340"/>
      <c r="POW474" s="340"/>
      <c r="POX474" s="340"/>
      <c r="POY474" s="340"/>
      <c r="POZ474" s="340"/>
      <c r="PPA474" s="340"/>
      <c r="PPB474" s="340"/>
      <c r="PPC474" s="340"/>
      <c r="PPD474" s="340"/>
      <c r="PPE474" s="340"/>
      <c r="PPF474" s="340"/>
      <c r="PPG474" s="340"/>
      <c r="PPH474" s="340"/>
      <c r="PPI474" s="340"/>
      <c r="PPJ474" s="340"/>
      <c r="PPK474" s="340"/>
      <c r="PPL474" s="340"/>
      <c r="PPM474" s="340"/>
      <c r="PPN474" s="340"/>
      <c r="PPO474" s="340"/>
      <c r="PPP474" s="340"/>
      <c r="PPQ474" s="340"/>
      <c r="PPR474" s="340"/>
      <c r="PPS474" s="340"/>
      <c r="PPT474" s="340"/>
      <c r="PPU474" s="340"/>
      <c r="PPV474" s="340"/>
      <c r="PPW474" s="340"/>
      <c r="PPX474" s="340"/>
      <c r="PPY474" s="340"/>
      <c r="PPZ474" s="340"/>
      <c r="PQA474" s="340"/>
      <c r="PQB474" s="340"/>
      <c r="PQC474" s="340"/>
      <c r="PQD474" s="340"/>
      <c r="PQE474" s="340"/>
      <c r="PQF474" s="340"/>
      <c r="PQG474" s="340"/>
      <c r="PQH474" s="340"/>
      <c r="PQI474" s="340"/>
      <c r="PQJ474" s="340"/>
      <c r="PQK474" s="340"/>
      <c r="PQL474" s="340"/>
      <c r="PQM474" s="340"/>
      <c r="PQN474" s="340"/>
      <c r="PQO474" s="340"/>
      <c r="PQP474" s="340"/>
      <c r="PQQ474" s="340"/>
      <c r="PQR474" s="340"/>
      <c r="PQS474" s="340"/>
      <c r="PQT474" s="340"/>
      <c r="PQU474" s="340"/>
      <c r="PQV474" s="340"/>
      <c r="PQW474" s="340"/>
      <c r="PQX474" s="340"/>
      <c r="PQY474" s="340"/>
      <c r="PQZ474" s="340"/>
      <c r="PRA474" s="340"/>
      <c r="PRB474" s="340"/>
      <c r="PRC474" s="340"/>
      <c r="PRD474" s="340"/>
      <c r="PRE474" s="340"/>
      <c r="PRF474" s="340"/>
      <c r="PRG474" s="340"/>
      <c r="PRH474" s="340"/>
      <c r="PRI474" s="340"/>
      <c r="PRJ474" s="340"/>
      <c r="PRK474" s="340"/>
      <c r="PRL474" s="340"/>
      <c r="PRM474" s="340"/>
      <c r="PRN474" s="340"/>
      <c r="PRO474" s="340"/>
      <c r="PRP474" s="340"/>
      <c r="PRQ474" s="340"/>
      <c r="PRR474" s="340"/>
      <c r="PRS474" s="340"/>
      <c r="PRT474" s="340"/>
      <c r="PRU474" s="340"/>
      <c r="PRV474" s="340"/>
      <c r="PRW474" s="340"/>
      <c r="PRX474" s="340"/>
      <c r="PRY474" s="340"/>
      <c r="PRZ474" s="340"/>
      <c r="PSA474" s="340"/>
      <c r="PSB474" s="340"/>
      <c r="PSC474" s="340"/>
      <c r="PSD474" s="340"/>
      <c r="PSE474" s="340"/>
      <c r="PSF474" s="340"/>
      <c r="PSG474" s="340"/>
      <c r="PSH474" s="340"/>
      <c r="PSI474" s="340"/>
      <c r="PSJ474" s="340"/>
      <c r="PSK474" s="340"/>
      <c r="PSL474" s="340"/>
      <c r="PSM474" s="340"/>
      <c r="PSN474" s="340"/>
      <c r="PSO474" s="340"/>
      <c r="PSP474" s="340"/>
      <c r="PSQ474" s="340"/>
      <c r="PSR474" s="340"/>
      <c r="PSS474" s="340"/>
      <c r="PST474" s="340"/>
      <c r="PSU474" s="340"/>
      <c r="PSV474" s="340"/>
      <c r="PSW474" s="340"/>
      <c r="PSX474" s="340"/>
      <c r="PSY474" s="340"/>
      <c r="PSZ474" s="340"/>
      <c r="PTA474" s="340"/>
      <c r="PTB474" s="340"/>
      <c r="PTC474" s="340"/>
      <c r="PTD474" s="340"/>
      <c r="PTE474" s="340"/>
      <c r="PTF474" s="340"/>
      <c r="PTG474" s="340"/>
      <c r="PTH474" s="340"/>
      <c r="PTI474" s="340"/>
      <c r="PTJ474" s="340"/>
      <c r="PTK474" s="340"/>
      <c r="PTL474" s="340"/>
      <c r="PTM474" s="340"/>
      <c r="PTN474" s="340"/>
      <c r="PTO474" s="340"/>
      <c r="PTP474" s="340"/>
      <c r="PTQ474" s="340"/>
      <c r="PTR474" s="340"/>
      <c r="PTS474" s="340"/>
      <c r="PTT474" s="340"/>
      <c r="PTU474" s="340"/>
      <c r="PTV474" s="340"/>
      <c r="PTW474" s="340"/>
      <c r="PTX474" s="340"/>
      <c r="PTY474" s="340"/>
      <c r="PTZ474" s="340"/>
      <c r="PUA474" s="340"/>
      <c r="PUB474" s="340"/>
      <c r="PUC474" s="340"/>
      <c r="PUD474" s="340"/>
      <c r="PUE474" s="340"/>
      <c r="PUF474" s="340"/>
      <c r="PUG474" s="340"/>
      <c r="PUH474" s="340"/>
      <c r="PUI474" s="340"/>
      <c r="PUJ474" s="340"/>
      <c r="PUK474" s="340"/>
      <c r="PUL474" s="340"/>
      <c r="PUM474" s="340"/>
      <c r="PUN474" s="340"/>
      <c r="PUO474" s="340"/>
      <c r="PUP474" s="340"/>
      <c r="PUQ474" s="340"/>
      <c r="PUR474" s="340"/>
      <c r="PUS474" s="340"/>
      <c r="PUT474" s="340"/>
      <c r="PUU474" s="340"/>
      <c r="PUV474" s="340"/>
      <c r="PUW474" s="340"/>
      <c r="PUX474" s="340"/>
      <c r="PUY474" s="340"/>
      <c r="PUZ474" s="340"/>
      <c r="PVA474" s="340"/>
      <c r="PVB474" s="340"/>
      <c r="PVC474" s="340"/>
      <c r="PVD474" s="340"/>
      <c r="PVE474" s="340"/>
      <c r="PVF474" s="340"/>
      <c r="PVG474" s="340"/>
      <c r="PVH474" s="340"/>
      <c r="PVI474" s="340"/>
      <c r="PVJ474" s="340"/>
      <c r="PVK474" s="340"/>
      <c r="PVL474" s="340"/>
      <c r="PVM474" s="340"/>
      <c r="PVN474" s="340"/>
      <c r="PVO474" s="340"/>
      <c r="PVP474" s="340"/>
      <c r="PVQ474" s="340"/>
      <c r="PVR474" s="340"/>
      <c r="PVS474" s="340"/>
      <c r="PVT474" s="340"/>
      <c r="PVU474" s="340"/>
      <c r="PVV474" s="340"/>
      <c r="PVW474" s="340"/>
      <c r="PVX474" s="340"/>
      <c r="PVY474" s="340"/>
      <c r="PVZ474" s="340"/>
      <c r="PWA474" s="340"/>
      <c r="PWB474" s="340"/>
      <c r="PWC474" s="340"/>
      <c r="PWD474" s="340"/>
      <c r="PWE474" s="340"/>
      <c r="PWF474" s="340"/>
      <c r="PWG474" s="340"/>
      <c r="PWH474" s="340"/>
      <c r="PWI474" s="340"/>
      <c r="PWJ474" s="340"/>
      <c r="PWK474" s="340"/>
      <c r="PWL474" s="340"/>
      <c r="PWM474" s="340"/>
      <c r="PWN474" s="340"/>
      <c r="PWO474" s="340"/>
      <c r="PWP474" s="340"/>
      <c r="PWQ474" s="340"/>
      <c r="PWR474" s="340"/>
      <c r="PWS474" s="340"/>
      <c r="PWT474" s="340"/>
      <c r="PWU474" s="340"/>
      <c r="PWV474" s="340"/>
      <c r="PWW474" s="340"/>
      <c r="PWX474" s="340"/>
      <c r="PWY474" s="340"/>
      <c r="PWZ474" s="340"/>
      <c r="PXA474" s="340"/>
      <c r="PXB474" s="340"/>
      <c r="PXC474" s="340"/>
      <c r="PXD474" s="340"/>
      <c r="PXE474" s="340"/>
      <c r="PXF474" s="340"/>
      <c r="PXG474" s="340"/>
      <c r="PXH474" s="340"/>
      <c r="PXI474" s="340"/>
      <c r="PXJ474" s="340"/>
      <c r="PXK474" s="340"/>
      <c r="PXL474" s="340"/>
      <c r="PXM474" s="340"/>
      <c r="PXN474" s="340"/>
      <c r="PXO474" s="340"/>
      <c r="PXP474" s="340"/>
      <c r="PXQ474" s="340"/>
      <c r="PXR474" s="340"/>
      <c r="PXS474" s="340"/>
      <c r="PXT474" s="340"/>
      <c r="PXU474" s="340"/>
      <c r="PXV474" s="340"/>
      <c r="PXW474" s="340"/>
      <c r="PXX474" s="340"/>
      <c r="PXY474" s="340"/>
      <c r="PXZ474" s="340"/>
      <c r="PYA474" s="340"/>
      <c r="PYB474" s="340"/>
      <c r="PYC474" s="340"/>
      <c r="PYD474" s="340"/>
      <c r="PYE474" s="340"/>
      <c r="PYF474" s="340"/>
      <c r="PYG474" s="340"/>
      <c r="PYH474" s="340"/>
      <c r="PYI474" s="340"/>
      <c r="PYJ474" s="340"/>
      <c r="PYK474" s="340"/>
      <c r="PYL474" s="340"/>
      <c r="PYM474" s="340"/>
      <c r="PYN474" s="340"/>
      <c r="PYO474" s="340"/>
      <c r="PYP474" s="340"/>
      <c r="PYQ474" s="340"/>
      <c r="PYR474" s="340"/>
      <c r="PYS474" s="340"/>
      <c r="PYT474" s="340"/>
      <c r="PYU474" s="340"/>
      <c r="PYV474" s="340"/>
      <c r="PYW474" s="340"/>
      <c r="PYX474" s="340"/>
      <c r="PYY474" s="340"/>
      <c r="PYZ474" s="340"/>
      <c r="PZA474" s="340"/>
      <c r="PZB474" s="340"/>
      <c r="PZC474" s="340"/>
      <c r="PZD474" s="340"/>
      <c r="PZE474" s="340"/>
      <c r="PZF474" s="340"/>
      <c r="PZG474" s="340"/>
      <c r="PZH474" s="340"/>
      <c r="PZI474" s="340"/>
      <c r="PZJ474" s="340"/>
      <c r="PZK474" s="340"/>
      <c r="PZL474" s="340"/>
      <c r="PZM474" s="340"/>
      <c r="PZN474" s="340"/>
      <c r="PZO474" s="340"/>
      <c r="PZP474" s="340"/>
      <c r="PZQ474" s="340"/>
      <c r="PZR474" s="340"/>
      <c r="PZS474" s="340"/>
      <c r="PZT474" s="340"/>
      <c r="PZU474" s="340"/>
      <c r="PZV474" s="340"/>
      <c r="PZW474" s="340"/>
      <c r="PZX474" s="340"/>
      <c r="PZY474" s="340"/>
      <c r="PZZ474" s="340"/>
      <c r="QAA474" s="340"/>
      <c r="QAB474" s="340"/>
      <c r="QAC474" s="340"/>
      <c r="QAD474" s="340"/>
      <c r="QAE474" s="340"/>
      <c r="QAF474" s="340"/>
      <c r="QAG474" s="340"/>
      <c r="QAH474" s="340"/>
      <c r="QAI474" s="340"/>
      <c r="QAJ474" s="340"/>
      <c r="QAK474" s="340"/>
      <c r="QAL474" s="340"/>
      <c r="QAM474" s="340"/>
      <c r="QAN474" s="340"/>
      <c r="QAO474" s="340"/>
      <c r="QAP474" s="340"/>
      <c r="QAQ474" s="340"/>
      <c r="QAR474" s="340"/>
      <c r="QAS474" s="340"/>
      <c r="QAT474" s="340"/>
      <c r="QAU474" s="340"/>
      <c r="QAV474" s="340"/>
      <c r="QAW474" s="340"/>
      <c r="QAX474" s="340"/>
      <c r="QAY474" s="340"/>
      <c r="QAZ474" s="340"/>
      <c r="QBA474" s="340"/>
      <c r="QBB474" s="340"/>
      <c r="QBC474" s="340"/>
      <c r="QBD474" s="340"/>
      <c r="QBE474" s="340"/>
      <c r="QBF474" s="340"/>
      <c r="QBG474" s="340"/>
      <c r="QBH474" s="340"/>
      <c r="QBI474" s="340"/>
      <c r="QBJ474" s="340"/>
      <c r="QBK474" s="340"/>
      <c r="QBL474" s="340"/>
      <c r="QBM474" s="340"/>
      <c r="QBN474" s="340"/>
      <c r="QBO474" s="340"/>
      <c r="QBP474" s="340"/>
      <c r="QBQ474" s="340"/>
      <c r="QBR474" s="340"/>
      <c r="QBS474" s="340"/>
      <c r="QBT474" s="340"/>
      <c r="QBU474" s="340"/>
      <c r="QBV474" s="340"/>
      <c r="QBW474" s="340"/>
      <c r="QBX474" s="340"/>
      <c r="QBY474" s="340"/>
      <c r="QBZ474" s="340"/>
      <c r="QCA474" s="340"/>
      <c r="QCB474" s="340"/>
      <c r="QCC474" s="340"/>
      <c r="QCD474" s="340"/>
      <c r="QCE474" s="340"/>
      <c r="QCF474" s="340"/>
      <c r="QCG474" s="340"/>
      <c r="QCH474" s="340"/>
      <c r="QCI474" s="340"/>
      <c r="QCJ474" s="340"/>
      <c r="QCK474" s="340"/>
      <c r="QCL474" s="340"/>
      <c r="QCM474" s="340"/>
      <c r="QCN474" s="340"/>
      <c r="QCO474" s="340"/>
      <c r="QCP474" s="340"/>
      <c r="QCQ474" s="340"/>
      <c r="QCR474" s="340"/>
      <c r="QCS474" s="340"/>
      <c r="QCT474" s="340"/>
      <c r="QCU474" s="340"/>
      <c r="QCV474" s="340"/>
      <c r="QCW474" s="340"/>
      <c r="QCX474" s="340"/>
      <c r="QCY474" s="340"/>
      <c r="QCZ474" s="340"/>
      <c r="QDA474" s="340"/>
      <c r="QDB474" s="340"/>
      <c r="QDC474" s="340"/>
      <c r="QDD474" s="340"/>
      <c r="QDE474" s="340"/>
      <c r="QDF474" s="340"/>
      <c r="QDG474" s="340"/>
      <c r="QDH474" s="340"/>
      <c r="QDI474" s="340"/>
      <c r="QDJ474" s="340"/>
      <c r="QDK474" s="340"/>
      <c r="QDL474" s="340"/>
      <c r="QDM474" s="340"/>
      <c r="QDN474" s="340"/>
      <c r="QDO474" s="340"/>
      <c r="QDP474" s="340"/>
      <c r="QDQ474" s="340"/>
      <c r="QDR474" s="340"/>
      <c r="QDS474" s="340"/>
      <c r="QDT474" s="340"/>
      <c r="QDU474" s="340"/>
      <c r="QDV474" s="340"/>
      <c r="QDW474" s="340"/>
      <c r="QDX474" s="340"/>
      <c r="QDY474" s="340"/>
      <c r="QDZ474" s="340"/>
      <c r="QEA474" s="340"/>
      <c r="QEB474" s="340"/>
      <c r="QEC474" s="340"/>
      <c r="QED474" s="340"/>
      <c r="QEE474" s="340"/>
      <c r="QEF474" s="340"/>
      <c r="QEG474" s="340"/>
      <c r="QEH474" s="340"/>
      <c r="QEI474" s="340"/>
      <c r="QEJ474" s="340"/>
      <c r="QEK474" s="340"/>
      <c r="QEL474" s="340"/>
      <c r="QEM474" s="340"/>
      <c r="QEN474" s="340"/>
      <c r="QEO474" s="340"/>
      <c r="QEP474" s="340"/>
      <c r="QEQ474" s="340"/>
      <c r="QER474" s="340"/>
      <c r="QES474" s="340"/>
      <c r="QET474" s="340"/>
      <c r="QEU474" s="340"/>
      <c r="QEV474" s="340"/>
      <c r="QEW474" s="340"/>
      <c r="QEX474" s="340"/>
      <c r="QEY474" s="340"/>
      <c r="QEZ474" s="340"/>
      <c r="QFA474" s="340"/>
      <c r="QFB474" s="340"/>
      <c r="QFC474" s="340"/>
      <c r="QFD474" s="340"/>
      <c r="QFE474" s="340"/>
      <c r="QFF474" s="340"/>
      <c r="QFG474" s="340"/>
      <c r="QFH474" s="340"/>
      <c r="QFI474" s="340"/>
      <c r="QFJ474" s="340"/>
      <c r="QFK474" s="340"/>
      <c r="QFL474" s="340"/>
      <c r="QFM474" s="340"/>
      <c r="QFN474" s="340"/>
      <c r="QFO474" s="340"/>
      <c r="QFP474" s="340"/>
      <c r="QFQ474" s="340"/>
      <c r="QFR474" s="340"/>
      <c r="QFS474" s="340"/>
      <c r="QFT474" s="340"/>
      <c r="QFU474" s="340"/>
      <c r="QFV474" s="340"/>
      <c r="QFW474" s="340"/>
      <c r="QFX474" s="340"/>
      <c r="QFY474" s="340"/>
      <c r="QFZ474" s="340"/>
      <c r="QGA474" s="340"/>
      <c r="QGB474" s="340"/>
      <c r="QGC474" s="340"/>
      <c r="QGD474" s="340"/>
      <c r="QGE474" s="340"/>
      <c r="QGF474" s="340"/>
      <c r="QGG474" s="340"/>
      <c r="QGH474" s="340"/>
      <c r="QGI474" s="340"/>
      <c r="QGJ474" s="340"/>
      <c r="QGK474" s="340"/>
      <c r="QGL474" s="340"/>
      <c r="QGM474" s="340"/>
      <c r="QGN474" s="340"/>
      <c r="QGO474" s="340"/>
      <c r="QGP474" s="340"/>
      <c r="QGQ474" s="340"/>
      <c r="QGR474" s="340"/>
      <c r="QGS474" s="340"/>
      <c r="QGT474" s="340"/>
      <c r="QGU474" s="340"/>
      <c r="QGV474" s="340"/>
      <c r="QGW474" s="340"/>
      <c r="QGX474" s="340"/>
      <c r="QGY474" s="340"/>
      <c r="QGZ474" s="340"/>
      <c r="QHA474" s="340"/>
      <c r="QHB474" s="340"/>
      <c r="QHC474" s="340"/>
      <c r="QHD474" s="340"/>
      <c r="QHE474" s="340"/>
      <c r="QHF474" s="340"/>
      <c r="QHG474" s="340"/>
      <c r="QHH474" s="340"/>
      <c r="QHI474" s="340"/>
      <c r="QHJ474" s="340"/>
      <c r="QHK474" s="340"/>
      <c r="QHL474" s="340"/>
      <c r="QHM474" s="340"/>
      <c r="QHN474" s="340"/>
      <c r="QHO474" s="340"/>
      <c r="QHP474" s="340"/>
      <c r="QHQ474" s="340"/>
      <c r="QHR474" s="340"/>
      <c r="QHS474" s="340"/>
      <c r="QHT474" s="340"/>
      <c r="QHU474" s="340"/>
      <c r="QHV474" s="340"/>
      <c r="QHW474" s="340"/>
      <c r="QHX474" s="340"/>
      <c r="QHY474" s="340"/>
      <c r="QHZ474" s="340"/>
      <c r="QIA474" s="340"/>
      <c r="QIB474" s="340"/>
      <c r="QIC474" s="340"/>
      <c r="QID474" s="340"/>
      <c r="QIE474" s="340"/>
      <c r="QIF474" s="340"/>
      <c r="QIG474" s="340"/>
      <c r="QIH474" s="340"/>
      <c r="QII474" s="340"/>
      <c r="QIJ474" s="340"/>
      <c r="QIK474" s="340"/>
      <c r="QIL474" s="340"/>
      <c r="QIM474" s="340"/>
      <c r="QIN474" s="340"/>
      <c r="QIO474" s="340"/>
      <c r="QIP474" s="340"/>
      <c r="QIQ474" s="340"/>
      <c r="QIR474" s="340"/>
      <c r="QIS474" s="340"/>
      <c r="QIT474" s="340"/>
      <c r="QIU474" s="340"/>
      <c r="QIV474" s="340"/>
      <c r="QIW474" s="340"/>
      <c r="QIX474" s="340"/>
      <c r="QIY474" s="340"/>
      <c r="QIZ474" s="340"/>
      <c r="QJA474" s="340"/>
      <c r="QJB474" s="340"/>
      <c r="QJC474" s="340"/>
      <c r="QJD474" s="340"/>
      <c r="QJE474" s="340"/>
      <c r="QJF474" s="340"/>
      <c r="QJG474" s="340"/>
      <c r="QJH474" s="340"/>
      <c r="QJI474" s="340"/>
      <c r="QJJ474" s="340"/>
      <c r="QJK474" s="340"/>
      <c r="QJL474" s="340"/>
      <c r="QJM474" s="340"/>
      <c r="QJN474" s="340"/>
      <c r="QJO474" s="340"/>
      <c r="QJP474" s="340"/>
      <c r="QJQ474" s="340"/>
      <c r="QJR474" s="340"/>
      <c r="QJS474" s="340"/>
      <c r="QJT474" s="340"/>
      <c r="QJU474" s="340"/>
      <c r="QJV474" s="340"/>
      <c r="QJW474" s="340"/>
      <c r="QJX474" s="340"/>
      <c r="QJY474" s="340"/>
      <c r="QJZ474" s="340"/>
      <c r="QKA474" s="340"/>
      <c r="QKB474" s="340"/>
      <c r="QKC474" s="340"/>
      <c r="QKD474" s="340"/>
      <c r="QKE474" s="340"/>
      <c r="QKF474" s="340"/>
      <c r="QKG474" s="340"/>
      <c r="QKH474" s="340"/>
      <c r="QKI474" s="340"/>
      <c r="QKJ474" s="340"/>
      <c r="QKK474" s="340"/>
      <c r="QKL474" s="340"/>
      <c r="QKM474" s="340"/>
      <c r="QKN474" s="340"/>
      <c r="QKO474" s="340"/>
      <c r="QKP474" s="340"/>
      <c r="QKQ474" s="340"/>
      <c r="QKR474" s="340"/>
      <c r="QKS474" s="340"/>
      <c r="QKT474" s="340"/>
      <c r="QKU474" s="340"/>
      <c r="QKV474" s="340"/>
      <c r="QKW474" s="340"/>
      <c r="QKX474" s="340"/>
      <c r="QKY474" s="340"/>
      <c r="QKZ474" s="340"/>
      <c r="QLA474" s="340"/>
      <c r="QLB474" s="340"/>
      <c r="QLC474" s="340"/>
      <c r="QLD474" s="340"/>
      <c r="QLE474" s="340"/>
      <c r="QLF474" s="340"/>
      <c r="QLG474" s="340"/>
      <c r="QLH474" s="340"/>
      <c r="QLI474" s="340"/>
      <c r="QLJ474" s="340"/>
      <c r="QLK474" s="340"/>
      <c r="QLL474" s="340"/>
      <c r="QLM474" s="340"/>
      <c r="QLN474" s="340"/>
      <c r="QLO474" s="340"/>
      <c r="QLP474" s="340"/>
      <c r="QLQ474" s="340"/>
      <c r="QLR474" s="340"/>
      <c r="QLS474" s="340"/>
      <c r="QLT474" s="340"/>
      <c r="QLU474" s="340"/>
      <c r="QLV474" s="340"/>
      <c r="QLW474" s="340"/>
      <c r="QLX474" s="340"/>
      <c r="QLY474" s="340"/>
      <c r="QLZ474" s="340"/>
      <c r="QMA474" s="340"/>
      <c r="QMB474" s="340"/>
      <c r="QMC474" s="340"/>
      <c r="QMD474" s="340"/>
      <c r="QME474" s="340"/>
      <c r="QMF474" s="340"/>
      <c r="QMG474" s="340"/>
      <c r="QMH474" s="340"/>
      <c r="QMI474" s="340"/>
      <c r="QMJ474" s="340"/>
      <c r="QMK474" s="340"/>
      <c r="QML474" s="340"/>
      <c r="QMM474" s="340"/>
      <c r="QMN474" s="340"/>
      <c r="QMO474" s="340"/>
      <c r="QMP474" s="340"/>
      <c r="QMQ474" s="340"/>
      <c r="QMR474" s="340"/>
      <c r="QMS474" s="340"/>
      <c r="QMT474" s="340"/>
      <c r="QMU474" s="340"/>
      <c r="QMV474" s="340"/>
      <c r="QMW474" s="340"/>
      <c r="QMX474" s="340"/>
      <c r="QMY474" s="340"/>
      <c r="QMZ474" s="340"/>
      <c r="QNA474" s="340"/>
      <c r="QNB474" s="340"/>
      <c r="QNC474" s="340"/>
      <c r="QND474" s="340"/>
      <c r="QNE474" s="340"/>
      <c r="QNF474" s="340"/>
      <c r="QNG474" s="340"/>
      <c r="QNH474" s="340"/>
      <c r="QNI474" s="340"/>
      <c r="QNJ474" s="340"/>
      <c r="QNK474" s="340"/>
      <c r="QNL474" s="340"/>
      <c r="QNM474" s="340"/>
      <c r="QNN474" s="340"/>
      <c r="QNO474" s="340"/>
      <c r="QNP474" s="340"/>
      <c r="QNQ474" s="340"/>
      <c r="QNR474" s="340"/>
      <c r="QNS474" s="340"/>
      <c r="QNT474" s="340"/>
      <c r="QNU474" s="340"/>
      <c r="QNV474" s="340"/>
      <c r="QNW474" s="340"/>
      <c r="QNX474" s="340"/>
      <c r="QNY474" s="340"/>
      <c r="QNZ474" s="340"/>
      <c r="QOA474" s="340"/>
      <c r="QOB474" s="340"/>
      <c r="QOC474" s="340"/>
      <c r="QOD474" s="340"/>
      <c r="QOE474" s="340"/>
      <c r="QOF474" s="340"/>
      <c r="QOG474" s="340"/>
      <c r="QOH474" s="340"/>
      <c r="QOI474" s="340"/>
      <c r="QOJ474" s="340"/>
      <c r="QOK474" s="340"/>
      <c r="QOL474" s="340"/>
      <c r="QOM474" s="340"/>
      <c r="QON474" s="340"/>
      <c r="QOO474" s="340"/>
      <c r="QOP474" s="340"/>
      <c r="QOQ474" s="340"/>
      <c r="QOR474" s="340"/>
      <c r="QOS474" s="340"/>
      <c r="QOT474" s="340"/>
      <c r="QOU474" s="340"/>
      <c r="QOV474" s="340"/>
      <c r="QOW474" s="340"/>
      <c r="QOX474" s="340"/>
      <c r="QOY474" s="340"/>
      <c r="QOZ474" s="340"/>
      <c r="QPA474" s="340"/>
      <c r="QPB474" s="340"/>
      <c r="QPC474" s="340"/>
      <c r="QPD474" s="340"/>
      <c r="QPE474" s="340"/>
      <c r="QPF474" s="340"/>
      <c r="QPG474" s="340"/>
      <c r="QPH474" s="340"/>
      <c r="QPI474" s="340"/>
      <c r="QPJ474" s="340"/>
      <c r="QPK474" s="340"/>
      <c r="QPL474" s="340"/>
      <c r="QPM474" s="340"/>
      <c r="QPN474" s="340"/>
      <c r="QPO474" s="340"/>
      <c r="QPP474" s="340"/>
      <c r="QPQ474" s="340"/>
      <c r="QPR474" s="340"/>
      <c r="QPS474" s="340"/>
      <c r="QPT474" s="340"/>
      <c r="QPU474" s="340"/>
      <c r="QPV474" s="340"/>
      <c r="QPW474" s="340"/>
      <c r="QPX474" s="340"/>
      <c r="QPY474" s="340"/>
      <c r="QPZ474" s="340"/>
      <c r="QQA474" s="340"/>
      <c r="QQB474" s="340"/>
      <c r="QQC474" s="340"/>
      <c r="QQD474" s="340"/>
      <c r="QQE474" s="340"/>
      <c r="QQF474" s="340"/>
      <c r="QQG474" s="340"/>
      <c r="QQH474" s="340"/>
      <c r="QQI474" s="340"/>
      <c r="QQJ474" s="340"/>
      <c r="QQK474" s="340"/>
      <c r="QQL474" s="340"/>
      <c r="QQM474" s="340"/>
      <c r="QQN474" s="340"/>
      <c r="QQO474" s="340"/>
      <c r="QQP474" s="340"/>
      <c r="QQQ474" s="340"/>
      <c r="QQR474" s="340"/>
      <c r="QQS474" s="340"/>
      <c r="QQT474" s="340"/>
      <c r="QQU474" s="340"/>
      <c r="QQV474" s="340"/>
      <c r="QQW474" s="340"/>
      <c r="QQX474" s="340"/>
      <c r="QQY474" s="340"/>
      <c r="QQZ474" s="340"/>
      <c r="QRA474" s="340"/>
      <c r="QRB474" s="340"/>
      <c r="QRC474" s="340"/>
      <c r="QRD474" s="340"/>
      <c r="QRE474" s="340"/>
      <c r="QRF474" s="340"/>
      <c r="QRG474" s="340"/>
      <c r="QRH474" s="340"/>
      <c r="QRI474" s="340"/>
      <c r="QRJ474" s="340"/>
      <c r="QRK474" s="340"/>
      <c r="QRL474" s="340"/>
      <c r="QRM474" s="340"/>
      <c r="QRN474" s="340"/>
      <c r="QRO474" s="340"/>
      <c r="QRP474" s="340"/>
      <c r="QRQ474" s="340"/>
      <c r="QRR474" s="340"/>
      <c r="QRS474" s="340"/>
      <c r="QRT474" s="340"/>
      <c r="QRU474" s="340"/>
      <c r="QRV474" s="340"/>
      <c r="QRW474" s="340"/>
      <c r="QRX474" s="340"/>
      <c r="QRY474" s="340"/>
      <c r="QRZ474" s="340"/>
      <c r="QSA474" s="340"/>
      <c r="QSB474" s="340"/>
      <c r="QSC474" s="340"/>
      <c r="QSD474" s="340"/>
      <c r="QSE474" s="340"/>
      <c r="QSF474" s="340"/>
      <c r="QSG474" s="340"/>
      <c r="QSH474" s="340"/>
      <c r="QSI474" s="340"/>
      <c r="QSJ474" s="340"/>
      <c r="QSK474" s="340"/>
      <c r="QSL474" s="340"/>
      <c r="QSM474" s="340"/>
      <c r="QSN474" s="340"/>
      <c r="QSO474" s="340"/>
      <c r="QSP474" s="340"/>
      <c r="QSQ474" s="340"/>
      <c r="QSR474" s="340"/>
      <c r="QSS474" s="340"/>
      <c r="QST474" s="340"/>
      <c r="QSU474" s="340"/>
      <c r="QSV474" s="340"/>
      <c r="QSW474" s="340"/>
      <c r="QSX474" s="340"/>
      <c r="QSY474" s="340"/>
      <c r="QSZ474" s="340"/>
      <c r="QTA474" s="340"/>
      <c r="QTB474" s="340"/>
      <c r="QTC474" s="340"/>
      <c r="QTD474" s="340"/>
      <c r="QTE474" s="340"/>
      <c r="QTF474" s="340"/>
      <c r="QTG474" s="340"/>
      <c r="QTH474" s="340"/>
      <c r="QTI474" s="340"/>
      <c r="QTJ474" s="340"/>
      <c r="QTK474" s="340"/>
      <c r="QTL474" s="340"/>
      <c r="QTM474" s="340"/>
      <c r="QTN474" s="340"/>
      <c r="QTO474" s="340"/>
      <c r="QTP474" s="340"/>
      <c r="QTQ474" s="340"/>
      <c r="QTR474" s="340"/>
      <c r="QTS474" s="340"/>
      <c r="QTT474" s="340"/>
      <c r="QTU474" s="340"/>
      <c r="QTV474" s="340"/>
      <c r="QTW474" s="340"/>
      <c r="QTX474" s="340"/>
      <c r="QTY474" s="340"/>
      <c r="QTZ474" s="340"/>
      <c r="QUA474" s="340"/>
      <c r="QUB474" s="340"/>
      <c r="QUC474" s="340"/>
      <c r="QUD474" s="340"/>
      <c r="QUE474" s="340"/>
      <c r="QUF474" s="340"/>
      <c r="QUG474" s="340"/>
      <c r="QUH474" s="340"/>
      <c r="QUI474" s="340"/>
      <c r="QUJ474" s="340"/>
      <c r="QUK474" s="340"/>
      <c r="QUL474" s="340"/>
      <c r="QUM474" s="340"/>
      <c r="QUN474" s="340"/>
      <c r="QUO474" s="340"/>
      <c r="QUP474" s="340"/>
      <c r="QUQ474" s="340"/>
      <c r="QUR474" s="340"/>
      <c r="QUS474" s="340"/>
      <c r="QUT474" s="340"/>
      <c r="QUU474" s="340"/>
      <c r="QUV474" s="340"/>
      <c r="QUW474" s="340"/>
      <c r="QUX474" s="340"/>
      <c r="QUY474" s="340"/>
      <c r="QUZ474" s="340"/>
      <c r="QVA474" s="340"/>
      <c r="QVB474" s="340"/>
      <c r="QVC474" s="340"/>
      <c r="QVD474" s="340"/>
      <c r="QVE474" s="340"/>
      <c r="QVF474" s="340"/>
      <c r="QVG474" s="340"/>
      <c r="QVH474" s="340"/>
      <c r="QVI474" s="340"/>
      <c r="QVJ474" s="340"/>
      <c r="QVK474" s="340"/>
      <c r="QVL474" s="340"/>
      <c r="QVM474" s="340"/>
      <c r="QVN474" s="340"/>
      <c r="QVO474" s="340"/>
      <c r="QVP474" s="340"/>
      <c r="QVQ474" s="340"/>
      <c r="QVR474" s="340"/>
      <c r="QVS474" s="340"/>
      <c r="QVT474" s="340"/>
      <c r="QVU474" s="340"/>
      <c r="QVV474" s="340"/>
      <c r="QVW474" s="340"/>
      <c r="QVX474" s="340"/>
      <c r="QVY474" s="340"/>
      <c r="QVZ474" s="340"/>
      <c r="QWA474" s="340"/>
      <c r="QWB474" s="340"/>
      <c r="QWC474" s="340"/>
      <c r="QWD474" s="340"/>
      <c r="QWE474" s="340"/>
      <c r="QWF474" s="340"/>
      <c r="QWG474" s="340"/>
      <c r="QWH474" s="340"/>
      <c r="QWI474" s="340"/>
      <c r="QWJ474" s="340"/>
      <c r="QWK474" s="340"/>
      <c r="QWL474" s="340"/>
      <c r="QWM474" s="340"/>
      <c r="QWN474" s="340"/>
      <c r="QWO474" s="340"/>
      <c r="QWP474" s="340"/>
      <c r="QWQ474" s="340"/>
      <c r="QWR474" s="340"/>
      <c r="QWS474" s="340"/>
      <c r="QWT474" s="340"/>
      <c r="QWU474" s="340"/>
      <c r="QWV474" s="340"/>
      <c r="QWW474" s="340"/>
      <c r="QWX474" s="340"/>
      <c r="QWY474" s="340"/>
      <c r="QWZ474" s="340"/>
      <c r="QXA474" s="340"/>
      <c r="QXB474" s="340"/>
      <c r="QXC474" s="340"/>
      <c r="QXD474" s="340"/>
      <c r="QXE474" s="340"/>
      <c r="QXF474" s="340"/>
      <c r="QXG474" s="340"/>
      <c r="QXH474" s="340"/>
      <c r="QXI474" s="340"/>
      <c r="QXJ474" s="340"/>
      <c r="QXK474" s="340"/>
      <c r="QXL474" s="340"/>
      <c r="QXM474" s="340"/>
      <c r="QXN474" s="340"/>
      <c r="QXO474" s="340"/>
      <c r="QXP474" s="340"/>
      <c r="QXQ474" s="340"/>
      <c r="QXR474" s="340"/>
      <c r="QXS474" s="340"/>
      <c r="QXT474" s="340"/>
      <c r="QXU474" s="340"/>
      <c r="QXV474" s="340"/>
      <c r="QXW474" s="340"/>
      <c r="QXX474" s="340"/>
      <c r="QXY474" s="340"/>
      <c r="QXZ474" s="340"/>
      <c r="QYA474" s="340"/>
      <c r="QYB474" s="340"/>
      <c r="QYC474" s="340"/>
      <c r="QYD474" s="340"/>
      <c r="QYE474" s="340"/>
      <c r="QYF474" s="340"/>
      <c r="QYG474" s="340"/>
      <c r="QYH474" s="340"/>
      <c r="QYI474" s="340"/>
      <c r="QYJ474" s="340"/>
      <c r="QYK474" s="340"/>
      <c r="QYL474" s="340"/>
      <c r="QYM474" s="340"/>
      <c r="QYN474" s="340"/>
      <c r="QYO474" s="340"/>
      <c r="QYP474" s="340"/>
      <c r="QYQ474" s="340"/>
      <c r="QYR474" s="340"/>
      <c r="QYS474" s="340"/>
      <c r="QYT474" s="340"/>
      <c r="QYU474" s="340"/>
      <c r="QYV474" s="340"/>
      <c r="QYW474" s="340"/>
      <c r="QYX474" s="340"/>
      <c r="QYY474" s="340"/>
      <c r="QYZ474" s="340"/>
      <c r="QZA474" s="340"/>
      <c r="QZB474" s="340"/>
      <c r="QZC474" s="340"/>
      <c r="QZD474" s="340"/>
      <c r="QZE474" s="340"/>
      <c r="QZF474" s="340"/>
      <c r="QZG474" s="340"/>
      <c r="QZH474" s="340"/>
      <c r="QZI474" s="340"/>
      <c r="QZJ474" s="340"/>
      <c r="QZK474" s="340"/>
      <c r="QZL474" s="340"/>
      <c r="QZM474" s="340"/>
      <c r="QZN474" s="340"/>
      <c r="QZO474" s="340"/>
      <c r="QZP474" s="340"/>
      <c r="QZQ474" s="340"/>
      <c r="QZR474" s="340"/>
      <c r="QZS474" s="340"/>
      <c r="QZT474" s="340"/>
      <c r="QZU474" s="340"/>
      <c r="QZV474" s="340"/>
      <c r="QZW474" s="340"/>
      <c r="QZX474" s="340"/>
      <c r="QZY474" s="340"/>
      <c r="QZZ474" s="340"/>
      <c r="RAA474" s="340"/>
      <c r="RAB474" s="340"/>
      <c r="RAC474" s="340"/>
      <c r="RAD474" s="340"/>
      <c r="RAE474" s="340"/>
      <c r="RAF474" s="340"/>
      <c r="RAG474" s="340"/>
      <c r="RAH474" s="340"/>
      <c r="RAI474" s="340"/>
      <c r="RAJ474" s="340"/>
      <c r="RAK474" s="340"/>
      <c r="RAL474" s="340"/>
      <c r="RAM474" s="340"/>
      <c r="RAN474" s="340"/>
      <c r="RAO474" s="340"/>
      <c r="RAP474" s="340"/>
      <c r="RAQ474" s="340"/>
      <c r="RAR474" s="340"/>
      <c r="RAS474" s="340"/>
      <c r="RAT474" s="340"/>
      <c r="RAU474" s="340"/>
      <c r="RAV474" s="340"/>
      <c r="RAW474" s="340"/>
      <c r="RAX474" s="340"/>
      <c r="RAY474" s="340"/>
      <c r="RAZ474" s="340"/>
      <c r="RBA474" s="340"/>
      <c r="RBB474" s="340"/>
      <c r="RBC474" s="340"/>
      <c r="RBD474" s="340"/>
      <c r="RBE474" s="340"/>
      <c r="RBF474" s="340"/>
      <c r="RBG474" s="340"/>
      <c r="RBH474" s="340"/>
      <c r="RBI474" s="340"/>
      <c r="RBJ474" s="340"/>
      <c r="RBK474" s="340"/>
      <c r="RBL474" s="340"/>
      <c r="RBM474" s="340"/>
      <c r="RBN474" s="340"/>
      <c r="RBO474" s="340"/>
      <c r="RBP474" s="340"/>
      <c r="RBQ474" s="340"/>
      <c r="RBR474" s="340"/>
      <c r="RBS474" s="340"/>
      <c r="RBT474" s="340"/>
      <c r="RBU474" s="340"/>
      <c r="RBV474" s="340"/>
      <c r="RBW474" s="340"/>
      <c r="RBX474" s="340"/>
      <c r="RBY474" s="340"/>
      <c r="RBZ474" s="340"/>
      <c r="RCA474" s="340"/>
      <c r="RCB474" s="340"/>
      <c r="RCC474" s="340"/>
      <c r="RCD474" s="340"/>
      <c r="RCE474" s="340"/>
      <c r="RCF474" s="340"/>
      <c r="RCG474" s="340"/>
      <c r="RCH474" s="340"/>
      <c r="RCI474" s="340"/>
      <c r="RCJ474" s="340"/>
      <c r="RCK474" s="340"/>
      <c r="RCL474" s="340"/>
      <c r="RCM474" s="340"/>
      <c r="RCN474" s="340"/>
      <c r="RCO474" s="340"/>
      <c r="RCP474" s="340"/>
      <c r="RCQ474" s="340"/>
      <c r="RCR474" s="340"/>
      <c r="RCS474" s="340"/>
      <c r="RCT474" s="340"/>
      <c r="RCU474" s="340"/>
      <c r="RCV474" s="340"/>
      <c r="RCW474" s="340"/>
      <c r="RCX474" s="340"/>
      <c r="RCY474" s="340"/>
      <c r="RCZ474" s="340"/>
      <c r="RDA474" s="340"/>
      <c r="RDB474" s="340"/>
      <c r="RDC474" s="340"/>
      <c r="RDD474" s="340"/>
      <c r="RDE474" s="340"/>
      <c r="RDF474" s="340"/>
      <c r="RDG474" s="340"/>
      <c r="RDH474" s="340"/>
      <c r="RDI474" s="340"/>
      <c r="RDJ474" s="340"/>
      <c r="RDK474" s="340"/>
      <c r="RDL474" s="340"/>
      <c r="RDM474" s="340"/>
      <c r="RDN474" s="340"/>
      <c r="RDO474" s="340"/>
      <c r="RDP474" s="340"/>
      <c r="RDQ474" s="340"/>
      <c r="RDR474" s="340"/>
      <c r="RDS474" s="340"/>
      <c r="RDT474" s="340"/>
      <c r="RDU474" s="340"/>
      <c r="RDV474" s="340"/>
      <c r="RDW474" s="340"/>
      <c r="RDX474" s="340"/>
      <c r="RDY474" s="340"/>
      <c r="RDZ474" s="340"/>
      <c r="REA474" s="340"/>
      <c r="REB474" s="340"/>
      <c r="REC474" s="340"/>
      <c r="RED474" s="340"/>
      <c r="REE474" s="340"/>
      <c r="REF474" s="340"/>
      <c r="REG474" s="340"/>
      <c r="REH474" s="340"/>
      <c r="REI474" s="340"/>
      <c r="REJ474" s="340"/>
      <c r="REK474" s="340"/>
      <c r="REL474" s="340"/>
      <c r="REM474" s="340"/>
      <c r="REN474" s="340"/>
      <c r="REO474" s="340"/>
      <c r="REP474" s="340"/>
      <c r="REQ474" s="340"/>
      <c r="RER474" s="340"/>
      <c r="RES474" s="340"/>
      <c r="RET474" s="340"/>
      <c r="REU474" s="340"/>
      <c r="REV474" s="340"/>
      <c r="REW474" s="340"/>
      <c r="REX474" s="340"/>
      <c r="REY474" s="340"/>
      <c r="REZ474" s="340"/>
      <c r="RFA474" s="340"/>
      <c r="RFB474" s="340"/>
      <c r="RFC474" s="340"/>
      <c r="RFD474" s="340"/>
      <c r="RFE474" s="340"/>
      <c r="RFF474" s="340"/>
      <c r="RFG474" s="340"/>
      <c r="RFH474" s="340"/>
      <c r="RFI474" s="340"/>
      <c r="RFJ474" s="340"/>
      <c r="RFK474" s="340"/>
      <c r="RFL474" s="340"/>
      <c r="RFM474" s="340"/>
      <c r="RFN474" s="340"/>
      <c r="RFO474" s="340"/>
      <c r="RFP474" s="340"/>
      <c r="RFQ474" s="340"/>
      <c r="RFR474" s="340"/>
      <c r="RFS474" s="340"/>
      <c r="RFT474" s="340"/>
      <c r="RFU474" s="340"/>
      <c r="RFV474" s="340"/>
      <c r="RFW474" s="340"/>
      <c r="RFX474" s="340"/>
      <c r="RFY474" s="340"/>
      <c r="RFZ474" s="340"/>
      <c r="RGA474" s="340"/>
      <c r="RGB474" s="340"/>
      <c r="RGC474" s="340"/>
      <c r="RGD474" s="340"/>
      <c r="RGE474" s="340"/>
      <c r="RGF474" s="340"/>
      <c r="RGG474" s="340"/>
      <c r="RGH474" s="340"/>
      <c r="RGI474" s="340"/>
      <c r="RGJ474" s="340"/>
      <c r="RGK474" s="340"/>
      <c r="RGL474" s="340"/>
      <c r="RGM474" s="340"/>
      <c r="RGN474" s="340"/>
      <c r="RGO474" s="340"/>
      <c r="RGP474" s="340"/>
      <c r="RGQ474" s="340"/>
      <c r="RGR474" s="340"/>
      <c r="RGS474" s="340"/>
      <c r="RGT474" s="340"/>
      <c r="RGU474" s="340"/>
      <c r="RGV474" s="340"/>
      <c r="RGW474" s="340"/>
      <c r="RGX474" s="340"/>
      <c r="RGY474" s="340"/>
      <c r="RGZ474" s="340"/>
      <c r="RHA474" s="340"/>
      <c r="RHB474" s="340"/>
      <c r="RHC474" s="340"/>
      <c r="RHD474" s="340"/>
      <c r="RHE474" s="340"/>
      <c r="RHF474" s="340"/>
      <c r="RHG474" s="340"/>
      <c r="RHH474" s="340"/>
      <c r="RHI474" s="340"/>
      <c r="RHJ474" s="340"/>
      <c r="RHK474" s="340"/>
      <c r="RHL474" s="340"/>
      <c r="RHM474" s="340"/>
      <c r="RHN474" s="340"/>
      <c r="RHO474" s="340"/>
      <c r="RHP474" s="340"/>
      <c r="RHQ474" s="340"/>
      <c r="RHR474" s="340"/>
      <c r="RHS474" s="340"/>
      <c r="RHT474" s="340"/>
      <c r="RHU474" s="340"/>
      <c r="RHV474" s="340"/>
      <c r="RHW474" s="340"/>
      <c r="RHX474" s="340"/>
      <c r="RHY474" s="340"/>
      <c r="RHZ474" s="340"/>
      <c r="RIA474" s="340"/>
      <c r="RIB474" s="340"/>
      <c r="RIC474" s="340"/>
      <c r="RID474" s="340"/>
      <c r="RIE474" s="340"/>
      <c r="RIF474" s="340"/>
      <c r="RIG474" s="340"/>
      <c r="RIH474" s="340"/>
      <c r="RII474" s="340"/>
      <c r="RIJ474" s="340"/>
      <c r="RIK474" s="340"/>
      <c r="RIL474" s="340"/>
      <c r="RIM474" s="340"/>
      <c r="RIN474" s="340"/>
      <c r="RIO474" s="340"/>
      <c r="RIP474" s="340"/>
      <c r="RIQ474" s="340"/>
      <c r="RIR474" s="340"/>
      <c r="RIS474" s="340"/>
      <c r="RIT474" s="340"/>
      <c r="RIU474" s="340"/>
      <c r="RIV474" s="340"/>
      <c r="RIW474" s="340"/>
      <c r="RIX474" s="340"/>
      <c r="RIY474" s="340"/>
      <c r="RIZ474" s="340"/>
      <c r="RJA474" s="340"/>
      <c r="RJB474" s="340"/>
      <c r="RJC474" s="340"/>
      <c r="RJD474" s="340"/>
      <c r="RJE474" s="340"/>
      <c r="RJF474" s="340"/>
      <c r="RJG474" s="340"/>
      <c r="RJH474" s="340"/>
      <c r="RJI474" s="340"/>
      <c r="RJJ474" s="340"/>
      <c r="RJK474" s="340"/>
      <c r="RJL474" s="340"/>
      <c r="RJM474" s="340"/>
      <c r="RJN474" s="340"/>
      <c r="RJO474" s="340"/>
      <c r="RJP474" s="340"/>
      <c r="RJQ474" s="340"/>
      <c r="RJR474" s="340"/>
      <c r="RJS474" s="340"/>
      <c r="RJT474" s="340"/>
      <c r="RJU474" s="340"/>
      <c r="RJV474" s="340"/>
      <c r="RJW474" s="340"/>
      <c r="RJX474" s="340"/>
      <c r="RJY474" s="340"/>
      <c r="RJZ474" s="340"/>
      <c r="RKA474" s="340"/>
      <c r="RKB474" s="340"/>
      <c r="RKC474" s="340"/>
      <c r="RKD474" s="340"/>
      <c r="RKE474" s="340"/>
      <c r="RKF474" s="340"/>
      <c r="RKG474" s="340"/>
      <c r="RKH474" s="340"/>
      <c r="RKI474" s="340"/>
      <c r="RKJ474" s="340"/>
      <c r="RKK474" s="340"/>
      <c r="RKL474" s="340"/>
      <c r="RKM474" s="340"/>
      <c r="RKN474" s="340"/>
      <c r="RKO474" s="340"/>
      <c r="RKP474" s="340"/>
      <c r="RKQ474" s="340"/>
      <c r="RKR474" s="340"/>
      <c r="RKS474" s="340"/>
      <c r="RKT474" s="340"/>
      <c r="RKU474" s="340"/>
      <c r="RKV474" s="340"/>
      <c r="RKW474" s="340"/>
      <c r="RKX474" s="340"/>
      <c r="RKY474" s="340"/>
      <c r="RKZ474" s="340"/>
      <c r="RLA474" s="340"/>
      <c r="RLB474" s="340"/>
      <c r="RLC474" s="340"/>
      <c r="RLD474" s="340"/>
      <c r="RLE474" s="340"/>
      <c r="RLF474" s="340"/>
      <c r="RLG474" s="340"/>
      <c r="RLH474" s="340"/>
      <c r="RLI474" s="340"/>
      <c r="RLJ474" s="340"/>
      <c r="RLK474" s="340"/>
      <c r="RLL474" s="340"/>
      <c r="RLM474" s="340"/>
      <c r="RLN474" s="340"/>
      <c r="RLO474" s="340"/>
      <c r="RLP474" s="340"/>
      <c r="RLQ474" s="340"/>
      <c r="RLR474" s="340"/>
      <c r="RLS474" s="340"/>
      <c r="RLT474" s="340"/>
      <c r="RLU474" s="340"/>
      <c r="RLV474" s="340"/>
      <c r="RLW474" s="340"/>
      <c r="RLX474" s="340"/>
      <c r="RLY474" s="340"/>
      <c r="RLZ474" s="340"/>
      <c r="RMA474" s="340"/>
      <c r="RMB474" s="340"/>
      <c r="RMC474" s="340"/>
      <c r="RMD474" s="340"/>
      <c r="RME474" s="340"/>
      <c r="RMF474" s="340"/>
      <c r="RMG474" s="340"/>
      <c r="RMH474" s="340"/>
      <c r="RMI474" s="340"/>
      <c r="RMJ474" s="340"/>
      <c r="RMK474" s="340"/>
      <c r="RML474" s="340"/>
      <c r="RMM474" s="340"/>
      <c r="RMN474" s="340"/>
      <c r="RMO474" s="340"/>
      <c r="RMP474" s="340"/>
      <c r="RMQ474" s="340"/>
      <c r="RMR474" s="340"/>
      <c r="RMS474" s="340"/>
      <c r="RMT474" s="340"/>
      <c r="RMU474" s="340"/>
      <c r="RMV474" s="340"/>
      <c r="RMW474" s="340"/>
      <c r="RMX474" s="340"/>
      <c r="RMY474" s="340"/>
      <c r="RMZ474" s="340"/>
      <c r="RNA474" s="340"/>
      <c r="RNB474" s="340"/>
      <c r="RNC474" s="340"/>
      <c r="RND474" s="340"/>
      <c r="RNE474" s="340"/>
      <c r="RNF474" s="340"/>
      <c r="RNG474" s="340"/>
      <c r="RNH474" s="340"/>
      <c r="RNI474" s="340"/>
      <c r="RNJ474" s="340"/>
      <c r="RNK474" s="340"/>
      <c r="RNL474" s="340"/>
      <c r="RNM474" s="340"/>
      <c r="RNN474" s="340"/>
      <c r="RNO474" s="340"/>
      <c r="RNP474" s="340"/>
      <c r="RNQ474" s="340"/>
      <c r="RNR474" s="340"/>
      <c r="RNS474" s="340"/>
      <c r="RNT474" s="340"/>
      <c r="RNU474" s="340"/>
      <c r="RNV474" s="340"/>
      <c r="RNW474" s="340"/>
      <c r="RNX474" s="340"/>
      <c r="RNY474" s="340"/>
      <c r="RNZ474" s="340"/>
      <c r="ROA474" s="340"/>
      <c r="ROB474" s="340"/>
      <c r="ROC474" s="340"/>
      <c r="ROD474" s="340"/>
      <c r="ROE474" s="340"/>
      <c r="ROF474" s="340"/>
      <c r="ROG474" s="340"/>
      <c r="ROH474" s="340"/>
      <c r="ROI474" s="340"/>
      <c r="ROJ474" s="340"/>
      <c r="ROK474" s="340"/>
      <c r="ROL474" s="340"/>
      <c r="ROM474" s="340"/>
      <c r="RON474" s="340"/>
      <c r="ROO474" s="340"/>
      <c r="ROP474" s="340"/>
      <c r="ROQ474" s="340"/>
      <c r="ROR474" s="340"/>
      <c r="ROS474" s="340"/>
      <c r="ROT474" s="340"/>
      <c r="ROU474" s="340"/>
      <c r="ROV474" s="340"/>
      <c r="ROW474" s="340"/>
      <c r="ROX474" s="340"/>
      <c r="ROY474" s="340"/>
      <c r="ROZ474" s="340"/>
      <c r="RPA474" s="340"/>
      <c r="RPB474" s="340"/>
      <c r="RPC474" s="340"/>
      <c r="RPD474" s="340"/>
      <c r="RPE474" s="340"/>
      <c r="RPF474" s="340"/>
      <c r="RPG474" s="340"/>
      <c r="RPH474" s="340"/>
      <c r="RPI474" s="340"/>
      <c r="RPJ474" s="340"/>
      <c r="RPK474" s="340"/>
      <c r="RPL474" s="340"/>
      <c r="RPM474" s="340"/>
      <c r="RPN474" s="340"/>
      <c r="RPO474" s="340"/>
      <c r="RPP474" s="340"/>
      <c r="RPQ474" s="340"/>
      <c r="RPR474" s="340"/>
      <c r="RPS474" s="340"/>
      <c r="RPT474" s="340"/>
      <c r="RPU474" s="340"/>
      <c r="RPV474" s="340"/>
      <c r="RPW474" s="340"/>
      <c r="RPX474" s="340"/>
      <c r="RPY474" s="340"/>
      <c r="RPZ474" s="340"/>
      <c r="RQA474" s="340"/>
      <c r="RQB474" s="340"/>
      <c r="RQC474" s="340"/>
      <c r="RQD474" s="340"/>
      <c r="RQE474" s="340"/>
      <c r="RQF474" s="340"/>
      <c r="RQG474" s="340"/>
      <c r="RQH474" s="340"/>
      <c r="RQI474" s="340"/>
      <c r="RQJ474" s="340"/>
      <c r="RQK474" s="340"/>
      <c r="RQL474" s="340"/>
      <c r="RQM474" s="340"/>
      <c r="RQN474" s="340"/>
      <c r="RQO474" s="340"/>
      <c r="RQP474" s="340"/>
      <c r="RQQ474" s="340"/>
      <c r="RQR474" s="340"/>
      <c r="RQS474" s="340"/>
      <c r="RQT474" s="340"/>
      <c r="RQU474" s="340"/>
      <c r="RQV474" s="340"/>
      <c r="RQW474" s="340"/>
      <c r="RQX474" s="340"/>
      <c r="RQY474" s="340"/>
      <c r="RQZ474" s="340"/>
      <c r="RRA474" s="340"/>
      <c r="RRB474" s="340"/>
      <c r="RRC474" s="340"/>
      <c r="RRD474" s="340"/>
      <c r="RRE474" s="340"/>
      <c r="RRF474" s="340"/>
      <c r="RRG474" s="340"/>
      <c r="RRH474" s="340"/>
      <c r="RRI474" s="340"/>
      <c r="RRJ474" s="340"/>
      <c r="RRK474" s="340"/>
      <c r="RRL474" s="340"/>
      <c r="RRM474" s="340"/>
      <c r="RRN474" s="340"/>
      <c r="RRO474" s="340"/>
      <c r="RRP474" s="340"/>
      <c r="RRQ474" s="340"/>
      <c r="RRR474" s="340"/>
      <c r="RRS474" s="340"/>
      <c r="RRT474" s="340"/>
      <c r="RRU474" s="340"/>
      <c r="RRV474" s="340"/>
      <c r="RRW474" s="340"/>
      <c r="RRX474" s="340"/>
      <c r="RRY474" s="340"/>
      <c r="RRZ474" s="340"/>
      <c r="RSA474" s="340"/>
      <c r="RSB474" s="340"/>
      <c r="RSC474" s="340"/>
      <c r="RSD474" s="340"/>
      <c r="RSE474" s="340"/>
      <c r="RSF474" s="340"/>
      <c r="RSG474" s="340"/>
      <c r="RSH474" s="340"/>
      <c r="RSI474" s="340"/>
      <c r="RSJ474" s="340"/>
      <c r="RSK474" s="340"/>
      <c r="RSL474" s="340"/>
      <c r="RSM474" s="340"/>
      <c r="RSN474" s="340"/>
      <c r="RSO474" s="340"/>
      <c r="RSP474" s="340"/>
      <c r="RSQ474" s="340"/>
      <c r="RSR474" s="340"/>
      <c r="RSS474" s="340"/>
      <c r="RST474" s="340"/>
      <c r="RSU474" s="340"/>
      <c r="RSV474" s="340"/>
      <c r="RSW474" s="340"/>
      <c r="RSX474" s="340"/>
      <c r="RSY474" s="340"/>
      <c r="RSZ474" s="340"/>
      <c r="RTA474" s="340"/>
      <c r="RTB474" s="340"/>
      <c r="RTC474" s="340"/>
      <c r="RTD474" s="340"/>
      <c r="RTE474" s="340"/>
      <c r="RTF474" s="340"/>
      <c r="RTG474" s="340"/>
      <c r="RTH474" s="340"/>
      <c r="RTI474" s="340"/>
      <c r="RTJ474" s="340"/>
      <c r="RTK474" s="340"/>
      <c r="RTL474" s="340"/>
      <c r="RTM474" s="340"/>
      <c r="RTN474" s="340"/>
      <c r="RTO474" s="340"/>
      <c r="RTP474" s="340"/>
      <c r="RTQ474" s="340"/>
      <c r="RTR474" s="340"/>
      <c r="RTS474" s="340"/>
      <c r="RTT474" s="340"/>
      <c r="RTU474" s="340"/>
      <c r="RTV474" s="340"/>
      <c r="RTW474" s="340"/>
      <c r="RTX474" s="340"/>
      <c r="RTY474" s="340"/>
      <c r="RTZ474" s="340"/>
      <c r="RUA474" s="340"/>
      <c r="RUB474" s="340"/>
      <c r="RUC474" s="340"/>
      <c r="RUD474" s="340"/>
      <c r="RUE474" s="340"/>
      <c r="RUF474" s="340"/>
      <c r="RUG474" s="340"/>
      <c r="RUH474" s="340"/>
      <c r="RUI474" s="340"/>
      <c r="RUJ474" s="340"/>
      <c r="RUK474" s="340"/>
      <c r="RUL474" s="340"/>
      <c r="RUM474" s="340"/>
      <c r="RUN474" s="340"/>
      <c r="RUO474" s="340"/>
      <c r="RUP474" s="340"/>
      <c r="RUQ474" s="340"/>
      <c r="RUR474" s="340"/>
      <c r="RUS474" s="340"/>
      <c r="RUT474" s="340"/>
      <c r="RUU474" s="340"/>
      <c r="RUV474" s="340"/>
      <c r="RUW474" s="340"/>
      <c r="RUX474" s="340"/>
      <c r="RUY474" s="340"/>
      <c r="RUZ474" s="340"/>
      <c r="RVA474" s="340"/>
      <c r="RVB474" s="340"/>
      <c r="RVC474" s="340"/>
      <c r="RVD474" s="340"/>
      <c r="RVE474" s="340"/>
      <c r="RVF474" s="340"/>
      <c r="RVG474" s="340"/>
      <c r="RVH474" s="340"/>
      <c r="RVI474" s="340"/>
      <c r="RVJ474" s="340"/>
      <c r="RVK474" s="340"/>
      <c r="RVL474" s="340"/>
      <c r="RVM474" s="340"/>
      <c r="RVN474" s="340"/>
      <c r="RVO474" s="340"/>
      <c r="RVP474" s="340"/>
      <c r="RVQ474" s="340"/>
      <c r="RVR474" s="340"/>
      <c r="RVS474" s="340"/>
      <c r="RVT474" s="340"/>
      <c r="RVU474" s="340"/>
      <c r="RVV474" s="340"/>
      <c r="RVW474" s="340"/>
      <c r="RVX474" s="340"/>
      <c r="RVY474" s="340"/>
      <c r="RVZ474" s="340"/>
      <c r="RWA474" s="340"/>
      <c r="RWB474" s="340"/>
      <c r="RWC474" s="340"/>
      <c r="RWD474" s="340"/>
      <c r="RWE474" s="340"/>
      <c r="RWF474" s="340"/>
      <c r="RWG474" s="340"/>
      <c r="RWH474" s="340"/>
      <c r="RWI474" s="340"/>
      <c r="RWJ474" s="340"/>
      <c r="RWK474" s="340"/>
      <c r="RWL474" s="340"/>
      <c r="RWM474" s="340"/>
      <c r="RWN474" s="340"/>
      <c r="RWO474" s="340"/>
      <c r="RWP474" s="340"/>
      <c r="RWQ474" s="340"/>
      <c r="RWR474" s="340"/>
      <c r="RWS474" s="340"/>
      <c r="RWT474" s="340"/>
      <c r="RWU474" s="340"/>
      <c r="RWV474" s="340"/>
      <c r="RWW474" s="340"/>
      <c r="RWX474" s="340"/>
      <c r="RWY474" s="340"/>
      <c r="RWZ474" s="340"/>
      <c r="RXA474" s="340"/>
      <c r="RXB474" s="340"/>
      <c r="RXC474" s="340"/>
      <c r="RXD474" s="340"/>
      <c r="RXE474" s="340"/>
      <c r="RXF474" s="340"/>
      <c r="RXG474" s="340"/>
      <c r="RXH474" s="340"/>
      <c r="RXI474" s="340"/>
      <c r="RXJ474" s="340"/>
      <c r="RXK474" s="340"/>
      <c r="RXL474" s="340"/>
      <c r="RXM474" s="340"/>
      <c r="RXN474" s="340"/>
      <c r="RXO474" s="340"/>
      <c r="RXP474" s="340"/>
      <c r="RXQ474" s="340"/>
      <c r="RXR474" s="340"/>
      <c r="RXS474" s="340"/>
      <c r="RXT474" s="340"/>
      <c r="RXU474" s="340"/>
      <c r="RXV474" s="340"/>
      <c r="RXW474" s="340"/>
      <c r="RXX474" s="340"/>
      <c r="RXY474" s="340"/>
      <c r="RXZ474" s="340"/>
      <c r="RYA474" s="340"/>
      <c r="RYB474" s="340"/>
      <c r="RYC474" s="340"/>
      <c r="RYD474" s="340"/>
      <c r="RYE474" s="340"/>
      <c r="RYF474" s="340"/>
      <c r="RYG474" s="340"/>
      <c r="RYH474" s="340"/>
      <c r="RYI474" s="340"/>
      <c r="RYJ474" s="340"/>
      <c r="RYK474" s="340"/>
      <c r="RYL474" s="340"/>
      <c r="RYM474" s="340"/>
      <c r="RYN474" s="340"/>
      <c r="RYO474" s="340"/>
      <c r="RYP474" s="340"/>
      <c r="RYQ474" s="340"/>
      <c r="RYR474" s="340"/>
      <c r="RYS474" s="340"/>
      <c r="RYT474" s="340"/>
      <c r="RYU474" s="340"/>
      <c r="RYV474" s="340"/>
      <c r="RYW474" s="340"/>
      <c r="RYX474" s="340"/>
      <c r="RYY474" s="340"/>
      <c r="RYZ474" s="340"/>
      <c r="RZA474" s="340"/>
      <c r="RZB474" s="340"/>
      <c r="RZC474" s="340"/>
      <c r="RZD474" s="340"/>
      <c r="RZE474" s="340"/>
      <c r="RZF474" s="340"/>
      <c r="RZG474" s="340"/>
      <c r="RZH474" s="340"/>
      <c r="RZI474" s="340"/>
      <c r="RZJ474" s="340"/>
      <c r="RZK474" s="340"/>
      <c r="RZL474" s="340"/>
      <c r="RZM474" s="340"/>
      <c r="RZN474" s="340"/>
      <c r="RZO474" s="340"/>
      <c r="RZP474" s="340"/>
      <c r="RZQ474" s="340"/>
      <c r="RZR474" s="340"/>
      <c r="RZS474" s="340"/>
      <c r="RZT474" s="340"/>
      <c r="RZU474" s="340"/>
      <c r="RZV474" s="340"/>
      <c r="RZW474" s="340"/>
      <c r="RZX474" s="340"/>
      <c r="RZY474" s="340"/>
      <c r="RZZ474" s="340"/>
      <c r="SAA474" s="340"/>
      <c r="SAB474" s="340"/>
      <c r="SAC474" s="340"/>
      <c r="SAD474" s="340"/>
      <c r="SAE474" s="340"/>
      <c r="SAF474" s="340"/>
      <c r="SAG474" s="340"/>
      <c r="SAH474" s="340"/>
      <c r="SAI474" s="340"/>
      <c r="SAJ474" s="340"/>
      <c r="SAK474" s="340"/>
      <c r="SAL474" s="340"/>
      <c r="SAM474" s="340"/>
      <c r="SAN474" s="340"/>
      <c r="SAO474" s="340"/>
      <c r="SAP474" s="340"/>
      <c r="SAQ474" s="340"/>
      <c r="SAR474" s="340"/>
      <c r="SAS474" s="340"/>
      <c r="SAT474" s="340"/>
      <c r="SAU474" s="340"/>
      <c r="SAV474" s="340"/>
      <c r="SAW474" s="340"/>
      <c r="SAX474" s="340"/>
      <c r="SAY474" s="340"/>
      <c r="SAZ474" s="340"/>
      <c r="SBA474" s="340"/>
      <c r="SBB474" s="340"/>
      <c r="SBC474" s="340"/>
      <c r="SBD474" s="340"/>
      <c r="SBE474" s="340"/>
      <c r="SBF474" s="340"/>
      <c r="SBG474" s="340"/>
      <c r="SBH474" s="340"/>
      <c r="SBI474" s="340"/>
      <c r="SBJ474" s="340"/>
      <c r="SBK474" s="340"/>
      <c r="SBL474" s="340"/>
      <c r="SBM474" s="340"/>
      <c r="SBN474" s="340"/>
      <c r="SBO474" s="340"/>
      <c r="SBP474" s="340"/>
      <c r="SBQ474" s="340"/>
      <c r="SBR474" s="340"/>
      <c r="SBS474" s="340"/>
      <c r="SBT474" s="340"/>
      <c r="SBU474" s="340"/>
      <c r="SBV474" s="340"/>
      <c r="SBW474" s="340"/>
      <c r="SBX474" s="340"/>
      <c r="SBY474" s="340"/>
      <c r="SBZ474" s="340"/>
      <c r="SCA474" s="340"/>
      <c r="SCB474" s="340"/>
      <c r="SCC474" s="340"/>
      <c r="SCD474" s="340"/>
      <c r="SCE474" s="340"/>
      <c r="SCF474" s="340"/>
      <c r="SCG474" s="340"/>
      <c r="SCH474" s="340"/>
      <c r="SCI474" s="340"/>
      <c r="SCJ474" s="340"/>
      <c r="SCK474" s="340"/>
      <c r="SCL474" s="340"/>
      <c r="SCM474" s="340"/>
      <c r="SCN474" s="340"/>
      <c r="SCO474" s="340"/>
      <c r="SCP474" s="340"/>
      <c r="SCQ474" s="340"/>
      <c r="SCR474" s="340"/>
      <c r="SCS474" s="340"/>
      <c r="SCT474" s="340"/>
      <c r="SCU474" s="340"/>
      <c r="SCV474" s="340"/>
      <c r="SCW474" s="340"/>
      <c r="SCX474" s="340"/>
      <c r="SCY474" s="340"/>
      <c r="SCZ474" s="340"/>
      <c r="SDA474" s="340"/>
      <c r="SDB474" s="340"/>
      <c r="SDC474" s="340"/>
      <c r="SDD474" s="340"/>
      <c r="SDE474" s="340"/>
      <c r="SDF474" s="340"/>
      <c r="SDG474" s="340"/>
      <c r="SDH474" s="340"/>
      <c r="SDI474" s="340"/>
      <c r="SDJ474" s="340"/>
      <c r="SDK474" s="340"/>
      <c r="SDL474" s="340"/>
      <c r="SDM474" s="340"/>
      <c r="SDN474" s="340"/>
      <c r="SDO474" s="340"/>
      <c r="SDP474" s="340"/>
      <c r="SDQ474" s="340"/>
      <c r="SDR474" s="340"/>
      <c r="SDS474" s="340"/>
      <c r="SDT474" s="340"/>
      <c r="SDU474" s="340"/>
      <c r="SDV474" s="340"/>
      <c r="SDW474" s="340"/>
      <c r="SDX474" s="340"/>
      <c r="SDY474" s="340"/>
      <c r="SDZ474" s="340"/>
      <c r="SEA474" s="340"/>
      <c r="SEB474" s="340"/>
      <c r="SEC474" s="340"/>
      <c r="SED474" s="340"/>
      <c r="SEE474" s="340"/>
      <c r="SEF474" s="340"/>
      <c r="SEG474" s="340"/>
      <c r="SEH474" s="340"/>
      <c r="SEI474" s="340"/>
      <c r="SEJ474" s="340"/>
      <c r="SEK474" s="340"/>
      <c r="SEL474" s="340"/>
      <c r="SEM474" s="340"/>
      <c r="SEN474" s="340"/>
      <c r="SEO474" s="340"/>
      <c r="SEP474" s="340"/>
      <c r="SEQ474" s="340"/>
      <c r="SER474" s="340"/>
      <c r="SES474" s="340"/>
      <c r="SET474" s="340"/>
      <c r="SEU474" s="340"/>
      <c r="SEV474" s="340"/>
      <c r="SEW474" s="340"/>
      <c r="SEX474" s="340"/>
      <c r="SEY474" s="340"/>
      <c r="SEZ474" s="340"/>
      <c r="SFA474" s="340"/>
      <c r="SFB474" s="340"/>
      <c r="SFC474" s="340"/>
      <c r="SFD474" s="340"/>
      <c r="SFE474" s="340"/>
      <c r="SFF474" s="340"/>
      <c r="SFG474" s="340"/>
      <c r="SFH474" s="340"/>
      <c r="SFI474" s="340"/>
      <c r="SFJ474" s="340"/>
      <c r="SFK474" s="340"/>
      <c r="SFL474" s="340"/>
      <c r="SFM474" s="340"/>
      <c r="SFN474" s="340"/>
      <c r="SFO474" s="340"/>
      <c r="SFP474" s="340"/>
      <c r="SFQ474" s="340"/>
      <c r="SFR474" s="340"/>
      <c r="SFS474" s="340"/>
      <c r="SFT474" s="340"/>
      <c r="SFU474" s="340"/>
      <c r="SFV474" s="340"/>
      <c r="SFW474" s="340"/>
      <c r="SFX474" s="340"/>
      <c r="SFY474" s="340"/>
      <c r="SFZ474" s="340"/>
      <c r="SGA474" s="340"/>
      <c r="SGB474" s="340"/>
      <c r="SGC474" s="340"/>
      <c r="SGD474" s="340"/>
      <c r="SGE474" s="340"/>
      <c r="SGF474" s="340"/>
      <c r="SGG474" s="340"/>
      <c r="SGH474" s="340"/>
      <c r="SGI474" s="340"/>
      <c r="SGJ474" s="340"/>
      <c r="SGK474" s="340"/>
      <c r="SGL474" s="340"/>
      <c r="SGM474" s="340"/>
      <c r="SGN474" s="340"/>
      <c r="SGO474" s="340"/>
      <c r="SGP474" s="340"/>
      <c r="SGQ474" s="340"/>
      <c r="SGR474" s="340"/>
      <c r="SGS474" s="340"/>
      <c r="SGT474" s="340"/>
      <c r="SGU474" s="340"/>
      <c r="SGV474" s="340"/>
      <c r="SGW474" s="340"/>
      <c r="SGX474" s="340"/>
      <c r="SGY474" s="340"/>
      <c r="SGZ474" s="340"/>
      <c r="SHA474" s="340"/>
      <c r="SHB474" s="340"/>
      <c r="SHC474" s="340"/>
      <c r="SHD474" s="340"/>
      <c r="SHE474" s="340"/>
      <c r="SHF474" s="340"/>
      <c r="SHG474" s="340"/>
      <c r="SHH474" s="340"/>
      <c r="SHI474" s="340"/>
      <c r="SHJ474" s="340"/>
      <c r="SHK474" s="340"/>
      <c r="SHL474" s="340"/>
      <c r="SHM474" s="340"/>
      <c r="SHN474" s="340"/>
      <c r="SHO474" s="340"/>
      <c r="SHP474" s="340"/>
      <c r="SHQ474" s="340"/>
      <c r="SHR474" s="340"/>
      <c r="SHS474" s="340"/>
      <c r="SHT474" s="340"/>
      <c r="SHU474" s="340"/>
      <c r="SHV474" s="340"/>
      <c r="SHW474" s="340"/>
      <c r="SHX474" s="340"/>
      <c r="SHY474" s="340"/>
      <c r="SHZ474" s="340"/>
      <c r="SIA474" s="340"/>
      <c r="SIB474" s="340"/>
      <c r="SIC474" s="340"/>
      <c r="SID474" s="340"/>
      <c r="SIE474" s="340"/>
      <c r="SIF474" s="340"/>
      <c r="SIG474" s="340"/>
      <c r="SIH474" s="340"/>
      <c r="SII474" s="340"/>
      <c r="SIJ474" s="340"/>
      <c r="SIK474" s="340"/>
      <c r="SIL474" s="340"/>
      <c r="SIM474" s="340"/>
      <c r="SIN474" s="340"/>
      <c r="SIO474" s="340"/>
      <c r="SIP474" s="340"/>
      <c r="SIQ474" s="340"/>
      <c r="SIR474" s="340"/>
      <c r="SIS474" s="340"/>
      <c r="SIT474" s="340"/>
      <c r="SIU474" s="340"/>
      <c r="SIV474" s="340"/>
      <c r="SIW474" s="340"/>
      <c r="SIX474" s="340"/>
      <c r="SIY474" s="340"/>
      <c r="SIZ474" s="340"/>
      <c r="SJA474" s="340"/>
      <c r="SJB474" s="340"/>
      <c r="SJC474" s="340"/>
      <c r="SJD474" s="340"/>
      <c r="SJE474" s="340"/>
      <c r="SJF474" s="340"/>
      <c r="SJG474" s="340"/>
      <c r="SJH474" s="340"/>
      <c r="SJI474" s="340"/>
      <c r="SJJ474" s="340"/>
      <c r="SJK474" s="340"/>
      <c r="SJL474" s="340"/>
      <c r="SJM474" s="340"/>
      <c r="SJN474" s="340"/>
      <c r="SJO474" s="340"/>
      <c r="SJP474" s="340"/>
      <c r="SJQ474" s="340"/>
      <c r="SJR474" s="340"/>
      <c r="SJS474" s="340"/>
      <c r="SJT474" s="340"/>
      <c r="SJU474" s="340"/>
      <c r="SJV474" s="340"/>
      <c r="SJW474" s="340"/>
      <c r="SJX474" s="340"/>
      <c r="SJY474" s="340"/>
      <c r="SJZ474" s="340"/>
      <c r="SKA474" s="340"/>
      <c r="SKB474" s="340"/>
      <c r="SKC474" s="340"/>
      <c r="SKD474" s="340"/>
      <c r="SKE474" s="340"/>
      <c r="SKF474" s="340"/>
      <c r="SKG474" s="340"/>
      <c r="SKH474" s="340"/>
      <c r="SKI474" s="340"/>
      <c r="SKJ474" s="340"/>
      <c r="SKK474" s="340"/>
      <c r="SKL474" s="340"/>
      <c r="SKM474" s="340"/>
      <c r="SKN474" s="340"/>
      <c r="SKO474" s="340"/>
      <c r="SKP474" s="340"/>
      <c r="SKQ474" s="340"/>
      <c r="SKR474" s="340"/>
      <c r="SKS474" s="340"/>
      <c r="SKT474" s="340"/>
      <c r="SKU474" s="340"/>
      <c r="SKV474" s="340"/>
      <c r="SKW474" s="340"/>
      <c r="SKX474" s="340"/>
      <c r="SKY474" s="340"/>
      <c r="SKZ474" s="340"/>
      <c r="SLA474" s="340"/>
      <c r="SLB474" s="340"/>
      <c r="SLC474" s="340"/>
      <c r="SLD474" s="340"/>
      <c r="SLE474" s="340"/>
      <c r="SLF474" s="340"/>
      <c r="SLG474" s="340"/>
      <c r="SLH474" s="340"/>
      <c r="SLI474" s="340"/>
      <c r="SLJ474" s="340"/>
      <c r="SLK474" s="340"/>
      <c r="SLL474" s="340"/>
      <c r="SLM474" s="340"/>
      <c r="SLN474" s="340"/>
      <c r="SLO474" s="340"/>
      <c r="SLP474" s="340"/>
      <c r="SLQ474" s="340"/>
      <c r="SLR474" s="340"/>
      <c r="SLS474" s="340"/>
      <c r="SLT474" s="340"/>
      <c r="SLU474" s="340"/>
      <c r="SLV474" s="340"/>
      <c r="SLW474" s="340"/>
      <c r="SLX474" s="340"/>
      <c r="SLY474" s="340"/>
      <c r="SLZ474" s="340"/>
      <c r="SMA474" s="340"/>
      <c r="SMB474" s="340"/>
      <c r="SMC474" s="340"/>
      <c r="SMD474" s="340"/>
      <c r="SME474" s="340"/>
      <c r="SMF474" s="340"/>
      <c r="SMG474" s="340"/>
      <c r="SMH474" s="340"/>
      <c r="SMI474" s="340"/>
      <c r="SMJ474" s="340"/>
      <c r="SMK474" s="340"/>
      <c r="SML474" s="340"/>
      <c r="SMM474" s="340"/>
      <c r="SMN474" s="340"/>
      <c r="SMO474" s="340"/>
      <c r="SMP474" s="340"/>
      <c r="SMQ474" s="340"/>
      <c r="SMR474" s="340"/>
      <c r="SMS474" s="340"/>
      <c r="SMT474" s="340"/>
      <c r="SMU474" s="340"/>
      <c r="SMV474" s="340"/>
      <c r="SMW474" s="340"/>
      <c r="SMX474" s="340"/>
      <c r="SMY474" s="340"/>
      <c r="SMZ474" s="340"/>
      <c r="SNA474" s="340"/>
      <c r="SNB474" s="340"/>
      <c r="SNC474" s="340"/>
      <c r="SND474" s="340"/>
      <c r="SNE474" s="340"/>
      <c r="SNF474" s="340"/>
      <c r="SNG474" s="340"/>
      <c r="SNH474" s="340"/>
      <c r="SNI474" s="340"/>
      <c r="SNJ474" s="340"/>
      <c r="SNK474" s="340"/>
      <c r="SNL474" s="340"/>
      <c r="SNM474" s="340"/>
      <c r="SNN474" s="340"/>
      <c r="SNO474" s="340"/>
      <c r="SNP474" s="340"/>
      <c r="SNQ474" s="340"/>
      <c r="SNR474" s="340"/>
      <c r="SNS474" s="340"/>
      <c r="SNT474" s="340"/>
      <c r="SNU474" s="340"/>
      <c r="SNV474" s="340"/>
      <c r="SNW474" s="340"/>
      <c r="SNX474" s="340"/>
      <c r="SNY474" s="340"/>
      <c r="SNZ474" s="340"/>
      <c r="SOA474" s="340"/>
      <c r="SOB474" s="340"/>
      <c r="SOC474" s="340"/>
      <c r="SOD474" s="340"/>
      <c r="SOE474" s="340"/>
      <c r="SOF474" s="340"/>
      <c r="SOG474" s="340"/>
      <c r="SOH474" s="340"/>
      <c r="SOI474" s="340"/>
      <c r="SOJ474" s="340"/>
      <c r="SOK474" s="340"/>
      <c r="SOL474" s="340"/>
      <c r="SOM474" s="340"/>
      <c r="SON474" s="340"/>
      <c r="SOO474" s="340"/>
      <c r="SOP474" s="340"/>
      <c r="SOQ474" s="340"/>
      <c r="SOR474" s="340"/>
      <c r="SOS474" s="340"/>
      <c r="SOT474" s="340"/>
      <c r="SOU474" s="340"/>
      <c r="SOV474" s="340"/>
      <c r="SOW474" s="340"/>
      <c r="SOX474" s="340"/>
      <c r="SOY474" s="340"/>
      <c r="SOZ474" s="340"/>
      <c r="SPA474" s="340"/>
      <c r="SPB474" s="340"/>
      <c r="SPC474" s="340"/>
      <c r="SPD474" s="340"/>
      <c r="SPE474" s="340"/>
      <c r="SPF474" s="340"/>
      <c r="SPG474" s="340"/>
      <c r="SPH474" s="340"/>
      <c r="SPI474" s="340"/>
      <c r="SPJ474" s="340"/>
      <c r="SPK474" s="340"/>
      <c r="SPL474" s="340"/>
      <c r="SPM474" s="340"/>
      <c r="SPN474" s="340"/>
      <c r="SPO474" s="340"/>
      <c r="SPP474" s="340"/>
      <c r="SPQ474" s="340"/>
      <c r="SPR474" s="340"/>
      <c r="SPS474" s="340"/>
      <c r="SPT474" s="340"/>
      <c r="SPU474" s="340"/>
      <c r="SPV474" s="340"/>
      <c r="SPW474" s="340"/>
      <c r="SPX474" s="340"/>
      <c r="SPY474" s="340"/>
      <c r="SPZ474" s="340"/>
      <c r="SQA474" s="340"/>
      <c r="SQB474" s="340"/>
      <c r="SQC474" s="340"/>
      <c r="SQD474" s="340"/>
      <c r="SQE474" s="340"/>
      <c r="SQF474" s="340"/>
      <c r="SQG474" s="340"/>
      <c r="SQH474" s="340"/>
      <c r="SQI474" s="340"/>
      <c r="SQJ474" s="340"/>
      <c r="SQK474" s="340"/>
      <c r="SQL474" s="340"/>
      <c r="SQM474" s="340"/>
      <c r="SQN474" s="340"/>
      <c r="SQO474" s="340"/>
      <c r="SQP474" s="340"/>
      <c r="SQQ474" s="340"/>
      <c r="SQR474" s="340"/>
      <c r="SQS474" s="340"/>
      <c r="SQT474" s="340"/>
      <c r="SQU474" s="340"/>
      <c r="SQV474" s="340"/>
      <c r="SQW474" s="340"/>
      <c r="SQX474" s="340"/>
      <c r="SQY474" s="340"/>
      <c r="SQZ474" s="340"/>
      <c r="SRA474" s="340"/>
      <c r="SRB474" s="340"/>
      <c r="SRC474" s="340"/>
      <c r="SRD474" s="340"/>
      <c r="SRE474" s="340"/>
      <c r="SRF474" s="340"/>
      <c r="SRG474" s="340"/>
      <c r="SRH474" s="340"/>
      <c r="SRI474" s="340"/>
      <c r="SRJ474" s="340"/>
      <c r="SRK474" s="340"/>
      <c r="SRL474" s="340"/>
      <c r="SRM474" s="340"/>
      <c r="SRN474" s="340"/>
      <c r="SRO474" s="340"/>
      <c r="SRP474" s="340"/>
      <c r="SRQ474" s="340"/>
      <c r="SRR474" s="340"/>
      <c r="SRS474" s="340"/>
      <c r="SRT474" s="340"/>
      <c r="SRU474" s="340"/>
      <c r="SRV474" s="340"/>
      <c r="SRW474" s="340"/>
      <c r="SRX474" s="340"/>
      <c r="SRY474" s="340"/>
      <c r="SRZ474" s="340"/>
      <c r="SSA474" s="340"/>
      <c r="SSB474" s="340"/>
      <c r="SSC474" s="340"/>
      <c r="SSD474" s="340"/>
      <c r="SSE474" s="340"/>
      <c r="SSF474" s="340"/>
      <c r="SSG474" s="340"/>
      <c r="SSH474" s="340"/>
      <c r="SSI474" s="340"/>
      <c r="SSJ474" s="340"/>
      <c r="SSK474" s="340"/>
      <c r="SSL474" s="340"/>
      <c r="SSM474" s="340"/>
      <c r="SSN474" s="340"/>
      <c r="SSO474" s="340"/>
      <c r="SSP474" s="340"/>
      <c r="SSQ474" s="340"/>
      <c r="SSR474" s="340"/>
      <c r="SSS474" s="340"/>
      <c r="SST474" s="340"/>
      <c r="SSU474" s="340"/>
      <c r="SSV474" s="340"/>
      <c r="SSW474" s="340"/>
      <c r="SSX474" s="340"/>
      <c r="SSY474" s="340"/>
      <c r="SSZ474" s="340"/>
      <c r="STA474" s="340"/>
      <c r="STB474" s="340"/>
      <c r="STC474" s="340"/>
      <c r="STD474" s="340"/>
      <c r="STE474" s="340"/>
      <c r="STF474" s="340"/>
      <c r="STG474" s="340"/>
      <c r="STH474" s="340"/>
      <c r="STI474" s="340"/>
      <c r="STJ474" s="340"/>
      <c r="STK474" s="340"/>
      <c r="STL474" s="340"/>
      <c r="STM474" s="340"/>
      <c r="STN474" s="340"/>
      <c r="STO474" s="340"/>
      <c r="STP474" s="340"/>
      <c r="STQ474" s="340"/>
      <c r="STR474" s="340"/>
      <c r="STS474" s="340"/>
      <c r="STT474" s="340"/>
      <c r="STU474" s="340"/>
      <c r="STV474" s="340"/>
      <c r="STW474" s="340"/>
      <c r="STX474" s="340"/>
      <c r="STY474" s="340"/>
      <c r="STZ474" s="340"/>
      <c r="SUA474" s="340"/>
      <c r="SUB474" s="340"/>
      <c r="SUC474" s="340"/>
      <c r="SUD474" s="340"/>
      <c r="SUE474" s="340"/>
      <c r="SUF474" s="340"/>
      <c r="SUG474" s="340"/>
      <c r="SUH474" s="340"/>
      <c r="SUI474" s="340"/>
      <c r="SUJ474" s="340"/>
      <c r="SUK474" s="340"/>
      <c r="SUL474" s="340"/>
      <c r="SUM474" s="340"/>
      <c r="SUN474" s="340"/>
      <c r="SUO474" s="340"/>
      <c r="SUP474" s="340"/>
      <c r="SUQ474" s="340"/>
      <c r="SUR474" s="340"/>
      <c r="SUS474" s="340"/>
      <c r="SUT474" s="340"/>
      <c r="SUU474" s="340"/>
      <c r="SUV474" s="340"/>
      <c r="SUW474" s="340"/>
      <c r="SUX474" s="340"/>
      <c r="SUY474" s="340"/>
      <c r="SUZ474" s="340"/>
      <c r="SVA474" s="340"/>
      <c r="SVB474" s="340"/>
      <c r="SVC474" s="340"/>
      <c r="SVD474" s="340"/>
      <c r="SVE474" s="340"/>
      <c r="SVF474" s="340"/>
      <c r="SVG474" s="340"/>
      <c r="SVH474" s="340"/>
      <c r="SVI474" s="340"/>
      <c r="SVJ474" s="340"/>
      <c r="SVK474" s="340"/>
      <c r="SVL474" s="340"/>
      <c r="SVM474" s="340"/>
      <c r="SVN474" s="340"/>
      <c r="SVO474" s="340"/>
      <c r="SVP474" s="340"/>
      <c r="SVQ474" s="340"/>
      <c r="SVR474" s="340"/>
      <c r="SVS474" s="340"/>
      <c r="SVT474" s="340"/>
      <c r="SVU474" s="340"/>
      <c r="SVV474" s="340"/>
      <c r="SVW474" s="340"/>
      <c r="SVX474" s="340"/>
      <c r="SVY474" s="340"/>
      <c r="SVZ474" s="340"/>
      <c r="SWA474" s="340"/>
      <c r="SWB474" s="340"/>
      <c r="SWC474" s="340"/>
      <c r="SWD474" s="340"/>
      <c r="SWE474" s="340"/>
      <c r="SWF474" s="340"/>
      <c r="SWG474" s="340"/>
      <c r="SWH474" s="340"/>
      <c r="SWI474" s="340"/>
      <c r="SWJ474" s="340"/>
      <c r="SWK474" s="340"/>
      <c r="SWL474" s="340"/>
      <c r="SWM474" s="340"/>
      <c r="SWN474" s="340"/>
      <c r="SWO474" s="340"/>
      <c r="SWP474" s="340"/>
      <c r="SWQ474" s="340"/>
      <c r="SWR474" s="340"/>
      <c r="SWS474" s="340"/>
      <c r="SWT474" s="340"/>
      <c r="SWU474" s="340"/>
      <c r="SWV474" s="340"/>
      <c r="SWW474" s="340"/>
      <c r="SWX474" s="340"/>
      <c r="SWY474" s="340"/>
      <c r="SWZ474" s="340"/>
      <c r="SXA474" s="340"/>
      <c r="SXB474" s="340"/>
      <c r="SXC474" s="340"/>
      <c r="SXD474" s="340"/>
      <c r="SXE474" s="340"/>
      <c r="SXF474" s="340"/>
      <c r="SXG474" s="340"/>
      <c r="SXH474" s="340"/>
      <c r="SXI474" s="340"/>
      <c r="SXJ474" s="340"/>
      <c r="SXK474" s="340"/>
      <c r="SXL474" s="340"/>
      <c r="SXM474" s="340"/>
      <c r="SXN474" s="340"/>
      <c r="SXO474" s="340"/>
      <c r="SXP474" s="340"/>
      <c r="SXQ474" s="340"/>
      <c r="SXR474" s="340"/>
      <c r="SXS474" s="340"/>
      <c r="SXT474" s="340"/>
      <c r="SXU474" s="340"/>
      <c r="SXV474" s="340"/>
      <c r="SXW474" s="340"/>
      <c r="SXX474" s="340"/>
      <c r="SXY474" s="340"/>
      <c r="SXZ474" s="340"/>
      <c r="SYA474" s="340"/>
      <c r="SYB474" s="340"/>
      <c r="SYC474" s="340"/>
      <c r="SYD474" s="340"/>
      <c r="SYE474" s="340"/>
      <c r="SYF474" s="340"/>
      <c r="SYG474" s="340"/>
      <c r="SYH474" s="340"/>
      <c r="SYI474" s="340"/>
      <c r="SYJ474" s="340"/>
      <c r="SYK474" s="340"/>
      <c r="SYL474" s="340"/>
      <c r="SYM474" s="340"/>
      <c r="SYN474" s="340"/>
      <c r="SYO474" s="340"/>
      <c r="SYP474" s="340"/>
      <c r="SYQ474" s="340"/>
      <c r="SYR474" s="340"/>
      <c r="SYS474" s="340"/>
      <c r="SYT474" s="340"/>
      <c r="SYU474" s="340"/>
      <c r="SYV474" s="340"/>
      <c r="SYW474" s="340"/>
      <c r="SYX474" s="340"/>
      <c r="SYY474" s="340"/>
      <c r="SYZ474" s="340"/>
      <c r="SZA474" s="340"/>
      <c r="SZB474" s="340"/>
      <c r="SZC474" s="340"/>
      <c r="SZD474" s="340"/>
      <c r="SZE474" s="340"/>
      <c r="SZF474" s="340"/>
      <c r="SZG474" s="340"/>
      <c r="SZH474" s="340"/>
      <c r="SZI474" s="340"/>
      <c r="SZJ474" s="340"/>
      <c r="SZK474" s="340"/>
      <c r="SZL474" s="340"/>
      <c r="SZM474" s="340"/>
      <c r="SZN474" s="340"/>
      <c r="SZO474" s="340"/>
      <c r="SZP474" s="340"/>
      <c r="SZQ474" s="340"/>
      <c r="SZR474" s="340"/>
      <c r="SZS474" s="340"/>
      <c r="SZT474" s="340"/>
      <c r="SZU474" s="340"/>
      <c r="SZV474" s="340"/>
      <c r="SZW474" s="340"/>
      <c r="SZX474" s="340"/>
      <c r="SZY474" s="340"/>
      <c r="SZZ474" s="340"/>
      <c r="TAA474" s="340"/>
      <c r="TAB474" s="340"/>
      <c r="TAC474" s="340"/>
      <c r="TAD474" s="340"/>
      <c r="TAE474" s="340"/>
      <c r="TAF474" s="340"/>
      <c r="TAG474" s="340"/>
      <c r="TAH474" s="340"/>
      <c r="TAI474" s="340"/>
      <c r="TAJ474" s="340"/>
      <c r="TAK474" s="340"/>
      <c r="TAL474" s="340"/>
      <c r="TAM474" s="340"/>
      <c r="TAN474" s="340"/>
      <c r="TAO474" s="340"/>
      <c r="TAP474" s="340"/>
      <c r="TAQ474" s="340"/>
      <c r="TAR474" s="340"/>
      <c r="TAS474" s="340"/>
      <c r="TAT474" s="340"/>
      <c r="TAU474" s="340"/>
      <c r="TAV474" s="340"/>
      <c r="TAW474" s="340"/>
      <c r="TAX474" s="340"/>
      <c r="TAY474" s="340"/>
      <c r="TAZ474" s="340"/>
      <c r="TBA474" s="340"/>
      <c r="TBB474" s="340"/>
      <c r="TBC474" s="340"/>
      <c r="TBD474" s="340"/>
      <c r="TBE474" s="340"/>
      <c r="TBF474" s="340"/>
      <c r="TBG474" s="340"/>
      <c r="TBH474" s="340"/>
      <c r="TBI474" s="340"/>
      <c r="TBJ474" s="340"/>
      <c r="TBK474" s="340"/>
      <c r="TBL474" s="340"/>
      <c r="TBM474" s="340"/>
      <c r="TBN474" s="340"/>
      <c r="TBO474" s="340"/>
      <c r="TBP474" s="340"/>
      <c r="TBQ474" s="340"/>
      <c r="TBR474" s="340"/>
      <c r="TBS474" s="340"/>
      <c r="TBT474" s="340"/>
      <c r="TBU474" s="340"/>
      <c r="TBV474" s="340"/>
      <c r="TBW474" s="340"/>
      <c r="TBX474" s="340"/>
      <c r="TBY474" s="340"/>
      <c r="TBZ474" s="340"/>
      <c r="TCA474" s="340"/>
      <c r="TCB474" s="340"/>
      <c r="TCC474" s="340"/>
      <c r="TCD474" s="340"/>
      <c r="TCE474" s="340"/>
      <c r="TCF474" s="340"/>
      <c r="TCG474" s="340"/>
      <c r="TCH474" s="340"/>
      <c r="TCI474" s="340"/>
      <c r="TCJ474" s="340"/>
      <c r="TCK474" s="340"/>
      <c r="TCL474" s="340"/>
      <c r="TCM474" s="340"/>
      <c r="TCN474" s="340"/>
      <c r="TCO474" s="340"/>
      <c r="TCP474" s="340"/>
      <c r="TCQ474" s="340"/>
      <c r="TCR474" s="340"/>
      <c r="TCS474" s="340"/>
      <c r="TCT474" s="340"/>
      <c r="TCU474" s="340"/>
      <c r="TCV474" s="340"/>
      <c r="TCW474" s="340"/>
      <c r="TCX474" s="340"/>
      <c r="TCY474" s="340"/>
      <c r="TCZ474" s="340"/>
      <c r="TDA474" s="340"/>
      <c r="TDB474" s="340"/>
      <c r="TDC474" s="340"/>
      <c r="TDD474" s="340"/>
      <c r="TDE474" s="340"/>
      <c r="TDF474" s="340"/>
      <c r="TDG474" s="340"/>
      <c r="TDH474" s="340"/>
      <c r="TDI474" s="340"/>
      <c r="TDJ474" s="340"/>
      <c r="TDK474" s="340"/>
      <c r="TDL474" s="340"/>
      <c r="TDM474" s="340"/>
      <c r="TDN474" s="340"/>
      <c r="TDO474" s="340"/>
      <c r="TDP474" s="340"/>
      <c r="TDQ474" s="340"/>
      <c r="TDR474" s="340"/>
      <c r="TDS474" s="340"/>
      <c r="TDT474" s="340"/>
      <c r="TDU474" s="340"/>
      <c r="TDV474" s="340"/>
      <c r="TDW474" s="340"/>
      <c r="TDX474" s="340"/>
      <c r="TDY474" s="340"/>
      <c r="TDZ474" s="340"/>
      <c r="TEA474" s="340"/>
      <c r="TEB474" s="340"/>
      <c r="TEC474" s="340"/>
      <c r="TED474" s="340"/>
      <c r="TEE474" s="340"/>
      <c r="TEF474" s="340"/>
      <c r="TEG474" s="340"/>
      <c r="TEH474" s="340"/>
      <c r="TEI474" s="340"/>
      <c r="TEJ474" s="340"/>
      <c r="TEK474" s="340"/>
      <c r="TEL474" s="340"/>
      <c r="TEM474" s="340"/>
      <c r="TEN474" s="340"/>
      <c r="TEO474" s="340"/>
      <c r="TEP474" s="340"/>
      <c r="TEQ474" s="340"/>
      <c r="TER474" s="340"/>
      <c r="TES474" s="340"/>
      <c r="TET474" s="340"/>
      <c r="TEU474" s="340"/>
      <c r="TEV474" s="340"/>
      <c r="TEW474" s="340"/>
      <c r="TEX474" s="340"/>
      <c r="TEY474" s="340"/>
      <c r="TEZ474" s="340"/>
      <c r="TFA474" s="340"/>
      <c r="TFB474" s="340"/>
      <c r="TFC474" s="340"/>
      <c r="TFD474" s="340"/>
      <c r="TFE474" s="340"/>
      <c r="TFF474" s="340"/>
      <c r="TFG474" s="340"/>
      <c r="TFH474" s="340"/>
      <c r="TFI474" s="340"/>
      <c r="TFJ474" s="340"/>
      <c r="TFK474" s="340"/>
      <c r="TFL474" s="340"/>
      <c r="TFM474" s="340"/>
      <c r="TFN474" s="340"/>
      <c r="TFO474" s="340"/>
      <c r="TFP474" s="340"/>
      <c r="TFQ474" s="340"/>
      <c r="TFR474" s="340"/>
      <c r="TFS474" s="340"/>
      <c r="TFT474" s="340"/>
      <c r="TFU474" s="340"/>
      <c r="TFV474" s="340"/>
      <c r="TFW474" s="340"/>
      <c r="TFX474" s="340"/>
      <c r="TFY474" s="340"/>
      <c r="TFZ474" s="340"/>
      <c r="TGA474" s="340"/>
      <c r="TGB474" s="340"/>
      <c r="TGC474" s="340"/>
      <c r="TGD474" s="340"/>
      <c r="TGE474" s="340"/>
      <c r="TGF474" s="340"/>
      <c r="TGG474" s="340"/>
      <c r="TGH474" s="340"/>
      <c r="TGI474" s="340"/>
      <c r="TGJ474" s="340"/>
      <c r="TGK474" s="340"/>
      <c r="TGL474" s="340"/>
      <c r="TGM474" s="340"/>
      <c r="TGN474" s="340"/>
      <c r="TGO474" s="340"/>
      <c r="TGP474" s="340"/>
      <c r="TGQ474" s="340"/>
      <c r="TGR474" s="340"/>
      <c r="TGS474" s="340"/>
      <c r="TGT474" s="340"/>
      <c r="TGU474" s="340"/>
      <c r="TGV474" s="340"/>
      <c r="TGW474" s="340"/>
      <c r="TGX474" s="340"/>
      <c r="TGY474" s="340"/>
      <c r="TGZ474" s="340"/>
      <c r="THA474" s="340"/>
      <c r="THB474" s="340"/>
      <c r="THC474" s="340"/>
      <c r="THD474" s="340"/>
      <c r="THE474" s="340"/>
      <c r="THF474" s="340"/>
      <c r="THG474" s="340"/>
      <c r="THH474" s="340"/>
      <c r="THI474" s="340"/>
      <c r="THJ474" s="340"/>
      <c r="THK474" s="340"/>
      <c r="THL474" s="340"/>
      <c r="THM474" s="340"/>
      <c r="THN474" s="340"/>
      <c r="THO474" s="340"/>
      <c r="THP474" s="340"/>
      <c r="THQ474" s="340"/>
      <c r="THR474" s="340"/>
      <c r="THS474" s="340"/>
      <c r="THT474" s="340"/>
      <c r="THU474" s="340"/>
      <c r="THV474" s="340"/>
      <c r="THW474" s="340"/>
      <c r="THX474" s="340"/>
      <c r="THY474" s="340"/>
      <c r="THZ474" s="340"/>
      <c r="TIA474" s="340"/>
      <c r="TIB474" s="340"/>
      <c r="TIC474" s="340"/>
      <c r="TID474" s="340"/>
      <c r="TIE474" s="340"/>
      <c r="TIF474" s="340"/>
      <c r="TIG474" s="340"/>
      <c r="TIH474" s="340"/>
      <c r="TII474" s="340"/>
      <c r="TIJ474" s="340"/>
      <c r="TIK474" s="340"/>
      <c r="TIL474" s="340"/>
      <c r="TIM474" s="340"/>
      <c r="TIN474" s="340"/>
      <c r="TIO474" s="340"/>
      <c r="TIP474" s="340"/>
      <c r="TIQ474" s="340"/>
      <c r="TIR474" s="340"/>
      <c r="TIS474" s="340"/>
      <c r="TIT474" s="340"/>
      <c r="TIU474" s="340"/>
      <c r="TIV474" s="340"/>
      <c r="TIW474" s="340"/>
      <c r="TIX474" s="340"/>
      <c r="TIY474" s="340"/>
      <c r="TIZ474" s="340"/>
      <c r="TJA474" s="340"/>
      <c r="TJB474" s="340"/>
      <c r="TJC474" s="340"/>
      <c r="TJD474" s="340"/>
      <c r="TJE474" s="340"/>
      <c r="TJF474" s="340"/>
      <c r="TJG474" s="340"/>
      <c r="TJH474" s="340"/>
      <c r="TJI474" s="340"/>
      <c r="TJJ474" s="340"/>
      <c r="TJK474" s="340"/>
      <c r="TJL474" s="340"/>
      <c r="TJM474" s="340"/>
      <c r="TJN474" s="340"/>
      <c r="TJO474" s="340"/>
      <c r="TJP474" s="340"/>
      <c r="TJQ474" s="340"/>
      <c r="TJR474" s="340"/>
      <c r="TJS474" s="340"/>
      <c r="TJT474" s="340"/>
      <c r="TJU474" s="340"/>
      <c r="TJV474" s="340"/>
      <c r="TJW474" s="340"/>
      <c r="TJX474" s="340"/>
      <c r="TJY474" s="340"/>
      <c r="TJZ474" s="340"/>
      <c r="TKA474" s="340"/>
      <c r="TKB474" s="340"/>
      <c r="TKC474" s="340"/>
      <c r="TKD474" s="340"/>
      <c r="TKE474" s="340"/>
      <c r="TKF474" s="340"/>
      <c r="TKG474" s="340"/>
      <c r="TKH474" s="340"/>
      <c r="TKI474" s="340"/>
      <c r="TKJ474" s="340"/>
      <c r="TKK474" s="340"/>
      <c r="TKL474" s="340"/>
      <c r="TKM474" s="340"/>
      <c r="TKN474" s="340"/>
      <c r="TKO474" s="340"/>
      <c r="TKP474" s="340"/>
      <c r="TKQ474" s="340"/>
      <c r="TKR474" s="340"/>
      <c r="TKS474" s="340"/>
      <c r="TKT474" s="340"/>
      <c r="TKU474" s="340"/>
      <c r="TKV474" s="340"/>
      <c r="TKW474" s="340"/>
      <c r="TKX474" s="340"/>
      <c r="TKY474" s="340"/>
      <c r="TKZ474" s="340"/>
      <c r="TLA474" s="340"/>
      <c r="TLB474" s="340"/>
      <c r="TLC474" s="340"/>
      <c r="TLD474" s="340"/>
      <c r="TLE474" s="340"/>
      <c r="TLF474" s="340"/>
      <c r="TLG474" s="340"/>
      <c r="TLH474" s="340"/>
      <c r="TLI474" s="340"/>
      <c r="TLJ474" s="340"/>
      <c r="TLK474" s="340"/>
      <c r="TLL474" s="340"/>
      <c r="TLM474" s="340"/>
      <c r="TLN474" s="340"/>
      <c r="TLO474" s="340"/>
      <c r="TLP474" s="340"/>
      <c r="TLQ474" s="340"/>
      <c r="TLR474" s="340"/>
      <c r="TLS474" s="340"/>
      <c r="TLT474" s="340"/>
      <c r="TLU474" s="340"/>
      <c r="TLV474" s="340"/>
      <c r="TLW474" s="340"/>
      <c r="TLX474" s="340"/>
      <c r="TLY474" s="340"/>
      <c r="TLZ474" s="340"/>
      <c r="TMA474" s="340"/>
      <c r="TMB474" s="340"/>
      <c r="TMC474" s="340"/>
      <c r="TMD474" s="340"/>
      <c r="TME474" s="340"/>
      <c r="TMF474" s="340"/>
      <c r="TMG474" s="340"/>
      <c r="TMH474" s="340"/>
      <c r="TMI474" s="340"/>
      <c r="TMJ474" s="340"/>
      <c r="TMK474" s="340"/>
      <c r="TML474" s="340"/>
      <c r="TMM474" s="340"/>
      <c r="TMN474" s="340"/>
      <c r="TMO474" s="340"/>
      <c r="TMP474" s="340"/>
      <c r="TMQ474" s="340"/>
      <c r="TMR474" s="340"/>
      <c r="TMS474" s="340"/>
      <c r="TMT474" s="340"/>
      <c r="TMU474" s="340"/>
      <c r="TMV474" s="340"/>
      <c r="TMW474" s="340"/>
      <c r="TMX474" s="340"/>
      <c r="TMY474" s="340"/>
      <c r="TMZ474" s="340"/>
      <c r="TNA474" s="340"/>
      <c r="TNB474" s="340"/>
      <c r="TNC474" s="340"/>
      <c r="TND474" s="340"/>
      <c r="TNE474" s="340"/>
      <c r="TNF474" s="340"/>
      <c r="TNG474" s="340"/>
      <c r="TNH474" s="340"/>
      <c r="TNI474" s="340"/>
      <c r="TNJ474" s="340"/>
      <c r="TNK474" s="340"/>
      <c r="TNL474" s="340"/>
      <c r="TNM474" s="340"/>
      <c r="TNN474" s="340"/>
      <c r="TNO474" s="340"/>
      <c r="TNP474" s="340"/>
      <c r="TNQ474" s="340"/>
      <c r="TNR474" s="340"/>
      <c r="TNS474" s="340"/>
      <c r="TNT474" s="340"/>
      <c r="TNU474" s="340"/>
      <c r="TNV474" s="340"/>
      <c r="TNW474" s="340"/>
      <c r="TNX474" s="340"/>
      <c r="TNY474" s="340"/>
      <c r="TNZ474" s="340"/>
      <c r="TOA474" s="340"/>
      <c r="TOB474" s="340"/>
      <c r="TOC474" s="340"/>
      <c r="TOD474" s="340"/>
      <c r="TOE474" s="340"/>
      <c r="TOF474" s="340"/>
      <c r="TOG474" s="340"/>
      <c r="TOH474" s="340"/>
      <c r="TOI474" s="340"/>
      <c r="TOJ474" s="340"/>
      <c r="TOK474" s="340"/>
      <c r="TOL474" s="340"/>
      <c r="TOM474" s="340"/>
      <c r="TON474" s="340"/>
      <c r="TOO474" s="340"/>
      <c r="TOP474" s="340"/>
      <c r="TOQ474" s="340"/>
      <c r="TOR474" s="340"/>
      <c r="TOS474" s="340"/>
      <c r="TOT474" s="340"/>
      <c r="TOU474" s="340"/>
      <c r="TOV474" s="340"/>
      <c r="TOW474" s="340"/>
      <c r="TOX474" s="340"/>
      <c r="TOY474" s="340"/>
      <c r="TOZ474" s="340"/>
      <c r="TPA474" s="340"/>
      <c r="TPB474" s="340"/>
      <c r="TPC474" s="340"/>
      <c r="TPD474" s="340"/>
      <c r="TPE474" s="340"/>
      <c r="TPF474" s="340"/>
      <c r="TPG474" s="340"/>
      <c r="TPH474" s="340"/>
      <c r="TPI474" s="340"/>
      <c r="TPJ474" s="340"/>
      <c r="TPK474" s="340"/>
      <c r="TPL474" s="340"/>
      <c r="TPM474" s="340"/>
      <c r="TPN474" s="340"/>
      <c r="TPO474" s="340"/>
      <c r="TPP474" s="340"/>
      <c r="TPQ474" s="340"/>
      <c r="TPR474" s="340"/>
      <c r="TPS474" s="340"/>
      <c r="TPT474" s="340"/>
      <c r="TPU474" s="340"/>
      <c r="TPV474" s="340"/>
      <c r="TPW474" s="340"/>
      <c r="TPX474" s="340"/>
      <c r="TPY474" s="340"/>
      <c r="TPZ474" s="340"/>
      <c r="TQA474" s="340"/>
      <c r="TQB474" s="340"/>
      <c r="TQC474" s="340"/>
      <c r="TQD474" s="340"/>
      <c r="TQE474" s="340"/>
      <c r="TQF474" s="340"/>
      <c r="TQG474" s="340"/>
      <c r="TQH474" s="340"/>
      <c r="TQI474" s="340"/>
      <c r="TQJ474" s="340"/>
      <c r="TQK474" s="340"/>
      <c r="TQL474" s="340"/>
      <c r="TQM474" s="340"/>
      <c r="TQN474" s="340"/>
      <c r="TQO474" s="340"/>
      <c r="TQP474" s="340"/>
      <c r="TQQ474" s="340"/>
      <c r="TQR474" s="340"/>
      <c r="TQS474" s="340"/>
      <c r="TQT474" s="340"/>
      <c r="TQU474" s="340"/>
      <c r="TQV474" s="340"/>
      <c r="TQW474" s="340"/>
      <c r="TQX474" s="340"/>
      <c r="TQY474" s="340"/>
      <c r="TQZ474" s="340"/>
      <c r="TRA474" s="340"/>
      <c r="TRB474" s="340"/>
      <c r="TRC474" s="340"/>
      <c r="TRD474" s="340"/>
      <c r="TRE474" s="340"/>
      <c r="TRF474" s="340"/>
      <c r="TRG474" s="340"/>
      <c r="TRH474" s="340"/>
      <c r="TRI474" s="340"/>
      <c r="TRJ474" s="340"/>
      <c r="TRK474" s="340"/>
      <c r="TRL474" s="340"/>
      <c r="TRM474" s="340"/>
      <c r="TRN474" s="340"/>
      <c r="TRO474" s="340"/>
      <c r="TRP474" s="340"/>
      <c r="TRQ474" s="340"/>
      <c r="TRR474" s="340"/>
      <c r="TRS474" s="340"/>
      <c r="TRT474" s="340"/>
      <c r="TRU474" s="340"/>
      <c r="TRV474" s="340"/>
      <c r="TRW474" s="340"/>
      <c r="TRX474" s="340"/>
      <c r="TRY474" s="340"/>
      <c r="TRZ474" s="340"/>
      <c r="TSA474" s="340"/>
      <c r="TSB474" s="340"/>
      <c r="TSC474" s="340"/>
      <c r="TSD474" s="340"/>
      <c r="TSE474" s="340"/>
      <c r="TSF474" s="340"/>
      <c r="TSG474" s="340"/>
      <c r="TSH474" s="340"/>
      <c r="TSI474" s="340"/>
      <c r="TSJ474" s="340"/>
      <c r="TSK474" s="340"/>
      <c r="TSL474" s="340"/>
      <c r="TSM474" s="340"/>
      <c r="TSN474" s="340"/>
      <c r="TSO474" s="340"/>
      <c r="TSP474" s="340"/>
      <c r="TSQ474" s="340"/>
      <c r="TSR474" s="340"/>
      <c r="TSS474" s="340"/>
      <c r="TST474" s="340"/>
      <c r="TSU474" s="340"/>
      <c r="TSV474" s="340"/>
      <c r="TSW474" s="340"/>
      <c r="TSX474" s="340"/>
      <c r="TSY474" s="340"/>
      <c r="TSZ474" s="340"/>
      <c r="TTA474" s="340"/>
      <c r="TTB474" s="340"/>
      <c r="TTC474" s="340"/>
      <c r="TTD474" s="340"/>
      <c r="TTE474" s="340"/>
      <c r="TTF474" s="340"/>
      <c r="TTG474" s="340"/>
      <c r="TTH474" s="340"/>
      <c r="TTI474" s="340"/>
      <c r="TTJ474" s="340"/>
      <c r="TTK474" s="340"/>
      <c r="TTL474" s="340"/>
      <c r="TTM474" s="340"/>
      <c r="TTN474" s="340"/>
      <c r="TTO474" s="340"/>
      <c r="TTP474" s="340"/>
      <c r="TTQ474" s="340"/>
      <c r="TTR474" s="340"/>
      <c r="TTS474" s="340"/>
      <c r="TTT474" s="340"/>
      <c r="TTU474" s="340"/>
      <c r="TTV474" s="340"/>
      <c r="TTW474" s="340"/>
      <c r="TTX474" s="340"/>
      <c r="TTY474" s="340"/>
      <c r="TTZ474" s="340"/>
      <c r="TUA474" s="340"/>
      <c r="TUB474" s="340"/>
      <c r="TUC474" s="340"/>
      <c r="TUD474" s="340"/>
      <c r="TUE474" s="340"/>
      <c r="TUF474" s="340"/>
      <c r="TUG474" s="340"/>
      <c r="TUH474" s="340"/>
      <c r="TUI474" s="340"/>
      <c r="TUJ474" s="340"/>
      <c r="TUK474" s="340"/>
      <c r="TUL474" s="340"/>
      <c r="TUM474" s="340"/>
      <c r="TUN474" s="340"/>
      <c r="TUO474" s="340"/>
      <c r="TUP474" s="340"/>
      <c r="TUQ474" s="340"/>
      <c r="TUR474" s="340"/>
      <c r="TUS474" s="340"/>
      <c r="TUT474" s="340"/>
      <c r="TUU474" s="340"/>
      <c r="TUV474" s="340"/>
      <c r="TUW474" s="340"/>
      <c r="TUX474" s="340"/>
      <c r="TUY474" s="340"/>
      <c r="TUZ474" s="340"/>
      <c r="TVA474" s="340"/>
      <c r="TVB474" s="340"/>
      <c r="TVC474" s="340"/>
      <c r="TVD474" s="340"/>
      <c r="TVE474" s="340"/>
      <c r="TVF474" s="340"/>
      <c r="TVG474" s="340"/>
      <c r="TVH474" s="340"/>
      <c r="TVI474" s="340"/>
      <c r="TVJ474" s="340"/>
      <c r="TVK474" s="340"/>
      <c r="TVL474" s="340"/>
      <c r="TVM474" s="340"/>
      <c r="TVN474" s="340"/>
      <c r="TVO474" s="340"/>
      <c r="TVP474" s="340"/>
      <c r="TVQ474" s="340"/>
      <c r="TVR474" s="340"/>
      <c r="TVS474" s="340"/>
      <c r="TVT474" s="340"/>
      <c r="TVU474" s="340"/>
      <c r="TVV474" s="340"/>
      <c r="TVW474" s="340"/>
      <c r="TVX474" s="340"/>
      <c r="TVY474" s="340"/>
      <c r="TVZ474" s="340"/>
      <c r="TWA474" s="340"/>
      <c r="TWB474" s="340"/>
      <c r="TWC474" s="340"/>
      <c r="TWD474" s="340"/>
      <c r="TWE474" s="340"/>
      <c r="TWF474" s="340"/>
      <c r="TWG474" s="340"/>
      <c r="TWH474" s="340"/>
      <c r="TWI474" s="340"/>
      <c r="TWJ474" s="340"/>
      <c r="TWK474" s="340"/>
      <c r="TWL474" s="340"/>
      <c r="TWM474" s="340"/>
      <c r="TWN474" s="340"/>
      <c r="TWO474" s="340"/>
      <c r="TWP474" s="340"/>
      <c r="TWQ474" s="340"/>
      <c r="TWR474" s="340"/>
      <c r="TWS474" s="340"/>
      <c r="TWT474" s="340"/>
      <c r="TWU474" s="340"/>
      <c r="TWV474" s="340"/>
      <c r="TWW474" s="340"/>
      <c r="TWX474" s="340"/>
      <c r="TWY474" s="340"/>
      <c r="TWZ474" s="340"/>
      <c r="TXA474" s="340"/>
      <c r="TXB474" s="340"/>
      <c r="TXC474" s="340"/>
      <c r="TXD474" s="340"/>
      <c r="TXE474" s="340"/>
      <c r="TXF474" s="340"/>
      <c r="TXG474" s="340"/>
      <c r="TXH474" s="340"/>
      <c r="TXI474" s="340"/>
      <c r="TXJ474" s="340"/>
      <c r="TXK474" s="340"/>
      <c r="TXL474" s="340"/>
      <c r="TXM474" s="340"/>
      <c r="TXN474" s="340"/>
      <c r="TXO474" s="340"/>
      <c r="TXP474" s="340"/>
      <c r="TXQ474" s="340"/>
      <c r="TXR474" s="340"/>
      <c r="TXS474" s="340"/>
      <c r="TXT474" s="340"/>
      <c r="TXU474" s="340"/>
      <c r="TXV474" s="340"/>
      <c r="TXW474" s="340"/>
      <c r="TXX474" s="340"/>
      <c r="TXY474" s="340"/>
      <c r="TXZ474" s="340"/>
      <c r="TYA474" s="340"/>
      <c r="TYB474" s="340"/>
      <c r="TYC474" s="340"/>
      <c r="TYD474" s="340"/>
      <c r="TYE474" s="340"/>
      <c r="TYF474" s="340"/>
      <c r="TYG474" s="340"/>
      <c r="TYH474" s="340"/>
      <c r="TYI474" s="340"/>
      <c r="TYJ474" s="340"/>
      <c r="TYK474" s="340"/>
      <c r="TYL474" s="340"/>
      <c r="TYM474" s="340"/>
      <c r="TYN474" s="340"/>
      <c r="TYO474" s="340"/>
      <c r="TYP474" s="340"/>
      <c r="TYQ474" s="340"/>
      <c r="TYR474" s="340"/>
      <c r="TYS474" s="340"/>
      <c r="TYT474" s="340"/>
      <c r="TYU474" s="340"/>
      <c r="TYV474" s="340"/>
      <c r="TYW474" s="340"/>
      <c r="TYX474" s="340"/>
      <c r="TYY474" s="340"/>
      <c r="TYZ474" s="340"/>
      <c r="TZA474" s="340"/>
      <c r="TZB474" s="340"/>
      <c r="TZC474" s="340"/>
      <c r="TZD474" s="340"/>
      <c r="TZE474" s="340"/>
      <c r="TZF474" s="340"/>
      <c r="TZG474" s="340"/>
      <c r="TZH474" s="340"/>
      <c r="TZI474" s="340"/>
      <c r="TZJ474" s="340"/>
      <c r="TZK474" s="340"/>
      <c r="TZL474" s="340"/>
      <c r="TZM474" s="340"/>
      <c r="TZN474" s="340"/>
      <c r="TZO474" s="340"/>
      <c r="TZP474" s="340"/>
      <c r="TZQ474" s="340"/>
      <c r="TZR474" s="340"/>
      <c r="TZS474" s="340"/>
      <c r="TZT474" s="340"/>
      <c r="TZU474" s="340"/>
      <c r="TZV474" s="340"/>
      <c r="TZW474" s="340"/>
      <c r="TZX474" s="340"/>
      <c r="TZY474" s="340"/>
      <c r="TZZ474" s="340"/>
      <c r="UAA474" s="340"/>
      <c r="UAB474" s="340"/>
      <c r="UAC474" s="340"/>
      <c r="UAD474" s="340"/>
      <c r="UAE474" s="340"/>
      <c r="UAF474" s="340"/>
      <c r="UAG474" s="340"/>
      <c r="UAH474" s="340"/>
      <c r="UAI474" s="340"/>
      <c r="UAJ474" s="340"/>
      <c r="UAK474" s="340"/>
      <c r="UAL474" s="340"/>
      <c r="UAM474" s="340"/>
      <c r="UAN474" s="340"/>
      <c r="UAO474" s="340"/>
      <c r="UAP474" s="340"/>
      <c r="UAQ474" s="340"/>
      <c r="UAR474" s="340"/>
      <c r="UAS474" s="340"/>
      <c r="UAT474" s="340"/>
      <c r="UAU474" s="340"/>
      <c r="UAV474" s="340"/>
      <c r="UAW474" s="340"/>
      <c r="UAX474" s="340"/>
      <c r="UAY474" s="340"/>
      <c r="UAZ474" s="340"/>
      <c r="UBA474" s="340"/>
      <c r="UBB474" s="340"/>
      <c r="UBC474" s="340"/>
      <c r="UBD474" s="340"/>
      <c r="UBE474" s="340"/>
      <c r="UBF474" s="340"/>
      <c r="UBG474" s="340"/>
      <c r="UBH474" s="340"/>
      <c r="UBI474" s="340"/>
      <c r="UBJ474" s="340"/>
      <c r="UBK474" s="340"/>
      <c r="UBL474" s="340"/>
      <c r="UBM474" s="340"/>
      <c r="UBN474" s="340"/>
      <c r="UBO474" s="340"/>
      <c r="UBP474" s="340"/>
      <c r="UBQ474" s="340"/>
      <c r="UBR474" s="340"/>
      <c r="UBS474" s="340"/>
      <c r="UBT474" s="340"/>
      <c r="UBU474" s="340"/>
      <c r="UBV474" s="340"/>
      <c r="UBW474" s="340"/>
      <c r="UBX474" s="340"/>
      <c r="UBY474" s="340"/>
      <c r="UBZ474" s="340"/>
      <c r="UCA474" s="340"/>
      <c r="UCB474" s="340"/>
      <c r="UCC474" s="340"/>
      <c r="UCD474" s="340"/>
      <c r="UCE474" s="340"/>
      <c r="UCF474" s="340"/>
      <c r="UCG474" s="340"/>
      <c r="UCH474" s="340"/>
      <c r="UCI474" s="340"/>
      <c r="UCJ474" s="340"/>
      <c r="UCK474" s="340"/>
      <c r="UCL474" s="340"/>
      <c r="UCM474" s="340"/>
      <c r="UCN474" s="340"/>
      <c r="UCO474" s="340"/>
      <c r="UCP474" s="340"/>
      <c r="UCQ474" s="340"/>
      <c r="UCR474" s="340"/>
      <c r="UCS474" s="340"/>
      <c r="UCT474" s="340"/>
      <c r="UCU474" s="340"/>
      <c r="UCV474" s="340"/>
      <c r="UCW474" s="340"/>
      <c r="UCX474" s="340"/>
      <c r="UCY474" s="340"/>
      <c r="UCZ474" s="340"/>
      <c r="UDA474" s="340"/>
      <c r="UDB474" s="340"/>
      <c r="UDC474" s="340"/>
      <c r="UDD474" s="340"/>
      <c r="UDE474" s="340"/>
      <c r="UDF474" s="340"/>
      <c r="UDG474" s="340"/>
      <c r="UDH474" s="340"/>
      <c r="UDI474" s="340"/>
      <c r="UDJ474" s="340"/>
      <c r="UDK474" s="340"/>
      <c r="UDL474" s="340"/>
      <c r="UDM474" s="340"/>
      <c r="UDN474" s="340"/>
      <c r="UDO474" s="340"/>
      <c r="UDP474" s="340"/>
      <c r="UDQ474" s="340"/>
      <c r="UDR474" s="340"/>
      <c r="UDS474" s="340"/>
      <c r="UDT474" s="340"/>
      <c r="UDU474" s="340"/>
      <c r="UDV474" s="340"/>
      <c r="UDW474" s="340"/>
      <c r="UDX474" s="340"/>
      <c r="UDY474" s="340"/>
      <c r="UDZ474" s="340"/>
      <c r="UEA474" s="340"/>
      <c r="UEB474" s="340"/>
      <c r="UEC474" s="340"/>
      <c r="UED474" s="340"/>
      <c r="UEE474" s="340"/>
      <c r="UEF474" s="340"/>
      <c r="UEG474" s="340"/>
      <c r="UEH474" s="340"/>
      <c r="UEI474" s="340"/>
      <c r="UEJ474" s="340"/>
      <c r="UEK474" s="340"/>
      <c r="UEL474" s="340"/>
      <c r="UEM474" s="340"/>
      <c r="UEN474" s="340"/>
      <c r="UEO474" s="340"/>
      <c r="UEP474" s="340"/>
      <c r="UEQ474" s="340"/>
      <c r="UER474" s="340"/>
      <c r="UES474" s="340"/>
      <c r="UET474" s="340"/>
      <c r="UEU474" s="340"/>
      <c r="UEV474" s="340"/>
      <c r="UEW474" s="340"/>
      <c r="UEX474" s="340"/>
      <c r="UEY474" s="340"/>
      <c r="UEZ474" s="340"/>
      <c r="UFA474" s="340"/>
      <c r="UFB474" s="340"/>
      <c r="UFC474" s="340"/>
      <c r="UFD474" s="340"/>
      <c r="UFE474" s="340"/>
      <c r="UFF474" s="340"/>
      <c r="UFG474" s="340"/>
      <c r="UFH474" s="340"/>
      <c r="UFI474" s="340"/>
      <c r="UFJ474" s="340"/>
      <c r="UFK474" s="340"/>
      <c r="UFL474" s="340"/>
      <c r="UFM474" s="340"/>
      <c r="UFN474" s="340"/>
      <c r="UFO474" s="340"/>
      <c r="UFP474" s="340"/>
      <c r="UFQ474" s="340"/>
      <c r="UFR474" s="340"/>
      <c r="UFS474" s="340"/>
      <c r="UFT474" s="340"/>
      <c r="UFU474" s="340"/>
      <c r="UFV474" s="340"/>
      <c r="UFW474" s="340"/>
      <c r="UFX474" s="340"/>
      <c r="UFY474" s="340"/>
      <c r="UFZ474" s="340"/>
      <c r="UGA474" s="340"/>
      <c r="UGB474" s="340"/>
      <c r="UGC474" s="340"/>
      <c r="UGD474" s="340"/>
      <c r="UGE474" s="340"/>
      <c r="UGF474" s="340"/>
      <c r="UGG474" s="340"/>
      <c r="UGH474" s="340"/>
      <c r="UGI474" s="340"/>
      <c r="UGJ474" s="340"/>
      <c r="UGK474" s="340"/>
      <c r="UGL474" s="340"/>
      <c r="UGM474" s="340"/>
      <c r="UGN474" s="340"/>
      <c r="UGO474" s="340"/>
      <c r="UGP474" s="340"/>
      <c r="UGQ474" s="340"/>
      <c r="UGR474" s="340"/>
      <c r="UGS474" s="340"/>
      <c r="UGT474" s="340"/>
      <c r="UGU474" s="340"/>
      <c r="UGV474" s="340"/>
      <c r="UGW474" s="340"/>
      <c r="UGX474" s="340"/>
      <c r="UGY474" s="340"/>
      <c r="UGZ474" s="340"/>
      <c r="UHA474" s="340"/>
      <c r="UHB474" s="340"/>
      <c r="UHC474" s="340"/>
      <c r="UHD474" s="340"/>
      <c r="UHE474" s="340"/>
      <c r="UHF474" s="340"/>
      <c r="UHG474" s="340"/>
      <c r="UHH474" s="340"/>
      <c r="UHI474" s="340"/>
      <c r="UHJ474" s="340"/>
      <c r="UHK474" s="340"/>
      <c r="UHL474" s="340"/>
      <c r="UHM474" s="340"/>
      <c r="UHN474" s="340"/>
      <c r="UHO474" s="340"/>
      <c r="UHP474" s="340"/>
      <c r="UHQ474" s="340"/>
      <c r="UHR474" s="340"/>
      <c r="UHS474" s="340"/>
      <c r="UHT474" s="340"/>
      <c r="UHU474" s="340"/>
      <c r="UHV474" s="340"/>
      <c r="UHW474" s="340"/>
      <c r="UHX474" s="340"/>
      <c r="UHY474" s="340"/>
      <c r="UHZ474" s="340"/>
      <c r="UIA474" s="340"/>
      <c r="UIB474" s="340"/>
      <c r="UIC474" s="340"/>
      <c r="UID474" s="340"/>
      <c r="UIE474" s="340"/>
      <c r="UIF474" s="340"/>
      <c r="UIG474" s="340"/>
      <c r="UIH474" s="340"/>
      <c r="UII474" s="340"/>
      <c r="UIJ474" s="340"/>
      <c r="UIK474" s="340"/>
      <c r="UIL474" s="340"/>
      <c r="UIM474" s="340"/>
      <c r="UIN474" s="340"/>
      <c r="UIO474" s="340"/>
      <c r="UIP474" s="340"/>
      <c r="UIQ474" s="340"/>
      <c r="UIR474" s="340"/>
      <c r="UIS474" s="340"/>
      <c r="UIT474" s="340"/>
      <c r="UIU474" s="340"/>
      <c r="UIV474" s="340"/>
      <c r="UIW474" s="340"/>
      <c r="UIX474" s="340"/>
      <c r="UIY474" s="340"/>
      <c r="UIZ474" s="340"/>
      <c r="UJA474" s="340"/>
      <c r="UJB474" s="340"/>
      <c r="UJC474" s="340"/>
      <c r="UJD474" s="340"/>
      <c r="UJE474" s="340"/>
      <c r="UJF474" s="340"/>
      <c r="UJG474" s="340"/>
      <c r="UJH474" s="340"/>
      <c r="UJI474" s="340"/>
      <c r="UJJ474" s="340"/>
      <c r="UJK474" s="340"/>
      <c r="UJL474" s="340"/>
      <c r="UJM474" s="340"/>
      <c r="UJN474" s="340"/>
      <c r="UJO474" s="340"/>
      <c r="UJP474" s="340"/>
      <c r="UJQ474" s="340"/>
      <c r="UJR474" s="340"/>
      <c r="UJS474" s="340"/>
      <c r="UJT474" s="340"/>
      <c r="UJU474" s="340"/>
      <c r="UJV474" s="340"/>
      <c r="UJW474" s="340"/>
      <c r="UJX474" s="340"/>
      <c r="UJY474" s="340"/>
      <c r="UJZ474" s="340"/>
      <c r="UKA474" s="340"/>
      <c r="UKB474" s="340"/>
      <c r="UKC474" s="340"/>
      <c r="UKD474" s="340"/>
      <c r="UKE474" s="340"/>
      <c r="UKF474" s="340"/>
      <c r="UKG474" s="340"/>
      <c r="UKH474" s="340"/>
      <c r="UKI474" s="340"/>
      <c r="UKJ474" s="340"/>
      <c r="UKK474" s="340"/>
      <c r="UKL474" s="340"/>
      <c r="UKM474" s="340"/>
      <c r="UKN474" s="340"/>
      <c r="UKO474" s="340"/>
      <c r="UKP474" s="340"/>
      <c r="UKQ474" s="340"/>
      <c r="UKR474" s="340"/>
      <c r="UKS474" s="340"/>
      <c r="UKT474" s="340"/>
      <c r="UKU474" s="340"/>
      <c r="UKV474" s="340"/>
      <c r="UKW474" s="340"/>
      <c r="UKX474" s="340"/>
      <c r="UKY474" s="340"/>
      <c r="UKZ474" s="340"/>
      <c r="ULA474" s="340"/>
      <c r="ULB474" s="340"/>
      <c r="ULC474" s="340"/>
      <c r="ULD474" s="340"/>
      <c r="ULE474" s="340"/>
      <c r="ULF474" s="340"/>
      <c r="ULG474" s="340"/>
      <c r="ULH474" s="340"/>
      <c r="ULI474" s="340"/>
      <c r="ULJ474" s="340"/>
      <c r="ULK474" s="340"/>
      <c r="ULL474" s="340"/>
      <c r="ULM474" s="340"/>
      <c r="ULN474" s="340"/>
      <c r="ULO474" s="340"/>
      <c r="ULP474" s="340"/>
      <c r="ULQ474" s="340"/>
      <c r="ULR474" s="340"/>
      <c r="ULS474" s="340"/>
      <c r="ULT474" s="340"/>
      <c r="ULU474" s="340"/>
      <c r="ULV474" s="340"/>
      <c r="ULW474" s="340"/>
      <c r="ULX474" s="340"/>
      <c r="ULY474" s="340"/>
      <c r="ULZ474" s="340"/>
      <c r="UMA474" s="340"/>
      <c r="UMB474" s="340"/>
      <c r="UMC474" s="340"/>
      <c r="UMD474" s="340"/>
      <c r="UME474" s="340"/>
      <c r="UMF474" s="340"/>
      <c r="UMG474" s="340"/>
      <c r="UMH474" s="340"/>
      <c r="UMI474" s="340"/>
      <c r="UMJ474" s="340"/>
      <c r="UMK474" s="340"/>
      <c r="UML474" s="340"/>
      <c r="UMM474" s="340"/>
      <c r="UMN474" s="340"/>
      <c r="UMO474" s="340"/>
      <c r="UMP474" s="340"/>
      <c r="UMQ474" s="340"/>
      <c r="UMR474" s="340"/>
      <c r="UMS474" s="340"/>
      <c r="UMT474" s="340"/>
      <c r="UMU474" s="340"/>
      <c r="UMV474" s="340"/>
      <c r="UMW474" s="340"/>
      <c r="UMX474" s="340"/>
      <c r="UMY474" s="340"/>
      <c r="UMZ474" s="340"/>
      <c r="UNA474" s="340"/>
      <c r="UNB474" s="340"/>
      <c r="UNC474" s="340"/>
      <c r="UND474" s="340"/>
      <c r="UNE474" s="340"/>
      <c r="UNF474" s="340"/>
      <c r="UNG474" s="340"/>
      <c r="UNH474" s="340"/>
      <c r="UNI474" s="340"/>
      <c r="UNJ474" s="340"/>
      <c r="UNK474" s="340"/>
      <c r="UNL474" s="340"/>
      <c r="UNM474" s="340"/>
      <c r="UNN474" s="340"/>
      <c r="UNO474" s="340"/>
      <c r="UNP474" s="340"/>
      <c r="UNQ474" s="340"/>
      <c r="UNR474" s="340"/>
      <c r="UNS474" s="340"/>
      <c r="UNT474" s="340"/>
      <c r="UNU474" s="340"/>
      <c r="UNV474" s="340"/>
      <c r="UNW474" s="340"/>
      <c r="UNX474" s="340"/>
      <c r="UNY474" s="340"/>
      <c r="UNZ474" s="340"/>
      <c r="UOA474" s="340"/>
      <c r="UOB474" s="340"/>
      <c r="UOC474" s="340"/>
      <c r="UOD474" s="340"/>
      <c r="UOE474" s="340"/>
      <c r="UOF474" s="340"/>
      <c r="UOG474" s="340"/>
      <c r="UOH474" s="340"/>
      <c r="UOI474" s="340"/>
      <c r="UOJ474" s="340"/>
      <c r="UOK474" s="340"/>
      <c r="UOL474" s="340"/>
      <c r="UOM474" s="340"/>
      <c r="UON474" s="340"/>
      <c r="UOO474" s="340"/>
      <c r="UOP474" s="340"/>
      <c r="UOQ474" s="340"/>
      <c r="UOR474" s="340"/>
      <c r="UOS474" s="340"/>
      <c r="UOT474" s="340"/>
      <c r="UOU474" s="340"/>
      <c r="UOV474" s="340"/>
      <c r="UOW474" s="340"/>
      <c r="UOX474" s="340"/>
      <c r="UOY474" s="340"/>
      <c r="UOZ474" s="340"/>
      <c r="UPA474" s="340"/>
      <c r="UPB474" s="340"/>
      <c r="UPC474" s="340"/>
      <c r="UPD474" s="340"/>
      <c r="UPE474" s="340"/>
      <c r="UPF474" s="340"/>
      <c r="UPG474" s="340"/>
      <c r="UPH474" s="340"/>
      <c r="UPI474" s="340"/>
      <c r="UPJ474" s="340"/>
      <c r="UPK474" s="340"/>
      <c r="UPL474" s="340"/>
      <c r="UPM474" s="340"/>
      <c r="UPN474" s="340"/>
      <c r="UPO474" s="340"/>
      <c r="UPP474" s="340"/>
      <c r="UPQ474" s="340"/>
      <c r="UPR474" s="340"/>
      <c r="UPS474" s="340"/>
      <c r="UPT474" s="340"/>
      <c r="UPU474" s="340"/>
      <c r="UPV474" s="340"/>
      <c r="UPW474" s="340"/>
      <c r="UPX474" s="340"/>
      <c r="UPY474" s="340"/>
      <c r="UPZ474" s="340"/>
      <c r="UQA474" s="340"/>
      <c r="UQB474" s="340"/>
      <c r="UQC474" s="340"/>
      <c r="UQD474" s="340"/>
      <c r="UQE474" s="340"/>
      <c r="UQF474" s="340"/>
      <c r="UQG474" s="340"/>
      <c r="UQH474" s="340"/>
      <c r="UQI474" s="340"/>
      <c r="UQJ474" s="340"/>
      <c r="UQK474" s="340"/>
      <c r="UQL474" s="340"/>
      <c r="UQM474" s="340"/>
      <c r="UQN474" s="340"/>
      <c r="UQO474" s="340"/>
      <c r="UQP474" s="340"/>
      <c r="UQQ474" s="340"/>
      <c r="UQR474" s="340"/>
      <c r="UQS474" s="340"/>
      <c r="UQT474" s="340"/>
      <c r="UQU474" s="340"/>
      <c r="UQV474" s="340"/>
      <c r="UQW474" s="340"/>
      <c r="UQX474" s="340"/>
      <c r="UQY474" s="340"/>
      <c r="UQZ474" s="340"/>
      <c r="URA474" s="340"/>
      <c r="URB474" s="340"/>
      <c r="URC474" s="340"/>
      <c r="URD474" s="340"/>
      <c r="URE474" s="340"/>
      <c r="URF474" s="340"/>
      <c r="URG474" s="340"/>
      <c r="URH474" s="340"/>
      <c r="URI474" s="340"/>
      <c r="URJ474" s="340"/>
      <c r="URK474" s="340"/>
      <c r="URL474" s="340"/>
      <c r="URM474" s="340"/>
      <c r="URN474" s="340"/>
      <c r="URO474" s="340"/>
      <c r="URP474" s="340"/>
      <c r="URQ474" s="340"/>
      <c r="URR474" s="340"/>
      <c r="URS474" s="340"/>
      <c r="URT474" s="340"/>
      <c r="URU474" s="340"/>
      <c r="URV474" s="340"/>
      <c r="URW474" s="340"/>
      <c r="URX474" s="340"/>
      <c r="URY474" s="340"/>
      <c r="URZ474" s="340"/>
      <c r="USA474" s="340"/>
      <c r="USB474" s="340"/>
      <c r="USC474" s="340"/>
      <c r="USD474" s="340"/>
      <c r="USE474" s="340"/>
      <c r="USF474" s="340"/>
      <c r="USG474" s="340"/>
      <c r="USH474" s="340"/>
      <c r="USI474" s="340"/>
      <c r="USJ474" s="340"/>
      <c r="USK474" s="340"/>
      <c r="USL474" s="340"/>
      <c r="USM474" s="340"/>
      <c r="USN474" s="340"/>
      <c r="USO474" s="340"/>
      <c r="USP474" s="340"/>
      <c r="USQ474" s="340"/>
      <c r="USR474" s="340"/>
      <c r="USS474" s="340"/>
      <c r="UST474" s="340"/>
      <c r="USU474" s="340"/>
      <c r="USV474" s="340"/>
      <c r="USW474" s="340"/>
      <c r="USX474" s="340"/>
      <c r="USY474" s="340"/>
      <c r="USZ474" s="340"/>
      <c r="UTA474" s="340"/>
      <c r="UTB474" s="340"/>
      <c r="UTC474" s="340"/>
      <c r="UTD474" s="340"/>
      <c r="UTE474" s="340"/>
      <c r="UTF474" s="340"/>
      <c r="UTG474" s="340"/>
      <c r="UTH474" s="340"/>
      <c r="UTI474" s="340"/>
      <c r="UTJ474" s="340"/>
      <c r="UTK474" s="340"/>
      <c r="UTL474" s="340"/>
      <c r="UTM474" s="340"/>
      <c r="UTN474" s="340"/>
      <c r="UTO474" s="340"/>
      <c r="UTP474" s="340"/>
      <c r="UTQ474" s="340"/>
      <c r="UTR474" s="340"/>
      <c r="UTS474" s="340"/>
      <c r="UTT474" s="340"/>
      <c r="UTU474" s="340"/>
      <c r="UTV474" s="340"/>
      <c r="UTW474" s="340"/>
      <c r="UTX474" s="340"/>
      <c r="UTY474" s="340"/>
      <c r="UTZ474" s="340"/>
      <c r="UUA474" s="340"/>
      <c r="UUB474" s="340"/>
      <c r="UUC474" s="340"/>
      <c r="UUD474" s="340"/>
      <c r="UUE474" s="340"/>
      <c r="UUF474" s="340"/>
      <c r="UUG474" s="340"/>
      <c r="UUH474" s="340"/>
      <c r="UUI474" s="340"/>
      <c r="UUJ474" s="340"/>
      <c r="UUK474" s="340"/>
      <c r="UUL474" s="340"/>
      <c r="UUM474" s="340"/>
      <c r="UUN474" s="340"/>
      <c r="UUO474" s="340"/>
      <c r="UUP474" s="340"/>
      <c r="UUQ474" s="340"/>
      <c r="UUR474" s="340"/>
      <c r="UUS474" s="340"/>
      <c r="UUT474" s="340"/>
      <c r="UUU474" s="340"/>
      <c r="UUV474" s="340"/>
      <c r="UUW474" s="340"/>
      <c r="UUX474" s="340"/>
      <c r="UUY474" s="340"/>
      <c r="UUZ474" s="340"/>
      <c r="UVA474" s="340"/>
      <c r="UVB474" s="340"/>
      <c r="UVC474" s="340"/>
      <c r="UVD474" s="340"/>
      <c r="UVE474" s="340"/>
      <c r="UVF474" s="340"/>
      <c r="UVG474" s="340"/>
      <c r="UVH474" s="340"/>
      <c r="UVI474" s="340"/>
      <c r="UVJ474" s="340"/>
      <c r="UVK474" s="340"/>
      <c r="UVL474" s="340"/>
      <c r="UVM474" s="340"/>
      <c r="UVN474" s="340"/>
      <c r="UVO474" s="340"/>
      <c r="UVP474" s="340"/>
      <c r="UVQ474" s="340"/>
      <c r="UVR474" s="340"/>
      <c r="UVS474" s="340"/>
      <c r="UVT474" s="340"/>
      <c r="UVU474" s="340"/>
      <c r="UVV474" s="340"/>
      <c r="UVW474" s="340"/>
      <c r="UVX474" s="340"/>
      <c r="UVY474" s="340"/>
      <c r="UVZ474" s="340"/>
      <c r="UWA474" s="340"/>
      <c r="UWB474" s="340"/>
      <c r="UWC474" s="340"/>
      <c r="UWD474" s="340"/>
      <c r="UWE474" s="340"/>
      <c r="UWF474" s="340"/>
      <c r="UWG474" s="340"/>
      <c r="UWH474" s="340"/>
      <c r="UWI474" s="340"/>
      <c r="UWJ474" s="340"/>
      <c r="UWK474" s="340"/>
      <c r="UWL474" s="340"/>
      <c r="UWM474" s="340"/>
      <c r="UWN474" s="340"/>
      <c r="UWO474" s="340"/>
      <c r="UWP474" s="340"/>
      <c r="UWQ474" s="340"/>
      <c r="UWR474" s="340"/>
      <c r="UWS474" s="340"/>
      <c r="UWT474" s="340"/>
      <c r="UWU474" s="340"/>
      <c r="UWV474" s="340"/>
      <c r="UWW474" s="340"/>
      <c r="UWX474" s="340"/>
      <c r="UWY474" s="340"/>
      <c r="UWZ474" s="340"/>
      <c r="UXA474" s="340"/>
      <c r="UXB474" s="340"/>
      <c r="UXC474" s="340"/>
      <c r="UXD474" s="340"/>
      <c r="UXE474" s="340"/>
      <c r="UXF474" s="340"/>
      <c r="UXG474" s="340"/>
      <c r="UXH474" s="340"/>
      <c r="UXI474" s="340"/>
      <c r="UXJ474" s="340"/>
      <c r="UXK474" s="340"/>
      <c r="UXL474" s="340"/>
      <c r="UXM474" s="340"/>
      <c r="UXN474" s="340"/>
      <c r="UXO474" s="340"/>
      <c r="UXP474" s="340"/>
      <c r="UXQ474" s="340"/>
      <c r="UXR474" s="340"/>
      <c r="UXS474" s="340"/>
      <c r="UXT474" s="340"/>
      <c r="UXU474" s="340"/>
      <c r="UXV474" s="340"/>
      <c r="UXW474" s="340"/>
      <c r="UXX474" s="340"/>
      <c r="UXY474" s="340"/>
      <c r="UXZ474" s="340"/>
      <c r="UYA474" s="340"/>
      <c r="UYB474" s="340"/>
      <c r="UYC474" s="340"/>
      <c r="UYD474" s="340"/>
      <c r="UYE474" s="340"/>
      <c r="UYF474" s="340"/>
      <c r="UYG474" s="340"/>
      <c r="UYH474" s="340"/>
      <c r="UYI474" s="340"/>
      <c r="UYJ474" s="340"/>
      <c r="UYK474" s="340"/>
      <c r="UYL474" s="340"/>
      <c r="UYM474" s="340"/>
      <c r="UYN474" s="340"/>
      <c r="UYO474" s="340"/>
      <c r="UYP474" s="340"/>
      <c r="UYQ474" s="340"/>
      <c r="UYR474" s="340"/>
      <c r="UYS474" s="340"/>
      <c r="UYT474" s="340"/>
      <c r="UYU474" s="340"/>
      <c r="UYV474" s="340"/>
      <c r="UYW474" s="340"/>
      <c r="UYX474" s="340"/>
      <c r="UYY474" s="340"/>
      <c r="UYZ474" s="340"/>
      <c r="UZA474" s="340"/>
      <c r="UZB474" s="340"/>
      <c r="UZC474" s="340"/>
      <c r="UZD474" s="340"/>
      <c r="UZE474" s="340"/>
      <c r="UZF474" s="340"/>
      <c r="UZG474" s="340"/>
      <c r="UZH474" s="340"/>
      <c r="UZI474" s="340"/>
      <c r="UZJ474" s="340"/>
      <c r="UZK474" s="340"/>
      <c r="UZL474" s="340"/>
      <c r="UZM474" s="340"/>
      <c r="UZN474" s="340"/>
      <c r="UZO474" s="340"/>
      <c r="UZP474" s="340"/>
      <c r="UZQ474" s="340"/>
      <c r="UZR474" s="340"/>
      <c r="UZS474" s="340"/>
      <c r="UZT474" s="340"/>
      <c r="UZU474" s="340"/>
      <c r="UZV474" s="340"/>
      <c r="UZW474" s="340"/>
      <c r="UZX474" s="340"/>
      <c r="UZY474" s="340"/>
      <c r="UZZ474" s="340"/>
      <c r="VAA474" s="340"/>
      <c r="VAB474" s="340"/>
      <c r="VAC474" s="340"/>
      <c r="VAD474" s="340"/>
      <c r="VAE474" s="340"/>
      <c r="VAF474" s="340"/>
      <c r="VAG474" s="340"/>
      <c r="VAH474" s="340"/>
      <c r="VAI474" s="340"/>
      <c r="VAJ474" s="340"/>
      <c r="VAK474" s="340"/>
      <c r="VAL474" s="340"/>
      <c r="VAM474" s="340"/>
      <c r="VAN474" s="340"/>
      <c r="VAO474" s="340"/>
      <c r="VAP474" s="340"/>
      <c r="VAQ474" s="340"/>
      <c r="VAR474" s="340"/>
      <c r="VAS474" s="340"/>
      <c r="VAT474" s="340"/>
      <c r="VAU474" s="340"/>
      <c r="VAV474" s="340"/>
      <c r="VAW474" s="340"/>
      <c r="VAX474" s="340"/>
      <c r="VAY474" s="340"/>
      <c r="VAZ474" s="340"/>
      <c r="VBA474" s="340"/>
      <c r="VBB474" s="340"/>
      <c r="VBC474" s="340"/>
      <c r="VBD474" s="340"/>
      <c r="VBE474" s="340"/>
      <c r="VBF474" s="340"/>
      <c r="VBG474" s="340"/>
      <c r="VBH474" s="340"/>
      <c r="VBI474" s="340"/>
      <c r="VBJ474" s="340"/>
      <c r="VBK474" s="340"/>
      <c r="VBL474" s="340"/>
      <c r="VBM474" s="340"/>
      <c r="VBN474" s="340"/>
      <c r="VBO474" s="340"/>
      <c r="VBP474" s="340"/>
      <c r="VBQ474" s="340"/>
      <c r="VBR474" s="340"/>
      <c r="VBS474" s="340"/>
      <c r="VBT474" s="340"/>
      <c r="VBU474" s="340"/>
      <c r="VBV474" s="340"/>
      <c r="VBW474" s="340"/>
      <c r="VBX474" s="340"/>
      <c r="VBY474" s="340"/>
      <c r="VBZ474" s="340"/>
      <c r="VCA474" s="340"/>
      <c r="VCB474" s="340"/>
      <c r="VCC474" s="340"/>
      <c r="VCD474" s="340"/>
      <c r="VCE474" s="340"/>
      <c r="VCF474" s="340"/>
      <c r="VCG474" s="340"/>
      <c r="VCH474" s="340"/>
      <c r="VCI474" s="340"/>
      <c r="VCJ474" s="340"/>
      <c r="VCK474" s="340"/>
      <c r="VCL474" s="340"/>
      <c r="VCM474" s="340"/>
      <c r="VCN474" s="340"/>
      <c r="VCO474" s="340"/>
      <c r="VCP474" s="340"/>
      <c r="VCQ474" s="340"/>
      <c r="VCR474" s="340"/>
      <c r="VCS474" s="340"/>
      <c r="VCT474" s="340"/>
      <c r="VCU474" s="340"/>
      <c r="VCV474" s="340"/>
      <c r="VCW474" s="340"/>
      <c r="VCX474" s="340"/>
      <c r="VCY474" s="340"/>
      <c r="VCZ474" s="340"/>
      <c r="VDA474" s="340"/>
      <c r="VDB474" s="340"/>
      <c r="VDC474" s="340"/>
      <c r="VDD474" s="340"/>
      <c r="VDE474" s="340"/>
      <c r="VDF474" s="340"/>
      <c r="VDG474" s="340"/>
      <c r="VDH474" s="340"/>
      <c r="VDI474" s="340"/>
      <c r="VDJ474" s="340"/>
      <c r="VDK474" s="340"/>
      <c r="VDL474" s="340"/>
      <c r="VDM474" s="340"/>
      <c r="VDN474" s="340"/>
      <c r="VDO474" s="340"/>
      <c r="VDP474" s="340"/>
      <c r="VDQ474" s="340"/>
      <c r="VDR474" s="340"/>
      <c r="VDS474" s="340"/>
      <c r="VDT474" s="340"/>
      <c r="VDU474" s="340"/>
      <c r="VDV474" s="340"/>
      <c r="VDW474" s="340"/>
      <c r="VDX474" s="340"/>
      <c r="VDY474" s="340"/>
      <c r="VDZ474" s="340"/>
      <c r="VEA474" s="340"/>
      <c r="VEB474" s="340"/>
      <c r="VEC474" s="340"/>
      <c r="VED474" s="340"/>
      <c r="VEE474" s="340"/>
      <c r="VEF474" s="340"/>
      <c r="VEG474" s="340"/>
      <c r="VEH474" s="340"/>
      <c r="VEI474" s="340"/>
      <c r="VEJ474" s="340"/>
      <c r="VEK474" s="340"/>
      <c r="VEL474" s="340"/>
      <c r="VEM474" s="340"/>
      <c r="VEN474" s="340"/>
      <c r="VEO474" s="340"/>
      <c r="VEP474" s="340"/>
      <c r="VEQ474" s="340"/>
      <c r="VER474" s="340"/>
      <c r="VES474" s="340"/>
      <c r="VET474" s="340"/>
      <c r="VEU474" s="340"/>
      <c r="VEV474" s="340"/>
      <c r="VEW474" s="340"/>
      <c r="VEX474" s="340"/>
      <c r="VEY474" s="340"/>
      <c r="VEZ474" s="340"/>
      <c r="VFA474" s="340"/>
      <c r="VFB474" s="340"/>
      <c r="VFC474" s="340"/>
      <c r="VFD474" s="340"/>
      <c r="VFE474" s="340"/>
      <c r="VFF474" s="340"/>
      <c r="VFG474" s="340"/>
      <c r="VFH474" s="340"/>
      <c r="VFI474" s="340"/>
      <c r="VFJ474" s="340"/>
      <c r="VFK474" s="340"/>
      <c r="VFL474" s="340"/>
      <c r="VFM474" s="340"/>
      <c r="VFN474" s="340"/>
      <c r="VFO474" s="340"/>
      <c r="VFP474" s="340"/>
      <c r="VFQ474" s="340"/>
      <c r="VFR474" s="340"/>
      <c r="VFS474" s="340"/>
      <c r="VFT474" s="340"/>
      <c r="VFU474" s="340"/>
      <c r="VFV474" s="340"/>
      <c r="VFW474" s="340"/>
      <c r="VFX474" s="340"/>
      <c r="VFY474" s="340"/>
      <c r="VFZ474" s="340"/>
      <c r="VGA474" s="340"/>
      <c r="VGB474" s="340"/>
      <c r="VGC474" s="340"/>
      <c r="VGD474" s="340"/>
      <c r="VGE474" s="340"/>
      <c r="VGF474" s="340"/>
      <c r="VGG474" s="340"/>
      <c r="VGH474" s="340"/>
      <c r="VGI474" s="340"/>
      <c r="VGJ474" s="340"/>
      <c r="VGK474" s="340"/>
      <c r="VGL474" s="340"/>
      <c r="VGM474" s="340"/>
      <c r="VGN474" s="340"/>
      <c r="VGO474" s="340"/>
      <c r="VGP474" s="340"/>
      <c r="VGQ474" s="340"/>
      <c r="VGR474" s="340"/>
      <c r="VGS474" s="340"/>
      <c r="VGT474" s="340"/>
      <c r="VGU474" s="340"/>
      <c r="VGV474" s="340"/>
      <c r="VGW474" s="340"/>
      <c r="VGX474" s="340"/>
      <c r="VGY474" s="340"/>
      <c r="VGZ474" s="340"/>
      <c r="VHA474" s="340"/>
      <c r="VHB474" s="340"/>
      <c r="VHC474" s="340"/>
      <c r="VHD474" s="340"/>
      <c r="VHE474" s="340"/>
      <c r="VHF474" s="340"/>
      <c r="VHG474" s="340"/>
      <c r="VHH474" s="340"/>
      <c r="VHI474" s="340"/>
      <c r="VHJ474" s="340"/>
      <c r="VHK474" s="340"/>
      <c r="VHL474" s="340"/>
      <c r="VHM474" s="340"/>
      <c r="VHN474" s="340"/>
      <c r="VHO474" s="340"/>
      <c r="VHP474" s="340"/>
      <c r="VHQ474" s="340"/>
      <c r="VHR474" s="340"/>
      <c r="VHS474" s="340"/>
      <c r="VHT474" s="340"/>
      <c r="VHU474" s="340"/>
      <c r="VHV474" s="340"/>
      <c r="VHW474" s="340"/>
      <c r="VHX474" s="340"/>
      <c r="VHY474" s="340"/>
      <c r="VHZ474" s="340"/>
      <c r="VIA474" s="340"/>
      <c r="VIB474" s="340"/>
      <c r="VIC474" s="340"/>
      <c r="VID474" s="340"/>
      <c r="VIE474" s="340"/>
      <c r="VIF474" s="340"/>
      <c r="VIG474" s="340"/>
      <c r="VIH474" s="340"/>
      <c r="VII474" s="340"/>
      <c r="VIJ474" s="340"/>
      <c r="VIK474" s="340"/>
      <c r="VIL474" s="340"/>
      <c r="VIM474" s="340"/>
      <c r="VIN474" s="340"/>
      <c r="VIO474" s="340"/>
      <c r="VIP474" s="340"/>
      <c r="VIQ474" s="340"/>
      <c r="VIR474" s="340"/>
      <c r="VIS474" s="340"/>
      <c r="VIT474" s="340"/>
      <c r="VIU474" s="340"/>
      <c r="VIV474" s="340"/>
      <c r="VIW474" s="340"/>
      <c r="VIX474" s="340"/>
      <c r="VIY474" s="340"/>
      <c r="VIZ474" s="340"/>
      <c r="VJA474" s="340"/>
      <c r="VJB474" s="340"/>
      <c r="VJC474" s="340"/>
      <c r="VJD474" s="340"/>
      <c r="VJE474" s="340"/>
      <c r="VJF474" s="340"/>
      <c r="VJG474" s="340"/>
      <c r="VJH474" s="340"/>
      <c r="VJI474" s="340"/>
      <c r="VJJ474" s="340"/>
      <c r="VJK474" s="340"/>
      <c r="VJL474" s="340"/>
      <c r="VJM474" s="340"/>
      <c r="VJN474" s="340"/>
      <c r="VJO474" s="340"/>
      <c r="VJP474" s="340"/>
      <c r="VJQ474" s="340"/>
      <c r="VJR474" s="340"/>
      <c r="VJS474" s="340"/>
      <c r="VJT474" s="340"/>
      <c r="VJU474" s="340"/>
      <c r="VJV474" s="340"/>
      <c r="VJW474" s="340"/>
      <c r="VJX474" s="340"/>
      <c r="VJY474" s="340"/>
      <c r="VJZ474" s="340"/>
      <c r="VKA474" s="340"/>
      <c r="VKB474" s="340"/>
      <c r="VKC474" s="340"/>
      <c r="VKD474" s="340"/>
      <c r="VKE474" s="340"/>
      <c r="VKF474" s="340"/>
      <c r="VKG474" s="340"/>
      <c r="VKH474" s="340"/>
      <c r="VKI474" s="340"/>
      <c r="VKJ474" s="340"/>
      <c r="VKK474" s="340"/>
      <c r="VKL474" s="340"/>
      <c r="VKM474" s="340"/>
      <c r="VKN474" s="340"/>
      <c r="VKO474" s="340"/>
      <c r="VKP474" s="340"/>
      <c r="VKQ474" s="340"/>
      <c r="VKR474" s="340"/>
      <c r="VKS474" s="340"/>
      <c r="VKT474" s="340"/>
      <c r="VKU474" s="340"/>
      <c r="VKV474" s="340"/>
      <c r="VKW474" s="340"/>
      <c r="VKX474" s="340"/>
      <c r="VKY474" s="340"/>
      <c r="VKZ474" s="340"/>
      <c r="VLA474" s="340"/>
      <c r="VLB474" s="340"/>
      <c r="VLC474" s="340"/>
      <c r="VLD474" s="340"/>
      <c r="VLE474" s="340"/>
      <c r="VLF474" s="340"/>
      <c r="VLG474" s="340"/>
      <c r="VLH474" s="340"/>
      <c r="VLI474" s="340"/>
      <c r="VLJ474" s="340"/>
      <c r="VLK474" s="340"/>
      <c r="VLL474" s="340"/>
      <c r="VLM474" s="340"/>
      <c r="VLN474" s="340"/>
      <c r="VLO474" s="340"/>
      <c r="VLP474" s="340"/>
      <c r="VLQ474" s="340"/>
      <c r="VLR474" s="340"/>
      <c r="VLS474" s="340"/>
      <c r="VLT474" s="340"/>
      <c r="VLU474" s="340"/>
      <c r="VLV474" s="340"/>
      <c r="VLW474" s="340"/>
      <c r="VLX474" s="340"/>
      <c r="VLY474" s="340"/>
      <c r="VLZ474" s="340"/>
      <c r="VMA474" s="340"/>
      <c r="VMB474" s="340"/>
      <c r="VMC474" s="340"/>
      <c r="VMD474" s="340"/>
      <c r="VME474" s="340"/>
      <c r="VMF474" s="340"/>
      <c r="VMG474" s="340"/>
      <c r="VMH474" s="340"/>
      <c r="VMI474" s="340"/>
      <c r="VMJ474" s="340"/>
      <c r="VMK474" s="340"/>
      <c r="VML474" s="340"/>
      <c r="VMM474" s="340"/>
      <c r="VMN474" s="340"/>
      <c r="VMO474" s="340"/>
      <c r="VMP474" s="340"/>
      <c r="VMQ474" s="340"/>
      <c r="VMR474" s="340"/>
      <c r="VMS474" s="340"/>
      <c r="VMT474" s="340"/>
      <c r="VMU474" s="340"/>
      <c r="VMV474" s="340"/>
      <c r="VMW474" s="340"/>
      <c r="VMX474" s="340"/>
      <c r="VMY474" s="340"/>
      <c r="VMZ474" s="340"/>
      <c r="VNA474" s="340"/>
      <c r="VNB474" s="340"/>
      <c r="VNC474" s="340"/>
      <c r="VND474" s="340"/>
      <c r="VNE474" s="340"/>
      <c r="VNF474" s="340"/>
      <c r="VNG474" s="340"/>
      <c r="VNH474" s="340"/>
      <c r="VNI474" s="340"/>
      <c r="VNJ474" s="340"/>
      <c r="VNK474" s="340"/>
      <c r="VNL474" s="340"/>
      <c r="VNM474" s="340"/>
      <c r="VNN474" s="340"/>
      <c r="VNO474" s="340"/>
      <c r="VNP474" s="340"/>
      <c r="VNQ474" s="340"/>
      <c r="VNR474" s="340"/>
      <c r="VNS474" s="340"/>
      <c r="VNT474" s="340"/>
      <c r="VNU474" s="340"/>
      <c r="VNV474" s="340"/>
      <c r="VNW474" s="340"/>
      <c r="VNX474" s="340"/>
      <c r="VNY474" s="340"/>
      <c r="VNZ474" s="340"/>
      <c r="VOA474" s="340"/>
      <c r="VOB474" s="340"/>
      <c r="VOC474" s="340"/>
      <c r="VOD474" s="340"/>
      <c r="VOE474" s="340"/>
      <c r="VOF474" s="340"/>
      <c r="VOG474" s="340"/>
      <c r="VOH474" s="340"/>
      <c r="VOI474" s="340"/>
      <c r="VOJ474" s="340"/>
      <c r="VOK474" s="340"/>
      <c r="VOL474" s="340"/>
      <c r="VOM474" s="340"/>
      <c r="VON474" s="340"/>
      <c r="VOO474" s="340"/>
      <c r="VOP474" s="340"/>
      <c r="VOQ474" s="340"/>
      <c r="VOR474" s="340"/>
      <c r="VOS474" s="340"/>
      <c r="VOT474" s="340"/>
      <c r="VOU474" s="340"/>
      <c r="VOV474" s="340"/>
      <c r="VOW474" s="340"/>
      <c r="VOX474" s="340"/>
      <c r="VOY474" s="340"/>
      <c r="VOZ474" s="340"/>
      <c r="VPA474" s="340"/>
      <c r="VPB474" s="340"/>
      <c r="VPC474" s="340"/>
      <c r="VPD474" s="340"/>
      <c r="VPE474" s="340"/>
      <c r="VPF474" s="340"/>
      <c r="VPG474" s="340"/>
      <c r="VPH474" s="340"/>
      <c r="VPI474" s="340"/>
      <c r="VPJ474" s="340"/>
      <c r="VPK474" s="340"/>
      <c r="VPL474" s="340"/>
      <c r="VPM474" s="340"/>
      <c r="VPN474" s="340"/>
      <c r="VPO474" s="340"/>
      <c r="VPP474" s="340"/>
      <c r="VPQ474" s="340"/>
      <c r="VPR474" s="340"/>
      <c r="VPS474" s="340"/>
      <c r="VPT474" s="340"/>
      <c r="VPU474" s="340"/>
      <c r="VPV474" s="340"/>
      <c r="VPW474" s="340"/>
      <c r="VPX474" s="340"/>
      <c r="VPY474" s="340"/>
      <c r="VPZ474" s="340"/>
      <c r="VQA474" s="340"/>
      <c r="VQB474" s="340"/>
      <c r="VQC474" s="340"/>
      <c r="VQD474" s="340"/>
      <c r="VQE474" s="340"/>
      <c r="VQF474" s="340"/>
      <c r="VQG474" s="340"/>
      <c r="VQH474" s="340"/>
      <c r="VQI474" s="340"/>
      <c r="VQJ474" s="340"/>
      <c r="VQK474" s="340"/>
      <c r="VQL474" s="340"/>
      <c r="VQM474" s="340"/>
      <c r="VQN474" s="340"/>
      <c r="VQO474" s="340"/>
      <c r="VQP474" s="340"/>
      <c r="VQQ474" s="340"/>
      <c r="VQR474" s="340"/>
      <c r="VQS474" s="340"/>
      <c r="VQT474" s="340"/>
      <c r="VQU474" s="340"/>
      <c r="VQV474" s="340"/>
      <c r="VQW474" s="340"/>
      <c r="VQX474" s="340"/>
      <c r="VQY474" s="340"/>
      <c r="VQZ474" s="340"/>
      <c r="VRA474" s="340"/>
      <c r="VRB474" s="340"/>
      <c r="VRC474" s="340"/>
      <c r="VRD474" s="340"/>
      <c r="VRE474" s="340"/>
      <c r="VRF474" s="340"/>
      <c r="VRG474" s="340"/>
      <c r="VRH474" s="340"/>
      <c r="VRI474" s="340"/>
      <c r="VRJ474" s="340"/>
      <c r="VRK474" s="340"/>
      <c r="VRL474" s="340"/>
      <c r="VRM474" s="340"/>
      <c r="VRN474" s="340"/>
      <c r="VRO474" s="340"/>
      <c r="VRP474" s="340"/>
      <c r="VRQ474" s="340"/>
      <c r="VRR474" s="340"/>
      <c r="VRS474" s="340"/>
      <c r="VRT474" s="340"/>
      <c r="VRU474" s="340"/>
      <c r="VRV474" s="340"/>
      <c r="VRW474" s="340"/>
      <c r="VRX474" s="340"/>
      <c r="VRY474" s="340"/>
      <c r="VRZ474" s="340"/>
      <c r="VSA474" s="340"/>
      <c r="VSB474" s="340"/>
      <c r="VSC474" s="340"/>
      <c r="VSD474" s="340"/>
      <c r="VSE474" s="340"/>
      <c r="VSF474" s="340"/>
      <c r="VSG474" s="340"/>
      <c r="VSH474" s="340"/>
      <c r="VSI474" s="340"/>
      <c r="VSJ474" s="340"/>
      <c r="VSK474" s="340"/>
      <c r="VSL474" s="340"/>
      <c r="VSM474" s="340"/>
      <c r="VSN474" s="340"/>
      <c r="VSO474" s="340"/>
      <c r="VSP474" s="340"/>
      <c r="VSQ474" s="340"/>
      <c r="VSR474" s="340"/>
      <c r="VSS474" s="340"/>
      <c r="VST474" s="340"/>
      <c r="VSU474" s="340"/>
      <c r="VSV474" s="340"/>
      <c r="VSW474" s="340"/>
      <c r="VSX474" s="340"/>
      <c r="VSY474" s="340"/>
      <c r="VSZ474" s="340"/>
      <c r="VTA474" s="340"/>
      <c r="VTB474" s="340"/>
      <c r="VTC474" s="340"/>
      <c r="VTD474" s="340"/>
      <c r="VTE474" s="340"/>
      <c r="VTF474" s="340"/>
      <c r="VTG474" s="340"/>
      <c r="VTH474" s="340"/>
      <c r="VTI474" s="340"/>
      <c r="VTJ474" s="340"/>
      <c r="VTK474" s="340"/>
      <c r="VTL474" s="340"/>
      <c r="VTM474" s="340"/>
      <c r="VTN474" s="340"/>
      <c r="VTO474" s="340"/>
      <c r="VTP474" s="340"/>
      <c r="VTQ474" s="340"/>
      <c r="VTR474" s="340"/>
      <c r="VTS474" s="340"/>
      <c r="VTT474" s="340"/>
      <c r="VTU474" s="340"/>
      <c r="VTV474" s="340"/>
      <c r="VTW474" s="340"/>
      <c r="VTX474" s="340"/>
      <c r="VTY474" s="340"/>
      <c r="VTZ474" s="340"/>
      <c r="VUA474" s="340"/>
      <c r="VUB474" s="340"/>
      <c r="VUC474" s="340"/>
      <c r="VUD474" s="340"/>
      <c r="VUE474" s="340"/>
      <c r="VUF474" s="340"/>
      <c r="VUG474" s="340"/>
      <c r="VUH474" s="340"/>
      <c r="VUI474" s="340"/>
      <c r="VUJ474" s="340"/>
      <c r="VUK474" s="340"/>
      <c r="VUL474" s="340"/>
      <c r="VUM474" s="340"/>
      <c r="VUN474" s="340"/>
      <c r="VUO474" s="340"/>
      <c r="VUP474" s="340"/>
      <c r="VUQ474" s="340"/>
      <c r="VUR474" s="340"/>
      <c r="VUS474" s="340"/>
      <c r="VUT474" s="340"/>
      <c r="VUU474" s="340"/>
      <c r="VUV474" s="340"/>
      <c r="VUW474" s="340"/>
      <c r="VUX474" s="340"/>
      <c r="VUY474" s="340"/>
      <c r="VUZ474" s="340"/>
      <c r="VVA474" s="340"/>
      <c r="VVB474" s="340"/>
      <c r="VVC474" s="340"/>
      <c r="VVD474" s="340"/>
      <c r="VVE474" s="340"/>
      <c r="VVF474" s="340"/>
      <c r="VVG474" s="340"/>
      <c r="VVH474" s="340"/>
      <c r="VVI474" s="340"/>
      <c r="VVJ474" s="340"/>
      <c r="VVK474" s="340"/>
      <c r="VVL474" s="340"/>
      <c r="VVM474" s="340"/>
      <c r="VVN474" s="340"/>
      <c r="VVO474" s="340"/>
      <c r="VVP474" s="340"/>
      <c r="VVQ474" s="340"/>
      <c r="VVR474" s="340"/>
      <c r="VVS474" s="340"/>
      <c r="VVT474" s="340"/>
      <c r="VVU474" s="340"/>
      <c r="VVV474" s="340"/>
      <c r="VVW474" s="340"/>
      <c r="VVX474" s="340"/>
      <c r="VVY474" s="340"/>
      <c r="VVZ474" s="340"/>
      <c r="VWA474" s="340"/>
      <c r="VWB474" s="340"/>
      <c r="VWC474" s="340"/>
      <c r="VWD474" s="340"/>
      <c r="VWE474" s="340"/>
      <c r="VWF474" s="340"/>
      <c r="VWG474" s="340"/>
      <c r="VWH474" s="340"/>
      <c r="VWI474" s="340"/>
      <c r="VWJ474" s="340"/>
      <c r="VWK474" s="340"/>
      <c r="VWL474" s="340"/>
      <c r="VWM474" s="340"/>
      <c r="VWN474" s="340"/>
      <c r="VWO474" s="340"/>
      <c r="VWP474" s="340"/>
      <c r="VWQ474" s="340"/>
      <c r="VWR474" s="340"/>
      <c r="VWS474" s="340"/>
      <c r="VWT474" s="340"/>
      <c r="VWU474" s="340"/>
      <c r="VWV474" s="340"/>
      <c r="VWW474" s="340"/>
      <c r="VWX474" s="340"/>
      <c r="VWY474" s="340"/>
      <c r="VWZ474" s="340"/>
      <c r="VXA474" s="340"/>
      <c r="VXB474" s="340"/>
      <c r="VXC474" s="340"/>
      <c r="VXD474" s="340"/>
      <c r="VXE474" s="340"/>
      <c r="VXF474" s="340"/>
      <c r="VXG474" s="340"/>
      <c r="VXH474" s="340"/>
      <c r="VXI474" s="340"/>
      <c r="VXJ474" s="340"/>
      <c r="VXK474" s="340"/>
      <c r="VXL474" s="340"/>
      <c r="VXM474" s="340"/>
      <c r="VXN474" s="340"/>
      <c r="VXO474" s="340"/>
      <c r="VXP474" s="340"/>
      <c r="VXQ474" s="340"/>
      <c r="VXR474" s="340"/>
      <c r="VXS474" s="340"/>
      <c r="VXT474" s="340"/>
      <c r="VXU474" s="340"/>
      <c r="VXV474" s="340"/>
      <c r="VXW474" s="340"/>
      <c r="VXX474" s="340"/>
      <c r="VXY474" s="340"/>
      <c r="VXZ474" s="340"/>
      <c r="VYA474" s="340"/>
      <c r="VYB474" s="340"/>
      <c r="VYC474" s="340"/>
      <c r="VYD474" s="340"/>
      <c r="VYE474" s="340"/>
      <c r="VYF474" s="340"/>
      <c r="VYG474" s="340"/>
      <c r="VYH474" s="340"/>
      <c r="VYI474" s="340"/>
      <c r="VYJ474" s="340"/>
      <c r="VYK474" s="340"/>
      <c r="VYL474" s="340"/>
      <c r="VYM474" s="340"/>
      <c r="VYN474" s="340"/>
      <c r="VYO474" s="340"/>
      <c r="VYP474" s="340"/>
      <c r="VYQ474" s="340"/>
      <c r="VYR474" s="340"/>
      <c r="VYS474" s="340"/>
      <c r="VYT474" s="340"/>
      <c r="VYU474" s="340"/>
      <c r="VYV474" s="340"/>
      <c r="VYW474" s="340"/>
      <c r="VYX474" s="340"/>
      <c r="VYY474" s="340"/>
      <c r="VYZ474" s="340"/>
      <c r="VZA474" s="340"/>
      <c r="VZB474" s="340"/>
      <c r="VZC474" s="340"/>
      <c r="VZD474" s="340"/>
      <c r="VZE474" s="340"/>
      <c r="VZF474" s="340"/>
      <c r="VZG474" s="340"/>
      <c r="VZH474" s="340"/>
      <c r="VZI474" s="340"/>
      <c r="VZJ474" s="340"/>
      <c r="VZK474" s="340"/>
      <c r="VZL474" s="340"/>
      <c r="VZM474" s="340"/>
      <c r="VZN474" s="340"/>
      <c r="VZO474" s="340"/>
      <c r="VZP474" s="340"/>
      <c r="VZQ474" s="340"/>
      <c r="VZR474" s="340"/>
      <c r="VZS474" s="340"/>
      <c r="VZT474" s="340"/>
      <c r="VZU474" s="340"/>
      <c r="VZV474" s="340"/>
      <c r="VZW474" s="340"/>
      <c r="VZX474" s="340"/>
      <c r="VZY474" s="340"/>
      <c r="VZZ474" s="340"/>
      <c r="WAA474" s="340"/>
      <c r="WAB474" s="340"/>
      <c r="WAC474" s="340"/>
      <c r="WAD474" s="340"/>
      <c r="WAE474" s="340"/>
      <c r="WAF474" s="340"/>
      <c r="WAG474" s="340"/>
      <c r="WAH474" s="340"/>
      <c r="WAI474" s="340"/>
      <c r="WAJ474" s="340"/>
      <c r="WAK474" s="340"/>
      <c r="WAL474" s="340"/>
      <c r="WAM474" s="340"/>
      <c r="WAN474" s="340"/>
      <c r="WAO474" s="340"/>
      <c r="WAP474" s="340"/>
      <c r="WAQ474" s="340"/>
      <c r="WAR474" s="340"/>
      <c r="WAS474" s="340"/>
      <c r="WAT474" s="340"/>
      <c r="WAU474" s="340"/>
      <c r="WAV474" s="340"/>
      <c r="WAW474" s="340"/>
      <c r="WAX474" s="340"/>
      <c r="WAY474" s="340"/>
      <c r="WAZ474" s="340"/>
      <c r="WBA474" s="340"/>
      <c r="WBB474" s="340"/>
      <c r="WBC474" s="340"/>
      <c r="WBD474" s="340"/>
      <c r="WBE474" s="340"/>
      <c r="WBF474" s="340"/>
      <c r="WBG474" s="340"/>
      <c r="WBH474" s="340"/>
      <c r="WBI474" s="340"/>
      <c r="WBJ474" s="340"/>
      <c r="WBK474" s="340"/>
      <c r="WBL474" s="340"/>
      <c r="WBM474" s="340"/>
      <c r="WBN474" s="340"/>
      <c r="WBO474" s="340"/>
      <c r="WBP474" s="340"/>
      <c r="WBQ474" s="340"/>
      <c r="WBR474" s="340"/>
      <c r="WBS474" s="340"/>
      <c r="WBT474" s="340"/>
      <c r="WBU474" s="340"/>
      <c r="WBV474" s="340"/>
      <c r="WBW474" s="340"/>
      <c r="WBX474" s="340"/>
      <c r="WBY474" s="340"/>
      <c r="WBZ474" s="340"/>
      <c r="WCA474" s="340"/>
      <c r="WCB474" s="340"/>
      <c r="WCC474" s="340"/>
      <c r="WCD474" s="340"/>
      <c r="WCE474" s="340"/>
      <c r="WCF474" s="340"/>
      <c r="WCG474" s="340"/>
      <c r="WCH474" s="340"/>
      <c r="WCI474" s="340"/>
      <c r="WCJ474" s="340"/>
      <c r="WCK474" s="340"/>
      <c r="WCL474" s="340"/>
      <c r="WCM474" s="340"/>
      <c r="WCN474" s="340"/>
      <c r="WCO474" s="340"/>
      <c r="WCP474" s="340"/>
      <c r="WCQ474" s="340"/>
      <c r="WCR474" s="340"/>
      <c r="WCS474" s="340"/>
      <c r="WCT474" s="340"/>
      <c r="WCU474" s="340"/>
      <c r="WCV474" s="340"/>
      <c r="WCW474" s="340"/>
      <c r="WCX474" s="340"/>
      <c r="WCY474" s="340"/>
      <c r="WCZ474" s="340"/>
      <c r="WDA474" s="340"/>
      <c r="WDB474" s="340"/>
      <c r="WDC474" s="340"/>
      <c r="WDD474" s="340"/>
      <c r="WDE474" s="340"/>
      <c r="WDF474" s="340"/>
      <c r="WDG474" s="340"/>
      <c r="WDH474" s="340"/>
      <c r="WDI474" s="340"/>
      <c r="WDJ474" s="340"/>
      <c r="WDK474" s="340"/>
      <c r="WDL474" s="340"/>
      <c r="WDM474" s="340"/>
      <c r="WDN474" s="340"/>
      <c r="WDO474" s="340"/>
      <c r="WDP474" s="340"/>
      <c r="WDQ474" s="340"/>
      <c r="WDR474" s="340"/>
      <c r="WDS474" s="340"/>
      <c r="WDT474" s="340"/>
      <c r="WDU474" s="340"/>
      <c r="WDV474" s="340"/>
      <c r="WDW474" s="340"/>
      <c r="WDX474" s="340"/>
      <c r="WDY474" s="340"/>
      <c r="WDZ474" s="340"/>
      <c r="WEA474" s="340"/>
      <c r="WEB474" s="340"/>
      <c r="WEC474" s="340"/>
      <c r="WED474" s="340"/>
      <c r="WEE474" s="340"/>
      <c r="WEF474" s="340"/>
      <c r="WEG474" s="340"/>
      <c r="WEH474" s="340"/>
      <c r="WEI474" s="340"/>
      <c r="WEJ474" s="340"/>
      <c r="WEK474" s="340"/>
      <c r="WEL474" s="340"/>
      <c r="WEM474" s="340"/>
      <c r="WEN474" s="340"/>
      <c r="WEO474" s="340"/>
      <c r="WEP474" s="340"/>
      <c r="WEQ474" s="340"/>
      <c r="WER474" s="340"/>
      <c r="WES474" s="340"/>
      <c r="WET474" s="340"/>
      <c r="WEU474" s="340"/>
      <c r="WEV474" s="340"/>
      <c r="WEW474" s="340"/>
      <c r="WEX474" s="340"/>
      <c r="WEY474" s="340"/>
      <c r="WEZ474" s="340"/>
      <c r="WFA474" s="340"/>
      <c r="WFB474" s="340"/>
      <c r="WFC474" s="340"/>
      <c r="WFD474" s="340"/>
      <c r="WFE474" s="340"/>
      <c r="WFF474" s="340"/>
      <c r="WFG474" s="340"/>
      <c r="WFH474" s="340"/>
      <c r="WFI474" s="340"/>
      <c r="WFJ474" s="340"/>
      <c r="WFK474" s="340"/>
      <c r="WFL474" s="340"/>
      <c r="WFM474" s="340"/>
      <c r="WFN474" s="340"/>
      <c r="WFO474" s="340"/>
      <c r="WFP474" s="340"/>
      <c r="WFQ474" s="340"/>
      <c r="WFR474" s="340"/>
      <c r="WFS474" s="340"/>
      <c r="WFT474" s="340"/>
      <c r="WFU474" s="340"/>
      <c r="WFV474" s="340"/>
      <c r="WFW474" s="340"/>
      <c r="WFX474" s="340"/>
      <c r="WFY474" s="340"/>
      <c r="WFZ474" s="340"/>
      <c r="WGA474" s="340"/>
      <c r="WGB474" s="340"/>
      <c r="WGC474" s="340"/>
      <c r="WGD474" s="340"/>
      <c r="WGE474" s="340"/>
      <c r="WGF474" s="340"/>
      <c r="WGG474" s="340"/>
      <c r="WGH474" s="340"/>
      <c r="WGI474" s="340"/>
      <c r="WGJ474" s="340"/>
      <c r="WGK474" s="340"/>
      <c r="WGL474" s="340"/>
      <c r="WGM474" s="340"/>
      <c r="WGN474" s="340"/>
      <c r="WGO474" s="340"/>
      <c r="WGP474" s="340"/>
      <c r="WGQ474" s="340"/>
      <c r="WGR474" s="340"/>
      <c r="WGS474" s="340"/>
      <c r="WGT474" s="340"/>
      <c r="WGU474" s="340"/>
      <c r="WGV474" s="340"/>
      <c r="WGW474" s="340"/>
      <c r="WGX474" s="340"/>
      <c r="WGY474" s="340"/>
      <c r="WGZ474" s="340"/>
      <c r="WHA474" s="340"/>
      <c r="WHB474" s="340"/>
      <c r="WHC474" s="340"/>
      <c r="WHD474" s="340"/>
      <c r="WHE474" s="340"/>
      <c r="WHF474" s="340"/>
      <c r="WHG474" s="340"/>
      <c r="WHH474" s="340"/>
      <c r="WHI474" s="340"/>
      <c r="WHJ474" s="340"/>
      <c r="WHK474" s="340"/>
      <c r="WHL474" s="340"/>
      <c r="WHM474" s="340"/>
      <c r="WHN474" s="340"/>
      <c r="WHO474" s="340"/>
      <c r="WHP474" s="340"/>
      <c r="WHQ474" s="340"/>
      <c r="WHR474" s="340"/>
      <c r="WHS474" s="340"/>
      <c r="WHT474" s="340"/>
      <c r="WHU474" s="340"/>
      <c r="WHV474" s="340"/>
      <c r="WHW474" s="340"/>
      <c r="WHX474" s="340"/>
      <c r="WHY474" s="340"/>
      <c r="WHZ474" s="340"/>
      <c r="WIA474" s="340"/>
      <c r="WIB474" s="340"/>
      <c r="WIC474" s="340"/>
      <c r="WID474" s="340"/>
      <c r="WIE474" s="340"/>
      <c r="WIF474" s="340"/>
      <c r="WIG474" s="340"/>
      <c r="WIH474" s="340"/>
      <c r="WII474" s="340"/>
      <c r="WIJ474" s="340"/>
      <c r="WIK474" s="340"/>
      <c r="WIL474" s="340"/>
      <c r="WIM474" s="340"/>
      <c r="WIN474" s="340"/>
      <c r="WIO474" s="340"/>
      <c r="WIP474" s="340"/>
      <c r="WIQ474" s="340"/>
      <c r="WIR474" s="340"/>
      <c r="WIS474" s="340"/>
      <c r="WIT474" s="340"/>
      <c r="WIU474" s="340"/>
      <c r="WIV474" s="340"/>
      <c r="WIW474" s="340"/>
      <c r="WIX474" s="340"/>
      <c r="WIY474" s="340"/>
      <c r="WIZ474" s="340"/>
      <c r="WJA474" s="340"/>
      <c r="WJB474" s="340"/>
      <c r="WJC474" s="340"/>
      <c r="WJD474" s="340"/>
      <c r="WJE474" s="340"/>
      <c r="WJF474" s="340"/>
      <c r="WJG474" s="340"/>
      <c r="WJH474" s="340"/>
      <c r="WJI474" s="340"/>
      <c r="WJJ474" s="340"/>
      <c r="WJK474" s="340"/>
      <c r="WJL474" s="340"/>
      <c r="WJM474" s="340"/>
      <c r="WJN474" s="340"/>
      <c r="WJO474" s="340"/>
      <c r="WJP474" s="340"/>
      <c r="WJQ474" s="340"/>
      <c r="WJR474" s="340"/>
      <c r="WJS474" s="340"/>
      <c r="WJT474" s="340"/>
      <c r="WJU474" s="340"/>
      <c r="WJV474" s="340"/>
      <c r="WJW474" s="340"/>
      <c r="WJX474" s="340"/>
      <c r="WJY474" s="340"/>
      <c r="WJZ474" s="340"/>
      <c r="WKA474" s="340"/>
      <c r="WKB474" s="340"/>
      <c r="WKC474" s="340"/>
      <c r="WKD474" s="340"/>
      <c r="WKE474" s="340"/>
      <c r="WKF474" s="340"/>
      <c r="WKG474" s="340"/>
      <c r="WKH474" s="340"/>
      <c r="WKI474" s="340"/>
      <c r="WKJ474" s="340"/>
      <c r="WKK474" s="340"/>
      <c r="WKL474" s="340"/>
      <c r="WKM474" s="340"/>
      <c r="WKN474" s="340"/>
      <c r="WKO474" s="340"/>
      <c r="WKP474" s="340"/>
      <c r="WKQ474" s="340"/>
      <c r="WKR474" s="340"/>
      <c r="WKS474" s="340"/>
      <c r="WKT474" s="340"/>
      <c r="WKU474" s="340"/>
      <c r="WKV474" s="340"/>
      <c r="WKW474" s="340"/>
      <c r="WKX474" s="340"/>
      <c r="WKY474" s="340"/>
      <c r="WKZ474" s="340"/>
      <c r="WLA474" s="340"/>
      <c r="WLB474" s="340"/>
      <c r="WLC474" s="340"/>
      <c r="WLD474" s="340"/>
      <c r="WLE474" s="340"/>
      <c r="WLF474" s="340"/>
      <c r="WLG474" s="340"/>
      <c r="WLH474" s="340"/>
      <c r="WLI474" s="340"/>
      <c r="WLJ474" s="340"/>
      <c r="WLK474" s="340"/>
      <c r="WLL474" s="340"/>
      <c r="WLM474" s="340"/>
      <c r="WLN474" s="340"/>
      <c r="WLO474" s="340"/>
      <c r="WLP474" s="340"/>
      <c r="WLQ474" s="340"/>
      <c r="WLR474" s="340"/>
      <c r="WLS474" s="340"/>
      <c r="WLT474" s="340"/>
      <c r="WLU474" s="340"/>
      <c r="WLV474" s="340"/>
      <c r="WLW474" s="340"/>
      <c r="WLX474" s="340"/>
      <c r="WLY474" s="340"/>
      <c r="WLZ474" s="340"/>
      <c r="WMA474" s="340"/>
      <c r="WMB474" s="340"/>
      <c r="WMC474" s="340"/>
      <c r="WMD474" s="340"/>
      <c r="WME474" s="340"/>
      <c r="WMF474" s="340"/>
      <c r="WMG474" s="340"/>
      <c r="WMH474" s="340"/>
      <c r="WMI474" s="340"/>
      <c r="WMJ474" s="340"/>
      <c r="WMK474" s="340"/>
      <c r="WML474" s="340"/>
      <c r="WMM474" s="340"/>
      <c r="WMN474" s="340"/>
      <c r="WMO474" s="340"/>
      <c r="WMP474" s="340"/>
      <c r="WMQ474" s="340"/>
      <c r="WMR474" s="340"/>
      <c r="WMS474" s="340"/>
      <c r="WMT474" s="340"/>
      <c r="WMU474" s="340"/>
      <c r="WMV474" s="340"/>
      <c r="WMW474" s="340"/>
      <c r="WMX474" s="340"/>
      <c r="WMY474" s="340"/>
      <c r="WMZ474" s="340"/>
      <c r="WNA474" s="340"/>
      <c r="WNB474" s="340"/>
      <c r="WNC474" s="340"/>
      <c r="WND474" s="340"/>
      <c r="WNE474" s="340"/>
      <c r="WNF474" s="340"/>
      <c r="WNG474" s="340"/>
      <c r="WNH474" s="340"/>
      <c r="WNI474" s="340"/>
      <c r="WNJ474" s="340"/>
      <c r="WNK474" s="340"/>
      <c r="WNL474" s="340"/>
      <c r="WNM474" s="340"/>
      <c r="WNN474" s="340"/>
      <c r="WNO474" s="340"/>
      <c r="WNP474" s="340"/>
      <c r="WNQ474" s="340"/>
      <c r="WNR474" s="340"/>
      <c r="WNS474" s="340"/>
      <c r="WNT474" s="340"/>
      <c r="WNU474" s="340"/>
      <c r="WNV474" s="340"/>
      <c r="WNW474" s="340"/>
      <c r="WNX474" s="340"/>
      <c r="WNY474" s="340"/>
      <c r="WNZ474" s="340"/>
      <c r="WOA474" s="340"/>
      <c r="WOB474" s="340"/>
      <c r="WOC474" s="340"/>
      <c r="WOD474" s="340"/>
      <c r="WOE474" s="340"/>
      <c r="WOF474" s="340"/>
      <c r="WOG474" s="340"/>
      <c r="WOH474" s="340"/>
      <c r="WOI474" s="340"/>
      <c r="WOJ474" s="340"/>
      <c r="WOK474" s="340"/>
      <c r="WOL474" s="340"/>
      <c r="WOM474" s="340"/>
      <c r="WON474" s="340"/>
      <c r="WOO474" s="340"/>
      <c r="WOP474" s="340"/>
      <c r="WOQ474" s="340"/>
      <c r="WOR474" s="340"/>
      <c r="WOS474" s="340"/>
      <c r="WOT474" s="340"/>
      <c r="WOU474" s="340"/>
      <c r="WOV474" s="340"/>
      <c r="WOW474" s="340"/>
      <c r="WOX474" s="340"/>
      <c r="WOY474" s="340"/>
      <c r="WOZ474" s="340"/>
      <c r="WPA474" s="340"/>
      <c r="WPB474" s="340"/>
      <c r="WPC474" s="340"/>
      <c r="WPD474" s="340"/>
      <c r="WPE474" s="340"/>
      <c r="WPF474" s="340"/>
      <c r="WPG474" s="340"/>
      <c r="WPH474" s="340"/>
      <c r="WPI474" s="340"/>
      <c r="WPJ474" s="340"/>
      <c r="WPK474" s="340"/>
      <c r="WPL474" s="340"/>
      <c r="WPM474" s="340"/>
      <c r="WPN474" s="340"/>
      <c r="WPO474" s="340"/>
      <c r="WPP474" s="340"/>
      <c r="WPQ474" s="340"/>
      <c r="WPR474" s="340"/>
      <c r="WPS474" s="340"/>
      <c r="WPT474" s="340"/>
      <c r="WPU474" s="340"/>
      <c r="WPV474" s="340"/>
      <c r="WPW474" s="340"/>
      <c r="WPX474" s="340"/>
      <c r="WPY474" s="340"/>
      <c r="WPZ474" s="340"/>
      <c r="WQA474" s="340"/>
      <c r="WQB474" s="340"/>
      <c r="WQC474" s="340"/>
      <c r="WQD474" s="340"/>
      <c r="WQE474" s="340"/>
      <c r="WQF474" s="340"/>
      <c r="WQG474" s="340"/>
      <c r="WQH474" s="340"/>
      <c r="WQI474" s="340"/>
      <c r="WQJ474" s="340"/>
      <c r="WQK474" s="340"/>
      <c r="WQL474" s="340"/>
      <c r="WQM474" s="340"/>
      <c r="WQN474" s="340"/>
      <c r="WQO474" s="340"/>
      <c r="WQP474" s="340"/>
      <c r="WQQ474" s="340"/>
      <c r="WQR474" s="340"/>
      <c r="WQS474" s="340"/>
      <c r="WQT474" s="340"/>
      <c r="WQU474" s="340"/>
      <c r="WQV474" s="340"/>
      <c r="WQW474" s="340"/>
      <c r="WQX474" s="340"/>
      <c r="WQY474" s="340"/>
      <c r="WQZ474" s="340"/>
      <c r="WRA474" s="340"/>
      <c r="WRB474" s="340"/>
      <c r="WRC474" s="340"/>
      <c r="WRD474" s="340"/>
      <c r="WRE474" s="340"/>
      <c r="WRF474" s="340"/>
      <c r="WRG474" s="340"/>
      <c r="WRH474" s="340"/>
      <c r="WRI474" s="340"/>
      <c r="WRJ474" s="340"/>
      <c r="WRK474" s="340"/>
      <c r="WRL474" s="340"/>
      <c r="WRM474" s="340"/>
      <c r="WRN474" s="340"/>
      <c r="WRO474" s="340"/>
      <c r="WRP474" s="340"/>
      <c r="WRQ474" s="340"/>
      <c r="WRR474" s="340"/>
      <c r="WRS474" s="340"/>
      <c r="WRT474" s="340"/>
      <c r="WRU474" s="340"/>
      <c r="WRV474" s="340"/>
      <c r="WRW474" s="340"/>
      <c r="WRX474" s="340"/>
      <c r="WRY474" s="340"/>
      <c r="WRZ474" s="340"/>
      <c r="WSA474" s="340"/>
      <c r="WSB474" s="340"/>
      <c r="WSC474" s="340"/>
      <c r="WSD474" s="340"/>
      <c r="WSE474" s="340"/>
      <c r="WSF474" s="340"/>
      <c r="WSG474" s="340"/>
      <c r="WSH474" s="340"/>
      <c r="WSI474" s="340"/>
      <c r="WSJ474" s="340"/>
      <c r="WSK474" s="340"/>
      <c r="WSL474" s="340"/>
      <c r="WSM474" s="340"/>
      <c r="WSN474" s="340"/>
      <c r="WSO474" s="340"/>
      <c r="WSP474" s="340"/>
      <c r="WSQ474" s="340"/>
      <c r="WSR474" s="340"/>
      <c r="WSS474" s="340"/>
      <c r="WST474" s="340"/>
      <c r="WSU474" s="340"/>
      <c r="WSV474" s="340"/>
      <c r="WSW474" s="340"/>
      <c r="WSX474" s="340"/>
      <c r="WSY474" s="340"/>
      <c r="WSZ474" s="340"/>
      <c r="WTA474" s="340"/>
      <c r="WTB474" s="340"/>
      <c r="WTC474" s="340"/>
      <c r="WTD474" s="340"/>
      <c r="WTE474" s="340"/>
      <c r="WTF474" s="340"/>
      <c r="WTG474" s="340"/>
      <c r="WTH474" s="340"/>
      <c r="WTI474" s="340"/>
      <c r="WTJ474" s="340"/>
      <c r="WTK474" s="340"/>
      <c r="WTL474" s="340"/>
      <c r="WTM474" s="340"/>
      <c r="WTN474" s="340"/>
      <c r="WTO474" s="340"/>
      <c r="WTP474" s="340"/>
      <c r="WTQ474" s="340"/>
      <c r="WTR474" s="340"/>
      <c r="WTS474" s="340"/>
      <c r="WTT474" s="340"/>
      <c r="WTU474" s="340"/>
      <c r="WTV474" s="340"/>
      <c r="WTW474" s="340"/>
      <c r="WTX474" s="340"/>
      <c r="WTY474" s="340"/>
      <c r="WTZ474" s="340"/>
      <c r="WUA474" s="340"/>
      <c r="WUB474" s="340"/>
      <c r="WUC474" s="340"/>
      <c r="WUD474" s="340"/>
      <c r="WUE474" s="340"/>
      <c r="WUF474" s="340"/>
      <c r="WUG474" s="340"/>
      <c r="WUH474" s="340"/>
      <c r="WUI474" s="340"/>
      <c r="WUJ474" s="340"/>
      <c r="WUK474" s="340"/>
      <c r="WUL474" s="340"/>
      <c r="WUM474" s="340"/>
      <c r="WUN474" s="340"/>
      <c r="WUO474" s="340"/>
      <c r="WUP474" s="340"/>
      <c r="WUQ474" s="340"/>
      <c r="WUR474" s="340"/>
      <c r="WUS474" s="340"/>
      <c r="WUT474" s="340"/>
      <c r="WUU474" s="340"/>
      <c r="WUV474" s="340"/>
      <c r="WUW474" s="340"/>
      <c r="WUX474" s="340"/>
      <c r="WUY474" s="340"/>
      <c r="WUZ474" s="340"/>
      <c r="WVA474" s="340"/>
      <c r="WVB474" s="340"/>
      <c r="WVC474" s="340"/>
      <c r="WVD474" s="340"/>
      <c r="WVE474" s="340"/>
      <c r="WVF474" s="340"/>
      <c r="WVG474" s="340"/>
      <c r="WVH474" s="340"/>
      <c r="WVI474" s="340"/>
      <c r="WVJ474" s="340"/>
      <c r="WVK474" s="340"/>
      <c r="WVL474" s="340"/>
      <c r="WVM474" s="340"/>
      <c r="WVN474" s="340"/>
      <c r="WVO474" s="340"/>
      <c r="WVP474" s="340"/>
      <c r="WVQ474" s="340"/>
      <c r="WVR474" s="340"/>
      <c r="WVS474" s="340"/>
      <c r="WVT474" s="340"/>
      <c r="WVU474" s="340"/>
      <c r="WVV474" s="340"/>
      <c r="WVW474" s="340"/>
      <c r="WVX474" s="340"/>
      <c r="WVY474" s="340"/>
      <c r="WVZ474" s="340"/>
      <c r="WWA474" s="340"/>
      <c r="WWB474" s="340"/>
      <c r="WWC474" s="340"/>
      <c r="WWD474" s="340"/>
      <c r="WWE474" s="340"/>
      <c r="WWF474" s="340"/>
      <c r="WWG474" s="340"/>
      <c r="WWH474" s="340"/>
      <c r="WWI474" s="340"/>
      <c r="WWJ474" s="340"/>
      <c r="WWK474" s="340"/>
      <c r="WWL474" s="340"/>
      <c r="WWM474" s="340"/>
      <c r="WWN474" s="340"/>
      <c r="WWO474" s="340"/>
      <c r="WWP474" s="340"/>
      <c r="WWQ474" s="340"/>
      <c r="WWR474" s="340"/>
      <c r="WWS474" s="340"/>
      <c r="WWT474" s="340"/>
      <c r="WWU474" s="340"/>
      <c r="WWV474" s="340"/>
      <c r="WWW474" s="340"/>
      <c r="WWX474" s="340"/>
      <c r="WWY474" s="340"/>
      <c r="WWZ474" s="340"/>
      <c r="WXA474" s="340"/>
      <c r="WXB474" s="340"/>
      <c r="WXC474" s="340"/>
      <c r="WXD474" s="340"/>
      <c r="WXE474" s="340"/>
      <c r="WXF474" s="340"/>
      <c r="WXG474" s="340"/>
      <c r="WXH474" s="340"/>
      <c r="WXI474" s="340"/>
      <c r="WXJ474" s="340"/>
      <c r="WXK474" s="340"/>
      <c r="WXL474" s="340"/>
      <c r="WXM474" s="340"/>
      <c r="WXN474" s="340"/>
      <c r="WXO474" s="340"/>
      <c r="WXP474" s="340"/>
      <c r="WXQ474" s="340"/>
      <c r="WXR474" s="340"/>
      <c r="WXS474" s="340"/>
      <c r="WXT474" s="340"/>
      <c r="WXU474" s="340"/>
      <c r="WXV474" s="340"/>
      <c r="WXW474" s="340"/>
      <c r="WXX474" s="340"/>
      <c r="WXY474" s="340"/>
      <c r="WXZ474" s="340"/>
      <c r="WYA474" s="340"/>
      <c r="WYB474" s="340"/>
      <c r="WYC474" s="340"/>
      <c r="WYD474" s="340"/>
      <c r="WYE474" s="340"/>
      <c r="WYF474" s="340"/>
      <c r="WYG474" s="340"/>
      <c r="WYH474" s="340"/>
      <c r="WYI474" s="340"/>
      <c r="WYJ474" s="340"/>
      <c r="WYK474" s="340"/>
      <c r="WYL474" s="340"/>
      <c r="WYM474" s="340"/>
      <c r="WYN474" s="340"/>
      <c r="WYO474" s="340"/>
      <c r="WYP474" s="340"/>
      <c r="WYQ474" s="340"/>
      <c r="WYR474" s="340"/>
      <c r="WYS474" s="340"/>
      <c r="WYT474" s="340"/>
      <c r="WYU474" s="340"/>
      <c r="WYV474" s="340"/>
      <c r="WYW474" s="340"/>
      <c r="WYX474" s="340"/>
      <c r="WYY474" s="340"/>
      <c r="WYZ474" s="340"/>
      <c r="WZA474" s="340"/>
      <c r="WZB474" s="340"/>
      <c r="WZC474" s="340"/>
      <c r="WZD474" s="340"/>
      <c r="WZE474" s="340"/>
      <c r="WZF474" s="340"/>
      <c r="WZG474" s="340"/>
      <c r="WZH474" s="340"/>
      <c r="WZI474" s="340"/>
      <c r="WZJ474" s="340"/>
      <c r="WZK474" s="340"/>
      <c r="WZL474" s="340"/>
      <c r="WZM474" s="340"/>
      <c r="WZN474" s="340"/>
      <c r="WZO474" s="340"/>
      <c r="WZP474" s="340"/>
      <c r="WZQ474" s="340"/>
      <c r="WZR474" s="340"/>
      <c r="WZS474" s="340"/>
      <c r="WZT474" s="340"/>
      <c r="WZU474" s="340"/>
      <c r="WZV474" s="340"/>
      <c r="WZW474" s="340"/>
      <c r="WZX474" s="340"/>
      <c r="WZY474" s="340"/>
      <c r="WZZ474" s="340"/>
      <c r="XAA474" s="340"/>
      <c r="XAB474" s="340"/>
      <c r="XAC474" s="340"/>
      <c r="XAD474" s="340"/>
      <c r="XAE474" s="340"/>
      <c r="XAF474" s="340"/>
      <c r="XAG474" s="340"/>
      <c r="XAH474" s="340"/>
      <c r="XAI474" s="340"/>
      <c r="XAJ474" s="340"/>
      <c r="XAK474" s="340"/>
      <c r="XAL474" s="340"/>
      <c r="XAM474" s="340"/>
      <c r="XAN474" s="340"/>
      <c r="XAO474" s="340"/>
      <c r="XAP474" s="340"/>
      <c r="XAQ474" s="340"/>
      <c r="XAR474" s="340"/>
      <c r="XAS474" s="340"/>
      <c r="XAT474" s="340"/>
      <c r="XAU474" s="340"/>
      <c r="XAV474" s="340"/>
      <c r="XAW474" s="340"/>
      <c r="XAX474" s="340"/>
      <c r="XAY474" s="340"/>
      <c r="XAZ474" s="340"/>
      <c r="XBA474" s="340"/>
      <c r="XBB474" s="340"/>
      <c r="XBC474" s="340"/>
      <c r="XBD474" s="340"/>
      <c r="XBE474" s="340"/>
      <c r="XBF474" s="340"/>
      <c r="XBG474" s="340"/>
      <c r="XBH474" s="340"/>
      <c r="XBI474" s="340"/>
      <c r="XBJ474" s="340"/>
      <c r="XBK474" s="340"/>
      <c r="XBL474" s="340"/>
      <c r="XBM474" s="340"/>
      <c r="XBN474" s="340"/>
      <c r="XBO474" s="340"/>
      <c r="XBP474" s="340"/>
      <c r="XBQ474" s="340"/>
      <c r="XBR474" s="340"/>
      <c r="XBS474" s="340"/>
      <c r="XBT474" s="340"/>
      <c r="XBU474" s="340"/>
      <c r="XBV474" s="340"/>
      <c r="XBW474" s="340"/>
      <c r="XBX474" s="340"/>
      <c r="XBY474" s="340"/>
      <c r="XBZ474" s="340"/>
      <c r="XCA474" s="340"/>
      <c r="XCB474" s="340"/>
      <c r="XCC474" s="340"/>
      <c r="XCD474" s="340"/>
      <c r="XCE474" s="340"/>
      <c r="XCF474" s="340"/>
      <c r="XCG474" s="340"/>
      <c r="XCH474" s="340"/>
      <c r="XCI474" s="340"/>
      <c r="XCJ474" s="340"/>
      <c r="XCK474" s="340"/>
      <c r="XCL474" s="340"/>
      <c r="XCM474" s="340"/>
      <c r="XCN474" s="340"/>
      <c r="XCO474" s="340"/>
      <c r="XCP474" s="340"/>
      <c r="XCQ474" s="340"/>
      <c r="XCR474" s="340"/>
      <c r="XCS474" s="340"/>
      <c r="XCT474" s="340"/>
      <c r="XCU474" s="340"/>
      <c r="XCV474" s="340"/>
      <c r="XCW474" s="340"/>
      <c r="XCX474" s="340"/>
      <c r="XCY474" s="340"/>
      <c r="XCZ474" s="340"/>
      <c r="XDA474" s="340"/>
      <c r="XDB474" s="340"/>
      <c r="XDC474" s="340"/>
      <c r="XDD474" s="340"/>
      <c r="XDE474" s="340"/>
      <c r="XDF474" s="340"/>
      <c r="XDG474" s="340"/>
      <c r="XDH474" s="340"/>
      <c r="XDI474" s="340"/>
      <c r="XDJ474" s="340"/>
      <c r="XDK474" s="340"/>
      <c r="XDL474" s="340"/>
      <c r="XDM474" s="340"/>
      <c r="XDN474" s="340"/>
      <c r="XDO474" s="340"/>
      <c r="XDP474" s="340"/>
      <c r="XDQ474" s="340"/>
      <c r="XDR474" s="340"/>
      <c r="XDS474" s="340"/>
      <c r="XDT474" s="340"/>
      <c r="XDU474" s="340"/>
      <c r="XDV474" s="340"/>
      <c r="XDW474" s="340"/>
      <c r="XDX474" s="340"/>
      <c r="XDY474" s="340"/>
      <c r="XDZ474" s="340"/>
      <c r="XEA474" s="340"/>
      <c r="XEB474" s="340"/>
      <c r="XEC474" s="340"/>
      <c r="XED474" s="340"/>
      <c r="XEE474" s="340"/>
      <c r="XEF474" s="340"/>
      <c r="XEG474" s="340"/>
      <c r="XEH474" s="340"/>
      <c r="XEI474" s="340"/>
      <c r="XEJ474" s="340"/>
      <c r="XEK474" s="340"/>
      <c r="XEL474" s="340"/>
      <c r="XEM474" s="340"/>
      <c r="XEN474" s="340"/>
      <c r="XEO474" s="340"/>
      <c r="XEP474" s="340"/>
      <c r="XEQ474" s="340"/>
      <c r="XER474" s="340"/>
      <c r="XES474" s="340"/>
      <c r="XET474" s="340"/>
      <c r="XEU474" s="340"/>
      <c r="XEV474" s="340"/>
      <c r="XEW474" s="340"/>
      <c r="XEX474" s="340"/>
      <c r="XEY474" s="340"/>
      <c r="XEZ474" s="340"/>
      <c r="XFA474" s="340"/>
      <c r="XFB474" s="340"/>
      <c r="XFC474" s="340"/>
      <c r="XFD474" s="340"/>
    </row>
    <row r="475" spans="1:16384" s="225" customFormat="1" ht="12.75" customHeight="1" outlineLevel="1">
      <c r="A475" s="1348"/>
      <c r="B475" s="225" t="s">
        <v>681</v>
      </c>
      <c r="C475" s="301">
        <f t="shared" ref="C475:J475" si="918">-C474/C336</f>
        <v>5.4272863568215896E-2</v>
      </c>
      <c r="D475" s="301">
        <f t="shared" si="918"/>
        <v>7.8299588339074189E-2</v>
      </c>
      <c r="E475" s="301">
        <f t="shared" si="918"/>
        <v>6.2621722846441949E-2</v>
      </c>
      <c r="F475" s="301">
        <f t="shared" si="918"/>
        <v>3.647478054292088E-2</v>
      </c>
      <c r="G475" s="301">
        <f t="shared" si="918"/>
        <v>5.4167301538930367E-2</v>
      </c>
      <c r="H475" s="301">
        <f t="shared" si="918"/>
        <v>0.17096215421762637</v>
      </c>
      <c r="I475" s="301">
        <f t="shared" si="918"/>
        <v>0.15900260027881316</v>
      </c>
      <c r="J475" s="335">
        <f t="shared" si="918"/>
        <v>0.10105956164348942</v>
      </c>
      <c r="K475" s="333">
        <v>7.5999999999999998E-2</v>
      </c>
      <c r="L475" s="333">
        <v>0.06</v>
      </c>
      <c r="M475" s="333">
        <v>5.3999999999999999E-2</v>
      </c>
      <c r="N475" s="333">
        <v>0.05</v>
      </c>
      <c r="O475" s="333">
        <v>0.04</v>
      </c>
      <c r="P475" s="333">
        <v>3.5999999999999997E-2</v>
      </c>
      <c r="Q475" s="333">
        <f>P475</f>
        <v>3.5999999999999997E-2</v>
      </c>
      <c r="R475" s="333">
        <f>Q475</f>
        <v>3.5999999999999997E-2</v>
      </c>
      <c r="S475" s="583"/>
      <c r="X475" s="583"/>
      <c r="Y475" s="593"/>
      <c r="Z475" s="301">
        <f t="shared" ref="Z475:BA475" si="919">-Z474/Z336</f>
        <v>0.11138191567145991</v>
      </c>
      <c r="AA475" s="301">
        <f t="shared" si="919"/>
        <v>7.2150735294117641E-2</v>
      </c>
      <c r="AB475" s="301">
        <f t="shared" si="919"/>
        <v>4.0555127216653816E-2</v>
      </c>
      <c r="AC475" s="335">
        <f t="shared" si="919"/>
        <v>4.3264503441494594E-2</v>
      </c>
      <c r="AD475" s="301">
        <f t="shared" si="919"/>
        <v>4.1071691447077875E-2</v>
      </c>
      <c r="AE475" s="301">
        <f t="shared" si="919"/>
        <v>6.1955209869920883E-2</v>
      </c>
      <c r="AF475" s="301">
        <f t="shared" si="919"/>
        <v>2.527387216423704E-2</v>
      </c>
      <c r="AG475" s="335">
        <f t="shared" si="919"/>
        <v>2.5939589578049344E-2</v>
      </c>
      <c r="AH475" s="301">
        <f t="shared" si="919"/>
        <v>3.6741510484319909E-2</v>
      </c>
      <c r="AI475" s="301">
        <f t="shared" si="919"/>
        <v>7.8904109589041094E-2</v>
      </c>
      <c r="AJ475" s="301">
        <f t="shared" si="919"/>
        <v>3.5156041611096291E-2</v>
      </c>
      <c r="AK475" s="335">
        <f t="shared" si="919"/>
        <v>7.6884714487573766E-2</v>
      </c>
      <c r="AL475" s="301">
        <f t="shared" si="919"/>
        <v>6.8036269101515445E-2</v>
      </c>
      <c r="AM475" s="301">
        <f t="shared" si="919"/>
        <v>0.17885792382197396</v>
      </c>
      <c r="AN475" s="301">
        <f t="shared" si="919"/>
        <v>0.16475037243592192</v>
      </c>
      <c r="AO475" s="335">
        <f t="shared" si="919"/>
        <v>0.26582496413199425</v>
      </c>
      <c r="AP475" s="301">
        <f t="shared" si="919"/>
        <v>0.19733267473450233</v>
      </c>
      <c r="AQ475" s="301">
        <f t="shared" si="919"/>
        <v>0.14270894411618781</v>
      </c>
      <c r="AR475" s="301">
        <f t="shared" si="919"/>
        <v>0.12650898879657238</v>
      </c>
      <c r="AS475" s="335">
        <f t="shared" si="919"/>
        <v>0.18826496857426397</v>
      </c>
      <c r="AT475" s="301">
        <f t="shared" si="919"/>
        <v>0.11488461777694843</v>
      </c>
      <c r="AU475" s="301">
        <f t="shared" si="919"/>
        <v>0.1239647731249271</v>
      </c>
      <c r="AV475" s="301">
        <f t="shared" si="919"/>
        <v>7.03125E-2</v>
      </c>
      <c r="AW475" s="335">
        <f t="shared" si="919"/>
        <v>0.1116151274009176</v>
      </c>
      <c r="AX475" s="332">
        <f t="shared" si="919"/>
        <v>8.0085286146979115E-2</v>
      </c>
      <c r="AY475" s="332">
        <f t="shared" si="919"/>
        <v>8.5011429193425497E-2</v>
      </c>
      <c r="AZ475" s="332">
        <f t="shared" si="919"/>
        <v>6.1605723370429251E-2</v>
      </c>
      <c r="BA475" s="336">
        <f t="shared" si="919"/>
        <v>8.4221596425407774E-2</v>
      </c>
      <c r="BB475" s="333">
        <v>7.0000000000000007E-2</v>
      </c>
      <c r="BC475" s="333">
        <v>7.4999999999999997E-2</v>
      </c>
      <c r="BD475" s="333">
        <v>5.1999999999999998E-2</v>
      </c>
      <c r="BE475" s="332">
        <f>-BE474/BE336</f>
        <v>4.6942941169228383E-2</v>
      </c>
      <c r="BY475" s="583"/>
      <c r="BZ475" s="332"/>
      <c r="CG475"/>
      <c r="CH475"/>
      <c r="CI475"/>
      <c r="CJ475"/>
      <c r="CK475"/>
      <c r="CL475"/>
    </row>
    <row r="476" spans="1:16384" ht="12.75" customHeight="1" outlineLevel="1">
      <c r="B476" s="740" t="s">
        <v>673</v>
      </c>
      <c r="C476" s="741"/>
      <c r="D476" s="741"/>
      <c r="E476" s="742"/>
      <c r="F476" s="742"/>
      <c r="G476" s="742"/>
      <c r="H476" s="742"/>
      <c r="I476" s="742"/>
      <c r="J476" s="1420"/>
      <c r="K476" s="742"/>
      <c r="L476" s="742"/>
      <c r="M476" s="742"/>
      <c r="N476" s="742"/>
      <c r="O476" s="742"/>
      <c r="P476" s="742"/>
      <c r="Q476" s="742"/>
      <c r="R476" s="742"/>
      <c r="S476" s="350"/>
      <c r="V476" s="141"/>
      <c r="W476" s="141"/>
      <c r="X476" s="20"/>
      <c r="Y476" s="673"/>
      <c r="Z476" s="20"/>
      <c r="AA476" s="20"/>
      <c r="AB476" s="20"/>
      <c r="AC476" s="673"/>
      <c r="AD476" s="20"/>
      <c r="AE476" s="20"/>
      <c r="AF476" s="20"/>
      <c r="AG476" s="673"/>
      <c r="AH476" s="20"/>
      <c r="AI476" s="20"/>
      <c r="AJ476" s="20"/>
      <c r="AK476" s="673"/>
      <c r="AL476" s="20"/>
      <c r="AM476" s="20"/>
      <c r="AN476" s="20"/>
      <c r="AO476" s="673"/>
      <c r="AP476" s="20"/>
      <c r="AQ476" s="20"/>
      <c r="AR476" s="20"/>
      <c r="AS476" s="673"/>
      <c r="AT476" s="20"/>
      <c r="AU476" s="20"/>
      <c r="AV476" s="20"/>
      <c r="AW476" s="673"/>
      <c r="AX476" s="20"/>
      <c r="AY476" s="20"/>
      <c r="AZ476" s="20"/>
      <c r="BA476" s="409"/>
      <c r="BB476" s="20"/>
      <c r="BC476" s="20"/>
      <c r="BD476" s="20"/>
      <c r="BE476" s="314"/>
      <c r="BF476" s="141"/>
      <c r="BY476" s="20"/>
      <c r="BZ476" s="450"/>
    </row>
    <row r="477" spans="1:16384" ht="12.75" customHeight="1" outlineLevel="1">
      <c r="B477" s="374" t="s">
        <v>131</v>
      </c>
      <c r="C477" s="454">
        <f>C$474*$E477/$E$474</f>
        <v>-139.14194577352472</v>
      </c>
      <c r="D477" s="454">
        <f>D$474*$E477/$E$474</f>
        <v>-358.23285486443382</v>
      </c>
      <c r="E477" s="650">
        <v>-482</v>
      </c>
      <c r="F477" s="650">
        <v>-382</v>
      </c>
      <c r="G477" s="650">
        <v>-1154</v>
      </c>
      <c r="H477" s="646">
        <f>SUM(AL477:AO477)</f>
        <v>-4176</v>
      </c>
      <c r="I477" s="646">
        <f>SUM(AP477:AS477)</f>
        <v>-4003</v>
      </c>
      <c r="J477" s="1411">
        <f>SUM(AT477:AW477)</f>
        <v>-3893</v>
      </c>
      <c r="K477" s="648">
        <f>K483*K$474</f>
        <v>-5190.4048487277805</v>
      </c>
      <c r="L477" s="648">
        <f t="shared" ref="L477:R477" si="920">L483*L$474</f>
        <v>-5580.5764356300051</v>
      </c>
      <c r="M477" s="648">
        <f t="shared" si="920"/>
        <v>-6533.3865018470551</v>
      </c>
      <c r="N477" s="648">
        <f t="shared" si="920"/>
        <v>-7388.8721168584407</v>
      </c>
      <c r="O477" s="648">
        <f t="shared" si="920"/>
        <v>-7114.7082782399166</v>
      </c>
      <c r="P477" s="648">
        <f t="shared" si="920"/>
        <v>-7783.0252062727295</v>
      </c>
      <c r="Q477" s="648">
        <f t="shared" si="920"/>
        <v>-8962.2152132263382</v>
      </c>
      <c r="R477" s="648">
        <f t="shared" si="920"/>
        <v>-10189.254974528991</v>
      </c>
      <c r="V477" s="141"/>
      <c r="W477" s="141"/>
      <c r="X477" s="350"/>
      <c r="Y477" s="670"/>
      <c r="Z477" s="350">
        <f>Z$474*Z483</f>
        <v>-175.65709728867623</v>
      </c>
      <c r="AA477" s="350">
        <f t="shared" ref="AA477:AG477" si="921">AA$474*AA483</f>
        <v>-120.69218500797447</v>
      </c>
      <c r="AB477" s="350">
        <f t="shared" si="921"/>
        <v>-101.08931419457736</v>
      </c>
      <c r="AC477" s="670">
        <f t="shared" si="921"/>
        <v>-84.561403508771932</v>
      </c>
      <c r="AD477" s="350">
        <f t="shared" si="921"/>
        <v>-84.652899126290706</v>
      </c>
      <c r="AE477" s="350">
        <f t="shared" si="921"/>
        <v>-140.1779189833201</v>
      </c>
      <c r="AF477" s="350">
        <f t="shared" si="921"/>
        <v>-88.900714853057991</v>
      </c>
      <c r="AG477" s="670">
        <f t="shared" si="921"/>
        <v>-68.26846703733122</v>
      </c>
      <c r="AH477" s="608">
        <v>-151</v>
      </c>
      <c r="AI477" s="608">
        <v>-247</v>
      </c>
      <c r="AJ477" s="608">
        <v>-226</v>
      </c>
      <c r="AK477" s="675">
        <v>-530</v>
      </c>
      <c r="AL477" s="584">
        <f>-Reported!L223</f>
        <v>-593</v>
      </c>
      <c r="AM477" s="584">
        <f>-Reported!M223</f>
        <v>-1155</v>
      </c>
      <c r="AN477" s="584">
        <f>-Reported!N223</f>
        <v>-1413</v>
      </c>
      <c r="AO477" s="585">
        <f>-Reported!O223</f>
        <v>-1015</v>
      </c>
      <c r="AP477" s="584">
        <f>-Reported!P223</f>
        <v>-983</v>
      </c>
      <c r="AQ477" s="584">
        <f>-Reported!Q223</f>
        <v>-506</v>
      </c>
      <c r="AR477" s="584">
        <f>-Reported!R223</f>
        <v>-1467</v>
      </c>
      <c r="AS477" s="585">
        <f>-Reported!S223</f>
        <v>-1047</v>
      </c>
      <c r="AT477" s="584">
        <f>-Reported!T223</f>
        <v>-894</v>
      </c>
      <c r="AU477" s="584">
        <f>-Reported!U223</f>
        <v>-1183</v>
      </c>
      <c r="AV477" s="584">
        <f>-Reported!V223</f>
        <v>-590</v>
      </c>
      <c r="AW477" s="585">
        <f>-Reported!W223</f>
        <v>-1226</v>
      </c>
      <c r="AX477" s="584">
        <f>-Reported!X223</f>
        <v>-1128</v>
      </c>
      <c r="AY477" s="584">
        <f>-Reported!Y223</f>
        <v>-1369</v>
      </c>
      <c r="AZ477" s="584">
        <f>-Reported!Z223</f>
        <v>-1328</v>
      </c>
      <c r="BA477" s="1519">
        <f>K477-SUM(AX477:AZ477)</f>
        <v>-1365.4048487277805</v>
      </c>
      <c r="BB477" s="648">
        <f>BB474-SUM(BB478:BB480)</f>
        <v>-1408.9791484615007</v>
      </c>
      <c r="BC477" s="648">
        <f>BC474-SUM(BC478:BC480)</f>
        <v>-1604.6477645319001</v>
      </c>
      <c r="BD477" s="648">
        <f>BD474-SUM(BD478:BD480)</f>
        <v>-1542.8492663698394</v>
      </c>
      <c r="BE477" s="469">
        <f>L477-SUM(BB477:BD477)</f>
        <v>-1024.1002562667645</v>
      </c>
      <c r="BF477" s="141"/>
      <c r="BY477" s="350"/>
      <c r="BZ477" s="450"/>
    </row>
    <row r="478" spans="1:16384" ht="12.75" customHeight="1" outlineLevel="1">
      <c r="B478" s="374" t="s">
        <v>86</v>
      </c>
      <c r="C478" s="454">
        <f t="shared" ref="C478:D480" si="922">C$474*$E478/$E$474</f>
        <v>-91.799043062200951</v>
      </c>
      <c r="D478" s="454">
        <f t="shared" si="922"/>
        <v>-236.34449760765551</v>
      </c>
      <c r="E478" s="650">
        <v>-318</v>
      </c>
      <c r="F478" s="650">
        <v>-453</v>
      </c>
      <c r="G478" s="650">
        <v>-795</v>
      </c>
      <c r="H478" s="646">
        <f>SUM(AL478:AO478)</f>
        <v>-3876</v>
      </c>
      <c r="I478" s="646">
        <f>SUM(AP478:AS478)</f>
        <v>-5703</v>
      </c>
      <c r="J478" s="1411">
        <f>SUM(AT478:AW478)</f>
        <v>-5712</v>
      </c>
      <c r="K478" s="648">
        <f>K484*K$474</f>
        <v>-6700.3408047213161</v>
      </c>
      <c r="L478" s="648">
        <f t="shared" ref="L478:R480" si="923">L484*L$474</f>
        <v>-7204.0168532678235</v>
      </c>
      <c r="M478" s="648">
        <f t="shared" si="923"/>
        <v>-8434.0080296571068</v>
      </c>
      <c r="N478" s="648">
        <f t="shared" si="923"/>
        <v>-9538.3621872172589</v>
      </c>
      <c r="O478" s="648">
        <f t="shared" si="923"/>
        <v>-9184.4415955460718</v>
      </c>
      <c r="P478" s="648">
        <f t="shared" si="923"/>
        <v>-10047.177993552068</v>
      </c>
      <c r="Q478" s="648">
        <f t="shared" si="923"/>
        <v>-11569.405093437636</v>
      </c>
      <c r="R478" s="648">
        <f t="shared" si="923"/>
        <v>-13153.40187621015</v>
      </c>
      <c r="V478" s="141"/>
      <c r="W478" s="141"/>
      <c r="X478" s="350"/>
      <c r="Y478" s="670"/>
      <c r="Z478" s="350">
        <f>Z$474*Z484</f>
        <v>-115.88995215311004</v>
      </c>
      <c r="AA478" s="350">
        <f t="shared" ref="AA478:AG480" si="924">AA$474*AA484</f>
        <v>-79.626794258373209</v>
      </c>
      <c r="AB478" s="350">
        <f t="shared" si="924"/>
        <v>-66.693779904306211</v>
      </c>
      <c r="AC478" s="670">
        <f t="shared" si="924"/>
        <v>-55.789473684210527</v>
      </c>
      <c r="AD478" s="350">
        <f t="shared" si="924"/>
        <v>-100.3868149324861</v>
      </c>
      <c r="AE478" s="350">
        <f t="shared" si="924"/>
        <v>-166.23193010325656</v>
      </c>
      <c r="AF478" s="350">
        <f t="shared" si="924"/>
        <v>-105.42414614773629</v>
      </c>
      <c r="AG478" s="670">
        <f t="shared" si="924"/>
        <v>-80.957108816521043</v>
      </c>
      <c r="AH478" s="608">
        <v>-122</v>
      </c>
      <c r="AI478" s="608">
        <v>-218</v>
      </c>
      <c r="AJ478" s="608">
        <v>-248</v>
      </c>
      <c r="AK478" s="675">
        <v>-207</v>
      </c>
      <c r="AL478" s="584">
        <f>-Reported!L224</f>
        <v>-245</v>
      </c>
      <c r="AM478" s="584">
        <f>-Reported!M224</f>
        <v>-700</v>
      </c>
      <c r="AN478" s="584">
        <f>-Reported!N224</f>
        <v>-1266</v>
      </c>
      <c r="AO478" s="585">
        <f>-Reported!O224</f>
        <v>-1665</v>
      </c>
      <c r="AP478" s="584">
        <f>-Reported!P224</f>
        <v>-1284</v>
      </c>
      <c r="AQ478" s="584">
        <f>-Reported!Q224</f>
        <v>-1273</v>
      </c>
      <c r="AR478" s="584">
        <f>-Reported!R224</f>
        <v>-1561</v>
      </c>
      <c r="AS478" s="585">
        <f>-Reported!S224</f>
        <v>-1585</v>
      </c>
      <c r="AT478" s="584">
        <f>-Reported!T224</f>
        <v>-1276</v>
      </c>
      <c r="AU478" s="584">
        <f>-Reported!U224</f>
        <v>-1451</v>
      </c>
      <c r="AV478" s="584">
        <f>-Reported!V224</f>
        <v>-1591</v>
      </c>
      <c r="AW478" s="585">
        <f>-Reported!W224</f>
        <v>-1394</v>
      </c>
      <c r="AX478" s="584">
        <f>-Reported!X224</f>
        <v>-1332</v>
      </c>
      <c r="AY478" s="584">
        <f>-Reported!Y224</f>
        <v>-1686</v>
      </c>
      <c r="AZ478" s="584">
        <f>-Reported!Z224</f>
        <v>-1895</v>
      </c>
      <c r="BA478" s="1519">
        <f>K478-SUM(AX478:AZ478)</f>
        <v>-1787.3408047213161</v>
      </c>
      <c r="BB478" s="647">
        <f t="shared" ref="BB478:BD480" si="925">BB484*BB$474</f>
        <v>-1818.8639916503002</v>
      </c>
      <c r="BC478" s="647">
        <f t="shared" si="925"/>
        <v>-2071.45438694118</v>
      </c>
      <c r="BD478" s="647">
        <f t="shared" si="925"/>
        <v>-1991.6781438592475</v>
      </c>
      <c r="BE478" s="469">
        <f>L478-SUM(BB478:BD478)</f>
        <v>-1322.0203308170958</v>
      </c>
      <c r="BF478" s="141"/>
      <c r="BY478" s="350"/>
      <c r="BZ478" s="450"/>
    </row>
    <row r="479" spans="1:16384" ht="12.75" customHeight="1" outlineLevel="1">
      <c r="B479" s="374" t="s">
        <v>112</v>
      </c>
      <c r="C479" s="454">
        <f t="shared" si="922"/>
        <v>-39.259968102073366</v>
      </c>
      <c r="D479" s="454">
        <f t="shared" si="922"/>
        <v>-101.07814992025519</v>
      </c>
      <c r="E479" s="650">
        <v>-136</v>
      </c>
      <c r="F479" s="650">
        <v>-120</v>
      </c>
      <c r="G479" s="650">
        <v>-189</v>
      </c>
      <c r="H479" s="646">
        <f>SUM(AL479:AO479)</f>
        <v>-1235</v>
      </c>
      <c r="I479" s="646">
        <f>SUM(AP479:AS479)</f>
        <v>-1963</v>
      </c>
      <c r="J479" s="1411">
        <f>SUM(AT479:AW479)</f>
        <v>-1772</v>
      </c>
      <c r="K479" s="648">
        <f>K485*K$474</f>
        <v>-1887.4199449919201</v>
      </c>
      <c r="L479" s="648">
        <f t="shared" si="923"/>
        <v>-2029.3005220472744</v>
      </c>
      <c r="M479" s="648">
        <f t="shared" si="923"/>
        <v>-2375.7769097625655</v>
      </c>
      <c r="N479" s="648">
        <f t="shared" si="923"/>
        <v>-2686.8625879485239</v>
      </c>
      <c r="O479" s="648">
        <f t="shared" si="923"/>
        <v>-2587.1666466326969</v>
      </c>
      <c r="P479" s="648">
        <f t="shared" si="923"/>
        <v>-2830.1909840991743</v>
      </c>
      <c r="Q479" s="648">
        <f t="shared" si="923"/>
        <v>-3258.9873502641231</v>
      </c>
      <c r="R479" s="648">
        <f t="shared" si="923"/>
        <v>-3705.1836271014508</v>
      </c>
      <c r="V479" s="141"/>
      <c r="W479" s="141"/>
      <c r="X479" s="350"/>
      <c r="Y479" s="670"/>
      <c r="Z479" s="350">
        <f>Z$474*Z485</f>
        <v>-49.56299840510367</v>
      </c>
      <c r="AA479" s="350">
        <f t="shared" si="924"/>
        <v>-34.054226475279108</v>
      </c>
      <c r="AB479" s="350">
        <f t="shared" si="924"/>
        <v>-28.523125996810208</v>
      </c>
      <c r="AC479" s="670">
        <f t="shared" si="924"/>
        <v>-23.859649122807017</v>
      </c>
      <c r="AD479" s="350">
        <f t="shared" si="924"/>
        <v>-26.592533756949962</v>
      </c>
      <c r="AE479" s="350">
        <f t="shared" si="924"/>
        <v>-44.034948371723594</v>
      </c>
      <c r="AF479" s="350">
        <f t="shared" si="924"/>
        <v>-27.926926131850678</v>
      </c>
      <c r="AG479" s="670">
        <f t="shared" si="924"/>
        <v>-21.445591739475777</v>
      </c>
      <c r="AH479" s="608">
        <v>-34</v>
      </c>
      <c r="AI479" s="608">
        <v>-57</v>
      </c>
      <c r="AJ479" s="608">
        <v>-55</v>
      </c>
      <c r="AK479" s="675">
        <v>-43</v>
      </c>
      <c r="AL479" s="584">
        <f>-Reported!L225</f>
        <v>-62</v>
      </c>
      <c r="AM479" s="584">
        <f>-Reported!M225</f>
        <v>-173</v>
      </c>
      <c r="AN479" s="584">
        <f>-Reported!N225</f>
        <v>-402</v>
      </c>
      <c r="AO479" s="585">
        <f>-Reported!O225</f>
        <v>-598</v>
      </c>
      <c r="AP479" s="584">
        <f>-Reported!P225</f>
        <v>-497</v>
      </c>
      <c r="AQ479" s="584">
        <f>-Reported!Q225</f>
        <v>-403</v>
      </c>
      <c r="AR479" s="584">
        <f>-Reported!R225</f>
        <v>-492</v>
      </c>
      <c r="AS479" s="585">
        <f>-Reported!S225</f>
        <v>-571</v>
      </c>
      <c r="AT479" s="584">
        <f>-Reported!T225</f>
        <v>-447</v>
      </c>
      <c r="AU479" s="584">
        <f>-Reported!U225</f>
        <v>-478</v>
      </c>
      <c r="AV479" s="584">
        <f>-Reported!V225</f>
        <v>-386</v>
      </c>
      <c r="AW479" s="585">
        <f>-Reported!W225</f>
        <v>-461</v>
      </c>
      <c r="AX479" s="584">
        <f>-Reported!X225</f>
        <v>-396</v>
      </c>
      <c r="AY479" s="584">
        <f>-Reported!Y225</f>
        <v>-501</v>
      </c>
      <c r="AZ479" s="584">
        <f>-Reported!Z225</f>
        <v>-469</v>
      </c>
      <c r="BA479" s="1519">
        <f>K479-SUM(AX479:AZ479)</f>
        <v>-521.41994499192015</v>
      </c>
      <c r="BB479" s="647">
        <f t="shared" si="925"/>
        <v>-512.35605398600012</v>
      </c>
      <c r="BC479" s="647">
        <f t="shared" si="925"/>
        <v>-583.50827801160005</v>
      </c>
      <c r="BD479" s="647">
        <f t="shared" si="925"/>
        <v>-561.03609686175992</v>
      </c>
      <c r="BE479" s="469">
        <f>L479-SUM(BB479:BD479)</f>
        <v>-372.40009318791431</v>
      </c>
      <c r="BF479" s="141"/>
      <c r="BY479" s="350"/>
      <c r="BZ479" s="450"/>
    </row>
    <row r="480" spans="1:16384" ht="12.75" customHeight="1" outlineLevel="1">
      <c r="B480" s="374" t="s">
        <v>93</v>
      </c>
      <c r="C480" s="454">
        <f t="shared" si="922"/>
        <v>-91.799043062200951</v>
      </c>
      <c r="D480" s="454">
        <f t="shared" si="922"/>
        <v>-236.34449760765551</v>
      </c>
      <c r="E480" s="650">
        <v>-318</v>
      </c>
      <c r="F480" s="650">
        <v>-304</v>
      </c>
      <c r="G480" s="650">
        <v>-706</v>
      </c>
      <c r="H480" s="646">
        <f>SUM(AL480:AO480)</f>
        <v>-3741</v>
      </c>
      <c r="I480" s="646">
        <f>SUM(AP480:AS480)</f>
        <v>-4413</v>
      </c>
      <c r="J480" s="1411">
        <f>SUM(AT480:AW480)</f>
        <v>-4618</v>
      </c>
      <c r="K480" s="648">
        <f>K486*K$474</f>
        <v>-5096.0338514781843</v>
      </c>
      <c r="L480" s="648">
        <f t="shared" si="923"/>
        <v>-5479.1114095276407</v>
      </c>
      <c r="M480" s="648">
        <f t="shared" si="923"/>
        <v>-6414.5976563589265</v>
      </c>
      <c r="N480" s="648">
        <f t="shared" si="923"/>
        <v>-7254.5289874610144</v>
      </c>
      <c r="O480" s="648">
        <f t="shared" si="923"/>
        <v>-6985.3499459082814</v>
      </c>
      <c r="P480" s="648">
        <f t="shared" si="923"/>
        <v>-7641.5156570677709</v>
      </c>
      <c r="Q480" s="648">
        <f t="shared" si="923"/>
        <v>-8799.2658457131329</v>
      </c>
      <c r="R480" s="648">
        <f t="shared" si="923"/>
        <v>-10003.995793173917</v>
      </c>
      <c r="V480" s="141"/>
      <c r="W480" s="141"/>
      <c r="X480" s="350"/>
      <c r="Y480" s="670"/>
      <c r="Z480" s="350">
        <f>Z$474*Z486</f>
        <v>-115.88995215311004</v>
      </c>
      <c r="AA480" s="350">
        <f t="shared" si="924"/>
        <v>-79.626794258373209</v>
      </c>
      <c r="AB480" s="350">
        <f t="shared" si="924"/>
        <v>-66.693779904306211</v>
      </c>
      <c r="AC480" s="670">
        <f t="shared" si="924"/>
        <v>-55.789473684210527</v>
      </c>
      <c r="AD480" s="350">
        <f t="shared" si="924"/>
        <v>-67.367752184273243</v>
      </c>
      <c r="AE480" s="350">
        <f t="shared" si="924"/>
        <v>-111.55520254169977</v>
      </c>
      <c r="AF480" s="350">
        <f t="shared" si="924"/>
        <v>-70.748212867355051</v>
      </c>
      <c r="AG480" s="670">
        <f t="shared" si="924"/>
        <v>-54.328832406671964</v>
      </c>
      <c r="AH480" s="608">
        <v>-89</v>
      </c>
      <c r="AI480" s="608">
        <v>-342</v>
      </c>
      <c r="AJ480" s="608">
        <v>-130</v>
      </c>
      <c r="AK480" s="675">
        <v>-145</v>
      </c>
      <c r="AL480" s="584">
        <f>-Reported!L226</f>
        <v>-173</v>
      </c>
      <c r="AM480" s="584">
        <f>-Reported!M226</f>
        <v>-982</v>
      </c>
      <c r="AN480" s="584">
        <f>-Reported!N226</f>
        <v>-1232</v>
      </c>
      <c r="AO480" s="585">
        <f>-Reported!O226</f>
        <v>-1354</v>
      </c>
      <c r="AP480" s="584">
        <f>-Reported!P226</f>
        <v>-1231</v>
      </c>
      <c r="AQ480" s="584">
        <f>-Reported!Q226</f>
        <v>-982</v>
      </c>
      <c r="AR480" s="584">
        <f>-Reported!R226</f>
        <v>-850</v>
      </c>
      <c r="AS480" s="585">
        <f>-Reported!S226</f>
        <v>-1350</v>
      </c>
      <c r="AT480" s="584">
        <f>-Reported!T226</f>
        <v>-1077</v>
      </c>
      <c r="AU480" s="584">
        <f>-Reported!U226</f>
        <v>-1139</v>
      </c>
      <c r="AV480" s="584">
        <f>-Reported!V226</f>
        <v>-1177</v>
      </c>
      <c r="AW480" s="585">
        <f>-Reported!W226</f>
        <v>-1225</v>
      </c>
      <c r="AX480" s="584">
        <f>-Reported!X226</f>
        <v>-1163</v>
      </c>
      <c r="AY480" s="584">
        <f>-Reported!Y226</f>
        <v>-1130</v>
      </c>
      <c r="AZ480" s="584">
        <f>-Reported!Z226</f>
        <v>-1423</v>
      </c>
      <c r="BA480" s="1519">
        <f>K480-SUM(AX480:AZ480)</f>
        <v>-1380.0338514781843</v>
      </c>
      <c r="BB480" s="647">
        <f t="shared" si="925"/>
        <v>-1383.3613457622002</v>
      </c>
      <c r="BC480" s="647">
        <f t="shared" si="925"/>
        <v>-1575.4723506313203</v>
      </c>
      <c r="BD480" s="647">
        <f t="shared" si="925"/>
        <v>-1514.7974615267517</v>
      </c>
      <c r="BE480" s="469">
        <f>L480-SUM(BB480:BD480)</f>
        <v>-1005.4802516073687</v>
      </c>
      <c r="BF480" s="141"/>
      <c r="BY480" s="350"/>
      <c r="BZ480" s="450"/>
    </row>
    <row r="481" spans="1:90" ht="12.75" customHeight="1" outlineLevel="1">
      <c r="B481" s="374" t="s">
        <v>855</v>
      </c>
      <c r="C481" s="454">
        <f>SUM(C477:C480)</f>
        <v>-362</v>
      </c>
      <c r="D481" s="454">
        <f t="shared" ref="D481:I481" si="926">SUM(D477:D480)</f>
        <v>-932.00000000000011</v>
      </c>
      <c r="E481" s="454">
        <f t="shared" si="926"/>
        <v>-1254</v>
      </c>
      <c r="F481" s="454">
        <f t="shared" si="926"/>
        <v>-1259</v>
      </c>
      <c r="G481" s="454">
        <f t="shared" si="926"/>
        <v>-2844</v>
      </c>
      <c r="H481" s="454">
        <f t="shared" si="926"/>
        <v>-13028</v>
      </c>
      <c r="I481" s="646">
        <f t="shared" si="926"/>
        <v>-16082</v>
      </c>
      <c r="J481" s="1411">
        <f>SUM(J477:J480)</f>
        <v>-15995</v>
      </c>
      <c r="K481" s="648">
        <f>SUM(K477:K480)</f>
        <v>-18874.199449919201</v>
      </c>
      <c r="L481" s="648">
        <f>SUM(L477:L480)</f>
        <v>-20293.005220472744</v>
      </c>
      <c r="M481" s="648">
        <f>SUM(M477:M480)</f>
        <v>-23757.769097625656</v>
      </c>
      <c r="N481" s="648">
        <f t="shared" ref="N481:R481" si="927">SUM(N477:N480)</f>
        <v>-26868.625879485237</v>
      </c>
      <c r="O481" s="648">
        <f t="shared" si="927"/>
        <v>-25871.666466326966</v>
      </c>
      <c r="P481" s="648">
        <f t="shared" si="927"/>
        <v>-28301.909840991746</v>
      </c>
      <c r="Q481" s="648">
        <f t="shared" si="927"/>
        <v>-32589.873502641229</v>
      </c>
      <c r="R481" s="648">
        <f t="shared" si="927"/>
        <v>-37051.836271014508</v>
      </c>
      <c r="V481" s="141"/>
      <c r="W481" s="141"/>
      <c r="X481" s="350"/>
      <c r="Y481" s="670"/>
      <c r="Z481" s="350"/>
      <c r="AA481" s="350"/>
      <c r="AB481" s="350"/>
      <c r="AC481" s="670"/>
      <c r="AD481" s="350"/>
      <c r="AE481" s="350"/>
      <c r="AF481" s="350"/>
      <c r="AG481" s="670"/>
      <c r="AH481" s="608"/>
      <c r="AI481" s="608"/>
      <c r="AJ481" s="608"/>
      <c r="AK481" s="675"/>
      <c r="AL481" s="584"/>
      <c r="AM481" s="584"/>
      <c r="AN481" s="584"/>
      <c r="AO481" s="585"/>
      <c r="AP481" s="584"/>
      <c r="AQ481" s="584"/>
      <c r="AR481" s="584"/>
      <c r="AS481" s="585"/>
      <c r="AT481" s="584"/>
      <c r="AU481" s="584"/>
      <c r="AV481" s="584"/>
      <c r="AW481" s="585"/>
      <c r="AX481" s="584">
        <f>SUM(AX477:AX480)</f>
        <v>-4019</v>
      </c>
      <c r="AY481" s="584">
        <f t="shared" ref="AY481:AZ481" si="928">SUM(AY477:AY480)</f>
        <v>-4686</v>
      </c>
      <c r="AZ481" s="584">
        <f t="shared" si="928"/>
        <v>-5115</v>
      </c>
      <c r="BA481" s="1519">
        <f>SUM(BA477:BA480)</f>
        <v>-5054.1994499192006</v>
      </c>
      <c r="BB481" s="647">
        <f>SUM(BB477:BB480)</f>
        <v>-5123.560539860001</v>
      </c>
      <c r="BC481" s="647">
        <f>SUM(BC477:BC480)</f>
        <v>-5835.0827801160003</v>
      </c>
      <c r="BD481" s="647">
        <f>SUM(BD477:BD480)</f>
        <v>-5610.3609686175987</v>
      </c>
      <c r="BE481" s="469">
        <f>SUM(BE477:BE480)</f>
        <v>-3724.0009318791435</v>
      </c>
      <c r="BF481" s="141"/>
      <c r="BY481" s="350"/>
      <c r="BZ481" s="450"/>
    </row>
    <row r="482" spans="1:90" ht="12.75" customHeight="1" outlineLevel="1">
      <c r="B482" s="406" t="s">
        <v>672</v>
      </c>
      <c r="C482" s="357"/>
      <c r="AX482" s="11"/>
      <c r="AY482" s="11"/>
      <c r="AZ482" s="11"/>
      <c r="BG482" s="15"/>
    </row>
    <row r="483" spans="1:90" ht="12.75" customHeight="1" outlineLevel="1">
      <c r="B483" s="374" t="s">
        <v>131</v>
      </c>
      <c r="C483" s="286">
        <f>C477/C$474</f>
        <v>0.38437001594896331</v>
      </c>
      <c r="D483" s="286">
        <f t="shared" ref="D483:J483" si="929">D477/D$474</f>
        <v>0.38437001594896331</v>
      </c>
      <c r="E483" s="286">
        <f t="shared" si="929"/>
        <v>0.38437001594896331</v>
      </c>
      <c r="F483" s="286">
        <f t="shared" si="929"/>
        <v>0.30341540905480541</v>
      </c>
      <c r="G483" s="286">
        <f t="shared" si="929"/>
        <v>0.4057665260196906</v>
      </c>
      <c r="H483" s="286">
        <f t="shared" si="929"/>
        <v>0.32054037457783235</v>
      </c>
      <c r="I483" s="286">
        <f t="shared" si="929"/>
        <v>0.24891182688720309</v>
      </c>
      <c r="J483" s="287">
        <f t="shared" si="929"/>
        <v>0.24338855892466396</v>
      </c>
      <c r="K483" s="743">
        <f t="shared" ref="K483:R483" si="930">1-SUM(K484:K486)</f>
        <v>0.27500000000000002</v>
      </c>
      <c r="L483" s="743">
        <f t="shared" si="930"/>
        <v>0.27500000000000002</v>
      </c>
      <c r="M483" s="743">
        <f t="shared" si="930"/>
        <v>0.27500000000000002</v>
      </c>
      <c r="N483" s="743">
        <f t="shared" si="930"/>
        <v>0.27500000000000002</v>
      </c>
      <c r="O483" s="743">
        <f t="shared" si="930"/>
        <v>0.27500000000000002</v>
      </c>
      <c r="P483" s="743">
        <f t="shared" si="930"/>
        <v>0.27500000000000002</v>
      </c>
      <c r="Q483" s="743">
        <f t="shared" si="930"/>
        <v>0.27500000000000002</v>
      </c>
      <c r="R483" s="743">
        <f t="shared" si="930"/>
        <v>0.27500000000000002</v>
      </c>
      <c r="V483" s="224"/>
      <c r="W483" s="224"/>
      <c r="X483" s="224"/>
      <c r="Y483" s="429"/>
      <c r="Z483" s="543">
        <f t="shared" ref="Z483:AC486" si="931">$E483</f>
        <v>0.38437001594896331</v>
      </c>
      <c r="AA483" s="543">
        <f t="shared" si="931"/>
        <v>0.38437001594896331</v>
      </c>
      <c r="AB483" s="543">
        <f t="shared" si="931"/>
        <v>0.38437001594896331</v>
      </c>
      <c r="AC483" s="586">
        <f t="shared" si="931"/>
        <v>0.38437001594896331</v>
      </c>
      <c r="AD483" s="543">
        <f t="shared" ref="AD483:AG486" si="932">$F483</f>
        <v>0.30341540905480541</v>
      </c>
      <c r="AE483" s="543">
        <f t="shared" si="932"/>
        <v>0.30341540905480541</v>
      </c>
      <c r="AF483" s="543">
        <f t="shared" si="932"/>
        <v>0.30341540905480541</v>
      </c>
      <c r="AG483" s="586">
        <f t="shared" si="932"/>
        <v>0.30341540905480541</v>
      </c>
      <c r="AH483" s="286">
        <f t="shared" ref="AH483:AV483" si="933">AH477/AH$474</f>
        <v>0.38131313131313133</v>
      </c>
      <c r="AI483" s="286">
        <f t="shared" si="933"/>
        <v>0.28587962962962965</v>
      </c>
      <c r="AJ483" s="286">
        <f t="shared" si="933"/>
        <v>0.34294385432473445</v>
      </c>
      <c r="AK483" s="287">
        <f t="shared" si="933"/>
        <v>0.572972972972973</v>
      </c>
      <c r="AL483" s="286">
        <f t="shared" si="933"/>
        <v>0.55265610438024226</v>
      </c>
      <c r="AM483" s="286">
        <f t="shared" si="933"/>
        <v>0.38372093023255816</v>
      </c>
      <c r="AN483" s="286">
        <f t="shared" si="933"/>
        <v>0.32761418965916994</v>
      </c>
      <c r="AO483" s="287">
        <f t="shared" si="933"/>
        <v>0.21912780656303973</v>
      </c>
      <c r="AP483" s="286">
        <f t="shared" si="933"/>
        <v>0.2460575719649562</v>
      </c>
      <c r="AQ483" s="286">
        <f t="shared" si="933"/>
        <v>0.15992414664981036</v>
      </c>
      <c r="AR483" s="286">
        <f t="shared" si="933"/>
        <v>0.33569794050343249</v>
      </c>
      <c r="AS483" s="287">
        <f t="shared" si="933"/>
        <v>0.2299582692730068</v>
      </c>
      <c r="AT483" s="286">
        <f t="shared" si="933"/>
        <v>0.24201407688142934</v>
      </c>
      <c r="AU483" s="286">
        <f t="shared" si="933"/>
        <v>0.27828746177370028</v>
      </c>
      <c r="AV483" s="286">
        <f t="shared" si="933"/>
        <v>0.15758547008547008</v>
      </c>
      <c r="AW483" s="287">
        <f t="shared" ref="AW483:BE483" si="934">AW477/AW$474</f>
        <v>0.2847189967487227</v>
      </c>
      <c r="AX483" s="286">
        <f t="shared" ref="AX483:AZ486" si="935">AX477/AX$474</f>
        <v>0.28066683254540931</v>
      </c>
      <c r="AY483" s="286">
        <f t="shared" si="935"/>
        <v>0.29214682031583439</v>
      </c>
      <c r="AZ483" s="286">
        <f t="shared" si="935"/>
        <v>0.25962854349951126</v>
      </c>
      <c r="BA483" s="287">
        <f t="shared" si="934"/>
        <v>0.27015254586947668</v>
      </c>
      <c r="BB483" s="286">
        <f t="shared" si="934"/>
        <v>0.27500000000000008</v>
      </c>
      <c r="BC483" s="286">
        <f t="shared" si="934"/>
        <v>0.27500000000000002</v>
      </c>
      <c r="BD483" s="286">
        <f t="shared" si="934"/>
        <v>0.27499999999999997</v>
      </c>
      <c r="BE483" s="286">
        <f t="shared" si="934"/>
        <v>0.27499999999999986</v>
      </c>
      <c r="BF483" s="286"/>
      <c r="BG483" s="15"/>
    </row>
    <row r="484" spans="1:90" ht="12.75" customHeight="1" outlineLevel="1">
      <c r="B484" s="374" t="s">
        <v>86</v>
      </c>
      <c r="C484" s="286">
        <f>C478/C$474</f>
        <v>0.25358851674641147</v>
      </c>
      <c r="D484" s="286">
        <f t="shared" ref="D484:J486" si="936">D478/D$474</f>
        <v>0.25358851674641147</v>
      </c>
      <c r="E484" s="286">
        <f t="shared" si="936"/>
        <v>0.25358851674641147</v>
      </c>
      <c r="F484" s="286">
        <f t="shared" si="936"/>
        <v>0.35980937251787132</v>
      </c>
      <c r="G484" s="286">
        <f t="shared" si="936"/>
        <v>0.27953586497890293</v>
      </c>
      <c r="H484" s="286">
        <f t="shared" si="936"/>
        <v>0.29751304881793061</v>
      </c>
      <c r="I484" s="286">
        <f t="shared" si="936"/>
        <v>0.35462007213033203</v>
      </c>
      <c r="J484" s="287">
        <f t="shared" si="936"/>
        <v>0.35711159737417941</v>
      </c>
      <c r="K484" s="744">
        <v>0.35499999999999998</v>
      </c>
      <c r="L484" s="744">
        <f t="shared" ref="L484:R486" si="937">K484</f>
        <v>0.35499999999999998</v>
      </c>
      <c r="M484" s="744">
        <f t="shared" si="937"/>
        <v>0.35499999999999998</v>
      </c>
      <c r="N484" s="744">
        <f t="shared" si="937"/>
        <v>0.35499999999999998</v>
      </c>
      <c r="O484" s="744">
        <f t="shared" si="937"/>
        <v>0.35499999999999998</v>
      </c>
      <c r="P484" s="744">
        <f t="shared" si="937"/>
        <v>0.35499999999999998</v>
      </c>
      <c r="Q484" s="744">
        <f t="shared" si="937"/>
        <v>0.35499999999999998</v>
      </c>
      <c r="R484" s="744">
        <f t="shared" si="937"/>
        <v>0.35499999999999998</v>
      </c>
      <c r="V484" s="224"/>
      <c r="W484" s="224"/>
      <c r="X484" s="224"/>
      <c r="Y484" s="429"/>
      <c r="Z484" s="543">
        <f t="shared" si="931"/>
        <v>0.25358851674641147</v>
      </c>
      <c r="AA484" s="543">
        <f t="shared" si="931"/>
        <v>0.25358851674641147</v>
      </c>
      <c r="AB484" s="543">
        <f t="shared" si="931"/>
        <v>0.25358851674641147</v>
      </c>
      <c r="AC484" s="586">
        <f t="shared" si="931"/>
        <v>0.25358851674641147</v>
      </c>
      <c r="AD484" s="543">
        <f t="shared" si="932"/>
        <v>0.35980937251787132</v>
      </c>
      <c r="AE484" s="543">
        <f t="shared" si="932"/>
        <v>0.35980937251787132</v>
      </c>
      <c r="AF484" s="543">
        <f t="shared" si="932"/>
        <v>0.35980937251787132</v>
      </c>
      <c r="AG484" s="586">
        <f t="shared" si="932"/>
        <v>0.35980937251787132</v>
      </c>
      <c r="AH484" s="286">
        <f t="shared" ref="AH484:AV484" si="938">AH478/AH$474</f>
        <v>0.30808080808080807</v>
      </c>
      <c r="AI484" s="286">
        <f t="shared" si="938"/>
        <v>0.25231481481481483</v>
      </c>
      <c r="AJ484" s="286">
        <f t="shared" si="938"/>
        <v>0.37632776934749623</v>
      </c>
      <c r="AK484" s="287">
        <f t="shared" si="938"/>
        <v>0.22378378378378377</v>
      </c>
      <c r="AL484" s="286">
        <f t="shared" si="938"/>
        <v>0.22833178005591798</v>
      </c>
      <c r="AM484" s="286">
        <f t="shared" si="938"/>
        <v>0.23255813953488372</v>
      </c>
      <c r="AN484" s="286">
        <f t="shared" si="938"/>
        <v>0.29353118479016926</v>
      </c>
      <c r="AO484" s="287">
        <f t="shared" si="938"/>
        <v>0.3594559585492228</v>
      </c>
      <c r="AP484" s="286">
        <f t="shared" si="938"/>
        <v>0.32140175219023781</v>
      </c>
      <c r="AQ484" s="286">
        <f t="shared" si="938"/>
        <v>0.402338811630847</v>
      </c>
      <c r="AR484" s="286">
        <f t="shared" si="938"/>
        <v>0.35720823798627005</v>
      </c>
      <c r="AS484" s="287">
        <f t="shared" si="938"/>
        <v>0.3481221172853064</v>
      </c>
      <c r="AT484" s="286">
        <f t="shared" si="938"/>
        <v>0.3454250135354629</v>
      </c>
      <c r="AU484" s="286">
        <f t="shared" si="938"/>
        <v>0.34133145142319454</v>
      </c>
      <c r="AV484" s="286">
        <f t="shared" si="938"/>
        <v>0.42494658119658119</v>
      </c>
      <c r="AW484" s="287">
        <f>AW478/AW$474</f>
        <v>0.32373432419879239</v>
      </c>
      <c r="AX484" s="286">
        <f t="shared" si="935"/>
        <v>0.33142572779298335</v>
      </c>
      <c r="AY484" s="286">
        <f t="shared" si="935"/>
        <v>0.35979513444302175</v>
      </c>
      <c r="AZ484" s="286">
        <f t="shared" si="935"/>
        <v>0.37047898338220919</v>
      </c>
      <c r="BA484" s="287">
        <f>BA478/BA$474</f>
        <v>0.35363479863262809</v>
      </c>
      <c r="BB484" s="745">
        <f>$K484</f>
        <v>0.35499999999999998</v>
      </c>
      <c r="BC484" s="745">
        <f>$K484</f>
        <v>0.35499999999999998</v>
      </c>
      <c r="BD484" s="745">
        <f>$K484</f>
        <v>0.35499999999999998</v>
      </c>
      <c r="BE484" s="286">
        <f>BE478/BE$474</f>
        <v>0.35499999999999976</v>
      </c>
      <c r="BF484" s="286"/>
      <c r="BG484" s="15"/>
    </row>
    <row r="485" spans="1:90" ht="12.75" customHeight="1" outlineLevel="1">
      <c r="B485" s="374" t="s">
        <v>112</v>
      </c>
      <c r="C485" s="286">
        <f>C479/C$474</f>
        <v>0.10845295055821372</v>
      </c>
      <c r="D485" s="286">
        <f t="shared" si="936"/>
        <v>0.10845295055821372</v>
      </c>
      <c r="E485" s="286">
        <f t="shared" si="936"/>
        <v>0.10845295055821372</v>
      </c>
      <c r="F485" s="286">
        <f t="shared" si="936"/>
        <v>9.5313741064336779E-2</v>
      </c>
      <c r="G485" s="286">
        <f t="shared" si="936"/>
        <v>6.6455696202531639E-2</v>
      </c>
      <c r="H485" s="286">
        <f t="shared" si="936"/>
        <v>9.47958243782622E-2</v>
      </c>
      <c r="I485" s="286">
        <f t="shared" si="936"/>
        <v>0.12206193259544833</v>
      </c>
      <c r="J485" s="287">
        <f t="shared" si="936"/>
        <v>0.11078462019381057</v>
      </c>
      <c r="K485" s="744">
        <v>0.1</v>
      </c>
      <c r="L485" s="744">
        <f t="shared" si="937"/>
        <v>0.1</v>
      </c>
      <c r="M485" s="744">
        <f t="shared" si="937"/>
        <v>0.1</v>
      </c>
      <c r="N485" s="744">
        <f t="shared" si="937"/>
        <v>0.1</v>
      </c>
      <c r="O485" s="744">
        <f t="shared" si="937"/>
        <v>0.1</v>
      </c>
      <c r="P485" s="744">
        <f t="shared" si="937"/>
        <v>0.1</v>
      </c>
      <c r="Q485" s="744">
        <f t="shared" si="937"/>
        <v>0.1</v>
      </c>
      <c r="R485" s="744">
        <f t="shared" si="937"/>
        <v>0.1</v>
      </c>
      <c r="V485" s="224"/>
      <c r="W485" s="224"/>
      <c r="X485" s="224"/>
      <c r="Y485" s="429"/>
      <c r="Z485" s="543">
        <f t="shared" si="931"/>
        <v>0.10845295055821372</v>
      </c>
      <c r="AA485" s="543">
        <f t="shared" si="931"/>
        <v>0.10845295055821372</v>
      </c>
      <c r="AB485" s="543">
        <f t="shared" si="931"/>
        <v>0.10845295055821372</v>
      </c>
      <c r="AC485" s="586">
        <f t="shared" si="931"/>
        <v>0.10845295055821372</v>
      </c>
      <c r="AD485" s="543">
        <f t="shared" si="932"/>
        <v>9.5313741064336779E-2</v>
      </c>
      <c r="AE485" s="543">
        <f t="shared" si="932"/>
        <v>9.5313741064336779E-2</v>
      </c>
      <c r="AF485" s="543">
        <f t="shared" si="932"/>
        <v>9.5313741064336779E-2</v>
      </c>
      <c r="AG485" s="586">
        <f t="shared" si="932"/>
        <v>9.5313741064336779E-2</v>
      </c>
      <c r="AH485" s="286">
        <f t="shared" ref="AH485:AV485" si="939">AH479/AH$474</f>
        <v>8.5858585858585856E-2</v>
      </c>
      <c r="AI485" s="286">
        <f t="shared" si="939"/>
        <v>6.5972222222222224E-2</v>
      </c>
      <c r="AJ485" s="286">
        <f t="shared" si="939"/>
        <v>8.3459787556904405E-2</v>
      </c>
      <c r="AK485" s="287">
        <f t="shared" si="939"/>
        <v>4.6486486486486484E-2</v>
      </c>
      <c r="AL485" s="286">
        <f t="shared" si="939"/>
        <v>5.778191985088537E-2</v>
      </c>
      <c r="AM485" s="286">
        <f t="shared" si="939"/>
        <v>5.7475083056478408E-2</v>
      </c>
      <c r="AN485" s="286">
        <f t="shared" si="939"/>
        <v>9.3206584743797824E-2</v>
      </c>
      <c r="AO485" s="287">
        <f t="shared" si="939"/>
        <v>0.12910189982728842</v>
      </c>
      <c r="AP485" s="286">
        <f t="shared" si="939"/>
        <v>0.12440550688360451</v>
      </c>
      <c r="AQ485" s="286">
        <f t="shared" si="939"/>
        <v>0.12737041719342604</v>
      </c>
      <c r="AR485" s="286">
        <f t="shared" si="939"/>
        <v>0.11258581235697941</v>
      </c>
      <c r="AS485" s="287">
        <f t="shared" si="939"/>
        <v>0.12541181638480123</v>
      </c>
      <c r="AT485" s="286">
        <f t="shared" si="939"/>
        <v>0.12100703844071467</v>
      </c>
      <c r="AU485" s="286">
        <f t="shared" si="939"/>
        <v>0.11244413079275464</v>
      </c>
      <c r="AV485" s="286">
        <f t="shared" si="939"/>
        <v>0.10309829059829059</v>
      </c>
      <c r="AW485" s="287">
        <f>AW479/AW$474</f>
        <v>0.10705991639572689</v>
      </c>
      <c r="AX485" s="286">
        <f t="shared" si="935"/>
        <v>9.8531973127643696E-2</v>
      </c>
      <c r="AY485" s="286">
        <f t="shared" si="935"/>
        <v>0.10691421254801536</v>
      </c>
      <c r="AZ485" s="286">
        <f t="shared" si="935"/>
        <v>9.16911045943304E-2</v>
      </c>
      <c r="BA485" s="287">
        <f>BA479/BA$474</f>
        <v>0.10316568433013776</v>
      </c>
      <c r="BB485" s="745">
        <f t="shared" ref="BB485:BD486" si="940">$K485</f>
        <v>0.1</v>
      </c>
      <c r="BC485" s="745">
        <f t="shared" si="940"/>
        <v>0.1</v>
      </c>
      <c r="BD485" s="745">
        <f t="shared" si="940"/>
        <v>0.1</v>
      </c>
      <c r="BE485" s="286">
        <f>BE479/BE$474</f>
        <v>9.9999999999999936E-2</v>
      </c>
      <c r="BF485" s="286"/>
      <c r="BG485" s="15"/>
    </row>
    <row r="486" spans="1:90" ht="12.75" customHeight="1" outlineLevel="1">
      <c r="B486" s="374" t="s">
        <v>93</v>
      </c>
      <c r="C486" s="286">
        <f>C480/C$474</f>
        <v>0.25358851674641147</v>
      </c>
      <c r="D486" s="286">
        <f t="shared" si="936"/>
        <v>0.25358851674641147</v>
      </c>
      <c r="E486" s="286">
        <f t="shared" si="936"/>
        <v>0.25358851674641147</v>
      </c>
      <c r="F486" s="286">
        <f t="shared" si="936"/>
        <v>0.24146147736298651</v>
      </c>
      <c r="G486" s="286">
        <f t="shared" si="936"/>
        <v>0.24824191279887484</v>
      </c>
      <c r="H486" s="286">
        <f t="shared" si="936"/>
        <v>0.2871507522259748</v>
      </c>
      <c r="I486" s="286">
        <f t="shared" si="936"/>
        <v>0.27440616838701654</v>
      </c>
      <c r="J486" s="287">
        <f t="shared" si="936"/>
        <v>0.28871522350734602</v>
      </c>
      <c r="K486" s="744">
        <v>0.27</v>
      </c>
      <c r="L486" s="744">
        <f t="shared" si="937"/>
        <v>0.27</v>
      </c>
      <c r="M486" s="744">
        <f t="shared" si="937"/>
        <v>0.27</v>
      </c>
      <c r="N486" s="744">
        <f t="shared" si="937"/>
        <v>0.27</v>
      </c>
      <c r="O486" s="744">
        <f t="shared" si="937"/>
        <v>0.27</v>
      </c>
      <c r="P486" s="744">
        <f t="shared" si="937"/>
        <v>0.27</v>
      </c>
      <c r="Q486" s="744">
        <f t="shared" si="937"/>
        <v>0.27</v>
      </c>
      <c r="R486" s="744">
        <f t="shared" si="937"/>
        <v>0.27</v>
      </c>
      <c r="V486" s="224"/>
      <c r="W486" s="224"/>
      <c r="X486" s="224"/>
      <c r="Y486" s="429"/>
      <c r="Z486" s="543">
        <f t="shared" si="931"/>
        <v>0.25358851674641147</v>
      </c>
      <c r="AA486" s="543">
        <f t="shared" si="931"/>
        <v>0.25358851674641147</v>
      </c>
      <c r="AB486" s="543">
        <f t="shared" si="931"/>
        <v>0.25358851674641147</v>
      </c>
      <c r="AC486" s="586">
        <f t="shared" si="931"/>
        <v>0.25358851674641147</v>
      </c>
      <c r="AD486" s="543">
        <f t="shared" si="932"/>
        <v>0.24146147736298651</v>
      </c>
      <c r="AE486" s="543">
        <f t="shared" si="932"/>
        <v>0.24146147736298651</v>
      </c>
      <c r="AF486" s="543">
        <f t="shared" si="932"/>
        <v>0.24146147736298651</v>
      </c>
      <c r="AG486" s="586">
        <f t="shared" si="932"/>
        <v>0.24146147736298651</v>
      </c>
      <c r="AH486" s="286">
        <f t="shared" ref="AH486:AV486" si="941">AH480/AH$474</f>
        <v>0.22474747474747475</v>
      </c>
      <c r="AI486" s="286">
        <f t="shared" si="941"/>
        <v>0.39583333333333331</v>
      </c>
      <c r="AJ486" s="286">
        <f t="shared" si="941"/>
        <v>0.19726858877086495</v>
      </c>
      <c r="AK486" s="287">
        <f t="shared" si="941"/>
        <v>0.15675675675675677</v>
      </c>
      <c r="AL486" s="286">
        <f t="shared" si="941"/>
        <v>0.16123019571295433</v>
      </c>
      <c r="AM486" s="286">
        <f t="shared" si="941"/>
        <v>0.32624584717607974</v>
      </c>
      <c r="AN486" s="286">
        <f t="shared" si="941"/>
        <v>0.28564804080686296</v>
      </c>
      <c r="AO486" s="287">
        <f t="shared" si="941"/>
        <v>0.29231433506044907</v>
      </c>
      <c r="AP486" s="286">
        <f t="shared" si="941"/>
        <v>0.30813516896120152</v>
      </c>
      <c r="AQ486" s="286">
        <f t="shared" si="941"/>
        <v>0.31036662452591657</v>
      </c>
      <c r="AR486" s="286">
        <f t="shared" si="941"/>
        <v>0.19450800915331809</v>
      </c>
      <c r="AS486" s="287">
        <f t="shared" si="941"/>
        <v>0.29650779705688557</v>
      </c>
      <c r="AT486" s="286">
        <f t="shared" si="941"/>
        <v>0.29155387114239306</v>
      </c>
      <c r="AU486" s="286">
        <f t="shared" si="941"/>
        <v>0.2679369560103505</v>
      </c>
      <c r="AV486" s="286">
        <f t="shared" si="941"/>
        <v>0.31436965811965811</v>
      </c>
      <c r="AW486" s="287">
        <f>AW480/AW$474</f>
        <v>0.28448676265675799</v>
      </c>
      <c r="AX486" s="286">
        <f t="shared" si="935"/>
        <v>0.28937546653396368</v>
      </c>
      <c r="AY486" s="286">
        <f t="shared" si="935"/>
        <v>0.24114383269312847</v>
      </c>
      <c r="AZ486" s="286">
        <f t="shared" si="935"/>
        <v>0.27820136852394917</v>
      </c>
      <c r="BA486" s="287">
        <f>BA480/BA$474</f>
        <v>0.27304697116775761</v>
      </c>
      <c r="BB486" s="745">
        <f t="shared" si="940"/>
        <v>0.27</v>
      </c>
      <c r="BC486" s="745">
        <f t="shared" si="940"/>
        <v>0.27</v>
      </c>
      <c r="BD486" s="745">
        <f t="shared" si="940"/>
        <v>0.27</v>
      </c>
      <c r="BE486" s="286">
        <f>BE480/BE$474</f>
        <v>0.26999999999999985</v>
      </c>
      <c r="BF486" s="286"/>
      <c r="BG486" s="15"/>
    </row>
    <row r="487" spans="1:90" ht="12.75" customHeight="1" outlineLevel="1">
      <c r="B487" s="374" t="s">
        <v>855</v>
      </c>
      <c r="C487" s="286">
        <f>SUM(C483:C486)</f>
        <v>0.99999999999999989</v>
      </c>
      <c r="D487" s="286">
        <f t="shared" ref="D487:J487" si="942">SUM(D483:D486)</f>
        <v>0.99999999999999989</v>
      </c>
      <c r="E487" s="286">
        <f t="shared" si="942"/>
        <v>0.99999999999999989</v>
      </c>
      <c r="F487" s="286">
        <f t="shared" si="942"/>
        <v>1</v>
      </c>
      <c r="G487" s="286">
        <f t="shared" si="942"/>
        <v>1</v>
      </c>
      <c r="H487" s="286">
        <f t="shared" si="942"/>
        <v>1</v>
      </c>
      <c r="I487" s="286">
        <f t="shared" si="942"/>
        <v>1</v>
      </c>
      <c r="J487" s="287">
        <f t="shared" si="942"/>
        <v>0.99999999999999989</v>
      </c>
      <c r="K487" s="1365">
        <f>SUM(K483:K486)</f>
        <v>1</v>
      </c>
      <c r="L487" s="1365">
        <f>SUM(L483:L486)</f>
        <v>1</v>
      </c>
      <c r="M487" s="1365">
        <f t="shared" ref="M487:R487" si="943">SUM(M483:M486)</f>
        <v>1</v>
      </c>
      <c r="N487" s="1365">
        <f t="shared" si="943"/>
        <v>1</v>
      </c>
      <c r="O487" s="1365">
        <f t="shared" si="943"/>
        <v>1</v>
      </c>
      <c r="P487" s="1365">
        <f t="shared" si="943"/>
        <v>1</v>
      </c>
      <c r="Q487" s="1365">
        <f t="shared" si="943"/>
        <v>1</v>
      </c>
      <c r="R487" s="1365">
        <f t="shared" si="943"/>
        <v>1</v>
      </c>
      <c r="V487" s="224"/>
      <c r="W487" s="224"/>
      <c r="X487" s="224"/>
      <c r="Y487" s="429"/>
      <c r="Z487" s="543"/>
      <c r="AA487" s="543"/>
      <c r="AB487" s="543"/>
      <c r="AC487" s="586"/>
      <c r="AD487" s="543"/>
      <c r="AE487" s="543"/>
      <c r="AF487" s="543"/>
      <c r="AG487" s="586"/>
      <c r="AH487" s="286"/>
      <c r="AI487" s="286"/>
      <c r="AJ487" s="286"/>
      <c r="AK487" s="287"/>
      <c r="AL487" s="286"/>
      <c r="AM487" s="286"/>
      <c r="AN487" s="286"/>
      <c r="AO487" s="287"/>
      <c r="AP487" s="286"/>
      <c r="AQ487" s="286"/>
      <c r="AR487" s="286"/>
      <c r="AS487" s="287"/>
      <c r="AT487" s="286"/>
      <c r="AU487" s="286"/>
      <c r="AV487" s="286"/>
      <c r="AW487" s="287"/>
      <c r="AX487" s="286">
        <f>SUM(AX483:AX486)</f>
        <v>1</v>
      </c>
      <c r="AY487" s="286">
        <f t="shared" ref="AY487:BA487" si="944">SUM(AY483:AY486)</f>
        <v>0.99999999999999989</v>
      </c>
      <c r="AZ487" s="286">
        <f t="shared" si="944"/>
        <v>1</v>
      </c>
      <c r="BA487" s="287">
        <f t="shared" si="944"/>
        <v>1</v>
      </c>
      <c r="BB487" s="1366">
        <f>SUM(BB483:BB486)</f>
        <v>1</v>
      </c>
      <c r="BC487" s="1366">
        <f>SUM(BC483:BC486)</f>
        <v>1</v>
      </c>
      <c r="BD487" s="1366">
        <f t="shared" ref="BD487:BE487" si="945">SUM(BD483:BD486)</f>
        <v>0.99999999999999989</v>
      </c>
      <c r="BE487" s="1366">
        <f t="shared" si="945"/>
        <v>0.99999999999999956</v>
      </c>
      <c r="BF487" s="286"/>
      <c r="BG487" s="15"/>
    </row>
    <row r="488" spans="1:90" ht="12.75" customHeight="1" outlineLevel="1">
      <c r="B488" s="740" t="s">
        <v>674</v>
      </c>
      <c r="C488" s="741"/>
      <c r="D488" s="741"/>
      <c r="E488" s="742"/>
      <c r="F488" s="742"/>
      <c r="G488" s="742"/>
      <c r="H488" s="742"/>
      <c r="I488" s="742"/>
      <c r="J488" s="1420"/>
      <c r="K488" s="742"/>
      <c r="L488" s="742"/>
      <c r="M488" s="742"/>
      <c r="N488" s="742"/>
      <c r="O488" s="742"/>
      <c r="P488" s="742"/>
      <c r="Q488" s="742"/>
      <c r="R488" s="742"/>
      <c r="S488" s="350"/>
      <c r="V488" s="141"/>
      <c r="W488" s="141"/>
      <c r="X488" s="20"/>
      <c r="Y488" s="673"/>
      <c r="Z488" s="20"/>
      <c r="AA488" s="20"/>
      <c r="AB488" s="20"/>
      <c r="AC488" s="673"/>
      <c r="AD488" s="20"/>
      <c r="AE488" s="20"/>
      <c r="AF488" s="20"/>
      <c r="AG488" s="673"/>
      <c r="AH488" s="20"/>
      <c r="AI488" s="20"/>
      <c r="AJ488" s="20"/>
      <c r="AK488" s="673"/>
      <c r="AL488" s="20"/>
      <c r="AM488" s="20"/>
      <c r="AN488" s="20"/>
      <c r="AO488" s="673"/>
      <c r="AP488" s="20"/>
      <c r="AQ488" s="20"/>
      <c r="AR488" s="20"/>
      <c r="AS488" s="673"/>
      <c r="AT488" s="20"/>
      <c r="AU488" s="20"/>
      <c r="AV488" s="20"/>
      <c r="AW488" s="673"/>
      <c r="AX488" s="20"/>
      <c r="AY488" s="20"/>
      <c r="AZ488" s="20"/>
      <c r="BA488" s="409"/>
      <c r="BB488" s="20"/>
      <c r="BC488" s="20"/>
      <c r="BD488" s="20"/>
      <c r="BE488" s="314"/>
      <c r="BF488" s="141"/>
      <c r="BY488" s="20"/>
      <c r="BZ488" s="450"/>
    </row>
    <row r="489" spans="1:90" ht="12.75" customHeight="1" outlineLevel="1">
      <c r="B489" s="374" t="s">
        <v>607</v>
      </c>
      <c r="C489" s="741"/>
      <c r="D489" s="741"/>
      <c r="E489" s="742"/>
      <c r="F489" s="742"/>
      <c r="G489" s="742"/>
      <c r="H489" s="742"/>
      <c r="I489" s="646">
        <f>SUM(AP489:AS489)</f>
        <v>-6224</v>
      </c>
      <c r="J489" s="1411">
        <f>SUM(AT489:AW489)</f>
        <v>-5994</v>
      </c>
      <c r="K489" s="742"/>
      <c r="L489" s="742"/>
      <c r="M489" s="742"/>
      <c r="N489" s="742"/>
      <c r="O489" s="742"/>
      <c r="P489" s="742"/>
      <c r="Q489" s="742"/>
      <c r="R489" s="742"/>
      <c r="S489" s="350"/>
      <c r="V489" s="141"/>
      <c r="W489" s="141"/>
      <c r="X489" s="20"/>
      <c r="Y489" s="673"/>
      <c r="Z489" s="20"/>
      <c r="AA489" s="20"/>
      <c r="AB489" s="20"/>
      <c r="AC489" s="673"/>
      <c r="AD489" s="20"/>
      <c r="AE489" s="20"/>
      <c r="AF489" s="20"/>
      <c r="AG489" s="673"/>
      <c r="AH489" s="20"/>
      <c r="AI489" s="20"/>
      <c r="AJ489" s="20"/>
      <c r="AK489" s="673"/>
      <c r="AL489" s="20"/>
      <c r="AM489" s="20"/>
      <c r="AN489" s="20"/>
      <c r="AO489" s="673"/>
      <c r="AP489" s="584">
        <f>-Reported!P174</f>
        <v>-961</v>
      </c>
      <c r="AQ489" s="584">
        <f>-Reported!Q174</f>
        <v>-1868</v>
      </c>
      <c r="AR489" s="584">
        <f>-Reported!R174</f>
        <v>-1625</v>
      </c>
      <c r="AS489" s="585">
        <f>-Reported!S174</f>
        <v>-1770</v>
      </c>
      <c r="AT489" s="584">
        <f>-Reported!T174</f>
        <v>-1456</v>
      </c>
      <c r="AU489" s="584">
        <f>-Reported!U174</f>
        <v>-1471</v>
      </c>
      <c r="AV489" s="584">
        <f>-Reported!V174</f>
        <v>-1590</v>
      </c>
      <c r="AW489" s="585">
        <f>-Reported!W174</f>
        <v>-1477</v>
      </c>
      <c r="AX489" s="584">
        <f>-Reported!X174</f>
        <v>-1560</v>
      </c>
      <c r="AY489" s="584">
        <f>-Reported!Y174</f>
        <v>-1987</v>
      </c>
      <c r="AZ489" s="584">
        <f>-Reported!Z174</f>
        <v>-2226</v>
      </c>
      <c r="BA489" s="409"/>
      <c r="BB489" s="20"/>
      <c r="BC489" s="20"/>
      <c r="BD489" s="20"/>
      <c r="BE489" s="314"/>
      <c r="BF489" s="141"/>
      <c r="BY489" s="20"/>
      <c r="BZ489" s="450"/>
    </row>
    <row r="490" spans="1:90" ht="12.75" customHeight="1" outlineLevel="1">
      <c r="B490" s="374" t="s">
        <v>429</v>
      </c>
      <c r="C490" s="741"/>
      <c r="D490" s="741"/>
      <c r="E490" s="742"/>
      <c r="F490" s="742"/>
      <c r="G490" s="742"/>
      <c r="H490" s="742"/>
      <c r="I490" s="646">
        <f>SUM(AP490:AS490)</f>
        <v>-1349</v>
      </c>
      <c r="J490" s="1411">
        <f>SUM(AT490:AW490)</f>
        <v>-1201</v>
      </c>
      <c r="K490" s="742"/>
      <c r="L490" s="742"/>
      <c r="M490" s="742"/>
      <c r="N490" s="742"/>
      <c r="O490" s="742"/>
      <c r="P490" s="742"/>
      <c r="Q490" s="742"/>
      <c r="R490" s="742"/>
      <c r="S490" s="350"/>
      <c r="V490" s="141"/>
      <c r="W490" s="141"/>
      <c r="X490" s="20"/>
      <c r="Y490" s="673"/>
      <c r="Z490" s="20"/>
      <c r="AA490" s="20"/>
      <c r="AB490" s="20"/>
      <c r="AC490" s="673"/>
      <c r="AD490" s="20"/>
      <c r="AE490" s="20"/>
      <c r="AF490" s="20"/>
      <c r="AG490" s="673"/>
      <c r="AH490" s="20"/>
      <c r="AI490" s="20"/>
      <c r="AJ490" s="20"/>
      <c r="AK490" s="673"/>
      <c r="AL490" s="20"/>
      <c r="AM490" s="20"/>
      <c r="AN490" s="20"/>
      <c r="AO490" s="673"/>
      <c r="AP490" s="584">
        <f>-Reported!P175</f>
        <v>-184</v>
      </c>
      <c r="AQ490" s="584">
        <f>-Reported!Q175</f>
        <v>-346</v>
      </c>
      <c r="AR490" s="584">
        <f>-Reported!R175</f>
        <v>-379</v>
      </c>
      <c r="AS490" s="585">
        <f>-Reported!S175</f>
        <v>-440</v>
      </c>
      <c r="AT490" s="584">
        <f>-Reported!T175</f>
        <v>-280</v>
      </c>
      <c r="AU490" s="584">
        <f>-Reported!U175</f>
        <v>-340</v>
      </c>
      <c r="AV490" s="584">
        <f>-Reported!V175</f>
        <v>-246</v>
      </c>
      <c r="AW490" s="585">
        <f>-Reported!W175</f>
        <v>-335</v>
      </c>
      <c r="AX490" s="584">
        <f>-Reported!X175</f>
        <v>-428</v>
      </c>
      <c r="AY490" s="584">
        <f>-Reported!Y175</f>
        <v>-531</v>
      </c>
      <c r="AZ490" s="584">
        <f>-Reported!Z175</f>
        <v>-608</v>
      </c>
      <c r="BA490" s="409"/>
      <c r="BB490" s="20"/>
      <c r="BC490" s="20"/>
      <c r="BD490" s="20"/>
      <c r="BE490" s="314"/>
      <c r="BF490" s="141"/>
      <c r="BY490" s="20"/>
      <c r="BZ490" s="450"/>
    </row>
    <row r="491" spans="1:90" ht="12.75" customHeight="1" outlineLevel="1">
      <c r="B491" s="374" t="s">
        <v>605</v>
      </c>
      <c r="C491" s="741"/>
      <c r="D491" s="741"/>
      <c r="E491" s="742"/>
      <c r="F491" s="742"/>
      <c r="G491" s="742"/>
      <c r="H491" s="742"/>
      <c r="I491" s="646">
        <f>SUM(AP491:AS491)</f>
        <v>-981</v>
      </c>
      <c r="J491" s="1411">
        <f>SUM(AT491:AW491)</f>
        <v>-1454</v>
      </c>
      <c r="K491" s="742"/>
      <c r="L491" s="742"/>
      <c r="M491" s="742"/>
      <c r="N491" s="742"/>
      <c r="O491" s="742"/>
      <c r="P491" s="742"/>
      <c r="Q491" s="742"/>
      <c r="R491" s="742"/>
      <c r="S491" s="350"/>
      <c r="V491" s="141"/>
      <c r="W491" s="141"/>
      <c r="X491" s="20"/>
      <c r="Y491" s="673"/>
      <c r="Z491" s="20"/>
      <c r="AA491" s="20"/>
      <c r="AB491" s="20"/>
      <c r="AC491" s="673"/>
      <c r="AD491" s="20"/>
      <c r="AE491" s="20"/>
      <c r="AF491" s="20"/>
      <c r="AG491" s="673"/>
      <c r="AH491" s="20"/>
      <c r="AI491" s="20"/>
      <c r="AJ491" s="20"/>
      <c r="AK491" s="673"/>
      <c r="AL491" s="20"/>
      <c r="AM491" s="20"/>
      <c r="AN491" s="20"/>
      <c r="AO491" s="673"/>
      <c r="AP491" s="584">
        <f>-Reported!P176</f>
        <v>-190</v>
      </c>
      <c r="AQ491" s="584">
        <f>-Reported!Q176</f>
        <v>-242</v>
      </c>
      <c r="AR491" s="584">
        <f>-Reported!R176</f>
        <v>-222</v>
      </c>
      <c r="AS491" s="585">
        <f>-Reported!S176</f>
        <v>-327</v>
      </c>
      <c r="AT491" s="584">
        <f>-Reported!T176</f>
        <v>-334</v>
      </c>
      <c r="AU491" s="584">
        <f>-Reported!U176</f>
        <v>-358</v>
      </c>
      <c r="AV491" s="584">
        <f>-Reported!V176</f>
        <v>-344</v>
      </c>
      <c r="AW491" s="585">
        <f>-Reported!W176</f>
        <v>-418</v>
      </c>
      <c r="AX491" s="584">
        <f>-Reported!X176</f>
        <v>-502</v>
      </c>
      <c r="AY491" s="584">
        <f>-Reported!Y176</f>
        <v>-594</v>
      </c>
      <c r="AZ491" s="584">
        <f>-Reported!Z176</f>
        <v>-510</v>
      </c>
      <c r="BA491" s="409"/>
      <c r="BB491" s="20"/>
      <c r="BC491" s="20"/>
      <c r="BD491" s="20"/>
      <c r="BE491" s="314"/>
      <c r="BF491" s="141"/>
      <c r="BY491" s="20"/>
      <c r="BZ491" s="450"/>
    </row>
    <row r="492" spans="1:90" ht="12.75" customHeight="1" outlineLevel="1">
      <c r="B492" s="374" t="s">
        <v>606</v>
      </c>
      <c r="C492" s="741"/>
      <c r="D492" s="741"/>
      <c r="E492" s="742"/>
      <c r="F492" s="742"/>
      <c r="G492" s="742"/>
      <c r="H492" s="742"/>
      <c r="I492" s="646">
        <f>SUM(AP492:AS492)</f>
        <v>-3092</v>
      </c>
      <c r="J492" s="1411">
        <f>SUM(AT492:AW492)</f>
        <v>-3017</v>
      </c>
      <c r="K492" s="742"/>
      <c r="L492" s="742"/>
      <c r="M492" s="742"/>
      <c r="N492" s="742"/>
      <c r="O492" s="742"/>
      <c r="P492" s="742"/>
      <c r="Q492" s="742"/>
      <c r="R492" s="742"/>
      <c r="S492" s="350"/>
      <c r="V492" s="141"/>
      <c r="W492" s="141"/>
      <c r="X492" s="20"/>
      <c r="Y492" s="673"/>
      <c r="Z492" s="20"/>
      <c r="AA492" s="20"/>
      <c r="AB492" s="20"/>
      <c r="AC492" s="673"/>
      <c r="AD492" s="20"/>
      <c r="AE492" s="20"/>
      <c r="AF492" s="20"/>
      <c r="AG492" s="673"/>
      <c r="AH492" s="20"/>
      <c r="AI492" s="20"/>
      <c r="AJ492" s="20"/>
      <c r="AK492" s="673"/>
      <c r="AL492" s="20"/>
      <c r="AM492" s="20"/>
      <c r="AN492" s="20"/>
      <c r="AO492" s="673"/>
      <c r="AP492" s="584">
        <f>-Reported!P177</f>
        <v>-651</v>
      </c>
      <c r="AQ492" s="584">
        <f>-Reported!Q177</f>
        <v>-423</v>
      </c>
      <c r="AR492" s="584">
        <f>-Reported!R177</f>
        <v>-1237</v>
      </c>
      <c r="AS492" s="585">
        <f>-Reported!S177</f>
        <v>-781</v>
      </c>
      <c r="AT492" s="584">
        <f>-Reported!T177</f>
        <v>-520</v>
      </c>
      <c r="AU492" s="584">
        <f>-Reported!U177</f>
        <v>-952</v>
      </c>
      <c r="AV492" s="584">
        <f>-Reported!V177</f>
        <v>-502</v>
      </c>
      <c r="AW492" s="585">
        <f>-Reported!W177</f>
        <v>-1043</v>
      </c>
      <c r="AX492" s="584">
        <f>-Reported!X177</f>
        <v>-816</v>
      </c>
      <c r="AY492" s="584">
        <f>-Reported!Y177</f>
        <v>-930</v>
      </c>
      <c r="AZ492" s="584">
        <f>-Reported!Z177</f>
        <v>-808</v>
      </c>
      <c r="BA492" s="409"/>
      <c r="BB492" s="20"/>
      <c r="BC492" s="20"/>
      <c r="BD492" s="20"/>
      <c r="BE492" s="314"/>
      <c r="BF492" s="141"/>
      <c r="BY492" s="20"/>
      <c r="BZ492" s="450"/>
    </row>
    <row r="493" spans="1:90" ht="12.75" customHeight="1" outlineLevel="1">
      <c r="B493" s="374" t="s">
        <v>598</v>
      </c>
      <c r="C493" s="648"/>
      <c r="D493" s="648"/>
      <c r="E493" s="650"/>
      <c r="F493" s="650"/>
      <c r="G493" s="650"/>
      <c r="H493" s="648"/>
      <c r="I493" s="646">
        <f>SUM(AP493:AS493)</f>
        <v>-4436</v>
      </c>
      <c r="J493" s="1411">
        <f>SUM(AT493:AW493)</f>
        <v>-4329</v>
      </c>
      <c r="K493" s="648"/>
      <c r="L493" s="648"/>
      <c r="M493" s="648"/>
      <c r="N493" s="648"/>
      <c r="O493" s="648"/>
      <c r="P493" s="648"/>
      <c r="Q493" s="648"/>
      <c r="R493" s="648"/>
      <c r="V493" s="141"/>
      <c r="W493" s="141"/>
      <c r="X493" s="141"/>
      <c r="Y493" s="398"/>
      <c r="Z493" s="141"/>
      <c r="AA493" s="141"/>
      <c r="AB493" s="141"/>
      <c r="AC493" s="398"/>
      <c r="AD493" s="141"/>
      <c r="AE493" s="141"/>
      <c r="AF493" s="141"/>
      <c r="AG493" s="398"/>
      <c r="AH493" s="141"/>
      <c r="AI493" s="141"/>
      <c r="AJ493" s="141"/>
      <c r="AK493" s="398"/>
      <c r="AL493" s="141"/>
      <c r="AM493" s="141"/>
      <c r="AN493" s="141"/>
      <c r="AO493" s="398"/>
      <c r="AP493" s="584">
        <f>-Reported!P178</f>
        <v>-2009</v>
      </c>
      <c r="AQ493" s="584">
        <f>-Reported!Q178</f>
        <v>-285</v>
      </c>
      <c r="AR493" s="584">
        <f>-Reported!R178</f>
        <v>-907</v>
      </c>
      <c r="AS493" s="585">
        <f>-Reported!S178</f>
        <v>-1235</v>
      </c>
      <c r="AT493" s="584">
        <f>-Reported!T178</f>
        <v>-1104</v>
      </c>
      <c r="AU493" s="584">
        <f>-Reported!U178</f>
        <v>-1130</v>
      </c>
      <c r="AV493" s="584">
        <f>-Reported!V178</f>
        <v>-1062</v>
      </c>
      <c r="AW493" s="585">
        <f>-Reported!W178</f>
        <v>-1033</v>
      </c>
      <c r="AX493" s="584">
        <f>-Reported!X178</f>
        <v>-713</v>
      </c>
      <c r="AY493" s="584">
        <f>-Reported!Y178</f>
        <v>-644</v>
      </c>
      <c r="AZ493" s="584">
        <f>-Reported!Z178</f>
        <v>-963</v>
      </c>
      <c r="BA493" s="278"/>
      <c r="BB493" s="225"/>
      <c r="BC493" s="225"/>
      <c r="BD493" s="225"/>
      <c r="BE493" s="225"/>
      <c r="BF493" s="141"/>
    </row>
    <row r="494" spans="1:90" ht="12.75" customHeight="1" outlineLevel="1">
      <c r="B494" s="374" t="s">
        <v>855</v>
      </c>
      <c r="C494" s="648"/>
      <c r="D494" s="648"/>
      <c r="E494" s="650"/>
      <c r="F494" s="650"/>
      <c r="G494" s="650"/>
      <c r="H494" s="648"/>
      <c r="I494" s="646">
        <f>SUM(I489:I493)</f>
        <v>-16082</v>
      </c>
      <c r="J494" s="1411">
        <f>SUM(J489:J493)</f>
        <v>-15995</v>
      </c>
      <c r="K494" s="648"/>
      <c r="L494" s="648"/>
      <c r="M494" s="648"/>
      <c r="N494" s="648"/>
      <c r="O494" s="648"/>
      <c r="P494" s="648"/>
      <c r="Q494" s="648"/>
      <c r="R494" s="648"/>
      <c r="V494" s="141"/>
      <c r="W494" s="141"/>
      <c r="X494" s="141"/>
      <c r="Y494" s="398"/>
      <c r="Z494" s="141"/>
      <c r="AA494" s="141"/>
      <c r="AB494" s="141"/>
      <c r="AC494" s="398"/>
      <c r="AD494" s="141"/>
      <c r="AE494" s="141"/>
      <c r="AF494" s="141"/>
      <c r="AG494" s="398"/>
      <c r="AH494" s="141"/>
      <c r="AI494" s="141"/>
      <c r="AJ494" s="141"/>
      <c r="AK494" s="398"/>
      <c r="AL494" s="141"/>
      <c r="AM494" s="141"/>
      <c r="AN494" s="141"/>
      <c r="AO494" s="398"/>
      <c r="AP494" s="584"/>
      <c r="AQ494" s="584"/>
      <c r="AR494" s="584"/>
      <c r="AS494" s="585"/>
      <c r="AT494" s="584"/>
      <c r="AU494" s="584"/>
      <c r="AV494" s="584"/>
      <c r="AW494" s="585"/>
      <c r="AX494" s="584"/>
      <c r="AY494" s="584"/>
      <c r="AZ494" s="584"/>
      <c r="BA494" s="278"/>
      <c r="BB494" s="225"/>
      <c r="BC494" s="225"/>
      <c r="BD494" s="225"/>
      <c r="BE494" s="225"/>
      <c r="BF494" s="141"/>
    </row>
    <row r="495" spans="1:90" ht="12.75" customHeight="1" outlineLevel="1">
      <c r="B495" s="374"/>
      <c r="C495" s="648"/>
      <c r="D495" s="648"/>
      <c r="E495" s="650"/>
      <c r="F495" s="650"/>
      <c r="G495" s="650"/>
      <c r="H495" s="648"/>
      <c r="I495" s="648"/>
      <c r="J495" s="649"/>
      <c r="K495" s="648"/>
      <c r="L495" s="648"/>
      <c r="M495" s="648"/>
      <c r="N495" s="648"/>
      <c r="O495" s="648"/>
      <c r="P495" s="648"/>
      <c r="Q495" s="648"/>
      <c r="R495" s="648"/>
      <c r="V495" s="141"/>
      <c r="W495" s="141"/>
      <c r="X495" s="141"/>
      <c r="Y495" s="398"/>
      <c r="Z495" s="141"/>
      <c r="AA495" s="141"/>
      <c r="AB495" s="141"/>
      <c r="AC495" s="398"/>
      <c r="AD495" s="141"/>
      <c r="AE495" s="141"/>
      <c r="AF495" s="141"/>
      <c r="AG495" s="398"/>
      <c r="AH495" s="141"/>
      <c r="AI495" s="141"/>
      <c r="AJ495" s="141"/>
      <c r="AK495" s="398"/>
      <c r="AL495" s="141"/>
      <c r="AM495" s="141"/>
      <c r="AN495" s="141"/>
      <c r="AO495" s="398"/>
      <c r="AP495" s="141"/>
      <c r="AQ495" s="141"/>
      <c r="AR495" s="141"/>
      <c r="AS495" s="746"/>
      <c r="AT495" s="141"/>
      <c r="AU495" s="141"/>
      <c r="AV495" s="141"/>
      <c r="AW495" s="398"/>
      <c r="AX495" s="225"/>
      <c r="AY495" s="225"/>
      <c r="AZ495" s="225"/>
      <c r="BA495" s="278"/>
      <c r="BB495" s="225"/>
      <c r="BC495" s="225"/>
      <c r="BD495" s="225"/>
      <c r="BE495" s="225"/>
      <c r="BF495" s="141"/>
    </row>
    <row r="496" spans="1:90" s="225" customFormat="1">
      <c r="A496" s="1348"/>
      <c r="B496" s="625" t="s">
        <v>626</v>
      </c>
      <c r="C496" s="626"/>
      <c r="D496" s="626"/>
      <c r="E496" s="626"/>
      <c r="F496" s="626"/>
      <c r="G496" s="627"/>
      <c r="H496" s="628"/>
      <c r="I496" s="629"/>
      <c r="J496" s="1410"/>
      <c r="K496" s="629"/>
      <c r="L496" s="629"/>
      <c r="M496" s="629"/>
      <c r="N496" s="629"/>
      <c r="O496" s="629"/>
      <c r="P496" s="629"/>
      <c r="Q496" s="629"/>
      <c r="R496" s="629"/>
      <c r="T496" s="629"/>
      <c r="V496" s="630"/>
      <c r="W496" s="630"/>
      <c r="X496" s="630"/>
      <c r="Y496" s="631"/>
      <c r="Z496" s="630"/>
      <c r="AA496" s="630"/>
      <c r="AB496" s="630"/>
      <c r="AC496" s="631"/>
      <c r="AD496" s="626"/>
      <c r="AE496" s="626"/>
      <c r="AF496" s="626"/>
      <c r="AG496" s="632"/>
      <c r="AH496" s="626"/>
      <c r="AI496" s="626"/>
      <c r="AJ496" s="626"/>
      <c r="AK496" s="633"/>
      <c r="AL496" s="634"/>
      <c r="AM496" s="634"/>
      <c r="AN496" s="635"/>
      <c r="AO496" s="636"/>
      <c r="AP496" s="630"/>
      <c r="AQ496" s="630"/>
      <c r="AR496" s="637"/>
      <c r="AS496" s="638"/>
      <c r="AT496" s="639"/>
      <c r="AU496" s="637"/>
      <c r="AV496" s="637"/>
      <c r="AW496" s="638"/>
      <c r="AX496" s="641"/>
      <c r="AY496" s="642"/>
      <c r="AZ496" s="642"/>
      <c r="BA496" s="1544"/>
      <c r="BB496" s="641"/>
      <c r="BC496" s="642"/>
      <c r="BD496" s="642"/>
      <c r="BE496" s="642"/>
      <c r="BF496" s="283"/>
      <c r="CG496"/>
      <c r="CH496"/>
      <c r="CI496"/>
      <c r="CJ496"/>
      <c r="CK496"/>
      <c r="CL496"/>
    </row>
    <row r="497" spans="1:90" s="225" customFormat="1" ht="12.75" customHeight="1" outlineLevel="1">
      <c r="A497" s="1348"/>
      <c r="B497" s="273" t="s">
        <v>91</v>
      </c>
      <c r="C497" s="452">
        <f t="shared" ref="C497:R497" si="946">C336</f>
        <v>6670</v>
      </c>
      <c r="D497" s="452">
        <f t="shared" si="946"/>
        <v>11903</v>
      </c>
      <c r="E497" s="452">
        <f t="shared" si="946"/>
        <v>20025</v>
      </c>
      <c r="F497" s="489">
        <f t="shared" si="946"/>
        <v>34517</v>
      </c>
      <c r="G497" s="489">
        <f t="shared" si="946"/>
        <v>52504</v>
      </c>
      <c r="H497" s="489">
        <f t="shared" si="946"/>
        <v>76204</v>
      </c>
      <c r="I497" s="489">
        <f t="shared" si="946"/>
        <v>101143</v>
      </c>
      <c r="J497" s="747">
        <f t="shared" si="946"/>
        <v>158273</v>
      </c>
      <c r="K497" s="489">
        <f t="shared" si="946"/>
        <v>248344.72960419999</v>
      </c>
      <c r="L497" s="489">
        <f t="shared" si="946"/>
        <v>338216.75367454573</v>
      </c>
      <c r="M497" s="489">
        <f t="shared" si="946"/>
        <v>439958.68699306762</v>
      </c>
      <c r="N497" s="489">
        <f t="shared" si="946"/>
        <v>537372.51758970472</v>
      </c>
      <c r="O497" s="489">
        <f t="shared" si="946"/>
        <v>646791.66165817413</v>
      </c>
      <c r="P497" s="489">
        <f t="shared" si="946"/>
        <v>786164.16224977071</v>
      </c>
      <c r="Q497" s="489">
        <f t="shared" si="946"/>
        <v>905274.26396225637</v>
      </c>
      <c r="R497" s="489">
        <f t="shared" si="946"/>
        <v>1029217.6741948476</v>
      </c>
      <c r="T497" s="15">
        <f>(M497/J497)^(1/3)-1</f>
        <v>0.40605298799489575</v>
      </c>
      <c r="V497" s="489"/>
      <c r="W497" s="266"/>
      <c r="X497" s="266"/>
      <c r="Y497" s="267"/>
      <c r="Z497" s="266">
        <f t="shared" ref="Z497:BE497" si="947">Z336</f>
        <v>4103</v>
      </c>
      <c r="AA497" s="266">
        <f t="shared" si="947"/>
        <v>4352</v>
      </c>
      <c r="AB497" s="266">
        <f t="shared" si="947"/>
        <v>6485</v>
      </c>
      <c r="AC497" s="267">
        <f t="shared" si="947"/>
        <v>5085</v>
      </c>
      <c r="AD497" s="489">
        <f t="shared" si="947"/>
        <v>6793</v>
      </c>
      <c r="AE497" s="489">
        <f t="shared" si="947"/>
        <v>7457</v>
      </c>
      <c r="AF497" s="489">
        <f t="shared" si="947"/>
        <v>11593</v>
      </c>
      <c r="AG497" s="747">
        <f t="shared" si="947"/>
        <v>8674</v>
      </c>
      <c r="AH497" s="489">
        <f t="shared" si="947"/>
        <v>10778</v>
      </c>
      <c r="AI497" s="489">
        <f t="shared" si="947"/>
        <v>10950</v>
      </c>
      <c r="AJ497" s="489">
        <f t="shared" si="947"/>
        <v>18745</v>
      </c>
      <c r="AK497" s="747">
        <f t="shared" si="947"/>
        <v>12031</v>
      </c>
      <c r="AL497" s="266">
        <f t="shared" si="947"/>
        <v>15771</v>
      </c>
      <c r="AM497" s="266">
        <f t="shared" si="947"/>
        <v>16829</v>
      </c>
      <c r="AN497" s="266">
        <f t="shared" si="947"/>
        <v>26179</v>
      </c>
      <c r="AO497" s="267">
        <f t="shared" si="947"/>
        <v>17425</v>
      </c>
      <c r="AP497" s="266">
        <f t="shared" si="947"/>
        <v>20245</v>
      </c>
      <c r="AQ497" s="266">
        <f t="shared" si="947"/>
        <v>22171</v>
      </c>
      <c r="AR497" s="266">
        <f t="shared" si="947"/>
        <v>34543</v>
      </c>
      <c r="AS497" s="267">
        <f t="shared" si="947"/>
        <v>24184</v>
      </c>
      <c r="AT497" s="266">
        <f t="shared" si="947"/>
        <v>32154</v>
      </c>
      <c r="AU497" s="266">
        <f t="shared" si="947"/>
        <v>34292</v>
      </c>
      <c r="AV497" s="266">
        <f t="shared" si="947"/>
        <v>53248</v>
      </c>
      <c r="AW497" s="267">
        <f t="shared" si="947"/>
        <v>38579</v>
      </c>
      <c r="AX497" s="266">
        <f t="shared" si="947"/>
        <v>50184</v>
      </c>
      <c r="AY497" s="266">
        <f t="shared" si="947"/>
        <v>55122</v>
      </c>
      <c r="AZ497" s="266">
        <f t="shared" si="947"/>
        <v>83028</v>
      </c>
      <c r="BA497" s="267">
        <f t="shared" si="947"/>
        <v>60010.729604199965</v>
      </c>
      <c r="BB497" s="266">
        <f t="shared" si="947"/>
        <v>73193.721998000008</v>
      </c>
      <c r="BC497" s="266">
        <f t="shared" si="947"/>
        <v>77801.103734880002</v>
      </c>
      <c r="BD497" s="266">
        <f t="shared" si="947"/>
        <v>107891.55708879998</v>
      </c>
      <c r="BE497" s="266">
        <f t="shared" si="947"/>
        <v>79330.370852865715</v>
      </c>
      <c r="BF497" s="283"/>
      <c r="CG497"/>
      <c r="CH497"/>
      <c r="CI497"/>
      <c r="CJ497"/>
      <c r="CK497"/>
      <c r="CL497"/>
    </row>
    <row r="498" spans="1:90" s="225" customFormat="1" ht="12.75" customHeight="1" outlineLevel="1">
      <c r="A498" s="1348"/>
      <c r="B498" s="305" t="s">
        <v>92</v>
      </c>
      <c r="C498" s="489">
        <f t="shared" ref="C498:R498" si="948">C337-C477</f>
        <v>-1494.8580542264754</v>
      </c>
      <c r="D498" s="489">
        <f t="shared" si="948"/>
        <v>-3138.7671451355664</v>
      </c>
      <c r="E498" s="489">
        <f t="shared" si="948"/>
        <v>-6072</v>
      </c>
      <c r="F498" s="489">
        <f t="shared" si="948"/>
        <v>-9337</v>
      </c>
      <c r="G498" s="489">
        <f t="shared" si="948"/>
        <v>-12215</v>
      </c>
      <c r="H498" s="489">
        <f t="shared" si="948"/>
        <v>-19658</v>
      </c>
      <c r="I498" s="489">
        <f t="shared" si="948"/>
        <v>-30352</v>
      </c>
      <c r="J498" s="747">
        <f t="shared" si="948"/>
        <v>-55590</v>
      </c>
      <c r="K498" s="489">
        <f t="shared" si="948"/>
        <v>-95389.210640973222</v>
      </c>
      <c r="L498" s="489">
        <f t="shared" si="948"/>
        <v>-129706.1250341883</v>
      </c>
      <c r="M498" s="489">
        <f t="shared" si="948"/>
        <v>-175169.55122628986</v>
      </c>
      <c r="N498" s="489">
        <f t="shared" si="948"/>
        <v>-214545.97764768961</v>
      </c>
      <c r="O498" s="489">
        <f t="shared" si="948"/>
        <v>-260010.24798658598</v>
      </c>
      <c r="P498" s="489">
        <f t="shared" si="948"/>
        <v>-316902.77380288258</v>
      </c>
      <c r="Q498" s="489">
        <f t="shared" si="948"/>
        <v>-364916.05580318556</v>
      </c>
      <c r="R498" s="489">
        <f t="shared" si="948"/>
        <v>-414877.64446794306</v>
      </c>
      <c r="V498" s="489"/>
      <c r="W498" s="266"/>
      <c r="X498" s="266"/>
      <c r="Y498" s="267"/>
      <c r="Z498" s="489">
        <f t="shared" ref="Z498:BE498" si="949">Z337-Z477</f>
        <v>-1180.3429027113239</v>
      </c>
      <c r="AA498" s="489">
        <f t="shared" si="949"/>
        <v>-1320.3078149920254</v>
      </c>
      <c r="AB498" s="489">
        <f t="shared" si="949"/>
        <v>-1925.9106858054226</v>
      </c>
      <c r="AC498" s="747">
        <f t="shared" si="949"/>
        <v>-1645.4385964912281</v>
      </c>
      <c r="AD498" s="489">
        <f t="shared" si="949"/>
        <v>-2073.3471008737092</v>
      </c>
      <c r="AE498" s="489">
        <f t="shared" si="949"/>
        <v>-2232.8220810166799</v>
      </c>
      <c r="AF498" s="489">
        <f t="shared" si="949"/>
        <v>-2822.0992851469418</v>
      </c>
      <c r="AG498" s="747">
        <f t="shared" si="949"/>
        <v>-2208.731532962669</v>
      </c>
      <c r="AH498" s="489">
        <f t="shared" si="949"/>
        <v>-2576</v>
      </c>
      <c r="AI498" s="489">
        <f t="shared" si="949"/>
        <v>-2754</v>
      </c>
      <c r="AJ498" s="489">
        <f t="shared" si="949"/>
        <v>-3945</v>
      </c>
      <c r="AK498" s="747">
        <f t="shared" si="949"/>
        <v>-2940</v>
      </c>
      <c r="AL498" s="489">
        <f t="shared" si="949"/>
        <v>-3992</v>
      </c>
      <c r="AM498" s="489">
        <f t="shared" si="949"/>
        <v>-4441</v>
      </c>
      <c r="AN498" s="489">
        <f t="shared" si="949"/>
        <v>-6107</v>
      </c>
      <c r="AO498" s="747">
        <f t="shared" si="949"/>
        <v>-5118</v>
      </c>
      <c r="AP498" s="489">
        <f t="shared" si="949"/>
        <v>-5728</v>
      </c>
      <c r="AQ498" s="489">
        <f t="shared" si="949"/>
        <v>-6625</v>
      </c>
      <c r="AR498" s="489">
        <f t="shared" si="949"/>
        <v>-9484</v>
      </c>
      <c r="AS498" s="747">
        <f t="shared" si="949"/>
        <v>-8515</v>
      </c>
      <c r="AT498" s="489">
        <f t="shared" si="949"/>
        <v>-10850</v>
      </c>
      <c r="AU498" s="489">
        <f t="shared" si="949"/>
        <v>-11940</v>
      </c>
      <c r="AV498" s="489">
        <f t="shared" si="949"/>
        <v>-18536</v>
      </c>
      <c r="AW498" s="747">
        <f t="shared" si="949"/>
        <v>-14264</v>
      </c>
      <c r="AX498" s="489">
        <f t="shared" si="949"/>
        <v>-16332</v>
      </c>
      <c r="AY498" s="489">
        <f t="shared" si="949"/>
        <v>-20633</v>
      </c>
      <c r="AZ498" s="489">
        <f t="shared" si="949"/>
        <v>-33750</v>
      </c>
      <c r="BA498" s="747">
        <f t="shared" si="949"/>
        <v>-24674.210640973219</v>
      </c>
      <c r="BB498" s="489">
        <f t="shared" si="949"/>
        <v>-28234.478260728505</v>
      </c>
      <c r="BC498" s="489">
        <f t="shared" si="949"/>
        <v>-30293.804766768899</v>
      </c>
      <c r="BD498" s="489">
        <f t="shared" si="949"/>
        <v>-41613.773569150151</v>
      </c>
      <c r="BE498" s="489">
        <f t="shared" si="949"/>
        <v>-29564.068437540736</v>
      </c>
      <c r="BF498" s="283"/>
      <c r="CG498"/>
      <c r="CH498"/>
      <c r="CI498"/>
      <c r="CJ498"/>
      <c r="CK498"/>
      <c r="CL498"/>
    </row>
    <row r="499" spans="1:90" s="226" customFormat="1" ht="12.75" customHeight="1" outlineLevel="1">
      <c r="A499" s="1349"/>
      <c r="B499" s="273" t="s">
        <v>623</v>
      </c>
      <c r="C499" s="643">
        <f>C497+C498</f>
        <v>5175.1419457735246</v>
      </c>
      <c r="D499" s="643">
        <f>D497+D498</f>
        <v>8764.2328548644327</v>
      </c>
      <c r="E499" s="643">
        <f t="shared" ref="E499:R499" si="950">E497+E498</f>
        <v>13953</v>
      </c>
      <c r="F499" s="643">
        <f t="shared" si="950"/>
        <v>25180</v>
      </c>
      <c r="G499" s="643">
        <f t="shared" si="950"/>
        <v>40289</v>
      </c>
      <c r="H499" s="643">
        <f t="shared" si="950"/>
        <v>56546</v>
      </c>
      <c r="I499" s="643">
        <f t="shared" si="950"/>
        <v>70791</v>
      </c>
      <c r="J499" s="644">
        <f t="shared" si="950"/>
        <v>102683</v>
      </c>
      <c r="K499" s="643">
        <f t="shared" si="950"/>
        <v>152955.51896322676</v>
      </c>
      <c r="L499" s="643">
        <f t="shared" si="950"/>
        <v>208510.62864035743</v>
      </c>
      <c r="M499" s="643">
        <f t="shared" si="950"/>
        <v>264789.13576677779</v>
      </c>
      <c r="N499" s="643">
        <f t="shared" si="950"/>
        <v>322826.53994201508</v>
      </c>
      <c r="O499" s="643">
        <f t="shared" si="950"/>
        <v>386781.41367158818</v>
      </c>
      <c r="P499" s="643">
        <f t="shared" si="950"/>
        <v>469261.38844688813</v>
      </c>
      <c r="Q499" s="643">
        <f t="shared" si="950"/>
        <v>540358.20815907081</v>
      </c>
      <c r="R499" s="643">
        <f t="shared" si="950"/>
        <v>614340.02972690458</v>
      </c>
      <c r="S499" s="643"/>
      <c r="V499" s="314"/>
      <c r="W499" s="315"/>
      <c r="X499" s="315"/>
      <c r="Y499" s="316"/>
      <c r="Z499" s="643">
        <f>Z497+Z498</f>
        <v>2922.6570972886761</v>
      </c>
      <c r="AA499" s="643">
        <f t="shared" ref="AA499:BA499" si="951">AA497+AA498</f>
        <v>3031.6921850079743</v>
      </c>
      <c r="AB499" s="643">
        <f t="shared" si="951"/>
        <v>4559.0893141945771</v>
      </c>
      <c r="AC499" s="644">
        <f t="shared" si="951"/>
        <v>3439.5614035087719</v>
      </c>
      <c r="AD499" s="643">
        <f t="shared" si="951"/>
        <v>4719.6528991262912</v>
      </c>
      <c r="AE499" s="643">
        <f t="shared" si="951"/>
        <v>5224.1779189833196</v>
      </c>
      <c r="AF499" s="643">
        <f t="shared" si="951"/>
        <v>8770.9007148530582</v>
      </c>
      <c r="AG499" s="644">
        <f t="shared" si="951"/>
        <v>6465.268467037331</v>
      </c>
      <c r="AH499" s="643">
        <f t="shared" si="951"/>
        <v>8202</v>
      </c>
      <c r="AI499" s="643">
        <f t="shared" si="951"/>
        <v>8196</v>
      </c>
      <c r="AJ499" s="643">
        <f t="shared" si="951"/>
        <v>14800</v>
      </c>
      <c r="AK499" s="644">
        <f t="shared" si="951"/>
        <v>9091</v>
      </c>
      <c r="AL499" s="643">
        <f t="shared" si="951"/>
        <v>11779</v>
      </c>
      <c r="AM499" s="643">
        <f t="shared" si="951"/>
        <v>12388</v>
      </c>
      <c r="AN499" s="643">
        <f t="shared" si="951"/>
        <v>20072</v>
      </c>
      <c r="AO499" s="644">
        <f t="shared" si="951"/>
        <v>12307</v>
      </c>
      <c r="AP499" s="643">
        <f t="shared" si="951"/>
        <v>14517</v>
      </c>
      <c r="AQ499" s="643">
        <f t="shared" si="951"/>
        <v>15546</v>
      </c>
      <c r="AR499" s="643">
        <f t="shared" si="951"/>
        <v>25059</v>
      </c>
      <c r="AS499" s="644">
        <f t="shared" si="951"/>
        <v>15669</v>
      </c>
      <c r="AT499" s="643">
        <f t="shared" si="951"/>
        <v>21304</v>
      </c>
      <c r="AU499" s="643">
        <f t="shared" si="951"/>
        <v>22352</v>
      </c>
      <c r="AV499" s="643">
        <f t="shared" si="951"/>
        <v>34712</v>
      </c>
      <c r="AW499" s="644">
        <f t="shared" si="951"/>
        <v>24315</v>
      </c>
      <c r="AX499" s="643">
        <f t="shared" si="951"/>
        <v>33852</v>
      </c>
      <c r="AY499" s="643">
        <f>AY497+AY498</f>
        <v>34489</v>
      </c>
      <c r="AZ499" s="643">
        <f>AZ497+AZ498</f>
        <v>49278</v>
      </c>
      <c r="BA499" s="644">
        <f t="shared" si="951"/>
        <v>35336.518963226743</v>
      </c>
      <c r="BB499" s="643">
        <f>BB497+BB498</f>
        <v>44959.243737271507</v>
      </c>
      <c r="BC499" s="643">
        <f>BC497+BC498</f>
        <v>47507.298968111107</v>
      </c>
      <c r="BD499" s="643">
        <f>BD497+BD498</f>
        <v>66277.78351964982</v>
      </c>
      <c r="BE499" s="643">
        <f>BE497+BE498</f>
        <v>49766.302415324979</v>
      </c>
      <c r="BF499" s="304"/>
      <c r="CG499"/>
      <c r="CH499"/>
      <c r="CI499"/>
      <c r="CJ499"/>
      <c r="CK499"/>
      <c r="CL499"/>
    </row>
    <row r="500" spans="1:90" s="225" customFormat="1" ht="12.75" customHeight="1" outlineLevel="1">
      <c r="A500" s="1348"/>
      <c r="B500" s="225" t="s">
        <v>86</v>
      </c>
      <c r="C500" s="452">
        <f t="shared" ref="C500:R500" si="952">C344-C478</f>
        <v>-1043.200956937799</v>
      </c>
      <c r="D500" s="452">
        <f t="shared" si="952"/>
        <v>-1825.6555023923445</v>
      </c>
      <c r="E500" s="452">
        <f t="shared" si="952"/>
        <v>-2579</v>
      </c>
      <c r="F500" s="452">
        <f t="shared" si="952"/>
        <v>-3300</v>
      </c>
      <c r="G500" s="452">
        <f t="shared" si="952"/>
        <v>-4298</v>
      </c>
      <c r="H500" s="452">
        <f t="shared" si="952"/>
        <v>-6782</v>
      </c>
      <c r="I500" s="452">
        <f t="shared" si="952"/>
        <v>-8085</v>
      </c>
      <c r="J500" s="748">
        <f t="shared" si="952"/>
        <v>-11348</v>
      </c>
      <c r="K500" s="452">
        <f t="shared" si="952"/>
        <v>-15153.995400448282</v>
      </c>
      <c r="L500" s="452">
        <f t="shared" si="952"/>
        <v>-21544.407209068566</v>
      </c>
      <c r="M500" s="452">
        <f t="shared" si="952"/>
        <v>-26762.686929788306</v>
      </c>
      <c r="N500" s="452">
        <f t="shared" si="952"/>
        <v>-31301.949149600296</v>
      </c>
      <c r="O500" s="452">
        <f t="shared" si="952"/>
        <v>-34797.391397209773</v>
      </c>
      <c r="P500" s="452">
        <f t="shared" si="952"/>
        <v>-37122.671741434177</v>
      </c>
      <c r="Q500" s="452">
        <f t="shared" si="952"/>
        <v>-42747.050744297747</v>
      </c>
      <c r="R500" s="452">
        <f t="shared" si="952"/>
        <v>-48599.658575480702</v>
      </c>
      <c r="V500" s="489"/>
      <c r="W500" s="266"/>
      <c r="X500" s="266"/>
      <c r="Y500" s="267"/>
      <c r="Z500" s="452">
        <f t="shared" ref="Z500:BE500" si="953">Z344-Z478</f>
        <v>-524.11004784688998</v>
      </c>
      <c r="AA500" s="452">
        <f t="shared" si="953"/>
        <v>-612.37320574162675</v>
      </c>
      <c r="AB500" s="452">
        <f t="shared" si="953"/>
        <v>-749.30622009569379</v>
      </c>
      <c r="AC500" s="748">
        <f t="shared" si="953"/>
        <v>-693.21052631578948</v>
      </c>
      <c r="AD500" s="452">
        <f t="shared" si="953"/>
        <v>-747.61318506751388</v>
      </c>
      <c r="AE500" s="452">
        <f t="shared" si="953"/>
        <v>-721.76806989674344</v>
      </c>
      <c r="AF500" s="452">
        <f t="shared" si="953"/>
        <v>-1057.5758538522637</v>
      </c>
      <c r="AG500" s="748">
        <f t="shared" si="953"/>
        <v>-773.04289118347901</v>
      </c>
      <c r="AH500" s="452">
        <f t="shared" si="953"/>
        <v>-896</v>
      </c>
      <c r="AI500" s="452">
        <f t="shared" si="953"/>
        <v>-950</v>
      </c>
      <c r="AJ500" s="452">
        <f t="shared" si="953"/>
        <v>-1459</v>
      </c>
      <c r="AK500" s="748">
        <f t="shared" si="953"/>
        <v>-993</v>
      </c>
      <c r="AL500" s="452">
        <f t="shared" si="953"/>
        <v>-1707</v>
      </c>
      <c r="AM500" s="452">
        <f t="shared" si="953"/>
        <v>-1881</v>
      </c>
      <c r="AN500" s="452">
        <f t="shared" si="953"/>
        <v>-1817</v>
      </c>
      <c r="AO500" s="748">
        <f t="shared" si="953"/>
        <v>-1377</v>
      </c>
      <c r="AP500" s="452">
        <f t="shared" si="953"/>
        <v>-1957</v>
      </c>
      <c r="AQ500" s="452">
        <f t="shared" si="953"/>
        <v>-1952</v>
      </c>
      <c r="AR500" s="452">
        <f t="shared" si="953"/>
        <v>-2188</v>
      </c>
      <c r="AS500" s="748">
        <f t="shared" si="953"/>
        <v>-1988</v>
      </c>
      <c r="AT500" s="452">
        <f t="shared" si="953"/>
        <v>-2712</v>
      </c>
      <c r="AU500" s="452">
        <f t="shared" si="953"/>
        <v>-2683</v>
      </c>
      <c r="AV500" s="452">
        <f t="shared" si="953"/>
        <v>-2829</v>
      </c>
      <c r="AW500" s="748">
        <f t="shared" si="953"/>
        <v>-3124</v>
      </c>
      <c r="AX500" s="452">
        <f t="shared" si="953"/>
        <v>-3364</v>
      </c>
      <c r="AY500" s="452">
        <f t="shared" si="953"/>
        <v>-3397</v>
      </c>
      <c r="AZ500" s="452">
        <f t="shared" si="953"/>
        <v>-4394</v>
      </c>
      <c r="BA500" s="748">
        <f t="shared" si="953"/>
        <v>-3998.9954004482825</v>
      </c>
      <c r="BB500" s="452">
        <f t="shared" si="953"/>
        <v>-3670.6651581996998</v>
      </c>
      <c r="BC500" s="452">
        <f t="shared" si="953"/>
        <v>-5708.6559865468207</v>
      </c>
      <c r="BD500" s="452">
        <f t="shared" si="953"/>
        <v>-5668.6224094455501</v>
      </c>
      <c r="BE500" s="452">
        <f t="shared" si="953"/>
        <v>-6496.4636548764911</v>
      </c>
      <c r="BF500" s="283"/>
      <c r="BI500" s="313">
        <f>SUM(Y500:AB500)</f>
        <v>-1885.7894736842104</v>
      </c>
      <c r="BJ500" s="313">
        <f>SUM(AC500:AF500)</f>
        <v>-3220.1676351323104</v>
      </c>
      <c r="BK500" s="313">
        <f>SUM(AG500:AJ500)</f>
        <v>-4078.0428911834788</v>
      </c>
      <c r="BL500" s="313">
        <f>SUM(AK500:AN500)</f>
        <v>-6398</v>
      </c>
      <c r="BM500" s="313">
        <f>SUM(AO500:AR500)</f>
        <v>-7474</v>
      </c>
      <c r="BN500" s="313">
        <f>SUM(AS500:AV500)</f>
        <v>-10212</v>
      </c>
      <c r="BO500" s="313">
        <f>SUM(AW500:AZ500)</f>
        <v>-14279</v>
      </c>
      <c r="BP500" s="313">
        <f>SUM(BA500:BD500)</f>
        <v>-19046.938954640354</v>
      </c>
      <c r="BQ500" s="489">
        <f t="shared" ref="BQ500" si="954">L500*0.25+M500*0.75</f>
        <v>-25458.11699960837</v>
      </c>
      <c r="BR500" s="489">
        <f t="shared" ref="BR500" si="955">M500*0.25+N500*0.75</f>
        <v>-30167.133594647301</v>
      </c>
      <c r="BS500" s="489">
        <f t="shared" ref="BS500" si="956">N500*0.25+O500*0.75</f>
        <v>-33923.5308353074</v>
      </c>
      <c r="BT500" s="489">
        <f t="shared" ref="BT500" si="957">O500*0.25+P500*0.75</f>
        <v>-36541.351655378079</v>
      </c>
      <c r="BU500" s="489">
        <f t="shared" ref="BU500" si="958">P500*0.25+Q500*0.75</f>
        <v>-41340.955993581854</v>
      </c>
      <c r="BV500" s="489">
        <f t="shared" ref="BV500" si="959">Q500*0.25+R500*0.75</f>
        <v>-47136.506617684965</v>
      </c>
      <c r="CG500"/>
      <c r="CH500"/>
      <c r="CI500"/>
      <c r="CJ500"/>
      <c r="CK500"/>
      <c r="CL500"/>
    </row>
    <row r="501" spans="1:90" s="225" customFormat="1" ht="12.75" customHeight="1" outlineLevel="1">
      <c r="A501" s="1348"/>
      <c r="B501" s="225" t="s">
        <v>112</v>
      </c>
      <c r="C501" s="452">
        <f t="shared" ref="C501:R501" si="960">C345-C479</f>
        <v>-2295.7400318979267</v>
      </c>
      <c r="D501" s="452">
        <f t="shared" si="960"/>
        <v>-3052.9218500797447</v>
      </c>
      <c r="E501" s="452">
        <f t="shared" si="960"/>
        <v>-2922</v>
      </c>
      <c r="F501" s="452">
        <f t="shared" si="960"/>
        <v>-3493</v>
      </c>
      <c r="G501" s="452">
        <f t="shared" si="960"/>
        <v>-4356</v>
      </c>
      <c r="H501" s="452">
        <f t="shared" si="960"/>
        <v>-7278</v>
      </c>
      <c r="I501" s="452">
        <f t="shared" si="960"/>
        <v>-9344</v>
      </c>
      <c r="J501" s="748">
        <f t="shared" si="960"/>
        <v>-14542</v>
      </c>
      <c r="K501" s="452">
        <f t="shared" si="960"/>
        <v>-26672.223959491079</v>
      </c>
      <c r="L501" s="452">
        <f t="shared" si="960"/>
        <v>-34498.108874803664</v>
      </c>
      <c r="M501" s="452">
        <f t="shared" si="960"/>
        <v>-42939.967850523397</v>
      </c>
      <c r="N501" s="452">
        <f t="shared" si="960"/>
        <v>-47826.154065483715</v>
      </c>
      <c r="O501" s="452">
        <f t="shared" si="960"/>
        <v>-54330.499579286625</v>
      </c>
      <c r="P501" s="452">
        <f t="shared" si="960"/>
        <v>-66352.255293880648</v>
      </c>
      <c r="Q501" s="452">
        <f t="shared" si="960"/>
        <v>-76405.147878414427</v>
      </c>
      <c r="R501" s="452">
        <f t="shared" si="960"/>
        <v>-86865.971702045135</v>
      </c>
      <c r="V501" s="489"/>
      <c r="W501" s="266"/>
      <c r="X501" s="266"/>
      <c r="Y501" s="267"/>
      <c r="Z501" s="452">
        <f t="shared" ref="Z501:BE501" si="961">Z345-Z479</f>
        <v>-612.43700159489629</v>
      </c>
      <c r="AA501" s="452">
        <f t="shared" si="961"/>
        <v>-791.94577352472083</v>
      </c>
      <c r="AB501" s="452">
        <f t="shared" si="961"/>
        <v>-900.47687400318978</v>
      </c>
      <c r="AC501" s="748">
        <f t="shared" si="961"/>
        <v>-617.14035087719299</v>
      </c>
      <c r="AD501" s="452">
        <f t="shared" si="961"/>
        <v>-842.40746624305007</v>
      </c>
      <c r="AE501" s="452">
        <f t="shared" si="961"/>
        <v>-929.96505162827646</v>
      </c>
      <c r="AF501" s="452">
        <f t="shared" si="961"/>
        <v>-1221.0730738681493</v>
      </c>
      <c r="AG501" s="748">
        <f t="shared" si="961"/>
        <v>-499.55440826052421</v>
      </c>
      <c r="AH501" s="452">
        <f t="shared" si="961"/>
        <v>-679</v>
      </c>
      <c r="AI501" s="452">
        <f t="shared" si="961"/>
        <v>-600</v>
      </c>
      <c r="AJ501" s="452">
        <f t="shared" si="961"/>
        <v>-1842</v>
      </c>
      <c r="AK501" s="748">
        <f t="shared" si="961"/>
        <v>-1235</v>
      </c>
      <c r="AL501" s="452">
        <f t="shared" si="961"/>
        <v>-1150</v>
      </c>
      <c r="AM501" s="452">
        <f t="shared" si="961"/>
        <v>-1576</v>
      </c>
      <c r="AN501" s="452">
        <f t="shared" si="961"/>
        <v>-2619</v>
      </c>
      <c r="AO501" s="748">
        <f t="shared" si="961"/>
        <v>-1933</v>
      </c>
      <c r="AP501" s="452">
        <f t="shared" si="961"/>
        <v>-1744</v>
      </c>
      <c r="AQ501" s="452">
        <f t="shared" si="961"/>
        <v>-2161</v>
      </c>
      <c r="AR501" s="452">
        <f t="shared" si="961"/>
        <v>-3149</v>
      </c>
      <c r="AS501" s="748">
        <f t="shared" si="961"/>
        <v>-2290</v>
      </c>
      <c r="AT501" s="452">
        <f t="shared" si="961"/>
        <v>-3167</v>
      </c>
      <c r="AU501" s="452">
        <f t="shared" si="961"/>
        <v>-3400</v>
      </c>
      <c r="AV501" s="452">
        <f t="shared" si="961"/>
        <v>-4104</v>
      </c>
      <c r="AW501" s="748">
        <f t="shared" si="961"/>
        <v>-3871</v>
      </c>
      <c r="AX501" s="452">
        <f t="shared" si="961"/>
        <v>-4454</v>
      </c>
      <c r="AY501" s="452">
        <f t="shared" si="961"/>
        <v>-5765</v>
      </c>
      <c r="AZ501" s="452">
        <f t="shared" si="961"/>
        <v>-8073</v>
      </c>
      <c r="BA501" s="748">
        <f t="shared" si="961"/>
        <v>-8380.2239594910807</v>
      </c>
      <c r="BB501" s="452">
        <f t="shared" si="961"/>
        <v>-8636.8591957640001</v>
      </c>
      <c r="BC501" s="452">
        <f t="shared" si="961"/>
        <v>-7196.6020954764008</v>
      </c>
      <c r="BD501" s="452">
        <f t="shared" si="961"/>
        <v>-9149.2040411302369</v>
      </c>
      <c r="BE501" s="452">
        <f t="shared" si="961"/>
        <v>-9515.4435424330277</v>
      </c>
      <c r="BF501" s="283"/>
      <c r="CG501"/>
      <c r="CH501"/>
      <c r="CI501"/>
      <c r="CJ501"/>
      <c r="CK501"/>
      <c r="CL501"/>
    </row>
    <row r="502" spans="1:90" s="225" customFormat="1" ht="12.75" customHeight="1" outlineLevel="1">
      <c r="A502" s="1348"/>
      <c r="B502" s="225" t="s">
        <v>93</v>
      </c>
      <c r="C502" s="452">
        <f t="shared" ref="C502:R502" si="962">C346-C480</f>
        <v>-908.20095693779899</v>
      </c>
      <c r="D502" s="452">
        <f t="shared" si="962"/>
        <v>-1487.6555023923445</v>
      </c>
      <c r="E502" s="452">
        <f t="shared" si="962"/>
        <v>-1893</v>
      </c>
      <c r="F502" s="452">
        <f t="shared" si="962"/>
        <v>-2585</v>
      </c>
      <c r="G502" s="452">
        <f t="shared" si="962"/>
        <v>-3512</v>
      </c>
      <c r="H502" s="452">
        <f t="shared" si="962"/>
        <v>-4059</v>
      </c>
      <c r="I502" s="452">
        <f t="shared" si="962"/>
        <v>-4792</v>
      </c>
      <c r="J502" s="748">
        <f t="shared" si="962"/>
        <v>-7621</v>
      </c>
      <c r="K502" s="452">
        <f t="shared" si="962"/>
        <v>-13634.248713113917</v>
      </c>
      <c r="L502" s="452">
        <f t="shared" si="962"/>
        <v>-25711.22113415596</v>
      </c>
      <c r="M502" s="452">
        <f t="shared" si="962"/>
        <v>-33618.290925746107</v>
      </c>
      <c r="N502" s="452">
        <f t="shared" si="962"/>
        <v>-46649.548134418939</v>
      </c>
      <c r="O502" s="452">
        <f t="shared" si="962"/>
        <v>-61300.621406842474</v>
      </c>
      <c r="P502" s="452">
        <f t="shared" si="962"/>
        <v>-82110.051991098037</v>
      </c>
      <c r="Q502" s="452">
        <f t="shared" si="962"/>
        <v>-98640.371531990633</v>
      </c>
      <c r="R502" s="452">
        <f t="shared" si="962"/>
        <v>-116565.38270952064</v>
      </c>
      <c r="V502" s="489"/>
      <c r="W502" s="266"/>
      <c r="X502" s="266"/>
      <c r="Y502" s="267"/>
      <c r="Z502" s="452">
        <f t="shared" ref="Z502:BE502" si="963">Z346-Z480</f>
        <v>-408.11004784688998</v>
      </c>
      <c r="AA502" s="452">
        <f t="shared" si="963"/>
        <v>-454.3732057416268</v>
      </c>
      <c r="AB502" s="452">
        <f t="shared" si="963"/>
        <v>-516.30622009569379</v>
      </c>
      <c r="AC502" s="748">
        <f t="shared" si="963"/>
        <v>-514.21052631578948</v>
      </c>
      <c r="AD502" s="452">
        <f t="shared" si="963"/>
        <v>-469.63224781572677</v>
      </c>
      <c r="AE502" s="452">
        <f t="shared" si="963"/>
        <v>-692.44479745830017</v>
      </c>
      <c r="AF502" s="452">
        <f t="shared" si="963"/>
        <v>-932.25178713264495</v>
      </c>
      <c r="AG502" s="748">
        <f t="shared" si="963"/>
        <v>-490.67116759332805</v>
      </c>
      <c r="AH502" s="452">
        <f t="shared" si="963"/>
        <v>-776</v>
      </c>
      <c r="AI502" s="452">
        <f t="shared" si="963"/>
        <v>-451</v>
      </c>
      <c r="AJ502" s="452">
        <f t="shared" si="963"/>
        <v>-1916</v>
      </c>
      <c r="AK502" s="748">
        <f t="shared" si="963"/>
        <v>-369</v>
      </c>
      <c r="AL502" s="452">
        <f t="shared" si="963"/>
        <v>-771</v>
      </c>
      <c r="AM502" s="452">
        <f t="shared" si="963"/>
        <v>-978</v>
      </c>
      <c r="AN502" s="452">
        <f t="shared" si="963"/>
        <v>-1187</v>
      </c>
      <c r="AO502" s="748">
        <f t="shared" si="963"/>
        <v>-1123</v>
      </c>
      <c r="AP502" s="452">
        <f t="shared" si="963"/>
        <v>-1013</v>
      </c>
      <c r="AQ502" s="452">
        <f t="shared" si="963"/>
        <v>-1146</v>
      </c>
      <c r="AR502" s="452">
        <f t="shared" si="963"/>
        <v>-1650</v>
      </c>
      <c r="AS502" s="748">
        <f t="shared" si="963"/>
        <v>-983</v>
      </c>
      <c r="AT502" s="452">
        <f t="shared" si="963"/>
        <v>-1666</v>
      </c>
      <c r="AU502" s="452">
        <f t="shared" si="963"/>
        <v>-1676</v>
      </c>
      <c r="AV502" s="452">
        <f t="shared" si="963"/>
        <v>-2110</v>
      </c>
      <c r="AW502" s="748">
        <f t="shared" si="963"/>
        <v>-2169</v>
      </c>
      <c r="AX502" s="452">
        <f t="shared" si="963"/>
        <v>-2516</v>
      </c>
      <c r="AY502" s="452">
        <f t="shared" si="963"/>
        <v>-2309</v>
      </c>
      <c r="AZ502" s="452">
        <f t="shared" si="963"/>
        <v>-3149</v>
      </c>
      <c r="BA502" s="748">
        <f t="shared" si="963"/>
        <v>-5660.248713113916</v>
      </c>
      <c r="BB502" s="452">
        <f t="shared" si="963"/>
        <v>-4469.3294063057938</v>
      </c>
      <c r="BC502" s="452">
        <f t="shared" si="963"/>
        <v>-6530.1780933454838</v>
      </c>
      <c r="BD502" s="452">
        <f t="shared" si="963"/>
        <v>-6060.5031683420384</v>
      </c>
      <c r="BE502" s="452">
        <f t="shared" si="963"/>
        <v>-8651.2104661626436</v>
      </c>
      <c r="BF502" s="283"/>
      <c r="CG502"/>
      <c r="CH502"/>
      <c r="CI502"/>
      <c r="CJ502"/>
      <c r="CK502"/>
      <c r="CL502"/>
    </row>
    <row r="503" spans="1:90" s="226" customFormat="1" ht="12.75" customHeight="1" outlineLevel="1">
      <c r="A503" s="1349"/>
      <c r="B503" s="273" t="s">
        <v>677</v>
      </c>
      <c r="C503" s="643">
        <f>SUM(C499:C502)</f>
        <v>928.00000000000023</v>
      </c>
      <c r="D503" s="643">
        <f>SUM(D499:D502)</f>
        <v>2397.9999999999991</v>
      </c>
      <c r="E503" s="643">
        <f t="shared" ref="E503:R503" si="964">SUM(E499:E502)</f>
        <v>6559</v>
      </c>
      <c r="F503" s="643">
        <f t="shared" si="964"/>
        <v>15802</v>
      </c>
      <c r="G503" s="643">
        <f t="shared" si="964"/>
        <v>28123</v>
      </c>
      <c r="H503" s="643">
        <f t="shared" si="964"/>
        <v>38427</v>
      </c>
      <c r="I503" s="643">
        <f t="shared" si="964"/>
        <v>48570</v>
      </c>
      <c r="J503" s="644">
        <f t="shared" si="964"/>
        <v>69172</v>
      </c>
      <c r="K503" s="643">
        <f t="shared" si="964"/>
        <v>97495.050890173487</v>
      </c>
      <c r="L503" s="643">
        <f t="shared" si="964"/>
        <v>126756.89142232924</v>
      </c>
      <c r="M503" s="643">
        <f t="shared" si="964"/>
        <v>161468.19006071999</v>
      </c>
      <c r="N503" s="643">
        <f t="shared" si="964"/>
        <v>197048.88859251214</v>
      </c>
      <c r="O503" s="643">
        <f t="shared" si="964"/>
        <v>236352.9012882493</v>
      </c>
      <c r="P503" s="643">
        <f t="shared" si="964"/>
        <v>283676.40942047525</v>
      </c>
      <c r="Q503" s="643">
        <f t="shared" si="964"/>
        <v>322565.638004368</v>
      </c>
      <c r="R503" s="643">
        <f t="shared" si="964"/>
        <v>362309.01673985814</v>
      </c>
      <c r="T503" s="15">
        <f>(M503/J503)^(1/3)-1</f>
        <v>0.32653551417166726</v>
      </c>
      <c r="V503" s="314"/>
      <c r="W503" s="315"/>
      <c r="X503" s="315"/>
      <c r="Y503" s="316"/>
      <c r="Z503" s="643">
        <f>SUM(Z499:Z502)</f>
        <v>1377.9999999999998</v>
      </c>
      <c r="AA503" s="643">
        <f t="shared" ref="AA503:BA503" si="965">SUM(AA499:AA502)</f>
        <v>1172.9999999999998</v>
      </c>
      <c r="AB503" s="643">
        <f t="shared" si="965"/>
        <v>2393</v>
      </c>
      <c r="AC503" s="644">
        <f t="shared" si="965"/>
        <v>1614.9999999999995</v>
      </c>
      <c r="AD503" s="643">
        <f t="shared" si="965"/>
        <v>2660.0000000000005</v>
      </c>
      <c r="AE503" s="643">
        <f t="shared" si="965"/>
        <v>2880</v>
      </c>
      <c r="AF503" s="643">
        <f t="shared" si="965"/>
        <v>5560</v>
      </c>
      <c r="AG503" s="644">
        <f t="shared" si="965"/>
        <v>4702</v>
      </c>
      <c r="AH503" s="643">
        <f t="shared" si="965"/>
        <v>5851</v>
      </c>
      <c r="AI503" s="643">
        <f t="shared" si="965"/>
        <v>6195</v>
      </c>
      <c r="AJ503" s="643">
        <f t="shared" si="965"/>
        <v>9583</v>
      </c>
      <c r="AK503" s="644">
        <f t="shared" si="965"/>
        <v>6494</v>
      </c>
      <c r="AL503" s="643">
        <f t="shared" si="965"/>
        <v>8151</v>
      </c>
      <c r="AM503" s="643">
        <f t="shared" si="965"/>
        <v>7953</v>
      </c>
      <c r="AN503" s="643">
        <f t="shared" si="965"/>
        <v>14449</v>
      </c>
      <c r="AO503" s="644">
        <f t="shared" si="965"/>
        <v>7874</v>
      </c>
      <c r="AP503" s="643">
        <f t="shared" si="965"/>
        <v>9803</v>
      </c>
      <c r="AQ503" s="643">
        <f t="shared" si="965"/>
        <v>10287</v>
      </c>
      <c r="AR503" s="643">
        <f t="shared" si="965"/>
        <v>18072</v>
      </c>
      <c r="AS503" s="644">
        <f t="shared" si="965"/>
        <v>10408</v>
      </c>
      <c r="AT503" s="643">
        <f t="shared" si="965"/>
        <v>13759</v>
      </c>
      <c r="AU503" s="643">
        <f t="shared" si="965"/>
        <v>14593</v>
      </c>
      <c r="AV503" s="643">
        <f t="shared" si="965"/>
        <v>25669</v>
      </c>
      <c r="AW503" s="644">
        <f t="shared" si="965"/>
        <v>15151</v>
      </c>
      <c r="AX503" s="643">
        <f>SUM(AX499:AX502)</f>
        <v>23518</v>
      </c>
      <c r="AY503" s="643">
        <f>SUM(AY499:AY502)</f>
        <v>23018</v>
      </c>
      <c r="AZ503" s="643">
        <f>SUM(AZ499:AZ502)</f>
        <v>33662</v>
      </c>
      <c r="BA503" s="644">
        <f t="shared" si="965"/>
        <v>17297.050890173461</v>
      </c>
      <c r="BB503" s="643">
        <f>SUM(BB499:BB502)</f>
        <v>28182.389977002011</v>
      </c>
      <c r="BC503" s="643">
        <f>SUM(BC499:BC502)</f>
        <v>28071.862792742399</v>
      </c>
      <c r="BD503" s="643">
        <f>SUM(BD499:BD502)</f>
        <v>45399.453900731991</v>
      </c>
      <c r="BE503" s="643">
        <f>SUM(BE499:BE502)</f>
        <v>25103.184751852816</v>
      </c>
      <c r="BF503" s="304"/>
      <c r="CG503"/>
      <c r="CH503"/>
      <c r="CI503"/>
      <c r="CJ503"/>
      <c r="CK503"/>
      <c r="CL503"/>
    </row>
    <row r="504" spans="1:90" s="225" customFormat="1" ht="12.75" customHeight="1" outlineLevel="1">
      <c r="A504" s="1348"/>
      <c r="B504" s="305" t="s">
        <v>272</v>
      </c>
      <c r="C504" s="583"/>
      <c r="D504" s="583">
        <f>-D765</f>
        <v>0</v>
      </c>
      <c r="E504" s="583">
        <f>-E765</f>
        <v>-715</v>
      </c>
      <c r="F504" s="583">
        <f t="shared" ref="F504:R504" si="966">-F765</f>
        <v>-805</v>
      </c>
      <c r="G504" s="583">
        <f t="shared" si="966"/>
        <v>-1339</v>
      </c>
      <c r="H504" s="583">
        <f t="shared" si="966"/>
        <v>-2326</v>
      </c>
      <c r="I504" s="583">
        <f t="shared" si="966"/>
        <v>-3770</v>
      </c>
      <c r="J504" s="593">
        <f t="shared" si="966"/>
        <v>-5284</v>
      </c>
      <c r="K504" s="583">
        <f t="shared" si="966"/>
        <v>-9301.5840512924005</v>
      </c>
      <c r="L504" s="583">
        <f t="shared" si="966"/>
        <v>-20152.170429901504</v>
      </c>
      <c r="M504" s="583">
        <f t="shared" si="966"/>
        <v>-32307.900054938327</v>
      </c>
      <c r="N504" s="583">
        <f t="shared" si="966"/>
        <v>-45607.64428865521</v>
      </c>
      <c r="O504" s="583">
        <f t="shared" si="966"/>
        <v>-51139.518485551765</v>
      </c>
      <c r="P504" s="583">
        <f t="shared" si="966"/>
        <v>-52399.427050023849</v>
      </c>
      <c r="Q504" s="583">
        <f t="shared" si="966"/>
        <v>-53581.404214373688</v>
      </c>
      <c r="R504" s="583">
        <f t="shared" si="966"/>
        <v>-54241.925093579528</v>
      </c>
      <c r="V504" s="489"/>
      <c r="W504" s="266"/>
      <c r="X504" s="266"/>
      <c r="Y504" s="267"/>
      <c r="Z504" s="749">
        <f>E504/4</f>
        <v>-178.75</v>
      </c>
      <c r="AA504" s="749">
        <f>Z504</f>
        <v>-178.75</v>
      </c>
      <c r="AB504" s="749">
        <f>AA504</f>
        <v>-178.75</v>
      </c>
      <c r="AC504" s="750">
        <f>E504-SUM(Z504:AB504)</f>
        <v>-178.75</v>
      </c>
      <c r="AD504" s="751">
        <f>F504/4</f>
        <v>-201.25</v>
      </c>
      <c r="AE504" s="751">
        <f>AD504</f>
        <v>-201.25</v>
      </c>
      <c r="AF504" s="751">
        <f>AE504</f>
        <v>-201.25</v>
      </c>
      <c r="AG504" s="752">
        <f>F504-SUM(AD504:AF504)</f>
        <v>-201.25</v>
      </c>
      <c r="AH504" s="307">
        <f>G504-SUM(AI504:AK504)</f>
        <v>-243</v>
      </c>
      <c r="AI504" s="266">
        <f>-Reported!I239</f>
        <v>-310</v>
      </c>
      <c r="AJ504" s="266">
        <f>-Reported!J239</f>
        <v>-394</v>
      </c>
      <c r="AK504" s="267">
        <f>-Reported!K239</f>
        <v>-392</v>
      </c>
      <c r="AL504" s="266">
        <f>-Reported!L239</f>
        <v>-423</v>
      </c>
      <c r="AM504" s="266">
        <f>-Reported!M239</f>
        <v>-540</v>
      </c>
      <c r="AN504" s="266">
        <f>-Reported!N239</f>
        <v>-654</v>
      </c>
      <c r="AO504" s="267">
        <f>-Reported!O239</f>
        <v>-709</v>
      </c>
      <c r="AP504" s="266">
        <f>-Reported!P239</f>
        <v>-782</v>
      </c>
      <c r="AQ504" s="266">
        <f>-Reported!Q239</f>
        <v>-859</v>
      </c>
      <c r="AR504" s="266">
        <f>-Reported!R239</f>
        <v>-1039</v>
      </c>
      <c r="AS504" s="267">
        <f>-Reported!S239</f>
        <v>-1090</v>
      </c>
      <c r="AT504" s="266">
        <f>-Reported!T239</f>
        <v>-1204</v>
      </c>
      <c r="AU504" s="266">
        <f>-Reported!U239</f>
        <v>-1282</v>
      </c>
      <c r="AV504" s="266">
        <f>-Reported!V239</f>
        <v>-1352</v>
      </c>
      <c r="AW504" s="267">
        <f>-Reported!W239</f>
        <v>-1446</v>
      </c>
      <c r="AX504" s="266">
        <f>-Reported!X239</f>
        <v>-1606</v>
      </c>
      <c r="AY504" s="266">
        <f>-Reported!Y239</f>
        <v>-2013</v>
      </c>
      <c r="AZ504" s="266">
        <f>-Reported!Z239</f>
        <v>-2521</v>
      </c>
      <c r="BA504" s="1548">
        <f>K504-SUM(AX504:AZ504)</f>
        <v>-3161.5840512924005</v>
      </c>
      <c r="BB504" s="753">
        <f>L504/4</f>
        <v>-5038.0426074753759</v>
      </c>
      <c r="BC504" s="753">
        <f>BB504</f>
        <v>-5038.0426074753759</v>
      </c>
      <c r="BD504" s="753">
        <f>BC504</f>
        <v>-5038.0426074753759</v>
      </c>
      <c r="BE504" s="469">
        <f>L504-SUM(BB504:BD504)</f>
        <v>-5038.0426074753759</v>
      </c>
      <c r="BF504" s="283"/>
      <c r="CG504"/>
      <c r="CH504"/>
      <c r="CI504"/>
      <c r="CJ504"/>
      <c r="CK504"/>
      <c r="CL504"/>
    </row>
    <row r="505" spans="1:90" s="226" customFormat="1" ht="12.75" customHeight="1" outlineLevel="1">
      <c r="A505" s="1349"/>
      <c r="B505" s="273" t="s">
        <v>469</v>
      </c>
      <c r="C505" s="440"/>
      <c r="D505" s="440"/>
      <c r="E505" s="440">
        <f>E503-E504</f>
        <v>7274</v>
      </c>
      <c r="F505" s="440">
        <f t="shared" ref="F505:R505" si="967">F503-F504</f>
        <v>16607</v>
      </c>
      <c r="G505" s="440">
        <f>G503-G504+1269</f>
        <v>30731</v>
      </c>
      <c r="H505" s="440">
        <f t="shared" si="967"/>
        <v>40753</v>
      </c>
      <c r="I505" s="440">
        <f t="shared" si="967"/>
        <v>52340</v>
      </c>
      <c r="J505" s="566">
        <f t="shared" si="967"/>
        <v>74456</v>
      </c>
      <c r="K505" s="440">
        <f t="shared" si="967"/>
        <v>106796.63494146589</v>
      </c>
      <c r="L505" s="440">
        <f t="shared" si="967"/>
        <v>146909.06185223075</v>
      </c>
      <c r="M505" s="440">
        <f t="shared" si="967"/>
        <v>193776.09011565833</v>
      </c>
      <c r="N505" s="440">
        <f t="shared" si="967"/>
        <v>242656.53288116737</v>
      </c>
      <c r="O505" s="440">
        <f t="shared" si="967"/>
        <v>287492.41977380106</v>
      </c>
      <c r="P505" s="440">
        <f t="shared" si="967"/>
        <v>336075.83647049911</v>
      </c>
      <c r="Q505" s="440">
        <f t="shared" si="967"/>
        <v>376147.04221874167</v>
      </c>
      <c r="R505" s="440">
        <f t="shared" si="967"/>
        <v>416550.94183343765</v>
      </c>
      <c r="T505" s="15">
        <f>(M505/J505)^(1/3)-1</f>
        <v>0.3755197462687867</v>
      </c>
      <c r="V505" s="314"/>
      <c r="W505" s="315"/>
      <c r="X505" s="315"/>
      <c r="Y505" s="316"/>
      <c r="Z505" s="315">
        <f t="shared" ref="Z505:BA505" si="968">Z503-Z504</f>
        <v>1556.7499999999998</v>
      </c>
      <c r="AA505" s="315">
        <f t="shared" si="968"/>
        <v>1351.7499999999998</v>
      </c>
      <c r="AB505" s="315">
        <f t="shared" si="968"/>
        <v>2571.75</v>
      </c>
      <c r="AC505" s="316">
        <f t="shared" si="968"/>
        <v>1793.7499999999995</v>
      </c>
      <c r="AD505" s="314">
        <f t="shared" si="968"/>
        <v>2861.2500000000005</v>
      </c>
      <c r="AE505" s="314">
        <f t="shared" si="968"/>
        <v>3081.25</v>
      </c>
      <c r="AF505" s="314">
        <f t="shared" si="968"/>
        <v>5761.25</v>
      </c>
      <c r="AG505" s="409">
        <f t="shared" si="968"/>
        <v>4903.25</v>
      </c>
      <c r="AH505" s="314">
        <f t="shared" si="968"/>
        <v>6094</v>
      </c>
      <c r="AI505" s="314">
        <f t="shared" si="968"/>
        <v>6505</v>
      </c>
      <c r="AJ505" s="314">
        <f>AJ503-AJ504+1269</f>
        <v>11246</v>
      </c>
      <c r="AK505" s="409">
        <f t="shared" si="968"/>
        <v>6886</v>
      </c>
      <c r="AL505" s="315">
        <f t="shared" si="968"/>
        <v>8574</v>
      </c>
      <c r="AM505" s="315">
        <f t="shared" si="968"/>
        <v>8493</v>
      </c>
      <c r="AN505" s="315">
        <f t="shared" si="968"/>
        <v>15103</v>
      </c>
      <c r="AO505" s="316">
        <f t="shared" si="968"/>
        <v>8583</v>
      </c>
      <c r="AP505" s="315">
        <f t="shared" si="968"/>
        <v>10585</v>
      </c>
      <c r="AQ505" s="315">
        <f t="shared" si="968"/>
        <v>11146</v>
      </c>
      <c r="AR505" s="315">
        <f t="shared" si="968"/>
        <v>19111</v>
      </c>
      <c r="AS505" s="316">
        <f t="shared" si="968"/>
        <v>11498</v>
      </c>
      <c r="AT505" s="315">
        <f t="shared" si="968"/>
        <v>14963</v>
      </c>
      <c r="AU505" s="315">
        <f t="shared" si="968"/>
        <v>15875</v>
      </c>
      <c r="AV505" s="315">
        <f t="shared" si="968"/>
        <v>27021</v>
      </c>
      <c r="AW505" s="316">
        <f t="shared" si="968"/>
        <v>16597</v>
      </c>
      <c r="AX505" s="315">
        <f t="shared" si="968"/>
        <v>25124</v>
      </c>
      <c r="AY505" s="315">
        <f>AY503-AY504</f>
        <v>25031</v>
      </c>
      <c r="AZ505" s="315">
        <f>AZ503-AZ504</f>
        <v>36183</v>
      </c>
      <c r="BA505" s="316">
        <f t="shared" si="968"/>
        <v>20458.634941465862</v>
      </c>
      <c r="BB505" s="315">
        <f>BB503-BB504</f>
        <v>33220.432584477385</v>
      </c>
      <c r="BC505" s="315">
        <f>BC503-BC504</f>
        <v>33109.905400217773</v>
      </c>
      <c r="BD505" s="315">
        <f>BD503-BD504</f>
        <v>50437.496508207369</v>
      </c>
      <c r="BE505" s="315">
        <f>BE503-BE504</f>
        <v>30141.227359328193</v>
      </c>
      <c r="BF505" s="304"/>
      <c r="CG505"/>
      <c r="CH505"/>
      <c r="CI505"/>
      <c r="CJ505"/>
      <c r="CK505"/>
      <c r="CL505"/>
    </row>
    <row r="506" spans="1:90" s="225" customFormat="1" ht="12.75" customHeight="1" outlineLevel="1">
      <c r="A506" s="1348"/>
      <c r="B506" s="273"/>
      <c r="G506" s="274"/>
      <c r="H506" s="275"/>
      <c r="I506" s="276"/>
      <c r="J506" s="1380"/>
      <c r="K506" s="276"/>
      <c r="L506" s="276"/>
      <c r="M506" s="276"/>
      <c r="N506" s="276"/>
      <c r="O506" s="276"/>
      <c r="P506" s="276"/>
      <c r="Q506" s="276"/>
      <c r="R506" s="276"/>
      <c r="V506" s="218"/>
      <c r="W506" s="218"/>
      <c r="X506" s="218"/>
      <c r="Y506" s="277"/>
      <c r="Z506" s="218"/>
      <c r="AA506" s="218"/>
      <c r="AB506" s="218"/>
      <c r="AC506" s="277"/>
      <c r="AG506" s="278"/>
      <c r="AK506" s="279"/>
      <c r="AL506" s="280"/>
      <c r="AM506" s="280"/>
      <c r="AN506" s="281"/>
      <c r="AO506" s="282"/>
      <c r="AP506" s="218"/>
      <c r="AQ506" s="218"/>
      <c r="AR506" s="283"/>
      <c r="AS506" s="284"/>
      <c r="AT506" s="285"/>
      <c r="AU506" s="283"/>
      <c r="AV506" s="283"/>
      <c r="AW506" s="284"/>
      <c r="AX506" s="300"/>
      <c r="AY506" s="300"/>
      <c r="AZ506" s="300"/>
      <c r="BA506" s="267"/>
      <c r="BB506" s="300"/>
      <c r="BC506" s="266"/>
      <c r="BD506" s="266"/>
      <c r="BE506" s="266"/>
      <c r="BF506" s="283"/>
      <c r="CG506"/>
      <c r="CH506"/>
      <c r="CI506"/>
      <c r="CJ506"/>
      <c r="CK506"/>
      <c r="CL506"/>
    </row>
    <row r="507" spans="1:90" s="225" customFormat="1" ht="12.75" customHeight="1" outlineLevel="1">
      <c r="A507" s="1348"/>
      <c r="B507" s="273" t="s">
        <v>678</v>
      </c>
      <c r="C507" s="452">
        <f t="shared" ref="C507:R507" si="969">C503+C351</f>
        <v>797.00000000000023</v>
      </c>
      <c r="D507" s="452">
        <f t="shared" si="969"/>
        <v>2253.9999999999991</v>
      </c>
      <c r="E507" s="452">
        <f t="shared" si="969"/>
        <v>6404</v>
      </c>
      <c r="F507" s="452">
        <f t="shared" si="969"/>
        <v>15672</v>
      </c>
      <c r="G507" s="452">
        <f t="shared" si="969"/>
        <v>27808</v>
      </c>
      <c r="H507" s="452">
        <f t="shared" si="969"/>
        <v>36338</v>
      </c>
      <c r="I507" s="452">
        <f t="shared" si="969"/>
        <v>45639</v>
      </c>
      <c r="J507" s="748">
        <f t="shared" si="969"/>
        <v>64050</v>
      </c>
      <c r="K507" s="583">
        <f t="shared" si="969"/>
        <v>90434.627733525573</v>
      </c>
      <c r="L507" s="583">
        <f t="shared" si="969"/>
        <v>119953.73743950424</v>
      </c>
      <c r="M507" s="452">
        <f t="shared" si="969"/>
        <v>154596.99758218875</v>
      </c>
      <c r="N507" s="583">
        <f t="shared" si="969"/>
        <v>191588.65761827465</v>
      </c>
      <c r="O507" s="583">
        <f t="shared" si="969"/>
        <v>232106.05497495347</v>
      </c>
      <c r="P507" s="583">
        <f t="shared" si="969"/>
        <v>280036.25543765025</v>
      </c>
      <c r="Q507" s="583">
        <f t="shared" si="969"/>
        <v>318925.484021543</v>
      </c>
      <c r="R507" s="583">
        <f t="shared" si="969"/>
        <v>358668.86275703314</v>
      </c>
      <c r="T507" s="15">
        <f>(M507/J507)^(1/3)-1</f>
        <v>0.34140722257153033</v>
      </c>
      <c r="V507" s="218"/>
      <c r="W507" s="218"/>
      <c r="X507" s="218"/>
      <c r="Y507" s="277"/>
      <c r="Z507" s="218"/>
      <c r="AA507" s="218"/>
      <c r="AB507" s="218"/>
      <c r="AC507" s="277"/>
      <c r="AG507" s="278"/>
      <c r="AH507" s="266">
        <f t="shared" ref="AH507:BE507" si="970">AH503+AH351</f>
        <v>5816</v>
      </c>
      <c r="AI507" s="266">
        <f t="shared" si="970"/>
        <v>6156</v>
      </c>
      <c r="AJ507" s="266">
        <f t="shared" si="970"/>
        <v>9460</v>
      </c>
      <c r="AK507" s="267">
        <f t="shared" si="970"/>
        <v>6376</v>
      </c>
      <c r="AL507" s="266">
        <f t="shared" si="970"/>
        <v>7917</v>
      </c>
      <c r="AM507" s="266">
        <f t="shared" si="970"/>
        <v>7355</v>
      </c>
      <c r="AN507" s="266">
        <f t="shared" si="970"/>
        <v>13835</v>
      </c>
      <c r="AO507" s="267">
        <f t="shared" si="970"/>
        <v>7231</v>
      </c>
      <c r="AP507" s="266">
        <f t="shared" si="970"/>
        <v>9156</v>
      </c>
      <c r="AQ507" s="266">
        <f t="shared" si="970"/>
        <v>9559</v>
      </c>
      <c r="AR507" s="266">
        <f t="shared" si="970"/>
        <v>17259</v>
      </c>
      <c r="AS507" s="267">
        <f t="shared" si="970"/>
        <v>9665</v>
      </c>
      <c r="AT507" s="266">
        <f t="shared" si="970"/>
        <v>12508</v>
      </c>
      <c r="AU507" s="266">
        <f t="shared" si="970"/>
        <v>13296</v>
      </c>
      <c r="AV507" s="266">
        <f t="shared" si="970"/>
        <v>24408</v>
      </c>
      <c r="AW507" s="267">
        <f t="shared" si="970"/>
        <v>13838</v>
      </c>
      <c r="AX507" s="266">
        <f t="shared" si="970"/>
        <v>21532</v>
      </c>
      <c r="AY507" s="266">
        <f t="shared" si="970"/>
        <v>21270</v>
      </c>
      <c r="AZ507" s="266">
        <f t="shared" si="970"/>
        <v>31605</v>
      </c>
      <c r="BA507" s="267">
        <f t="shared" si="970"/>
        <v>16027.627733525549</v>
      </c>
      <c r="BB507" s="266">
        <f t="shared" si="970"/>
        <v>26481.601481295762</v>
      </c>
      <c r="BC507" s="266">
        <f t="shared" si="970"/>
        <v>26371.07429703615</v>
      </c>
      <c r="BD507" s="266">
        <f t="shared" si="970"/>
        <v>43698.665405025742</v>
      </c>
      <c r="BE507" s="266">
        <f t="shared" si="970"/>
        <v>23402.396256146567</v>
      </c>
      <c r="BF507" s="283"/>
      <c r="CG507"/>
      <c r="CH507"/>
      <c r="CI507"/>
      <c r="CJ507"/>
      <c r="CK507"/>
      <c r="CL507"/>
    </row>
    <row r="508" spans="1:90" s="225" customFormat="1" ht="12.75" customHeight="1" outlineLevel="1">
      <c r="A508" s="1348"/>
      <c r="B508" s="305" t="s">
        <v>717</v>
      </c>
      <c r="C508" s="452"/>
      <c r="D508" s="452"/>
      <c r="E508" s="452"/>
      <c r="F508" s="452"/>
      <c r="G508" s="545">
        <f>SUM(Reported!B247:B252)</f>
        <v>1712</v>
      </c>
      <c r="H508" s="545">
        <f>SUM(Reported!C247:C252)</f>
        <v>-4456</v>
      </c>
      <c r="I508" s="545">
        <f>SUM(Reported!D247:D252)</f>
        <v>-47511</v>
      </c>
      <c r="J508" s="709">
        <f>SUM(Reported!E247:E252)</f>
        <v>-4472</v>
      </c>
      <c r="K508" s="754">
        <v>-6000</v>
      </c>
      <c r="L508" s="754">
        <v>-2000</v>
      </c>
      <c r="M508" s="754">
        <f t="shared" ref="M508:R508" si="971">L508</f>
        <v>-2000</v>
      </c>
      <c r="N508" s="754">
        <f t="shared" si="971"/>
        <v>-2000</v>
      </c>
      <c r="O508" s="754">
        <f t="shared" si="971"/>
        <v>-2000</v>
      </c>
      <c r="P508" s="754">
        <f t="shared" si="971"/>
        <v>-2000</v>
      </c>
      <c r="Q508" s="754">
        <f t="shared" si="971"/>
        <v>-2000</v>
      </c>
      <c r="R508" s="754">
        <f t="shared" si="971"/>
        <v>-2000</v>
      </c>
      <c r="V508" s="218"/>
      <c r="W508" s="218"/>
      <c r="X508" s="218"/>
      <c r="Y508" s="277"/>
      <c r="Z508" s="498"/>
      <c r="AA508" s="218"/>
      <c r="AB508" s="218"/>
      <c r="AC508" s="277"/>
      <c r="AG508" s="278"/>
      <c r="AH508" s="307">
        <f>G508-SUM(AI508:AK508)</f>
        <v>368</v>
      </c>
      <c r="AI508" s="266">
        <f>SUM(Reported!I247:I252)</f>
        <v>53</v>
      </c>
      <c r="AJ508" s="266">
        <f>SUM(Reported!J247:J252)</f>
        <v>1324</v>
      </c>
      <c r="AK508" s="267">
        <f>SUM(Reported!K247:K252)</f>
        <v>-33</v>
      </c>
      <c r="AL508" s="266">
        <f>SUM(Reported!L247:L252)</f>
        <v>-6428</v>
      </c>
      <c r="AM508" s="266">
        <f>SUM(Reported!M247:M252)</f>
        <v>170</v>
      </c>
      <c r="AN508" s="266">
        <f>SUM(Reported!N247:N252)</f>
        <v>2205</v>
      </c>
      <c r="AO508" s="267">
        <f>SUM(Reported!O247:O252)</f>
        <v>-403</v>
      </c>
      <c r="AP508" s="266">
        <f>SUM(Reported!P247:P252)</f>
        <v>-25962</v>
      </c>
      <c r="AQ508" s="266">
        <f>SUM(Reported!Q247:Q252)</f>
        <v>-17394</v>
      </c>
      <c r="AR508" s="266">
        <f>SUM(Reported!R247:R252)</f>
        <v>-1064</v>
      </c>
      <c r="AS508" s="267">
        <f>SUM(Reported!S247:S252)</f>
        <v>-3054</v>
      </c>
      <c r="AT508" s="266">
        <f>SUM(Reported!T247:T252)</f>
        <v>-96</v>
      </c>
      <c r="AU508" s="266">
        <f>SUM(Reported!U247:U252)</f>
        <v>326</v>
      </c>
      <c r="AV508" s="266">
        <f>SUM(Reported!V247:V252)</f>
        <v>329</v>
      </c>
      <c r="AW508" s="267">
        <f>SUM(Reported!W247:W252)</f>
        <v>-5031</v>
      </c>
      <c r="AX508" s="266">
        <f>SUM(Reported!X247:X252)</f>
        <v>-17</v>
      </c>
      <c r="AY508" s="266">
        <f>SUM(Reported!Y247:Y252)</f>
        <v>-1753</v>
      </c>
      <c r="AZ508" s="266">
        <f>SUM(Reported!Z247:Z252)</f>
        <v>-3497</v>
      </c>
      <c r="BA508" s="1548">
        <f>K508-SUM(AX508:AZ508)</f>
        <v>-733</v>
      </c>
      <c r="BB508" s="753">
        <f>L508/4</f>
        <v>-500</v>
      </c>
      <c r="BC508" s="753">
        <f>BB508</f>
        <v>-500</v>
      </c>
      <c r="BD508" s="753">
        <f>BC508</f>
        <v>-500</v>
      </c>
      <c r="BE508" s="469">
        <f>L508-SUM(BB508:BD508)</f>
        <v>-500</v>
      </c>
      <c r="BF508" s="283"/>
      <c r="CG508"/>
      <c r="CH508"/>
      <c r="CI508"/>
      <c r="CJ508"/>
      <c r="CK508"/>
      <c r="CL508"/>
    </row>
    <row r="509" spans="1:90" s="225" customFormat="1" ht="12.75" customHeight="1" outlineLevel="1">
      <c r="A509" s="1348"/>
      <c r="B509" s="273" t="s">
        <v>544</v>
      </c>
      <c r="C509" s="452"/>
      <c r="D509" s="452"/>
      <c r="E509" s="452"/>
      <c r="F509" s="452"/>
      <c r="G509" s="452">
        <f t="shared" ref="G509:R509" si="972">G370-G351-G474+G508</f>
        <v>28274</v>
      </c>
      <c r="H509" s="452">
        <f t="shared" si="972"/>
        <v>34981</v>
      </c>
      <c r="I509" s="452">
        <f t="shared" si="972"/>
        <v>42791</v>
      </c>
      <c r="J509" s="748">
        <f t="shared" si="972"/>
        <v>57871</v>
      </c>
      <c r="K509" s="452">
        <f t="shared" si="972"/>
        <v>82584.446928314021</v>
      </c>
      <c r="L509" s="452">
        <f t="shared" si="972"/>
        <v>107931.90033076079</v>
      </c>
      <c r="M509" s="452">
        <f t="shared" si="972"/>
        <v>133999.15164284516</v>
      </c>
      <c r="N509" s="452">
        <f t="shared" si="972"/>
        <v>163751.12290353054</v>
      </c>
      <c r="O509" s="452">
        <f t="shared" si="972"/>
        <v>197511.41914181833</v>
      </c>
      <c r="P509" s="452">
        <f t="shared" si="972"/>
        <v>239902.00677717352</v>
      </c>
      <c r="Q509" s="452">
        <f t="shared" si="972"/>
        <v>277255.31417701312</v>
      </c>
      <c r="R509" s="452">
        <f t="shared" si="972"/>
        <v>315935.0787071606</v>
      </c>
      <c r="T509" s="15"/>
      <c r="V509" s="218"/>
      <c r="W509" s="218"/>
      <c r="X509" s="218"/>
      <c r="Y509" s="277"/>
      <c r="Z509" s="218"/>
      <c r="AA509" s="218"/>
      <c r="AB509" s="218"/>
      <c r="AC509" s="277"/>
      <c r="AG509" s="278"/>
      <c r="AH509" s="452">
        <f t="shared" ref="AH509:BE509" si="973">AH370-AH351-AH474+AH508</f>
        <v>5247</v>
      </c>
      <c r="AI509" s="452">
        <f t="shared" si="973"/>
        <v>5893</v>
      </c>
      <c r="AJ509" s="452">
        <f t="shared" si="973"/>
        <v>10463</v>
      </c>
      <c r="AK509" s="748">
        <f t="shared" si="973"/>
        <v>6671</v>
      </c>
      <c r="AL509" s="452">
        <f t="shared" si="973"/>
        <v>7317</v>
      </c>
      <c r="AM509" s="452">
        <f t="shared" si="973"/>
        <v>6808</v>
      </c>
      <c r="AN509" s="452">
        <f t="shared" si="973"/>
        <v>13115</v>
      </c>
      <c r="AO509" s="748">
        <f t="shared" si="973"/>
        <v>7741</v>
      </c>
      <c r="AP509" s="452">
        <f t="shared" si="973"/>
        <v>9496</v>
      </c>
      <c r="AQ509" s="452">
        <f t="shared" si="973"/>
        <v>9201</v>
      </c>
      <c r="AR509" s="452">
        <f t="shared" si="973"/>
        <v>16575</v>
      </c>
      <c r="AS509" s="748">
        <f t="shared" si="973"/>
        <v>7556</v>
      </c>
      <c r="AT509" s="452">
        <f t="shared" si="973"/>
        <v>11991</v>
      </c>
      <c r="AU509" s="452">
        <f t="shared" si="973"/>
        <v>12949</v>
      </c>
      <c r="AV509" s="452">
        <f t="shared" si="973"/>
        <v>22491</v>
      </c>
      <c r="AW509" s="748">
        <f t="shared" si="973"/>
        <v>10440</v>
      </c>
      <c r="AX509" s="452">
        <f t="shared" si="973"/>
        <v>20019</v>
      </c>
      <c r="AY509" s="452">
        <f t="shared" si="973"/>
        <v>22089</v>
      </c>
      <c r="AZ509" s="452">
        <f t="shared" si="973"/>
        <v>27007</v>
      </c>
      <c r="BA509" s="748">
        <f t="shared" si="973"/>
        <v>12999.446928313972</v>
      </c>
      <c r="BB509" s="452">
        <f t="shared" si="973"/>
        <v>23956.268626774319</v>
      </c>
      <c r="BC509" s="452">
        <f t="shared" si="973"/>
        <v>24364.6179940845</v>
      </c>
      <c r="BD509" s="452">
        <f t="shared" si="973"/>
        <v>38181.7465181765</v>
      </c>
      <c r="BE509" s="452">
        <f t="shared" si="973"/>
        <v>21429.267191725463</v>
      </c>
      <c r="BF509" s="283"/>
      <c r="CG509"/>
      <c r="CH509"/>
      <c r="CI509"/>
      <c r="CJ509"/>
      <c r="CK509"/>
      <c r="CL509"/>
    </row>
    <row r="510" spans="1:90" s="225" customFormat="1" ht="12.75" customHeight="1" outlineLevel="1">
      <c r="A510" s="1348"/>
      <c r="B510" s="305" t="s">
        <v>718</v>
      </c>
      <c r="C510" s="452"/>
      <c r="D510" s="452"/>
      <c r="E510" s="452"/>
      <c r="F510" s="452"/>
      <c r="G510" s="452">
        <f>Reported!B256+Reported!B257</f>
        <v>239</v>
      </c>
      <c r="H510" s="452">
        <f>Reported!C256+Reported!C257</f>
        <v>112</v>
      </c>
      <c r="I510" s="452">
        <f>Reported!D256+Reported!D257</f>
        <v>0</v>
      </c>
      <c r="J510" s="748">
        <f>Reported!E256+Reported!E257</f>
        <v>-11</v>
      </c>
      <c r="K510" s="452"/>
      <c r="L510" s="452"/>
      <c r="M510" s="452"/>
      <c r="N510" s="452"/>
      <c r="O510" s="452"/>
      <c r="P510" s="452"/>
      <c r="Q510" s="452"/>
      <c r="R510" s="452"/>
      <c r="V510" s="218"/>
      <c r="W510" s="218"/>
      <c r="X510" s="218"/>
      <c r="Y510" s="277"/>
      <c r="Z510" s="218"/>
      <c r="AA510" s="218"/>
      <c r="AB510" s="218"/>
      <c r="AC510" s="277"/>
      <c r="AG510" s="278"/>
      <c r="AH510" s="307">
        <f>G510-SUM(AI510:AK510)</f>
        <v>60</v>
      </c>
      <c r="AI510" s="452">
        <f>Reported!I256+Reported!I257</f>
        <v>60</v>
      </c>
      <c r="AJ510" s="452">
        <f>Reported!J256+Reported!J257</f>
        <v>60</v>
      </c>
      <c r="AK510" s="748">
        <f>Reported!K256+Reported!K257</f>
        <v>59</v>
      </c>
      <c r="AL510" s="452">
        <f>Reported!L256+Reported!L257</f>
        <v>60</v>
      </c>
      <c r="AM510" s="452">
        <f>Reported!M256+Reported!M257</f>
        <v>52</v>
      </c>
      <c r="AN510" s="452">
        <f>Reported!N256+Reported!N257</f>
        <v>0</v>
      </c>
      <c r="AO510" s="748">
        <f>Reported!O256+Reported!O257</f>
        <v>0</v>
      </c>
      <c r="AP510" s="452">
        <f>Reported!P256+Reported!P257</f>
        <v>0</v>
      </c>
      <c r="AQ510" s="452">
        <f>Reported!Q256+Reported!Q257</f>
        <v>0</v>
      </c>
      <c r="AR510" s="452">
        <f>Reported!R256+Reported!R257</f>
        <v>0</v>
      </c>
      <c r="AS510" s="748">
        <f>Reported!S256+Reported!S257</f>
        <v>0</v>
      </c>
      <c r="AT510" s="452">
        <f>Reported!T256+Reported!T257</f>
        <v>0</v>
      </c>
      <c r="AU510" s="452">
        <f>Reported!U256+Reported!U257</f>
        <v>-3</v>
      </c>
      <c r="AV510" s="452">
        <f>Reported!V256+Reported!V257</f>
        <v>-3</v>
      </c>
      <c r="AW510" s="748">
        <f>Reported!W256+Reported!W257</f>
        <v>-5</v>
      </c>
      <c r="AX510" s="452">
        <f>Reported!X256+Reported!X257</f>
        <v>-3</v>
      </c>
      <c r="AY510" s="452">
        <f>Reported!Y256+Reported!Y257</f>
        <v>-3</v>
      </c>
      <c r="AZ510" s="452">
        <f>Reported!Z256+Reported!Z257</f>
        <v>-4</v>
      </c>
      <c r="BA510" s="748"/>
      <c r="BB510" s="452"/>
      <c r="BC510" s="452"/>
      <c r="BD510" s="452"/>
      <c r="BE510" s="452"/>
      <c r="BF510" s="283"/>
      <c r="CG510"/>
      <c r="CH510"/>
      <c r="CI510"/>
      <c r="CJ510"/>
      <c r="CK510"/>
      <c r="CL510"/>
    </row>
    <row r="511" spans="1:90" s="225" customFormat="1" ht="12.75" customHeight="1" outlineLevel="1">
      <c r="A511" s="1348" t="s">
        <v>574</v>
      </c>
      <c r="B511" s="273" t="s">
        <v>679</v>
      </c>
      <c r="C511" s="266"/>
      <c r="D511" s="266"/>
      <c r="E511" s="266"/>
      <c r="F511" s="266"/>
      <c r="G511" s="266">
        <f t="shared" ref="G511:R511" si="974">G378-G351-G474+G508+G510</f>
        <v>28186</v>
      </c>
      <c r="H511" s="266">
        <f t="shared" si="974"/>
        <v>34922</v>
      </c>
      <c r="I511" s="266">
        <f t="shared" si="974"/>
        <v>42962</v>
      </c>
      <c r="J511" s="267">
        <f t="shared" si="974"/>
        <v>60309</v>
      </c>
      <c r="K511" s="266">
        <f t="shared" si="974"/>
        <v>84819.549494751816</v>
      </c>
      <c r="L511" s="266">
        <f t="shared" si="974"/>
        <v>111314.06786750625</v>
      </c>
      <c r="M511" s="266">
        <f t="shared" si="974"/>
        <v>139718.61457375504</v>
      </c>
      <c r="N511" s="266">
        <f t="shared" si="974"/>
        <v>169124.84807942758</v>
      </c>
      <c r="O511" s="266">
        <f t="shared" si="974"/>
        <v>203979.33575840006</v>
      </c>
      <c r="P511" s="266">
        <f t="shared" si="974"/>
        <v>247763.64839967122</v>
      </c>
      <c r="Q511" s="266">
        <f t="shared" si="974"/>
        <v>286308.05681663565</v>
      </c>
      <c r="R511" s="266">
        <f t="shared" si="974"/>
        <v>326227.25544910907</v>
      </c>
      <c r="T511" s="15">
        <f>(M511/J511)^(1/3)-1</f>
        <v>0.32319559902962158</v>
      </c>
      <c r="V511" s="266"/>
      <c r="W511" s="266"/>
      <c r="X511" s="266"/>
      <c r="Y511" s="267"/>
      <c r="Z511" s="266"/>
      <c r="AA511" s="266"/>
      <c r="AB511" s="266"/>
      <c r="AC511" s="267"/>
      <c r="AD511" s="489"/>
      <c r="AE511" s="489"/>
      <c r="AF511" s="489"/>
      <c r="AG511" s="747"/>
      <c r="AH511" s="266">
        <f t="shared" ref="AH511:BE511" si="975">AH378-AH351-AH474+AH508+AH510</f>
        <v>5243</v>
      </c>
      <c r="AI511" s="266">
        <f t="shared" si="975"/>
        <v>5899</v>
      </c>
      <c r="AJ511" s="266">
        <f t="shared" si="975"/>
        <v>10432.25</v>
      </c>
      <c r="AK511" s="267">
        <f t="shared" si="975"/>
        <v>6612</v>
      </c>
      <c r="AL511" s="266">
        <f t="shared" si="975"/>
        <v>7283</v>
      </c>
      <c r="AM511" s="266">
        <f t="shared" si="975"/>
        <v>6806</v>
      </c>
      <c r="AN511" s="266">
        <f t="shared" si="975"/>
        <v>13068</v>
      </c>
      <c r="AO511" s="267">
        <f t="shared" si="975"/>
        <v>7765</v>
      </c>
      <c r="AP511" s="266">
        <f t="shared" si="975"/>
        <v>9523</v>
      </c>
      <c r="AQ511" s="266">
        <f t="shared" si="975"/>
        <v>9252</v>
      </c>
      <c r="AR511" s="266">
        <f t="shared" si="975"/>
        <v>16617</v>
      </c>
      <c r="AS511" s="267">
        <f t="shared" si="975"/>
        <v>7607</v>
      </c>
      <c r="AT511" s="266">
        <f t="shared" si="975"/>
        <v>12399</v>
      </c>
      <c r="AU511" s="266">
        <f t="shared" si="975"/>
        <v>13494</v>
      </c>
      <c r="AV511" s="266">
        <f t="shared" si="975"/>
        <v>23186</v>
      </c>
      <c r="AW511" s="267">
        <f t="shared" si="975"/>
        <v>11230</v>
      </c>
      <c r="AX511" s="266">
        <f t="shared" si="975"/>
        <v>20668</v>
      </c>
      <c r="AY511" s="266">
        <f t="shared" si="975"/>
        <v>22346</v>
      </c>
      <c r="AZ511" s="266">
        <f t="shared" si="975"/>
        <v>27744</v>
      </c>
      <c r="BA511" s="267">
        <f t="shared" si="975"/>
        <v>13581.549494751771</v>
      </c>
      <c r="BB511" s="266">
        <f t="shared" si="975"/>
        <v>24615.012124756318</v>
      </c>
      <c r="BC511" s="266">
        <f t="shared" si="975"/>
        <v>25064.827927698421</v>
      </c>
      <c r="BD511" s="266">
        <f t="shared" si="975"/>
        <v>39152.770531975701</v>
      </c>
      <c r="BE511" s="266">
        <f t="shared" si="975"/>
        <v>22481.457283075801</v>
      </c>
      <c r="BF511" s="283"/>
      <c r="BI511" s="313">
        <f>SUM(Y511:AB511)</f>
        <v>0</v>
      </c>
      <c r="BJ511" s="313">
        <f>SUM(AC511:AF511)</f>
        <v>0</v>
      </c>
      <c r="BK511" s="313">
        <f>SUM(AG511:AJ511)</f>
        <v>21574.25</v>
      </c>
      <c r="BL511" s="313">
        <f>SUM(AK511:AN511)</f>
        <v>33769</v>
      </c>
      <c r="BM511" s="313">
        <f>SUM(AO511:AR511)</f>
        <v>43157</v>
      </c>
      <c r="BN511" s="313">
        <f>SUM(AS511:AV511)</f>
        <v>56686</v>
      </c>
      <c r="BO511" s="313">
        <f>SUM(AW511:AZ511)</f>
        <v>81988</v>
      </c>
      <c r="BP511" s="313">
        <f>SUM(BA511:BD511)</f>
        <v>102414.16007918221</v>
      </c>
      <c r="BQ511" s="489">
        <f t="shared" ref="BQ511" si="976">L511*0.25+M511*0.75</f>
        <v>132617.47789719285</v>
      </c>
      <c r="BR511" s="489">
        <f t="shared" ref="BR511" si="977">M511*0.25+N511*0.75</f>
        <v>161773.28970300945</v>
      </c>
      <c r="BS511" s="489">
        <f t="shared" ref="BS511" si="978">N511*0.25+O511*0.75</f>
        <v>195265.71383865696</v>
      </c>
      <c r="BT511" s="489">
        <f t="shared" ref="BT511" si="979">O511*0.25+P511*0.75</f>
        <v>236817.57023935343</v>
      </c>
      <c r="BU511" s="489">
        <f t="shared" ref="BU511" si="980">P511*0.25+Q511*0.75</f>
        <v>276671.95471239457</v>
      </c>
      <c r="BV511" s="489">
        <f t="shared" ref="BV511" si="981">Q511*0.25+R511*0.75</f>
        <v>316247.45579099073</v>
      </c>
      <c r="CG511"/>
      <c r="CH511"/>
      <c r="CI511"/>
      <c r="CJ511"/>
      <c r="CK511"/>
      <c r="CL511"/>
    </row>
    <row r="512" spans="1:90" s="225" customFormat="1" ht="12.75" customHeight="1" outlineLevel="1">
      <c r="A512" s="1348"/>
      <c r="B512" s="305"/>
      <c r="C512" s="452"/>
      <c r="D512" s="452"/>
      <c r="E512" s="452"/>
      <c r="F512" s="452"/>
      <c r="G512" s="452"/>
      <c r="H512" s="452"/>
      <c r="I512" s="452"/>
      <c r="J512" s="335"/>
      <c r="K512" s="301"/>
      <c r="L512" s="301"/>
      <c r="M512" s="301"/>
      <c r="N512" s="452"/>
      <c r="O512" s="452"/>
      <c r="P512" s="452"/>
      <c r="Q512" s="452"/>
      <c r="R512" s="452"/>
      <c r="V512" s="218"/>
      <c r="W512" s="218"/>
      <c r="X512" s="218"/>
      <c r="Y512" s="277"/>
      <c r="Z512" s="218"/>
      <c r="AA512" s="218"/>
      <c r="AB512" s="218"/>
      <c r="AC512" s="277"/>
      <c r="AG512" s="278"/>
      <c r="AK512" s="279"/>
      <c r="AL512" s="280"/>
      <c r="AM512" s="280"/>
      <c r="AN512" s="281"/>
      <c r="AO512" s="282"/>
      <c r="AP512" s="218"/>
      <c r="AQ512" s="218"/>
      <c r="AR512" s="283"/>
      <c r="AS512" s="284"/>
      <c r="AT512" s="285"/>
      <c r="AU512" s="283"/>
      <c r="AV512" s="283"/>
      <c r="AW512" s="284"/>
      <c r="AX512" s="283"/>
      <c r="AY512" s="266"/>
      <c r="AZ512" s="266"/>
      <c r="BA512" s="267">
        <v>17313.6614220341</v>
      </c>
      <c r="BB512" s="266">
        <v>26031.784829826523</v>
      </c>
      <c r="BC512" s="266">
        <v>24642.357472849377</v>
      </c>
      <c r="BD512" s="266">
        <v>35300.105348700796</v>
      </c>
      <c r="BE512" s="266"/>
      <c r="BF512" s="283"/>
      <c r="CG512"/>
      <c r="CH512"/>
      <c r="CI512"/>
      <c r="CJ512"/>
      <c r="CK512"/>
      <c r="CL512"/>
    </row>
    <row r="513" spans="1:90" ht="12.75" customHeight="1" outlineLevel="1">
      <c r="B513" s="13" t="s">
        <v>708</v>
      </c>
      <c r="H513" s="275"/>
      <c r="I513" s="1246">
        <f>I515*0.25+J515*0.75</f>
        <v>21.772500000000001</v>
      </c>
      <c r="J513" s="1421">
        <f>J515*0.25+K515*0.75</f>
        <v>30.186830639030159</v>
      </c>
      <c r="K513" s="1246">
        <f>K515*0.25+L515*0.75</f>
        <v>39.875750391897526</v>
      </c>
      <c r="V513" s="141"/>
      <c r="W513" s="141"/>
      <c r="X513" s="141"/>
      <c r="Y513" s="398"/>
      <c r="Z513" s="141"/>
      <c r="AA513" s="141"/>
      <c r="AB513" s="141"/>
      <c r="AC513" s="398"/>
      <c r="AD513" s="141"/>
      <c r="AE513" s="141"/>
      <c r="AF513" s="141"/>
      <c r="AG513" s="398"/>
      <c r="AH513" s="141"/>
      <c r="AI513" s="141"/>
      <c r="AJ513" s="141"/>
      <c r="AK513" s="398"/>
      <c r="AL513" s="141"/>
      <c r="AM513" s="141"/>
      <c r="AN513" s="141"/>
      <c r="AO513" s="398"/>
      <c r="AP513" s="15"/>
      <c r="AQ513" s="15"/>
      <c r="AR513" s="15"/>
      <c r="AS513" s="398"/>
      <c r="AT513" s="141"/>
      <c r="AU513" s="141"/>
      <c r="AV513" s="141"/>
      <c r="AW513" s="398"/>
      <c r="AX513" s="141"/>
      <c r="AY513" s="225"/>
      <c r="AZ513" s="225"/>
      <c r="BA513" s="278"/>
      <c r="BB513" s="225"/>
      <c r="BC513" s="225"/>
      <c r="BD513" s="225"/>
      <c r="BE513" s="225"/>
      <c r="BF513" s="141"/>
      <c r="BU513" s="652"/>
      <c r="BZ513" s="450"/>
    </row>
    <row r="514" spans="1:90" ht="12.75" customHeight="1" outlineLevel="1">
      <c r="B514" s="698" t="s">
        <v>5</v>
      </c>
      <c r="G514" s="755">
        <f t="shared" ref="G514:R514" si="982">G511/G386</f>
        <v>12.959080459770115</v>
      </c>
      <c r="H514" s="755">
        <f t="shared" si="982"/>
        <v>14.943089430894309</v>
      </c>
      <c r="I514" s="755">
        <f t="shared" si="982"/>
        <v>17.478437754271766</v>
      </c>
      <c r="J514" s="756">
        <f t="shared" si="982"/>
        <v>24.191335740072201</v>
      </c>
      <c r="K514" s="755">
        <f t="shared" si="982"/>
        <v>33.171509383946741</v>
      </c>
      <c r="L514" s="755">
        <f t="shared" si="982"/>
        <v>43.102052555209056</v>
      </c>
      <c r="M514" s="755">
        <f t="shared" si="982"/>
        <v>53.564961241791281</v>
      </c>
      <c r="N514" s="755">
        <f t="shared" si="982"/>
        <v>64.196680217306223</v>
      </c>
      <c r="O514" s="755">
        <f t="shared" si="982"/>
        <v>76.660200369371665</v>
      </c>
      <c r="P514" s="755">
        <f t="shared" si="982"/>
        <v>92.193433746010911</v>
      </c>
      <c r="Q514" s="755">
        <f t="shared" si="982"/>
        <v>105.48108750058752</v>
      </c>
      <c r="R514" s="755">
        <f t="shared" si="982"/>
        <v>118.99806456587434</v>
      </c>
      <c r="T514" s="15">
        <f>(M514/J514)^(1/3)-1</f>
        <v>0.30338779137292837</v>
      </c>
      <c r="V514" s="141"/>
      <c r="W514" s="141"/>
      <c r="X514" s="141"/>
      <c r="Y514" s="398"/>
      <c r="Z514" s="141"/>
      <c r="AA514" s="141"/>
      <c r="AB514" s="141"/>
      <c r="AC514" s="398"/>
      <c r="AD514" s="141"/>
      <c r="AE514" s="141"/>
      <c r="AF514" s="141"/>
      <c r="AG514" s="398"/>
      <c r="AH514" s="141"/>
      <c r="AI514" s="755">
        <f t="shared" ref="AI514:BE514" si="983">AI511/AI386</f>
        <v>2.5459646094087183</v>
      </c>
      <c r="AJ514" s="755">
        <f t="shared" si="983"/>
        <v>4.7854357798165141</v>
      </c>
      <c r="AK514" s="756">
        <f t="shared" si="983"/>
        <v>3.0219378427787933</v>
      </c>
      <c r="AL514" s="755">
        <f t="shared" si="983"/>
        <v>3.3134667879890811</v>
      </c>
      <c r="AM514" s="755">
        <f t="shared" si="983"/>
        <v>2.7916324856439703</v>
      </c>
      <c r="AN514" s="755">
        <f t="shared" si="983"/>
        <v>5.3338775510204082</v>
      </c>
      <c r="AO514" s="756">
        <f t="shared" si="983"/>
        <v>3.1552214546932142</v>
      </c>
      <c r="AP514" s="755">
        <f t="shared" si="983"/>
        <v>3.8445700444085587</v>
      </c>
      <c r="AQ514" s="755">
        <f t="shared" si="983"/>
        <v>3.7594473791141811</v>
      </c>
      <c r="AR514" s="755">
        <f t="shared" si="983"/>
        <v>6.7935404742436631</v>
      </c>
      <c r="AS514" s="756">
        <f t="shared" si="983"/>
        <v>3.1074346405228757</v>
      </c>
      <c r="AT514" s="755">
        <f t="shared" si="983"/>
        <v>5.0137484836231296</v>
      </c>
      <c r="AU514" s="755">
        <f t="shared" si="983"/>
        <v>5.4455205811138017</v>
      </c>
      <c r="AV514" s="755">
        <f t="shared" si="983"/>
        <v>9.3303822937625753</v>
      </c>
      <c r="AW514" s="756">
        <f t="shared" si="983"/>
        <v>4.4687624353362514</v>
      </c>
      <c r="AX514" s="755">
        <f t="shared" si="983"/>
        <v>8.1274085725521044</v>
      </c>
      <c r="AY514" s="755">
        <f t="shared" si="983"/>
        <v>8.7562695924764888</v>
      </c>
      <c r="AZ514" s="755">
        <f t="shared" si="983"/>
        <v>10.850215095815409</v>
      </c>
      <c r="BA514" s="756">
        <f t="shared" si="983"/>
        <v>5.3115172056127378</v>
      </c>
      <c r="BB514" s="755">
        <f t="shared" si="983"/>
        <v>9.5312081084951483</v>
      </c>
      <c r="BC514" s="755">
        <f t="shared" si="983"/>
        <v>9.7053818203179087</v>
      </c>
      <c r="BD514" s="755">
        <f t="shared" si="983"/>
        <v>15.160390824634259</v>
      </c>
      <c r="BE514" s="755">
        <f t="shared" si="983"/>
        <v>8.7050718017617328</v>
      </c>
      <c r="BF514" s="141"/>
      <c r="BU514" s="652"/>
      <c r="BZ514" s="450"/>
    </row>
    <row r="515" spans="1:90" ht="12.75" customHeight="1" outlineLevel="1">
      <c r="B515" s="698" t="s">
        <v>6</v>
      </c>
      <c r="G515" s="757">
        <f>Reported!B265</f>
        <v>12.09</v>
      </c>
      <c r="H515" s="757">
        <f>Reported!C265</f>
        <v>13.97</v>
      </c>
      <c r="I515" s="757">
        <f>Reported!D265</f>
        <v>16.77</v>
      </c>
      <c r="J515" s="758">
        <f>Reported!E265</f>
        <v>23.44</v>
      </c>
      <c r="K515" s="755">
        <f t="shared" ref="K515:R515" si="984">K511/K387</f>
        <v>32.435774185373546</v>
      </c>
      <c r="L515" s="755">
        <f t="shared" si="984"/>
        <v>42.355742460738853</v>
      </c>
      <c r="M515" s="755">
        <f t="shared" si="984"/>
        <v>52.899364397254075</v>
      </c>
      <c r="N515" s="755">
        <f t="shared" si="984"/>
        <v>63.398973903480574</v>
      </c>
      <c r="O515" s="755">
        <f t="shared" si="984"/>
        <v>75.707622671478461</v>
      </c>
      <c r="P515" s="755">
        <f t="shared" si="984"/>
        <v>91.047840485681633</v>
      </c>
      <c r="Q515" s="755">
        <f t="shared" si="984"/>
        <v>104.17038219302971</v>
      </c>
      <c r="R515" s="755">
        <f t="shared" si="984"/>
        <v>117.51939764546808</v>
      </c>
      <c r="T515" s="15">
        <f>(M515/J515)^(1/3)-1</f>
        <v>0.31168921847875874</v>
      </c>
      <c r="V515" s="141"/>
      <c r="W515" s="141"/>
      <c r="X515" s="141"/>
      <c r="Y515" s="398"/>
      <c r="Z515" s="141"/>
      <c r="AA515" s="141"/>
      <c r="AB515" s="141"/>
      <c r="AC515" s="398"/>
      <c r="AD515" s="141"/>
      <c r="AE515" s="141"/>
      <c r="AF515" s="141"/>
      <c r="AG515" s="398"/>
      <c r="AH515" s="141"/>
      <c r="AI515" s="757">
        <f>Reported!I265</f>
        <v>2.5499999999999998</v>
      </c>
      <c r="AJ515" s="757">
        <f>Reported!J265</f>
        <v>4.45</v>
      </c>
      <c r="AK515" s="758">
        <f>Reported!K265</f>
        <v>2.8</v>
      </c>
      <c r="AL515" s="757">
        <f>Reported!L265</f>
        <v>3.05</v>
      </c>
      <c r="AM515" s="757">
        <f>Reported!M265</f>
        <v>2.79</v>
      </c>
      <c r="AN515" s="757">
        <f>Reported!N265</f>
        <v>5.05</v>
      </c>
      <c r="AO515" s="758">
        <f>Reported!O265</f>
        <v>3</v>
      </c>
      <c r="AP515" s="757">
        <f>Reported!P265</f>
        <v>3.68</v>
      </c>
      <c r="AQ515" s="757">
        <f>Reported!Q265</f>
        <v>3.63</v>
      </c>
      <c r="AR515" s="757">
        <f>Reported!R265</f>
        <v>6.52</v>
      </c>
      <c r="AS515" s="758">
        <f>Reported!S265</f>
        <v>2.99</v>
      </c>
      <c r="AT515" s="757">
        <f>Reported!T265</f>
        <v>4.83</v>
      </c>
      <c r="AU515" s="757">
        <f>Reported!U265</f>
        <v>5.26</v>
      </c>
      <c r="AV515" s="757">
        <f>Reported!V265</f>
        <v>9.02</v>
      </c>
      <c r="AW515" s="758">
        <f>Reported!W265</f>
        <v>4.3499999999999996</v>
      </c>
      <c r="AX515" s="757">
        <f>Reported!X265</f>
        <v>7.95</v>
      </c>
      <c r="AY515" s="757">
        <f>Reported!Y265</f>
        <v>8.57</v>
      </c>
      <c r="AZ515" s="757">
        <f>Reported!Z265</f>
        <v>10.61</v>
      </c>
      <c r="BA515" s="756">
        <f>BA511/BA387</f>
        <v>5.1937091758132965</v>
      </c>
      <c r="BB515" s="755">
        <f>BB511/BB387</f>
        <v>9.3661756703124226</v>
      </c>
      <c r="BC515" s="755">
        <f>BC511/BC387</f>
        <v>9.5373335721767543</v>
      </c>
      <c r="BD515" s="755">
        <f>BD511/BD387</f>
        <v>14.897889341809387</v>
      </c>
      <c r="BE515" s="755">
        <f>BE511/BE387</f>
        <v>8.554343876440285</v>
      </c>
      <c r="BF515" s="141"/>
      <c r="BU515" s="652"/>
      <c r="BZ515" s="450"/>
    </row>
    <row r="516" spans="1:90" s="13" customFormat="1" ht="12.75" customHeight="1" outlineLevel="1">
      <c r="A516" s="1349"/>
      <c r="B516" s="698" t="s">
        <v>4</v>
      </c>
      <c r="C516" s="759"/>
      <c r="D516" s="759"/>
      <c r="E516" s="759"/>
      <c r="F516" s="759"/>
      <c r="G516" s="760">
        <f t="shared" ref="G516:R516" si="985">G514/G6</f>
        <v>2.118238962544114</v>
      </c>
      <c r="H516" s="760">
        <f t="shared" si="985"/>
        <v>2.410564515388661</v>
      </c>
      <c r="I516" s="760">
        <f t="shared" si="985"/>
        <v>2.7106758303771348</v>
      </c>
      <c r="J516" s="762">
        <f t="shared" si="985"/>
        <v>3.5145478469421492</v>
      </c>
      <c r="K516" s="760">
        <f t="shared" si="985"/>
        <v>4.7901096583316587</v>
      </c>
      <c r="L516" s="760">
        <f t="shared" si="985"/>
        <v>6.2241231126655672</v>
      </c>
      <c r="M516" s="760">
        <f t="shared" si="985"/>
        <v>7.7350124536882712</v>
      </c>
      <c r="N516" s="760">
        <f t="shared" si="985"/>
        <v>9.2702787317409694</v>
      </c>
      <c r="O516" s="760">
        <f t="shared" si="985"/>
        <v>11.070065035288327</v>
      </c>
      <c r="P516" s="760">
        <f t="shared" si="985"/>
        <v>13.313131226860779</v>
      </c>
      <c r="Q516" s="760">
        <f t="shared" si="985"/>
        <v>15.231925992864623</v>
      </c>
      <c r="R516" s="760">
        <f t="shared" si="985"/>
        <v>17.183836038393405</v>
      </c>
      <c r="X516" s="20"/>
      <c r="Y516" s="673"/>
      <c r="Z516" s="20"/>
      <c r="AA516" s="20"/>
      <c r="AB516" s="20"/>
      <c r="AC516" s="673"/>
      <c r="AD516" s="20"/>
      <c r="AE516" s="20"/>
      <c r="AF516" s="20"/>
      <c r="AG516" s="673"/>
      <c r="AH516" s="761"/>
      <c r="AI516" s="760">
        <f t="shared" ref="AI516:BE516" si="986">AI514/AI6</f>
        <v>0.41615309432252889</v>
      </c>
      <c r="AJ516" s="760">
        <f t="shared" si="986"/>
        <v>0.7822080087416815</v>
      </c>
      <c r="AK516" s="762">
        <f t="shared" si="986"/>
        <v>0.49395375704566785</v>
      </c>
      <c r="AL516" s="760">
        <f t="shared" si="986"/>
        <v>0.53451633940782084</v>
      </c>
      <c r="AM516" s="760">
        <f t="shared" si="986"/>
        <v>0.45033593896498958</v>
      </c>
      <c r="AN516" s="760">
        <f t="shared" si="986"/>
        <v>0.86044161171485856</v>
      </c>
      <c r="AO516" s="762">
        <f t="shared" si="986"/>
        <v>0.50898878120555158</v>
      </c>
      <c r="AP516" s="760">
        <f t="shared" si="986"/>
        <v>0.59624225254475161</v>
      </c>
      <c r="AQ516" s="760">
        <f t="shared" si="986"/>
        <v>0.58304084663681466</v>
      </c>
      <c r="AR516" s="760">
        <f t="shared" si="986"/>
        <v>1.0535887832263744</v>
      </c>
      <c r="AS516" s="762">
        <f t="shared" si="986"/>
        <v>0.48192224573865933</v>
      </c>
      <c r="AT516" s="760">
        <f t="shared" si="986"/>
        <v>0.72840371972674478</v>
      </c>
      <c r="AU516" s="760">
        <f t="shared" si="986"/>
        <v>0.79113211603815103</v>
      </c>
      <c r="AV516" s="760">
        <f t="shared" si="986"/>
        <v>1.355529738168668</v>
      </c>
      <c r="AW516" s="762">
        <f t="shared" si="986"/>
        <v>0.64922745748144051</v>
      </c>
      <c r="AX516" s="760">
        <f t="shared" si="986"/>
        <v>1.1736330068667298</v>
      </c>
      <c r="AY516" s="760">
        <f t="shared" si="986"/>
        <v>1.2644432624514783</v>
      </c>
      <c r="AZ516" s="760">
        <f t="shared" si="986"/>
        <v>1.5668180643776763</v>
      </c>
      <c r="BA516" s="762">
        <f t="shared" si="986"/>
        <v>0.76700609467331948</v>
      </c>
      <c r="BB516" s="760">
        <f t="shared" si="986"/>
        <v>1.3763477412989382</v>
      </c>
      <c r="BC516" s="760">
        <f t="shared" si="986"/>
        <v>1.4014991798293008</v>
      </c>
      <c r="BD516" s="760">
        <f t="shared" si="986"/>
        <v>2.1892261118605427</v>
      </c>
      <c r="BE516" s="760">
        <f t="shared" si="986"/>
        <v>1.2570500796767843</v>
      </c>
      <c r="BU516" s="656"/>
      <c r="BZ516" s="658"/>
      <c r="CG516"/>
      <c r="CH516"/>
      <c r="CI516"/>
      <c r="CJ516"/>
      <c r="CK516"/>
      <c r="CL516"/>
    </row>
    <row r="517" spans="1:90" s="13" customFormat="1" ht="12.75" customHeight="1" outlineLevel="1">
      <c r="A517" s="1349"/>
      <c r="B517" s="698" t="s">
        <v>7</v>
      </c>
      <c r="C517" s="699"/>
      <c r="D517" s="699"/>
      <c r="E517" s="701"/>
      <c r="F517" s="701"/>
      <c r="G517" s="763">
        <f t="shared" ref="G517:R517" si="987">G515/G6</f>
        <v>1.9761825799801103</v>
      </c>
      <c r="H517" s="763">
        <f t="shared" si="987"/>
        <v>2.2535892885949349</v>
      </c>
      <c r="I517" s="763">
        <f t="shared" si="987"/>
        <v>2.600806451612903</v>
      </c>
      <c r="J517" s="764">
        <f t="shared" si="987"/>
        <v>3.4053928405392839</v>
      </c>
      <c r="K517" s="763">
        <f t="shared" si="987"/>
        <v>4.6838663083571905</v>
      </c>
      <c r="L517" s="763">
        <f t="shared" si="987"/>
        <v>6.1163527019117474</v>
      </c>
      <c r="M517" s="763">
        <f t="shared" si="987"/>
        <v>7.6388973858850644</v>
      </c>
      <c r="N517" s="763">
        <f t="shared" si="987"/>
        <v>9.1550864842571222</v>
      </c>
      <c r="O517" s="763">
        <f t="shared" si="987"/>
        <v>10.932508689022159</v>
      </c>
      <c r="P517" s="763">
        <f t="shared" si="987"/>
        <v>13.147702597210342</v>
      </c>
      <c r="Q517" s="763">
        <f t="shared" si="987"/>
        <v>15.042654468307537</v>
      </c>
      <c r="R517" s="763">
        <f t="shared" si="987"/>
        <v>16.970310129309468</v>
      </c>
      <c r="Y517" s="556"/>
      <c r="AC517" s="556"/>
      <c r="AG517" s="556"/>
      <c r="AH517" s="702"/>
      <c r="AI517" s="763">
        <f t="shared" ref="AI517:BE517" si="988">AI515/AI6</f>
        <v>0.41681270297347234</v>
      </c>
      <c r="AJ517" s="763">
        <f t="shared" si="988"/>
        <v>0.72737903067919696</v>
      </c>
      <c r="AK517" s="764">
        <f t="shared" si="988"/>
        <v>0.45767669346106771</v>
      </c>
      <c r="AL517" s="763">
        <f t="shared" si="988"/>
        <v>0.49201484110340377</v>
      </c>
      <c r="AM517" s="763">
        <f t="shared" si="988"/>
        <v>0.45007259235360542</v>
      </c>
      <c r="AN517" s="763">
        <f t="shared" si="988"/>
        <v>0.81464752379416039</v>
      </c>
      <c r="AO517" s="764">
        <f t="shared" si="988"/>
        <v>0.48394902403613488</v>
      </c>
      <c r="AP517" s="763">
        <f t="shared" si="988"/>
        <v>0.57071960297766744</v>
      </c>
      <c r="AQ517" s="763">
        <f t="shared" si="988"/>
        <v>0.56296526054590568</v>
      </c>
      <c r="AR517" s="763">
        <f t="shared" si="988"/>
        <v>1.0111662531017369</v>
      </c>
      <c r="AS517" s="764">
        <f t="shared" si="988"/>
        <v>0.46370967741935482</v>
      </c>
      <c r="AT517" s="763">
        <f t="shared" si="988"/>
        <v>0.70170850767085069</v>
      </c>
      <c r="AU517" s="763">
        <f t="shared" si="988"/>
        <v>0.76417945141794508</v>
      </c>
      <c r="AV517" s="763">
        <f t="shared" si="988"/>
        <v>1.3104370060437005</v>
      </c>
      <c r="AW517" s="764">
        <f t="shared" si="988"/>
        <v>0.63197350069735003</v>
      </c>
      <c r="AX517" s="763">
        <f t="shared" si="988"/>
        <v>1.1480144404332129</v>
      </c>
      <c r="AY517" s="763">
        <f t="shared" si="988"/>
        <v>1.2375451263537904</v>
      </c>
      <c r="AZ517" s="763">
        <f t="shared" si="988"/>
        <v>1.5321299638989168</v>
      </c>
      <c r="BA517" s="764">
        <f t="shared" si="988"/>
        <v>0.74999410481058426</v>
      </c>
      <c r="BB517" s="763">
        <f t="shared" si="988"/>
        <v>1.3525163422833821</v>
      </c>
      <c r="BC517" s="763">
        <f t="shared" si="988"/>
        <v>1.3772322847908669</v>
      </c>
      <c r="BD517" s="763">
        <f t="shared" si="988"/>
        <v>2.1513197605500918</v>
      </c>
      <c r="BE517" s="763">
        <f t="shared" si="988"/>
        <v>1.2352843142874057</v>
      </c>
      <c r="BU517" s="656"/>
      <c r="CG517"/>
      <c r="CH517"/>
      <c r="CI517"/>
      <c r="CJ517"/>
      <c r="CK517"/>
      <c r="CL517"/>
    </row>
    <row r="518" spans="1:90" s="13" customFormat="1" ht="12.75" customHeight="1" outlineLevel="1">
      <c r="A518" s="1349"/>
      <c r="B518" s="698"/>
      <c r="C518" s="699"/>
      <c r="D518" s="699"/>
      <c r="E518" s="701"/>
      <c r="F518" s="701"/>
      <c r="G518" s="701"/>
      <c r="H518" s="701"/>
      <c r="I518" s="701"/>
      <c r="J518" s="1379"/>
      <c r="K518" s="701"/>
      <c r="L518" s="701"/>
      <c r="M518" s="701"/>
      <c r="N518" s="701"/>
      <c r="O518" s="701"/>
      <c r="P518" s="701"/>
      <c r="Q518" s="701"/>
      <c r="R518" s="701"/>
      <c r="Y518" s="556"/>
      <c r="AC518" s="556"/>
      <c r="AG518" s="556"/>
      <c r="AH518" s="702"/>
      <c r="AI518" s="702"/>
      <c r="AJ518" s="702"/>
      <c r="AK518" s="703"/>
      <c r="AL518" s="702"/>
      <c r="AM518" s="702"/>
      <c r="AN518" s="702"/>
      <c r="AO518" s="703"/>
      <c r="AS518" s="556"/>
      <c r="AW518" s="556"/>
      <c r="AX518" s="226"/>
      <c r="AY518" s="226"/>
      <c r="AZ518" s="226"/>
      <c r="BA518" s="293"/>
      <c r="BB518" s="226"/>
      <c r="BC518" s="226"/>
      <c r="BD518" s="226"/>
      <c r="BE518" s="226"/>
      <c r="CG518"/>
      <c r="CH518"/>
      <c r="CI518"/>
      <c r="CJ518"/>
      <c r="CK518"/>
      <c r="CL518"/>
    </row>
    <row r="519" spans="1:90" s="13" customFormat="1" ht="12.75" customHeight="1" outlineLevel="1">
      <c r="A519" s="1349"/>
      <c r="B519" s="1371" t="s">
        <v>870</v>
      </c>
      <c r="C519" s="699"/>
      <c r="D519" s="699"/>
      <c r="E519" s="701"/>
      <c r="F519" s="701"/>
      <c r="G519" s="701"/>
      <c r="H519" s="701"/>
      <c r="I519" s="701"/>
      <c r="J519" s="1381"/>
      <c r="K519" s="701"/>
      <c r="L519" s="701"/>
      <c r="M519" s="701"/>
      <c r="N519" s="701"/>
      <c r="O519" s="701"/>
      <c r="P519" s="701"/>
      <c r="Q519" s="701"/>
      <c r="R519" s="701"/>
      <c r="Y519" s="556"/>
      <c r="AC519" s="556"/>
      <c r="AG519" s="556"/>
      <c r="AH519" s="702"/>
      <c r="AI519" s="702"/>
      <c r="AJ519" s="702"/>
      <c r="AK519" s="703"/>
      <c r="AL519" s="702"/>
      <c r="AM519" s="702"/>
      <c r="AN519" s="702"/>
      <c r="AO519" s="703"/>
      <c r="AS519" s="556"/>
      <c r="AW519" s="556"/>
      <c r="AX519" s="226"/>
      <c r="AY519" s="226"/>
      <c r="AZ519" s="226"/>
      <c r="BA519" s="293"/>
      <c r="BB519" s="226"/>
      <c r="BC519" s="226"/>
      <c r="BD519" s="226"/>
      <c r="BE519" s="226"/>
      <c r="CG519"/>
      <c r="CH519"/>
      <c r="CI519"/>
      <c r="CJ519"/>
      <c r="CK519"/>
      <c r="CL519"/>
    </row>
    <row r="520" spans="1:90" s="13" customFormat="1" ht="12.75" customHeight="1" outlineLevel="1">
      <c r="A520" s="1349"/>
      <c r="B520" s="139" t="s">
        <v>91</v>
      </c>
      <c r="C520" s="303">
        <f>C497/C$497</f>
        <v>1</v>
      </c>
      <c r="D520" s="303">
        <f t="shared" ref="D520:J520" si="989">D497/D$497</f>
        <v>1</v>
      </c>
      <c r="E520" s="303">
        <f t="shared" si="989"/>
        <v>1</v>
      </c>
      <c r="F520" s="303">
        <f t="shared" si="989"/>
        <v>1</v>
      </c>
      <c r="G520" s="303">
        <f t="shared" si="989"/>
        <v>1</v>
      </c>
      <c r="H520" s="303">
        <f t="shared" si="989"/>
        <v>1</v>
      </c>
      <c r="I520" s="303">
        <f t="shared" si="989"/>
        <v>1</v>
      </c>
      <c r="J520" s="338">
        <f t="shared" si="989"/>
        <v>1</v>
      </c>
      <c r="K520" s="303">
        <f t="shared" ref="K520:R525" si="990">K497/K$497</f>
        <v>1</v>
      </c>
      <c r="L520" s="303">
        <f t="shared" si="990"/>
        <v>1</v>
      </c>
      <c r="M520" s="303">
        <f t="shared" si="990"/>
        <v>1</v>
      </c>
      <c r="N520" s="303">
        <f t="shared" si="990"/>
        <v>1</v>
      </c>
      <c r="O520" s="303">
        <f t="shared" si="990"/>
        <v>1</v>
      </c>
      <c r="P520" s="303">
        <f t="shared" si="990"/>
        <v>1</v>
      </c>
      <c r="Q520" s="303">
        <f t="shared" si="990"/>
        <v>1</v>
      </c>
      <c r="R520" s="303">
        <f t="shared" si="990"/>
        <v>1</v>
      </c>
      <c r="S520" s="303"/>
      <c r="T520" s="303"/>
      <c r="U520" s="303"/>
      <c r="V520" s="303" t="e">
        <f t="shared" ref="V520:BE520" si="991">V497/V$497</f>
        <v>#DIV/0!</v>
      </c>
      <c r="W520" s="303" t="e">
        <f t="shared" si="991"/>
        <v>#DIV/0!</v>
      </c>
      <c r="X520" s="303" t="e">
        <f t="shared" si="991"/>
        <v>#DIV/0!</v>
      </c>
      <c r="Y520" s="303" t="e">
        <f t="shared" si="991"/>
        <v>#DIV/0!</v>
      </c>
      <c r="Z520" s="303">
        <f t="shared" si="991"/>
        <v>1</v>
      </c>
      <c r="AA520" s="303">
        <f t="shared" si="991"/>
        <v>1</v>
      </c>
      <c r="AB520" s="303">
        <f t="shared" si="991"/>
        <v>1</v>
      </c>
      <c r="AC520" s="303">
        <f t="shared" si="991"/>
        <v>1</v>
      </c>
      <c r="AD520" s="303">
        <f t="shared" si="991"/>
        <v>1</v>
      </c>
      <c r="AE520" s="303">
        <f t="shared" si="991"/>
        <v>1</v>
      </c>
      <c r="AF520" s="303">
        <f t="shared" si="991"/>
        <v>1</v>
      </c>
      <c r="AG520" s="338">
        <f t="shared" si="991"/>
        <v>1</v>
      </c>
      <c r="AH520" s="303">
        <f t="shared" si="991"/>
        <v>1</v>
      </c>
      <c r="AI520" s="303">
        <f t="shared" si="991"/>
        <v>1</v>
      </c>
      <c r="AJ520" s="303">
        <f t="shared" si="991"/>
        <v>1</v>
      </c>
      <c r="AK520" s="338">
        <f t="shared" si="991"/>
        <v>1</v>
      </c>
      <c r="AL520" s="303">
        <f t="shared" si="991"/>
        <v>1</v>
      </c>
      <c r="AM520" s="303">
        <f t="shared" si="991"/>
        <v>1</v>
      </c>
      <c r="AN520" s="303">
        <f t="shared" si="991"/>
        <v>1</v>
      </c>
      <c r="AO520" s="338">
        <f t="shared" si="991"/>
        <v>1</v>
      </c>
      <c r="AP520" s="303">
        <f t="shared" si="991"/>
        <v>1</v>
      </c>
      <c r="AQ520" s="303">
        <f t="shared" si="991"/>
        <v>1</v>
      </c>
      <c r="AR520" s="303">
        <f t="shared" si="991"/>
        <v>1</v>
      </c>
      <c r="AS520" s="338">
        <f t="shared" si="991"/>
        <v>1</v>
      </c>
      <c r="AT520" s="303">
        <f t="shared" si="991"/>
        <v>1</v>
      </c>
      <c r="AU520" s="303">
        <f t="shared" si="991"/>
        <v>1</v>
      </c>
      <c r="AV520" s="303">
        <f t="shared" si="991"/>
        <v>1</v>
      </c>
      <c r="AW520" s="338">
        <f t="shared" si="991"/>
        <v>1</v>
      </c>
      <c r="AX520" s="303">
        <f t="shared" si="991"/>
        <v>1</v>
      </c>
      <c r="AY520" s="303">
        <f t="shared" si="991"/>
        <v>1</v>
      </c>
      <c r="AZ520" s="303">
        <f t="shared" si="991"/>
        <v>1</v>
      </c>
      <c r="BA520" s="338">
        <f t="shared" si="991"/>
        <v>1</v>
      </c>
      <c r="BB520" s="303">
        <f t="shared" si="991"/>
        <v>1</v>
      </c>
      <c r="BC520" s="303">
        <f t="shared" si="991"/>
        <v>1</v>
      </c>
      <c r="BD520" s="303">
        <f t="shared" si="991"/>
        <v>1</v>
      </c>
      <c r="BE520" s="303">
        <f t="shared" si="991"/>
        <v>1</v>
      </c>
      <c r="CG520"/>
      <c r="CH520"/>
      <c r="CI520"/>
      <c r="CJ520"/>
      <c r="CK520"/>
      <c r="CL520"/>
    </row>
    <row r="521" spans="1:90" s="13" customFormat="1" ht="12.75" customHeight="1" outlineLevel="1">
      <c r="A521" s="1349"/>
      <c r="B521" s="11" t="s">
        <v>857</v>
      </c>
      <c r="C521" s="332">
        <f t="shared" ref="C521:J525" si="992">C498/C$497</f>
        <v>-0.22411664980906676</v>
      </c>
      <c r="D521" s="332">
        <f t="shared" si="992"/>
        <v>-0.26369546712052139</v>
      </c>
      <c r="E521" s="332">
        <f t="shared" si="992"/>
        <v>-0.30322097378277152</v>
      </c>
      <c r="F521" s="332">
        <f t="shared" si="992"/>
        <v>-0.27050438914158242</v>
      </c>
      <c r="G521" s="332">
        <f t="shared" si="992"/>
        <v>-0.23264894103306416</v>
      </c>
      <c r="H521" s="332">
        <f t="shared" si="992"/>
        <v>-0.25796546113064933</v>
      </c>
      <c r="I521" s="332">
        <f t="shared" si="992"/>
        <v>-0.30008997162433387</v>
      </c>
      <c r="J521" s="336">
        <f t="shared" si="992"/>
        <v>-0.35122857341429048</v>
      </c>
      <c r="K521" s="332">
        <f t="shared" si="990"/>
        <v>-0.3841</v>
      </c>
      <c r="L521" s="332">
        <f t="shared" si="990"/>
        <v>-0.38350000000000001</v>
      </c>
      <c r="M521" s="332">
        <f t="shared" si="990"/>
        <v>-0.39814999999999995</v>
      </c>
      <c r="N521" s="332">
        <f t="shared" si="990"/>
        <v>-0.39924999999999999</v>
      </c>
      <c r="O521" s="332">
        <f t="shared" si="990"/>
        <v>-0.40199999999999997</v>
      </c>
      <c r="P521" s="332">
        <f t="shared" si="990"/>
        <v>-0.40310000000000001</v>
      </c>
      <c r="Q521" s="332">
        <f t="shared" si="990"/>
        <v>-0.40310000000000001</v>
      </c>
      <c r="R521" s="332">
        <f t="shared" si="990"/>
        <v>-0.40310000000000001</v>
      </c>
      <c r="S521" s="332"/>
      <c r="T521" s="332"/>
      <c r="U521" s="332"/>
      <c r="V521" s="332" t="e">
        <f t="shared" ref="V521:BE521" si="993">V498/V$497</f>
        <v>#DIV/0!</v>
      </c>
      <c r="W521" s="332" t="e">
        <f t="shared" si="993"/>
        <v>#DIV/0!</v>
      </c>
      <c r="X521" s="332" t="e">
        <f t="shared" si="993"/>
        <v>#DIV/0!</v>
      </c>
      <c r="Y521" s="332" t="e">
        <f t="shared" si="993"/>
        <v>#DIV/0!</v>
      </c>
      <c r="Z521" s="332">
        <f t="shared" si="993"/>
        <v>-0.28767801674660587</v>
      </c>
      <c r="AA521" s="332">
        <f t="shared" si="993"/>
        <v>-0.30337955307721171</v>
      </c>
      <c r="AB521" s="332">
        <f t="shared" si="993"/>
        <v>-0.29697928848194644</v>
      </c>
      <c r="AC521" s="332">
        <f t="shared" si="993"/>
        <v>-0.3235867446393762</v>
      </c>
      <c r="AD521" s="332">
        <f t="shared" si="993"/>
        <v>-0.30521818060852485</v>
      </c>
      <c r="AE521" s="332">
        <f t="shared" si="993"/>
        <v>-0.29942632171338068</v>
      </c>
      <c r="AF521" s="332">
        <f t="shared" si="993"/>
        <v>-0.24343131934330561</v>
      </c>
      <c r="AG521" s="336">
        <f t="shared" si="993"/>
        <v>-0.25463817534732175</v>
      </c>
      <c r="AH521" s="332">
        <f t="shared" si="993"/>
        <v>-0.23900538133234367</v>
      </c>
      <c r="AI521" s="332">
        <f t="shared" si="993"/>
        <v>-0.2515068493150685</v>
      </c>
      <c r="AJ521" s="332">
        <f t="shared" si="993"/>
        <v>-0.21045612163243532</v>
      </c>
      <c r="AK521" s="336">
        <f t="shared" si="993"/>
        <v>-0.24436871415509934</v>
      </c>
      <c r="AL521" s="332">
        <f t="shared" si="993"/>
        <v>-0.25312282036649547</v>
      </c>
      <c r="AM521" s="332">
        <f t="shared" si="993"/>
        <v>-0.26388971418384932</v>
      </c>
      <c r="AN521" s="332">
        <f t="shared" si="993"/>
        <v>-0.23327858206959776</v>
      </c>
      <c r="AO521" s="336">
        <f t="shared" si="993"/>
        <v>-0.29371592539454805</v>
      </c>
      <c r="AP521" s="332">
        <f t="shared" si="993"/>
        <v>-0.28293405779204744</v>
      </c>
      <c r="AQ521" s="332">
        <f t="shared" si="993"/>
        <v>-0.29881376573000767</v>
      </c>
      <c r="AR521" s="332">
        <f t="shared" si="993"/>
        <v>-0.2745563500564514</v>
      </c>
      <c r="AS521" s="336">
        <f t="shared" si="993"/>
        <v>-0.35209229242474366</v>
      </c>
      <c r="AT521" s="332">
        <f t="shared" si="993"/>
        <v>-0.3374385768489146</v>
      </c>
      <c r="AU521" s="332">
        <f t="shared" si="993"/>
        <v>-0.34818616586959056</v>
      </c>
      <c r="AV521" s="332">
        <f t="shared" si="993"/>
        <v>-0.34810697115384615</v>
      </c>
      <c r="AW521" s="336">
        <f t="shared" si="993"/>
        <v>-0.36973482982970007</v>
      </c>
      <c r="AX521" s="332">
        <f t="shared" si="993"/>
        <v>-0.32544237207077953</v>
      </c>
      <c r="AY521" s="332">
        <f t="shared" si="993"/>
        <v>-0.37431515547331373</v>
      </c>
      <c r="AZ521" s="332">
        <f t="shared" si="993"/>
        <v>-0.40648937707761235</v>
      </c>
      <c r="BA521" s="336">
        <f t="shared" si="993"/>
        <v>-0.41116331702200049</v>
      </c>
      <c r="BB521" s="332">
        <f t="shared" si="993"/>
        <v>-0.38575000000000004</v>
      </c>
      <c r="BC521" s="332">
        <f t="shared" si="993"/>
        <v>-0.38937499999999997</v>
      </c>
      <c r="BD521" s="332">
        <f t="shared" si="993"/>
        <v>-0.38569999999999999</v>
      </c>
      <c r="BE521" s="332">
        <f t="shared" si="993"/>
        <v>-0.37267024116618974</v>
      </c>
      <c r="CG521"/>
      <c r="CH521"/>
      <c r="CI521"/>
      <c r="CJ521"/>
      <c r="CK521"/>
      <c r="CL521"/>
    </row>
    <row r="522" spans="1:90" s="13" customFormat="1" ht="12.75" customHeight="1" outlineLevel="1">
      <c r="A522" s="1349"/>
      <c r="B522" s="12" t="s">
        <v>36</v>
      </c>
      <c r="C522" s="303">
        <f t="shared" si="992"/>
        <v>0.77588335019093324</v>
      </c>
      <c r="D522" s="303">
        <f t="shared" si="992"/>
        <v>0.7363045328794785</v>
      </c>
      <c r="E522" s="303">
        <f t="shared" si="992"/>
        <v>0.69677902621722843</v>
      </c>
      <c r="F522" s="303">
        <f t="shared" si="992"/>
        <v>0.72949561085841763</v>
      </c>
      <c r="G522" s="303">
        <f t="shared" si="992"/>
        <v>0.7673510589669359</v>
      </c>
      <c r="H522" s="303">
        <f t="shared" si="992"/>
        <v>0.74203453886935067</v>
      </c>
      <c r="I522" s="303">
        <f t="shared" si="992"/>
        <v>0.69991002837566618</v>
      </c>
      <c r="J522" s="338">
        <f t="shared" si="992"/>
        <v>0.64877142658570952</v>
      </c>
      <c r="K522" s="303">
        <f t="shared" si="990"/>
        <v>0.61589999999999989</v>
      </c>
      <c r="L522" s="303">
        <f t="shared" si="990"/>
        <v>0.61649999999999994</v>
      </c>
      <c r="M522" s="303">
        <f t="shared" si="990"/>
        <v>0.60185000000000011</v>
      </c>
      <c r="N522" s="303">
        <f t="shared" si="990"/>
        <v>0.6007499999999999</v>
      </c>
      <c r="O522" s="303">
        <f t="shared" si="990"/>
        <v>0.59800000000000009</v>
      </c>
      <c r="P522" s="303">
        <f t="shared" si="990"/>
        <v>0.59689999999999999</v>
      </c>
      <c r="Q522" s="303">
        <f t="shared" si="990"/>
        <v>0.59689999999999999</v>
      </c>
      <c r="R522" s="303">
        <f t="shared" si="990"/>
        <v>0.5969000000000001</v>
      </c>
      <c r="S522" s="303"/>
      <c r="T522" s="303"/>
      <c r="U522" s="303"/>
      <c r="V522" s="303" t="e">
        <f t="shared" ref="V522:BE522" si="994">V499/V$497</f>
        <v>#DIV/0!</v>
      </c>
      <c r="W522" s="303" t="e">
        <f t="shared" si="994"/>
        <v>#DIV/0!</v>
      </c>
      <c r="X522" s="303" t="e">
        <f t="shared" si="994"/>
        <v>#DIV/0!</v>
      </c>
      <c r="Y522" s="303" t="e">
        <f t="shared" si="994"/>
        <v>#DIV/0!</v>
      </c>
      <c r="Z522" s="303">
        <f t="shared" si="994"/>
        <v>0.71232198325339413</v>
      </c>
      <c r="AA522" s="303">
        <f t="shared" si="994"/>
        <v>0.69662044692278824</v>
      </c>
      <c r="AB522" s="303">
        <f t="shared" si="994"/>
        <v>0.70302071151805356</v>
      </c>
      <c r="AC522" s="303">
        <f t="shared" si="994"/>
        <v>0.6764132553606238</v>
      </c>
      <c r="AD522" s="303">
        <f t="shared" si="994"/>
        <v>0.69478181939147521</v>
      </c>
      <c r="AE522" s="303">
        <f t="shared" si="994"/>
        <v>0.70057367828661921</v>
      </c>
      <c r="AF522" s="303">
        <f t="shared" si="994"/>
        <v>0.75656868065669436</v>
      </c>
      <c r="AG522" s="338">
        <f t="shared" si="994"/>
        <v>0.7453618246526782</v>
      </c>
      <c r="AH522" s="303">
        <f t="shared" si="994"/>
        <v>0.76099461866765639</v>
      </c>
      <c r="AI522" s="303">
        <f t="shared" si="994"/>
        <v>0.7484931506849315</v>
      </c>
      <c r="AJ522" s="303">
        <f t="shared" si="994"/>
        <v>0.78954387836756468</v>
      </c>
      <c r="AK522" s="338">
        <f t="shared" si="994"/>
        <v>0.75563128584490069</v>
      </c>
      <c r="AL522" s="303">
        <f t="shared" si="994"/>
        <v>0.74687717963350453</v>
      </c>
      <c r="AM522" s="303">
        <f t="shared" si="994"/>
        <v>0.73611028581615068</v>
      </c>
      <c r="AN522" s="303">
        <f t="shared" si="994"/>
        <v>0.76672141793040227</v>
      </c>
      <c r="AO522" s="338">
        <f t="shared" si="994"/>
        <v>0.70628407460545195</v>
      </c>
      <c r="AP522" s="303">
        <f t="shared" si="994"/>
        <v>0.71706594220795261</v>
      </c>
      <c r="AQ522" s="303">
        <f t="shared" si="994"/>
        <v>0.70118623426999238</v>
      </c>
      <c r="AR522" s="303">
        <f t="shared" si="994"/>
        <v>0.7254436499435486</v>
      </c>
      <c r="AS522" s="338">
        <f t="shared" si="994"/>
        <v>0.6479077075752564</v>
      </c>
      <c r="AT522" s="303">
        <f t="shared" si="994"/>
        <v>0.66256142315108535</v>
      </c>
      <c r="AU522" s="303">
        <f t="shared" si="994"/>
        <v>0.65181383413040939</v>
      </c>
      <c r="AV522" s="303">
        <f t="shared" si="994"/>
        <v>0.65189302884615385</v>
      </c>
      <c r="AW522" s="338">
        <f t="shared" si="994"/>
        <v>0.63026517017029993</v>
      </c>
      <c r="AX522" s="303">
        <f t="shared" si="994"/>
        <v>0.67455762792922047</v>
      </c>
      <c r="AY522" s="303">
        <f t="shared" si="994"/>
        <v>0.62568484452668627</v>
      </c>
      <c r="AZ522" s="303">
        <f t="shared" si="994"/>
        <v>0.59351062292238765</v>
      </c>
      <c r="BA522" s="338">
        <f t="shared" si="994"/>
        <v>0.58883668297799951</v>
      </c>
      <c r="BB522" s="303">
        <f t="shared" si="994"/>
        <v>0.61425000000000007</v>
      </c>
      <c r="BC522" s="303">
        <f t="shared" si="994"/>
        <v>0.61062500000000008</v>
      </c>
      <c r="BD522" s="303">
        <f t="shared" si="994"/>
        <v>0.61429999999999996</v>
      </c>
      <c r="BE522" s="303">
        <f t="shared" si="994"/>
        <v>0.62732975883381026</v>
      </c>
      <c r="CG522"/>
      <c r="CH522"/>
      <c r="CI522"/>
      <c r="CJ522"/>
      <c r="CK522"/>
      <c r="CL522"/>
    </row>
    <row r="523" spans="1:90" s="13" customFormat="1" ht="12.75" customHeight="1" outlineLevel="1">
      <c r="A523" s="1349"/>
      <c r="B523" s="11" t="s">
        <v>858</v>
      </c>
      <c r="C523" s="332">
        <f t="shared" si="992"/>
        <v>-0.15640194256938517</v>
      </c>
      <c r="D523" s="332">
        <f t="shared" si="992"/>
        <v>-0.15337776210974918</v>
      </c>
      <c r="E523" s="332">
        <f t="shared" si="992"/>
        <v>-0.12878901373283397</v>
      </c>
      <c r="F523" s="332">
        <f t="shared" si="992"/>
        <v>-9.5605064171277926E-2</v>
      </c>
      <c r="G523" s="332">
        <f t="shared" si="992"/>
        <v>-8.1860429681548066E-2</v>
      </c>
      <c r="H523" s="332">
        <f t="shared" si="992"/>
        <v>-8.8997952863366758E-2</v>
      </c>
      <c r="I523" s="332">
        <f t="shared" si="992"/>
        <v>-7.9936327773548338E-2</v>
      </c>
      <c r="J523" s="336">
        <f t="shared" si="992"/>
        <v>-7.1698900001895466E-2</v>
      </c>
      <c r="K523" s="332">
        <f t="shared" si="990"/>
        <v>-6.1019999999999998E-2</v>
      </c>
      <c r="L523" s="332">
        <f t="shared" si="990"/>
        <v>-6.3700000000000007E-2</v>
      </c>
      <c r="M523" s="332">
        <f t="shared" si="990"/>
        <v>-6.0830000000000009E-2</v>
      </c>
      <c r="N523" s="332">
        <f t="shared" si="990"/>
        <v>-5.8249999999999989E-2</v>
      </c>
      <c r="O523" s="332">
        <f t="shared" si="990"/>
        <v>-5.3800000000000008E-2</v>
      </c>
      <c r="P523" s="332">
        <f t="shared" si="990"/>
        <v>-4.7220000000000005E-2</v>
      </c>
      <c r="Q523" s="332">
        <f t="shared" si="990"/>
        <v>-4.7219999999999998E-2</v>
      </c>
      <c r="R523" s="332">
        <f t="shared" si="990"/>
        <v>-4.7219999999999998E-2</v>
      </c>
      <c r="S523" s="332"/>
      <c r="T523" s="332"/>
      <c r="U523" s="332"/>
      <c r="V523" s="332" t="e">
        <f t="shared" ref="V523:BE523" si="995">V500/V$497</f>
        <v>#DIV/0!</v>
      </c>
      <c r="W523" s="332" t="e">
        <f t="shared" si="995"/>
        <v>#DIV/0!</v>
      </c>
      <c r="X523" s="332" t="e">
        <f t="shared" si="995"/>
        <v>#DIV/0!</v>
      </c>
      <c r="Y523" s="332" t="e">
        <f t="shared" si="995"/>
        <v>#DIV/0!</v>
      </c>
      <c r="Z523" s="332">
        <f t="shared" si="995"/>
        <v>-0.12773825197340727</v>
      </c>
      <c r="AA523" s="332">
        <f t="shared" si="995"/>
        <v>-0.1407107549957782</v>
      </c>
      <c r="AB523" s="332">
        <f t="shared" si="995"/>
        <v>-0.11554452121753181</v>
      </c>
      <c r="AC523" s="332">
        <f t="shared" si="995"/>
        <v>-0.13632458727940797</v>
      </c>
      <c r="AD523" s="332">
        <f t="shared" si="995"/>
        <v>-0.11005640881311848</v>
      </c>
      <c r="AE523" s="332">
        <f t="shared" si="995"/>
        <v>-9.6790675861169836E-2</v>
      </c>
      <c r="AF523" s="332">
        <f t="shared" si="995"/>
        <v>-9.1225382028143162E-2</v>
      </c>
      <c r="AG523" s="336">
        <f t="shared" si="995"/>
        <v>-8.9121845882347131E-2</v>
      </c>
      <c r="AH523" s="332">
        <f t="shared" si="995"/>
        <v>-8.3132306550380411E-2</v>
      </c>
      <c r="AI523" s="332">
        <f t="shared" si="995"/>
        <v>-8.6757990867579904E-2</v>
      </c>
      <c r="AJ523" s="332">
        <f t="shared" si="995"/>
        <v>-7.7834089090424108E-2</v>
      </c>
      <c r="AK523" s="336">
        <f t="shared" si="995"/>
        <v>-8.2536779985038652E-2</v>
      </c>
      <c r="AL523" s="332">
        <f t="shared" si="995"/>
        <v>-0.1082366368651322</v>
      </c>
      <c r="AM523" s="332">
        <f t="shared" si="995"/>
        <v>-0.11177134707944619</v>
      </c>
      <c r="AN523" s="332">
        <f t="shared" si="995"/>
        <v>-6.940677642385118E-2</v>
      </c>
      <c r="AO523" s="336">
        <f t="shared" si="995"/>
        <v>-7.902439024390244E-2</v>
      </c>
      <c r="AP523" s="332">
        <f t="shared" si="995"/>
        <v>-9.6665843418127936E-2</v>
      </c>
      <c r="AQ523" s="332">
        <f t="shared" si="995"/>
        <v>-8.8042938974335849E-2</v>
      </c>
      <c r="AR523" s="332">
        <f t="shared" si="995"/>
        <v>-6.334134267434792E-2</v>
      </c>
      <c r="AS523" s="336">
        <f t="shared" si="995"/>
        <v>-8.2203109493880253E-2</v>
      </c>
      <c r="AT523" s="332">
        <f t="shared" si="995"/>
        <v>-8.43440940473969E-2</v>
      </c>
      <c r="AU523" s="332">
        <f t="shared" si="995"/>
        <v>-7.8239822699171818E-2</v>
      </c>
      <c r="AV523" s="332">
        <f t="shared" si="995"/>
        <v>-5.3128756009615384E-2</v>
      </c>
      <c r="AW523" s="336">
        <f t="shared" si="995"/>
        <v>-8.0976697166852435E-2</v>
      </c>
      <c r="AX523" s="332">
        <f t="shared" si="995"/>
        <v>-6.7033317391997443E-2</v>
      </c>
      <c r="AY523" s="332">
        <f t="shared" si="995"/>
        <v>-6.1626936613330428E-2</v>
      </c>
      <c r="AZ523" s="332">
        <f t="shared" si="995"/>
        <v>-5.2921905863082333E-2</v>
      </c>
      <c r="BA523" s="336">
        <f t="shared" si="995"/>
        <v>-6.6638006683531564E-2</v>
      </c>
      <c r="BB523" s="332">
        <f t="shared" si="995"/>
        <v>-5.0149999999999993E-2</v>
      </c>
      <c r="BC523" s="332">
        <f t="shared" si="995"/>
        <v>-7.337500000000001E-2</v>
      </c>
      <c r="BD523" s="332">
        <f t="shared" si="995"/>
        <v>-5.2539999999999996E-2</v>
      </c>
      <c r="BE523" s="332">
        <f t="shared" si="995"/>
        <v>-8.1891255329254703E-2</v>
      </c>
      <c r="CG523"/>
      <c r="CH523"/>
      <c r="CI523"/>
      <c r="CJ523"/>
      <c r="CK523"/>
      <c r="CL523"/>
    </row>
    <row r="524" spans="1:90" s="13" customFormat="1" ht="12.75" customHeight="1" outlineLevel="1">
      <c r="A524" s="1349"/>
      <c r="B524" s="11" t="s">
        <v>859</v>
      </c>
      <c r="C524" s="332">
        <f t="shared" si="992"/>
        <v>-0.34418891032952426</v>
      </c>
      <c r="D524" s="332">
        <f t="shared" si="992"/>
        <v>-0.25648339494915101</v>
      </c>
      <c r="E524" s="332">
        <f t="shared" si="992"/>
        <v>-0.14591760299625467</v>
      </c>
      <c r="F524" s="332">
        <f t="shared" si="992"/>
        <v>-0.10119651186371932</v>
      </c>
      <c r="G524" s="332">
        <f t="shared" si="992"/>
        <v>-8.2965107420387013E-2</v>
      </c>
      <c r="H524" s="332">
        <f t="shared" si="992"/>
        <v>-9.5506797543436037E-2</v>
      </c>
      <c r="I524" s="332">
        <f t="shared" si="992"/>
        <v>-9.238405030501369E-2</v>
      </c>
      <c r="J524" s="336">
        <f t="shared" si="992"/>
        <v>-9.1879221345396875E-2</v>
      </c>
      <c r="K524" s="332">
        <f t="shared" si="990"/>
        <v>-0.1074</v>
      </c>
      <c r="L524" s="332">
        <f t="shared" si="990"/>
        <v>-0.10199999999999999</v>
      </c>
      <c r="M524" s="332">
        <f t="shared" si="990"/>
        <v>-9.7599999999999992E-2</v>
      </c>
      <c r="N524" s="332">
        <f t="shared" si="990"/>
        <v>-8.8999999999999996E-2</v>
      </c>
      <c r="O524" s="332">
        <f t="shared" si="990"/>
        <v>-8.3999999999999991E-2</v>
      </c>
      <c r="P524" s="332">
        <f t="shared" si="990"/>
        <v>-8.4400000000000003E-2</v>
      </c>
      <c r="Q524" s="332">
        <f t="shared" si="990"/>
        <v>-8.4399999999999989E-2</v>
      </c>
      <c r="R524" s="332">
        <f t="shared" si="990"/>
        <v>-8.4400000000000003E-2</v>
      </c>
      <c r="S524" s="332"/>
      <c r="T524" s="332"/>
      <c r="U524" s="332"/>
      <c r="V524" s="332" t="e">
        <f t="shared" ref="V524:BE524" si="996">V501/V$497</f>
        <v>#DIV/0!</v>
      </c>
      <c r="W524" s="332" t="e">
        <f t="shared" si="996"/>
        <v>#DIV/0!</v>
      </c>
      <c r="X524" s="332" t="e">
        <f t="shared" si="996"/>
        <v>#DIV/0!</v>
      </c>
      <c r="Y524" s="332" t="e">
        <f t="shared" si="996"/>
        <v>#DIV/0!</v>
      </c>
      <c r="Z524" s="332">
        <f t="shared" si="996"/>
        <v>-0.14926565966241684</v>
      </c>
      <c r="AA524" s="332">
        <f t="shared" si="996"/>
        <v>-0.18197283399005534</v>
      </c>
      <c r="AB524" s="332">
        <f t="shared" si="996"/>
        <v>-0.13885533909070005</v>
      </c>
      <c r="AC524" s="332">
        <f t="shared" si="996"/>
        <v>-0.12136486742914317</v>
      </c>
      <c r="AD524" s="332">
        <f t="shared" si="996"/>
        <v>-0.12401110941307965</v>
      </c>
      <c r="AE524" s="332">
        <f t="shared" si="996"/>
        <v>-0.12471034620199496</v>
      </c>
      <c r="AF524" s="332">
        <f t="shared" si="996"/>
        <v>-0.10532848045097466</v>
      </c>
      <c r="AG524" s="336">
        <f t="shared" si="996"/>
        <v>-5.7592161431925783E-2</v>
      </c>
      <c r="AH524" s="332">
        <f t="shared" si="996"/>
        <v>-6.2998701057710146E-2</v>
      </c>
      <c r="AI524" s="332">
        <f t="shared" si="996"/>
        <v>-5.4794520547945202E-2</v>
      </c>
      <c r="AJ524" s="332">
        <f t="shared" si="996"/>
        <v>-9.8266204321152309E-2</v>
      </c>
      <c r="AK524" s="336">
        <f t="shared" si="996"/>
        <v>-0.10265148366719308</v>
      </c>
      <c r="AL524" s="332">
        <f t="shared" si="996"/>
        <v>-7.291864815167079E-2</v>
      </c>
      <c r="AM524" s="332">
        <f t="shared" si="996"/>
        <v>-9.3647869748648166E-2</v>
      </c>
      <c r="AN524" s="332">
        <f t="shared" si="996"/>
        <v>-0.10004201841170404</v>
      </c>
      <c r="AO524" s="336">
        <f t="shared" si="996"/>
        <v>-0.1109325681492109</v>
      </c>
      <c r="AP524" s="332">
        <f t="shared" si="996"/>
        <v>-8.6144727093109413E-2</v>
      </c>
      <c r="AQ524" s="332">
        <f t="shared" si="996"/>
        <v>-9.7469667583780617E-2</v>
      </c>
      <c r="AR524" s="332">
        <f t="shared" si="996"/>
        <v>-9.1161740439452271E-2</v>
      </c>
      <c r="AS524" s="336">
        <f t="shared" si="996"/>
        <v>-9.4690704598081377E-2</v>
      </c>
      <c r="AT524" s="332">
        <f t="shared" si="996"/>
        <v>-9.8494744044286875E-2</v>
      </c>
      <c r="AU524" s="332">
        <f t="shared" si="996"/>
        <v>-9.9148489443602009E-2</v>
      </c>
      <c r="AV524" s="332">
        <f t="shared" si="996"/>
        <v>-7.7073317307692304E-2</v>
      </c>
      <c r="AW524" s="336">
        <f t="shared" si="996"/>
        <v>-0.10033956297467535</v>
      </c>
      <c r="AX524" s="332">
        <f t="shared" si="996"/>
        <v>-8.8753387533875336E-2</v>
      </c>
      <c r="AY524" s="332">
        <f t="shared" si="996"/>
        <v>-0.10458619063168971</v>
      </c>
      <c r="AZ524" s="332">
        <f t="shared" si="996"/>
        <v>-9.7232258996964874E-2</v>
      </c>
      <c r="BA524" s="336">
        <f t="shared" si="996"/>
        <v>-0.13964542698885257</v>
      </c>
      <c r="BB524" s="332">
        <f t="shared" si="996"/>
        <v>-0.11799999999999999</v>
      </c>
      <c r="BC524" s="332">
        <f t="shared" si="996"/>
        <v>-9.2500000000000013E-2</v>
      </c>
      <c r="BD524" s="332">
        <f t="shared" si="996"/>
        <v>-8.4799999999999986E-2</v>
      </c>
      <c r="BE524" s="332">
        <f t="shared" si="996"/>
        <v>-0.11994704474634753</v>
      </c>
      <c r="CG524"/>
      <c r="CH524"/>
      <c r="CI524"/>
      <c r="CJ524"/>
      <c r="CK524"/>
      <c r="CL524"/>
    </row>
    <row r="525" spans="1:90" s="13" customFormat="1" ht="12.75" customHeight="1" outlineLevel="1">
      <c r="A525" s="1349"/>
      <c r="B525" s="11" t="s">
        <v>860</v>
      </c>
      <c r="C525" s="332">
        <f>C502/C$497</f>
        <v>-0.13616206250941515</v>
      </c>
      <c r="D525" s="332">
        <f t="shared" si="992"/>
        <v>-0.12498155947175876</v>
      </c>
      <c r="E525" s="332">
        <f t="shared" si="992"/>
        <v>-9.4531835205992509E-2</v>
      </c>
      <c r="F525" s="332">
        <f t="shared" si="992"/>
        <v>-7.4890633600834366E-2</v>
      </c>
      <c r="G525" s="332">
        <f t="shared" si="992"/>
        <v>-6.6890141703489253E-2</v>
      </c>
      <c r="H525" s="332">
        <f t="shared" si="992"/>
        <v>-5.32649204766154E-2</v>
      </c>
      <c r="I525" s="332">
        <f t="shared" si="992"/>
        <v>-4.7378464154711648E-2</v>
      </c>
      <c r="J525" s="336">
        <f t="shared" si="992"/>
        <v>-4.8150979636450944E-2</v>
      </c>
      <c r="K525" s="332">
        <f t="shared" si="990"/>
        <v>-5.4900495512200054E-2</v>
      </c>
      <c r="L525" s="332">
        <f t="shared" si="990"/>
        <v>-7.601995127330971E-2</v>
      </c>
      <c r="M525" s="332">
        <f t="shared" si="990"/>
        <v>-7.6412381252232958E-2</v>
      </c>
      <c r="N525" s="332">
        <f t="shared" si="990"/>
        <v>-8.6810446398817992E-2</v>
      </c>
      <c r="O525" s="332">
        <f t="shared" si="990"/>
        <v>-9.4776455914237681E-2</v>
      </c>
      <c r="P525" s="332">
        <f t="shared" si="990"/>
        <v>-0.10444390107547412</v>
      </c>
      <c r="Q525" s="332">
        <f t="shared" si="990"/>
        <v>-0.10896186433076734</v>
      </c>
      <c r="R525" s="332">
        <f t="shared" si="990"/>
        <v>-0.11325629711976061</v>
      </c>
      <c r="S525" s="332"/>
      <c r="T525" s="332"/>
      <c r="U525" s="332"/>
      <c r="V525" s="332" t="e">
        <f t="shared" ref="V525:BE525" si="997">V502/V$497</f>
        <v>#DIV/0!</v>
      </c>
      <c r="W525" s="332" t="e">
        <f t="shared" si="997"/>
        <v>#DIV/0!</v>
      </c>
      <c r="X525" s="332" t="e">
        <f t="shared" si="997"/>
        <v>#DIV/0!</v>
      </c>
      <c r="Y525" s="332" t="e">
        <f t="shared" si="997"/>
        <v>#DIV/0!</v>
      </c>
      <c r="Z525" s="332">
        <f t="shared" si="997"/>
        <v>-9.9466255872992931E-2</v>
      </c>
      <c r="AA525" s="332">
        <f t="shared" si="997"/>
        <v>-0.10440560793695469</v>
      </c>
      <c r="AB525" s="332">
        <f t="shared" si="997"/>
        <v>-7.96154541396598E-2</v>
      </c>
      <c r="AC525" s="332">
        <f t="shared" si="997"/>
        <v>-0.10112301402473736</v>
      </c>
      <c r="AD525" s="332">
        <f t="shared" si="997"/>
        <v>-6.9134733963746031E-2</v>
      </c>
      <c r="AE525" s="332">
        <f t="shared" si="997"/>
        <v>-9.2858360930441225E-2</v>
      </c>
      <c r="AF525" s="332">
        <f t="shared" si="997"/>
        <v>-8.0415059702634781E-2</v>
      </c>
      <c r="AG525" s="336">
        <f t="shared" si="997"/>
        <v>-5.6568038689569757E-2</v>
      </c>
      <c r="AH525" s="332">
        <f t="shared" si="997"/>
        <v>-7.1998515494525892E-2</v>
      </c>
      <c r="AI525" s="332">
        <f t="shared" si="997"/>
        <v>-4.1187214611872143E-2</v>
      </c>
      <c r="AJ525" s="332">
        <f t="shared" si="997"/>
        <v>-0.10221392371299014</v>
      </c>
      <c r="AK525" s="336">
        <f t="shared" si="997"/>
        <v>-3.0670767184772671E-2</v>
      </c>
      <c r="AL525" s="332">
        <f t="shared" si="997"/>
        <v>-4.8887198021685369E-2</v>
      </c>
      <c r="AM525" s="332">
        <f t="shared" si="997"/>
        <v>-5.8113969932854004E-2</v>
      </c>
      <c r="AN525" s="332">
        <f t="shared" si="997"/>
        <v>-4.5341686084266017E-2</v>
      </c>
      <c r="AO525" s="336">
        <f t="shared" si="997"/>
        <v>-6.4447632711621239E-2</v>
      </c>
      <c r="AP525" s="332">
        <f t="shared" si="997"/>
        <v>-5.0037046184243025E-2</v>
      </c>
      <c r="AQ525" s="332">
        <f t="shared" si="997"/>
        <v>-5.1689143475711512E-2</v>
      </c>
      <c r="AR525" s="332">
        <f t="shared" si="997"/>
        <v>-4.7766551833946097E-2</v>
      </c>
      <c r="AS525" s="336">
        <f t="shared" si="997"/>
        <v>-4.0646708567648029E-2</v>
      </c>
      <c r="AT525" s="332">
        <f t="shared" si="997"/>
        <v>-5.1813149219381724E-2</v>
      </c>
      <c r="AU525" s="332">
        <f t="shared" si="997"/>
        <v>-4.8874373031610872E-2</v>
      </c>
      <c r="AV525" s="332">
        <f t="shared" si="997"/>
        <v>-3.9625901442307696E-2</v>
      </c>
      <c r="AW525" s="336">
        <f t="shared" si="997"/>
        <v>-5.6222297104642424E-2</v>
      </c>
      <c r="AX525" s="332">
        <f t="shared" si="997"/>
        <v>-5.0135501355013552E-2</v>
      </c>
      <c r="AY525" s="332">
        <f t="shared" si="997"/>
        <v>-4.1888900983273469E-2</v>
      </c>
      <c r="AZ525" s="332">
        <f t="shared" si="997"/>
        <v>-3.792696439755263E-2</v>
      </c>
      <c r="BA525" s="336">
        <f t="shared" si="997"/>
        <v>-9.4320611504742857E-2</v>
      </c>
      <c r="BB525" s="332">
        <f t="shared" si="997"/>
        <v>-6.1061649610166246E-2</v>
      </c>
      <c r="BC525" s="332">
        <f t="shared" si="997"/>
        <v>-8.3934260310729453E-2</v>
      </c>
      <c r="BD525" s="332">
        <f t="shared" si="997"/>
        <v>-5.6172172613598956E-2</v>
      </c>
      <c r="BE525" s="332">
        <f t="shared" si="997"/>
        <v>-0.10905294369804561</v>
      </c>
      <c r="CG525"/>
      <c r="CH525"/>
      <c r="CI525"/>
      <c r="CJ525"/>
      <c r="CK525"/>
      <c r="CL525"/>
    </row>
    <row r="526" spans="1:90" s="13" customFormat="1" ht="12.75" customHeight="1" outlineLevel="1">
      <c r="A526" s="1349"/>
      <c r="B526" s="1372" t="s">
        <v>871</v>
      </c>
      <c r="C526" s="332">
        <f>C351/C$336</f>
        <v>-1.9640179910044978E-2</v>
      </c>
      <c r="D526" s="332">
        <f t="shared" ref="D526:J526" si="998">D351/D$336</f>
        <v>-1.2097790472990002E-2</v>
      </c>
      <c r="E526" s="332">
        <f t="shared" si="998"/>
        <v>-7.7403245942571789E-3</v>
      </c>
      <c r="F526" s="332">
        <f t="shared" si="998"/>
        <v>-3.7662601037170089E-3</v>
      </c>
      <c r="G526" s="332">
        <f t="shared" si="998"/>
        <v>-5.9995428919701358E-3</v>
      </c>
      <c r="H526" s="332">
        <f t="shared" si="998"/>
        <v>-2.7413259146501497E-2</v>
      </c>
      <c r="I526" s="332">
        <f t="shared" si="998"/>
        <v>-2.897877262885222E-2</v>
      </c>
      <c r="J526" s="336">
        <f t="shared" si="998"/>
        <v>-3.2361805235258063E-2</v>
      </c>
      <c r="K526" s="332">
        <f t="shared" ref="K526:R526" si="999">K351/K$336</f>
        <v>-2.84299295092772E-2</v>
      </c>
      <c r="L526" s="332">
        <f t="shared" si="999"/>
        <v>-2.0114775240765961E-2</v>
      </c>
      <c r="M526" s="332">
        <f t="shared" si="999"/>
        <v>-1.5617812948513297E-2</v>
      </c>
      <c r="N526" s="332">
        <f t="shared" si="999"/>
        <v>-1.0160979200664094E-2</v>
      </c>
      <c r="O526" s="332">
        <f t="shared" si="999"/>
        <v>-6.5660189595026968E-3</v>
      </c>
      <c r="P526" s="332">
        <f t="shared" si="999"/>
        <v>-4.6302720953444922E-3</v>
      </c>
      <c r="Q526" s="332">
        <f t="shared" si="999"/>
        <v>-4.021050998282618E-3</v>
      </c>
      <c r="R526" s="332">
        <f t="shared" si="999"/>
        <v>-3.5368164326100107E-3</v>
      </c>
      <c r="S526" s="332"/>
      <c r="T526" s="332"/>
      <c r="U526" s="332"/>
      <c r="V526" s="332" t="e">
        <f t="shared" ref="V526:BE526" si="1000">V351/V$336</f>
        <v>#DIV/0!</v>
      </c>
      <c r="W526" s="332" t="e">
        <f t="shared" si="1000"/>
        <v>#DIV/0!</v>
      </c>
      <c r="X526" s="332" t="e">
        <f t="shared" si="1000"/>
        <v>#DIV/0!</v>
      </c>
      <c r="Y526" s="332" t="e">
        <f t="shared" si="1000"/>
        <v>#DIV/0!</v>
      </c>
      <c r="Z526" s="332">
        <f t="shared" si="1000"/>
        <v>-8.7740677553009988E-3</v>
      </c>
      <c r="AA526" s="332">
        <f t="shared" si="1000"/>
        <v>-1.0110294117647059E-2</v>
      </c>
      <c r="AB526" s="332">
        <f t="shared" si="1000"/>
        <v>-6.0138781804163453E-3</v>
      </c>
      <c r="AC526" s="332">
        <f t="shared" si="1000"/>
        <v>-7.0796460176991149E-3</v>
      </c>
      <c r="AD526" s="332">
        <f t="shared" si="1000"/>
        <v>-5.4467834535551303E-3</v>
      </c>
      <c r="AE526" s="332">
        <f t="shared" si="1000"/>
        <v>-4.9617808770282953E-3</v>
      </c>
      <c r="AF526" s="332">
        <f t="shared" si="1000"/>
        <v>-2.6740274303458985E-3</v>
      </c>
      <c r="AG526" s="336">
        <f t="shared" si="1000"/>
        <v>-2.8821766197832605E-3</v>
      </c>
      <c r="AH526" s="332">
        <f t="shared" si="1000"/>
        <v>-3.2473557246242347E-3</v>
      </c>
      <c r="AI526" s="332">
        <f t="shared" si="1000"/>
        <v>-3.5616438356164382E-3</v>
      </c>
      <c r="AJ526" s="332">
        <f t="shared" si="1000"/>
        <v>-6.5617497999466527E-3</v>
      </c>
      <c r="AK526" s="336">
        <f t="shared" si="1000"/>
        <v>-9.807996010306708E-3</v>
      </c>
      <c r="AL526" s="332">
        <f t="shared" si="1000"/>
        <v>-1.4837359710861708E-2</v>
      </c>
      <c r="AM526" s="332">
        <f t="shared" si="1000"/>
        <v>-3.5533899815794162E-2</v>
      </c>
      <c r="AN526" s="332">
        <f t="shared" si="1000"/>
        <v>-2.3453913442071889E-2</v>
      </c>
      <c r="AO526" s="336">
        <f t="shared" si="1000"/>
        <v>-3.6901004304160691E-2</v>
      </c>
      <c r="AP526" s="332">
        <f t="shared" si="1000"/>
        <v>-3.1958508273647816E-2</v>
      </c>
      <c r="AQ526" s="332">
        <f t="shared" si="1000"/>
        <v>-3.2835686256821976E-2</v>
      </c>
      <c r="AR526" s="332">
        <f t="shared" si="1000"/>
        <v>-2.3535882812726169E-2</v>
      </c>
      <c r="AS526" s="336">
        <f t="shared" si="1000"/>
        <v>-3.07227919285478E-2</v>
      </c>
      <c r="AT526" s="332">
        <f t="shared" si="1000"/>
        <v>-3.8906512409031535E-2</v>
      </c>
      <c r="AU526" s="332">
        <f t="shared" si="1000"/>
        <v>-3.7822232590691708E-2</v>
      </c>
      <c r="AV526" s="332">
        <f t="shared" si="1000"/>
        <v>-2.3681640625E-2</v>
      </c>
      <c r="AW526" s="336">
        <f t="shared" si="1000"/>
        <v>-3.4034059980818578E-2</v>
      </c>
      <c r="AX526" s="332">
        <f t="shared" si="1000"/>
        <v>-3.9574366331898612E-2</v>
      </c>
      <c r="AY526" s="332">
        <f t="shared" si="1000"/>
        <v>-3.1711476361525347E-2</v>
      </c>
      <c r="AZ526" s="332">
        <f t="shared" si="1000"/>
        <v>-2.4774774774774775E-2</v>
      </c>
      <c r="BA526" s="336">
        <f t="shared" si="1000"/>
        <v>-2.1153269840583126E-2</v>
      </c>
      <c r="BB526" s="332">
        <f t="shared" si="1000"/>
        <v>-2.3236808421256697E-2</v>
      </c>
      <c r="BC526" s="332">
        <f t="shared" si="1000"/>
        <v>-2.1860724514937004E-2</v>
      </c>
      <c r="BD526" s="332">
        <f t="shared" si="1000"/>
        <v>-1.5763870145153406E-2</v>
      </c>
      <c r="BE526" s="332">
        <f t="shared" si="1000"/>
        <v>-2.1439311040921585E-2</v>
      </c>
      <c r="CG526"/>
      <c r="CH526"/>
      <c r="CI526"/>
      <c r="CJ526"/>
      <c r="CK526"/>
      <c r="CL526"/>
    </row>
    <row r="527" spans="1:90" s="13" customFormat="1" ht="12.75" customHeight="1" outlineLevel="1">
      <c r="A527" s="1349"/>
      <c r="B527" s="12" t="s">
        <v>854</v>
      </c>
      <c r="C527" s="303">
        <f>SUM(C523:C526)</f>
        <v>-0.65639309531836942</v>
      </c>
      <c r="D527" s="303">
        <f t="shared" ref="D527:J527" si="1001">SUM(D523:D526)</f>
        <v>-0.54694050700364893</v>
      </c>
      <c r="E527" s="303">
        <f t="shared" si="1001"/>
        <v>-0.37697877652933831</v>
      </c>
      <c r="F527" s="303">
        <f t="shared" si="1001"/>
        <v>-0.27545846973954863</v>
      </c>
      <c r="G527" s="303">
        <f t="shared" si="1001"/>
        <v>-0.23771522169739448</v>
      </c>
      <c r="H527" s="303">
        <f t="shared" si="1001"/>
        <v>-0.26518293002991972</v>
      </c>
      <c r="I527" s="303">
        <f t="shared" si="1001"/>
        <v>-0.24867761486212592</v>
      </c>
      <c r="J527" s="338">
        <f t="shared" si="1001"/>
        <v>-0.24409090621900131</v>
      </c>
      <c r="K527" s="303">
        <f t="shared" ref="K527" si="1002">SUM(K523:K526)</f>
        <v>-0.25175042502147726</v>
      </c>
      <c r="L527" s="303">
        <f t="shared" ref="L527" si="1003">SUM(L523:L526)</f>
        <v>-0.26183472651407569</v>
      </c>
      <c r="M527" s="303">
        <f t="shared" ref="M527" si="1004">SUM(M523:M526)</f>
        <v>-0.25046019420074628</v>
      </c>
      <c r="N527" s="303">
        <f t="shared" ref="N527" si="1005">SUM(N523:N526)</f>
        <v>-0.24422142559948207</v>
      </c>
      <c r="O527" s="303">
        <f t="shared" ref="O527" si="1006">SUM(O523:O526)</f>
        <v>-0.23914247487374041</v>
      </c>
      <c r="P527" s="303">
        <f t="shared" ref="P527" si="1007">SUM(P523:P526)</f>
        <v>-0.24069417317081865</v>
      </c>
      <c r="Q527" s="303">
        <f t="shared" ref="Q527" si="1008">SUM(Q523:Q526)</f>
        <v>-0.24460291532904996</v>
      </c>
      <c r="R527" s="303">
        <f t="shared" ref="R527" si="1009">SUM(R523:R526)</f>
        <v>-0.24841311355237061</v>
      </c>
      <c r="S527" s="303"/>
      <c r="T527" s="303"/>
      <c r="U527" s="303"/>
      <c r="V527" s="303" t="e">
        <f t="shared" ref="V527" si="1010">SUM(V523:V526)</f>
        <v>#DIV/0!</v>
      </c>
      <c r="W527" s="303" t="e">
        <f t="shared" ref="W527" si="1011">SUM(W523:W526)</f>
        <v>#DIV/0!</v>
      </c>
      <c r="X527" s="303" t="e">
        <f t="shared" ref="X527" si="1012">SUM(X523:X526)</f>
        <v>#DIV/0!</v>
      </c>
      <c r="Y527" s="303" t="e">
        <f t="shared" ref="Y527" si="1013">SUM(Y523:Y526)</f>
        <v>#DIV/0!</v>
      </c>
      <c r="Z527" s="303">
        <f t="shared" ref="Z527" si="1014">SUM(Z523:Z526)</f>
        <v>-0.385244235264118</v>
      </c>
      <c r="AA527" s="303">
        <f t="shared" ref="AA527" si="1015">SUM(AA523:AA526)</f>
        <v>-0.43719949104043532</v>
      </c>
      <c r="AB527" s="303">
        <f t="shared" ref="AB527" si="1016">SUM(AB523:AB526)</f>
        <v>-0.340029192628308</v>
      </c>
      <c r="AC527" s="303">
        <f t="shared" ref="AC527" si="1017">SUM(AC523:AC526)</f>
        <v>-0.36589211475098765</v>
      </c>
      <c r="AD527" s="303">
        <f t="shared" ref="AD527" si="1018">SUM(AD523:AD526)</f>
        <v>-0.30864903564349933</v>
      </c>
      <c r="AE527" s="303">
        <f t="shared" ref="AE527" si="1019">SUM(AE523:AE526)</f>
        <v>-0.31932116387063431</v>
      </c>
      <c r="AF527" s="303">
        <f t="shared" ref="AF527" si="1020">SUM(AF523:AF526)</f>
        <v>-0.27964294961209851</v>
      </c>
      <c r="AG527" s="338">
        <f t="shared" ref="AG527" si="1021">SUM(AG523:AG526)</f>
        <v>-0.20616422262362594</v>
      </c>
      <c r="AH527" s="303">
        <f t="shared" ref="AH527" si="1022">SUM(AH523:AH526)</f>
        <v>-0.22137687882724069</v>
      </c>
      <c r="AI527" s="303">
        <f t="shared" ref="AI527" si="1023">SUM(AI523:AI526)</f>
        <v>-0.18630136986301368</v>
      </c>
      <c r="AJ527" s="303">
        <f t="shared" ref="AJ527" si="1024">SUM(AJ523:AJ526)</f>
        <v>-0.28487596692451322</v>
      </c>
      <c r="AK527" s="338">
        <f t="shared" ref="AK527" si="1025">SUM(AK523:AK526)</f>
        <v>-0.22566702684731113</v>
      </c>
      <c r="AL527" s="303">
        <f t="shared" ref="AL527" si="1026">SUM(AL523:AL526)</f>
        <v>-0.24487984274935007</v>
      </c>
      <c r="AM527" s="303">
        <f t="shared" ref="AM527" si="1027">SUM(AM523:AM526)</f>
        <v>-0.29906708657674252</v>
      </c>
      <c r="AN527" s="303">
        <f t="shared" ref="AN527" si="1028">SUM(AN523:AN526)</f>
        <v>-0.23824439436189312</v>
      </c>
      <c r="AO527" s="338">
        <f t="shared" ref="AO527" si="1029">SUM(AO523:AO526)</f>
        <v>-0.29130559540889528</v>
      </c>
      <c r="AP527" s="303">
        <f t="shared" ref="AP527" si="1030">SUM(AP523:AP526)</f>
        <v>-0.2648061249691282</v>
      </c>
      <c r="AQ527" s="303">
        <f t="shared" ref="AQ527" si="1031">SUM(AQ523:AQ526)</f>
        <v>-0.27003743629064997</v>
      </c>
      <c r="AR527" s="303">
        <f t="shared" ref="AR527" si="1032">SUM(AR523:AR526)</f>
        <v>-0.22580551776047245</v>
      </c>
      <c r="AS527" s="1377">
        <f t="shared" ref="AS527" si="1033">SUM(AS523:AS526)</f>
        <v>-0.24826331458815745</v>
      </c>
      <c r="AT527" s="303">
        <f t="shared" ref="AT527" si="1034">SUM(AT523:AT526)</f>
        <v>-0.27355849972009705</v>
      </c>
      <c r="AU527" s="303">
        <f t="shared" ref="AU527" si="1035">SUM(AU523:AU526)</f>
        <v>-0.26408491776507642</v>
      </c>
      <c r="AV527" s="303">
        <f t="shared" ref="AV527" si="1036">SUM(AV523:AV526)</f>
        <v>-0.19350961538461536</v>
      </c>
      <c r="AW527" s="1377">
        <f t="shared" ref="AW527" si="1037">SUM(AW523:AW526)</f>
        <v>-0.27157261722698883</v>
      </c>
      <c r="AX527" s="303">
        <f t="shared" ref="AX527" si="1038">SUM(AX523:AX526)</f>
        <v>-0.24549657261278493</v>
      </c>
      <c r="AY527" s="303">
        <f t="shared" ref="AY527" si="1039">SUM(AY523:AY526)</f>
        <v>-0.23981350458981895</v>
      </c>
      <c r="AZ527" s="303">
        <f t="shared" ref="AZ527" si="1040">SUM(AZ523:AZ526)</f>
        <v>-0.21285590403237462</v>
      </c>
      <c r="BA527" s="1377">
        <f t="shared" ref="BA527" si="1041">SUM(BA523:BA526)</f>
        <v>-0.32175731501771015</v>
      </c>
      <c r="BB527" s="303">
        <f t="shared" ref="BB527" si="1042">SUM(BB523:BB526)</f>
        <v>-0.25244845803142296</v>
      </c>
      <c r="BC527" s="303">
        <f t="shared" ref="BC527" si="1043">SUM(BC523:BC526)</f>
        <v>-0.27166998482566646</v>
      </c>
      <c r="BD527" s="303">
        <f t="shared" ref="BD527" si="1044">SUM(BD523:BD526)</f>
        <v>-0.20927604275875233</v>
      </c>
      <c r="BE527" s="303">
        <f t="shared" ref="BE527" si="1045">SUM(BE523:BE526)</f>
        <v>-0.33233055481456941</v>
      </c>
      <c r="CG527"/>
      <c r="CH527"/>
      <c r="CI527"/>
      <c r="CJ527"/>
      <c r="CK527"/>
      <c r="CL527"/>
    </row>
    <row r="528" spans="1:90" s="226" customFormat="1" ht="12.75" customHeight="1" outlineLevel="1">
      <c r="B528" s="291" t="s">
        <v>872</v>
      </c>
      <c r="C528" s="1363">
        <f t="shared" ref="C528:F528" si="1046">C507/C$497</f>
        <v>0.11949025487256375</v>
      </c>
      <c r="D528" s="1363">
        <f t="shared" si="1046"/>
        <v>0.18936402587582954</v>
      </c>
      <c r="E528" s="1363">
        <f t="shared" si="1046"/>
        <v>0.31980024968789011</v>
      </c>
      <c r="F528" s="1363">
        <f t="shared" si="1046"/>
        <v>0.45403714111886895</v>
      </c>
      <c r="G528" s="1363">
        <f>G507/G$497</f>
        <v>0.52963583726954133</v>
      </c>
      <c r="H528" s="1363">
        <f t="shared" ref="H528:M528" si="1047">H507/H$497</f>
        <v>0.47685160883943101</v>
      </c>
      <c r="I528" s="1363">
        <f t="shared" si="1047"/>
        <v>0.45123241351354021</v>
      </c>
      <c r="J528" s="1377">
        <f t="shared" si="1047"/>
        <v>0.40468052036670815</v>
      </c>
      <c r="K528" s="1363">
        <f t="shared" si="1047"/>
        <v>0.36414957497852268</v>
      </c>
      <c r="L528" s="1363">
        <f t="shared" si="1047"/>
        <v>0.35466527348592425</v>
      </c>
      <c r="M528" s="1363">
        <f t="shared" si="1047"/>
        <v>0.35138980579925388</v>
      </c>
      <c r="N528" s="1363">
        <f t="shared" ref="N528" si="1048">SUM(N522:N526)</f>
        <v>0.35652857440051783</v>
      </c>
      <c r="O528" s="1363">
        <f t="shared" ref="O528" si="1049">SUM(O522:O526)</f>
        <v>0.35885752512625979</v>
      </c>
      <c r="P528" s="1363">
        <f t="shared" ref="P528" si="1050">SUM(P522:P526)</f>
        <v>0.35620582682918128</v>
      </c>
      <c r="Q528" s="1363">
        <f t="shared" ref="Q528" si="1051">SUM(Q522:Q526)</f>
        <v>0.35229708467095006</v>
      </c>
      <c r="R528" s="1363">
        <f t="shared" ref="R528" si="1052">SUM(R522:R526)</f>
        <v>0.34848688644762943</v>
      </c>
      <c r="S528" s="1363"/>
      <c r="T528" s="1363"/>
      <c r="U528" s="1363"/>
      <c r="V528" s="1363" t="e">
        <f t="shared" ref="V528" si="1053">SUM(V522:V526)</f>
        <v>#DIV/0!</v>
      </c>
      <c r="W528" s="1363" t="e">
        <f t="shared" ref="W528" si="1054">SUM(W522:W526)</f>
        <v>#DIV/0!</v>
      </c>
      <c r="X528" s="1363" t="e">
        <f t="shared" ref="X528" si="1055">SUM(X522:X526)</f>
        <v>#DIV/0!</v>
      </c>
      <c r="Y528" s="1363" t="e">
        <f t="shared" ref="Y528" si="1056">SUM(Y522:Y526)</f>
        <v>#DIV/0!</v>
      </c>
      <c r="Z528" s="1363">
        <f t="shared" ref="Z528" si="1057">SUM(Z522:Z526)</f>
        <v>0.32707774798927614</v>
      </c>
      <c r="AA528" s="1363">
        <f t="shared" ref="AA528" si="1058">SUM(AA522:AA526)</f>
        <v>0.25942095588235287</v>
      </c>
      <c r="AB528" s="1363">
        <f t="shared" ref="AB528" si="1059">SUM(AB522:AB526)</f>
        <v>0.36299151888974562</v>
      </c>
      <c r="AC528" s="1363">
        <f t="shared" ref="AC528" si="1060">SUM(AC522:AC526)</f>
        <v>0.31052114060963615</v>
      </c>
      <c r="AD528" s="1363">
        <f t="shared" ref="AD528" si="1061">SUM(AD522:AD526)</f>
        <v>0.38613278374797588</v>
      </c>
      <c r="AE528" s="1363">
        <f t="shared" ref="AE528" si="1062">SUM(AE522:AE526)</f>
        <v>0.3812525144159849</v>
      </c>
      <c r="AF528" s="1363">
        <f t="shared" ref="AF528" si="1063">SUM(AF522:AF526)</f>
        <v>0.4769257310445959</v>
      </c>
      <c r="AG528" s="1377">
        <f t="shared" ref="AG528" si="1064">SUM(AG522:AG526)</f>
        <v>0.5391976020290522</v>
      </c>
      <c r="AH528" s="1363">
        <f t="shared" ref="AH528" si="1065">SUM(AH522:AH526)</f>
        <v>0.53961773984041583</v>
      </c>
      <c r="AI528" s="1363">
        <f t="shared" ref="AI528" si="1066">SUM(AI522:AI526)</f>
        <v>0.56219178082191779</v>
      </c>
      <c r="AJ528" s="1363">
        <f t="shared" ref="AJ528" si="1067">SUM(AJ522:AJ526)</f>
        <v>0.50466791144305156</v>
      </c>
      <c r="AK528" s="1377">
        <f t="shared" ref="AK528" si="1068">SUM(AK522:AK526)</f>
        <v>0.52996425899758959</v>
      </c>
      <c r="AL528" s="1363">
        <f t="shared" ref="AL528" si="1069">SUM(AL522:AL526)</f>
        <v>0.50199733688415438</v>
      </c>
      <c r="AM528" s="1363">
        <f t="shared" ref="AM528" si="1070">SUM(AM522:AM526)</f>
        <v>0.43704319923940815</v>
      </c>
      <c r="AN528" s="1363">
        <f t="shared" ref="AN528" si="1071">SUM(AN522:AN526)</f>
        <v>0.52847702356850912</v>
      </c>
      <c r="AO528" s="1377">
        <f t="shared" ref="AO528" si="1072">SUM(AO522:AO526)</f>
        <v>0.41497847919655667</v>
      </c>
      <c r="AP528" s="1363">
        <f t="shared" ref="AP528" si="1073">SUM(AP522:AP526)</f>
        <v>0.45225981723882447</v>
      </c>
      <c r="AQ528" s="1363">
        <f t="shared" ref="AQ528" si="1074">SUM(AQ522:AQ526)</f>
        <v>0.43114879797934247</v>
      </c>
      <c r="AR528" s="1363">
        <f t="shared" ref="AR528" si="1075">SUM(AR522:AR526)</f>
        <v>0.49963813218307623</v>
      </c>
      <c r="AS528" s="1377">
        <f t="shared" ref="AS528" si="1076">SUM(AS522:AS526)</f>
        <v>0.39964439298709897</v>
      </c>
      <c r="AT528" s="1363">
        <f t="shared" ref="AT528" si="1077">SUM(AT522:AT526)</f>
        <v>0.38900292343098836</v>
      </c>
      <c r="AU528" s="1363">
        <f t="shared" ref="AU528" si="1078">SUM(AU522:AU526)</f>
        <v>0.38772891636533297</v>
      </c>
      <c r="AV528" s="1363">
        <f t="shared" ref="AV528" si="1079">SUM(AV522:AV526)</f>
        <v>0.45838341346153844</v>
      </c>
      <c r="AW528" s="1377">
        <f t="shared" ref="AW528" si="1080">SUM(AW522:AW526)</f>
        <v>0.35869255294331115</v>
      </c>
      <c r="AX528" s="1363">
        <f t="shared" ref="AX528" si="1081">SUM(AX522:AX526)</f>
        <v>0.42906105531643557</v>
      </c>
      <c r="AY528" s="1363">
        <f t="shared" ref="AY528" si="1082">SUM(AY522:AY526)</f>
        <v>0.38587133993686734</v>
      </c>
      <c r="AZ528" s="1363">
        <f t="shared" ref="AZ528" si="1083">SUM(AZ522:AZ526)</f>
        <v>0.38065471889001307</v>
      </c>
      <c r="BA528" s="1377">
        <f t="shared" ref="BA528" si="1084">SUM(BA522:BA526)</f>
        <v>0.26707936796028936</v>
      </c>
      <c r="BB528" s="1363">
        <f t="shared" ref="BB528" si="1085">SUM(BB522:BB526)</f>
        <v>0.36180154196857711</v>
      </c>
      <c r="BC528" s="1363">
        <f t="shared" ref="BC528" si="1086">SUM(BC522:BC526)</f>
        <v>0.33895501517433363</v>
      </c>
      <c r="BD528" s="1363">
        <f t="shared" ref="BD528" si="1087">SUM(BD522:BD526)</f>
        <v>0.40502395724124757</v>
      </c>
      <c r="BE528" s="1363">
        <f t="shared" ref="BE528" si="1088">SUM(BE522:BE526)</f>
        <v>0.29499920401924085</v>
      </c>
      <c r="CG528"/>
      <c r="CH528"/>
      <c r="CI528"/>
      <c r="CJ528"/>
      <c r="CK528"/>
      <c r="CL528"/>
    </row>
    <row r="529" spans="1:90" ht="12.75" customHeight="1" outlineLevel="1">
      <c r="B529" s="1372" t="str">
        <f>B508</f>
        <v>Adjustments besides SBC and Amortization</v>
      </c>
      <c r="C529" s="1375">
        <f t="shared" ref="C529:M529" si="1089">C508/C$497</f>
        <v>0</v>
      </c>
      <c r="D529" s="1375">
        <f t="shared" si="1089"/>
        <v>0</v>
      </c>
      <c r="E529" s="1375">
        <f t="shared" si="1089"/>
        <v>0</v>
      </c>
      <c r="F529" s="1375">
        <f t="shared" si="1089"/>
        <v>0</v>
      </c>
      <c r="G529" s="1375">
        <f t="shared" si="1089"/>
        <v>3.2607039463659913E-2</v>
      </c>
      <c r="H529" s="1375">
        <f t="shared" si="1089"/>
        <v>-5.847462075481602E-2</v>
      </c>
      <c r="I529" s="1375">
        <f t="shared" si="1089"/>
        <v>-0.46974086194793513</v>
      </c>
      <c r="J529" s="1378">
        <f t="shared" si="1089"/>
        <v>-2.8254977159717701E-2</v>
      </c>
      <c r="K529" s="1375">
        <f t="shared" si="1089"/>
        <v>-2.4159965099974194E-2</v>
      </c>
      <c r="L529" s="1375">
        <f t="shared" si="1089"/>
        <v>-5.9133676208261718E-3</v>
      </c>
      <c r="M529" s="1375">
        <f t="shared" si="1089"/>
        <v>-4.545881372792427E-3</v>
      </c>
      <c r="N529" s="1375">
        <f t="shared" ref="N529:R532" si="1090">N508/N$497</f>
        <v>-3.7218129594171808E-3</v>
      </c>
      <c r="O529" s="1375">
        <f t="shared" si="1090"/>
        <v>-3.0921858127741127E-3</v>
      </c>
      <c r="P529" s="1375">
        <f t="shared" si="1090"/>
        <v>-2.5439979282146211E-3</v>
      </c>
      <c r="Q529" s="1375">
        <f t="shared" si="1090"/>
        <v>-2.2092752214630351E-3</v>
      </c>
      <c r="R529" s="1375">
        <f t="shared" si="1090"/>
        <v>-1.9432235280691143E-3</v>
      </c>
      <c r="S529" s="1375"/>
      <c r="T529" s="1375"/>
      <c r="U529" s="1375"/>
      <c r="V529" s="1375" t="e">
        <f t="shared" ref="V529:BE529" si="1091">V508/V$497</f>
        <v>#DIV/0!</v>
      </c>
      <c r="W529" s="1375" t="e">
        <f t="shared" si="1091"/>
        <v>#DIV/0!</v>
      </c>
      <c r="X529" s="1375" t="e">
        <f t="shared" si="1091"/>
        <v>#DIV/0!</v>
      </c>
      <c r="Y529" s="1375" t="e">
        <f t="shared" si="1091"/>
        <v>#DIV/0!</v>
      </c>
      <c r="Z529" s="1375">
        <f t="shared" si="1091"/>
        <v>0</v>
      </c>
      <c r="AA529" s="1375">
        <f t="shared" si="1091"/>
        <v>0</v>
      </c>
      <c r="AB529" s="1375">
        <f t="shared" si="1091"/>
        <v>0</v>
      </c>
      <c r="AC529" s="1375">
        <f t="shared" si="1091"/>
        <v>0</v>
      </c>
      <c r="AD529" s="1375">
        <f t="shared" si="1091"/>
        <v>0</v>
      </c>
      <c r="AE529" s="1375">
        <f t="shared" si="1091"/>
        <v>0</v>
      </c>
      <c r="AF529" s="1375">
        <f t="shared" si="1091"/>
        <v>0</v>
      </c>
      <c r="AG529" s="1378">
        <f t="shared" si="1091"/>
        <v>0</v>
      </c>
      <c r="AH529" s="1375">
        <f t="shared" si="1091"/>
        <v>3.4143625904620521E-2</v>
      </c>
      <c r="AI529" s="1375">
        <f t="shared" si="1091"/>
        <v>4.8401826484018263E-3</v>
      </c>
      <c r="AJ529" s="1375">
        <f t="shared" si="1091"/>
        <v>7.0632168578287538E-2</v>
      </c>
      <c r="AK529" s="1378">
        <f t="shared" si="1091"/>
        <v>-2.7429141384756046E-3</v>
      </c>
      <c r="AL529" s="1375">
        <f t="shared" si="1091"/>
        <v>-0.40758353940777375</v>
      </c>
      <c r="AM529" s="1375">
        <f t="shared" si="1091"/>
        <v>1.010161031552677E-2</v>
      </c>
      <c r="AN529" s="1375">
        <f t="shared" si="1091"/>
        <v>8.4227816188548077E-2</v>
      </c>
      <c r="AO529" s="1378">
        <f t="shared" si="1091"/>
        <v>-2.3127690100430417E-2</v>
      </c>
      <c r="AP529" s="1375">
        <f t="shared" si="1091"/>
        <v>-1.2823907137564832</v>
      </c>
      <c r="AQ529" s="1375">
        <f t="shared" si="1091"/>
        <v>-0.78453836092192508</v>
      </c>
      <c r="AR529" s="1375">
        <f t="shared" si="1091"/>
        <v>-3.0802188576556755E-2</v>
      </c>
      <c r="AS529" s="1378">
        <f t="shared" si="1091"/>
        <v>-0.12628183923255046</v>
      </c>
      <c r="AT529" s="1375">
        <f t="shared" si="1091"/>
        <v>-2.9856316476954657E-3</v>
      </c>
      <c r="AU529" s="1375">
        <f t="shared" si="1091"/>
        <v>9.5065904584159568E-3</v>
      </c>
      <c r="AV529" s="1375">
        <f t="shared" si="1091"/>
        <v>6.178635817307692E-3</v>
      </c>
      <c r="AW529" s="1378">
        <f t="shared" si="1091"/>
        <v>-0.13040773477798803</v>
      </c>
      <c r="AX529" s="1375">
        <f t="shared" si="1091"/>
        <v>-3.3875338753387534E-4</v>
      </c>
      <c r="AY529" s="1375">
        <f t="shared" si="1091"/>
        <v>-3.1802184245854646E-2</v>
      </c>
      <c r="AZ529" s="1375">
        <f t="shared" si="1091"/>
        <v>-4.2118321530086239E-2</v>
      </c>
      <c r="BA529" s="1378">
        <f t="shared" si="1091"/>
        <v>-1.2214482390640683E-2</v>
      </c>
      <c r="BB529" s="1375">
        <f t="shared" si="1091"/>
        <v>-6.8311869700199467E-3</v>
      </c>
      <c r="BC529" s="1375">
        <f t="shared" si="1091"/>
        <v>-6.4266440448432693E-3</v>
      </c>
      <c r="BD529" s="1375">
        <f t="shared" si="1091"/>
        <v>-4.6342829178790679E-3</v>
      </c>
      <c r="BE529" s="1375">
        <f t="shared" si="1091"/>
        <v>-6.3027563671339886E-3</v>
      </c>
      <c r="BF529" s="141"/>
    </row>
    <row r="530" spans="1:90" s="13" customFormat="1" ht="12.75" customHeight="1" outlineLevel="1">
      <c r="A530" s="1349"/>
      <c r="B530" s="698" t="str">
        <f t="shared" ref="B530:B532" si="1092">B509</f>
        <v>Non-GAAP net income</v>
      </c>
      <c r="C530" s="1363">
        <f t="shared" ref="C530:M530" si="1093">C509/C$497</f>
        <v>0</v>
      </c>
      <c r="D530" s="1363">
        <f t="shared" si="1093"/>
        <v>0</v>
      </c>
      <c r="E530" s="1363">
        <f t="shared" si="1093"/>
        <v>0</v>
      </c>
      <c r="F530" s="1363">
        <f t="shared" si="1093"/>
        <v>0</v>
      </c>
      <c r="G530" s="1363">
        <f t="shared" si="1093"/>
        <v>0.53851135151607499</v>
      </c>
      <c r="H530" s="1363">
        <f t="shared" si="1093"/>
        <v>0.45904414466432208</v>
      </c>
      <c r="I530" s="1363">
        <f t="shared" si="1093"/>
        <v>0.42307426119454633</v>
      </c>
      <c r="J530" s="1377">
        <f t="shared" si="1093"/>
        <v>0.36564038086091755</v>
      </c>
      <c r="K530" s="1363">
        <f t="shared" si="1093"/>
        <v>0.33253955926478962</v>
      </c>
      <c r="L530" s="1363">
        <f t="shared" si="1093"/>
        <v>0.31912050233507927</v>
      </c>
      <c r="M530" s="1363">
        <f t="shared" si="1093"/>
        <v>0.30457212371159881</v>
      </c>
      <c r="N530" s="1363">
        <f t="shared" si="1090"/>
        <v>0.30472552567073774</v>
      </c>
      <c r="O530" s="1363">
        <f t="shared" si="1090"/>
        <v>0.30537100406560597</v>
      </c>
      <c r="P530" s="1363">
        <f t="shared" si="1090"/>
        <v>0.3051551041078297</v>
      </c>
      <c r="Q530" s="1363">
        <f t="shared" si="1090"/>
        <v>0.30626664781511204</v>
      </c>
      <c r="R530" s="1363">
        <f t="shared" si="1090"/>
        <v>0.30696623914306098</v>
      </c>
      <c r="S530" s="1363"/>
      <c r="T530" s="1363"/>
      <c r="U530" s="1363"/>
      <c r="V530" s="1363" t="e">
        <f t="shared" ref="V530:BE530" si="1094">V509/V$497</f>
        <v>#DIV/0!</v>
      </c>
      <c r="W530" s="1363" t="e">
        <f t="shared" si="1094"/>
        <v>#DIV/0!</v>
      </c>
      <c r="X530" s="1363" t="e">
        <f t="shared" si="1094"/>
        <v>#DIV/0!</v>
      </c>
      <c r="Y530" s="1363" t="e">
        <f t="shared" si="1094"/>
        <v>#DIV/0!</v>
      </c>
      <c r="Z530" s="1363">
        <f t="shared" si="1094"/>
        <v>0</v>
      </c>
      <c r="AA530" s="1363">
        <f t="shared" si="1094"/>
        <v>0</v>
      </c>
      <c r="AB530" s="1363">
        <f t="shared" si="1094"/>
        <v>0</v>
      </c>
      <c r="AC530" s="1363">
        <f t="shared" si="1094"/>
        <v>0</v>
      </c>
      <c r="AD530" s="1363">
        <f t="shared" si="1094"/>
        <v>0</v>
      </c>
      <c r="AE530" s="1363">
        <f t="shared" si="1094"/>
        <v>0</v>
      </c>
      <c r="AF530" s="1363">
        <f t="shared" si="1094"/>
        <v>0</v>
      </c>
      <c r="AG530" s="1377">
        <f t="shared" si="1094"/>
        <v>0</v>
      </c>
      <c r="AH530" s="1363">
        <f t="shared" si="1094"/>
        <v>0.48682501391723881</v>
      </c>
      <c r="AI530" s="1363">
        <f t="shared" si="1094"/>
        <v>0.53817351598173513</v>
      </c>
      <c r="AJ530" s="1363">
        <f t="shared" si="1094"/>
        <v>0.55817551347025873</v>
      </c>
      <c r="AK530" s="1377">
        <f t="shared" si="1094"/>
        <v>0.55448424902335636</v>
      </c>
      <c r="AL530" s="1363">
        <f t="shared" si="1094"/>
        <v>0.46395282480502187</v>
      </c>
      <c r="AM530" s="1363">
        <f t="shared" si="1094"/>
        <v>0.40453978251827205</v>
      </c>
      <c r="AN530" s="1363">
        <f t="shared" si="1094"/>
        <v>0.50097406318041182</v>
      </c>
      <c r="AO530" s="1377">
        <f t="shared" si="1094"/>
        <v>0.44424677187948353</v>
      </c>
      <c r="AP530" s="1363">
        <f t="shared" si="1094"/>
        <v>0.46905408742899479</v>
      </c>
      <c r="AQ530" s="1363">
        <f t="shared" si="1094"/>
        <v>0.41500157863876236</v>
      </c>
      <c r="AR530" s="1363">
        <f t="shared" si="1094"/>
        <v>0.47983672524100396</v>
      </c>
      <c r="AS530" s="1377">
        <f t="shared" si="1094"/>
        <v>0.31243797552100561</v>
      </c>
      <c r="AT530" s="1363">
        <f t="shared" si="1094"/>
        <v>0.37292405299496173</v>
      </c>
      <c r="AU530" s="1363">
        <f t="shared" si="1094"/>
        <v>0.3776099381780007</v>
      </c>
      <c r="AV530" s="1363">
        <f t="shared" si="1094"/>
        <v>0.42238206129807693</v>
      </c>
      <c r="AW530" s="1377">
        <f t="shared" si="1094"/>
        <v>0.27061354622981415</v>
      </c>
      <c r="AX530" s="1363">
        <f t="shared" si="1094"/>
        <v>0.39891200382592062</v>
      </c>
      <c r="AY530" s="1363">
        <f t="shared" si="1094"/>
        <v>0.40072929139000762</v>
      </c>
      <c r="AZ530" s="1363">
        <f t="shared" si="1094"/>
        <v>0.32527581056992821</v>
      </c>
      <c r="BA530" s="1377">
        <f t="shared" si="1094"/>
        <v>0.21661871158793877</v>
      </c>
      <c r="BB530" s="1363">
        <f t="shared" si="1094"/>
        <v>0.32729950018703674</v>
      </c>
      <c r="BC530" s="1363">
        <f t="shared" si="1094"/>
        <v>0.31316545427312864</v>
      </c>
      <c r="BD530" s="1363">
        <f t="shared" si="1094"/>
        <v>0.35389003132794788</v>
      </c>
      <c r="BE530" s="1363">
        <f t="shared" si="1094"/>
        <v>0.27012690047132631</v>
      </c>
      <c r="CG530"/>
      <c r="CH530"/>
      <c r="CI530"/>
      <c r="CJ530"/>
      <c r="CK530"/>
      <c r="CL530"/>
    </row>
    <row r="531" spans="1:90" ht="12.75" customHeight="1" outlineLevel="1">
      <c r="B531" s="1372" t="str">
        <f t="shared" si="1092"/>
        <v>Dilution and other adjustment</v>
      </c>
      <c r="C531" s="1375">
        <f t="shared" ref="C531:M531" si="1095">C510/C$497</f>
        <v>0</v>
      </c>
      <c r="D531" s="1375">
        <f t="shared" si="1095"/>
        <v>0</v>
      </c>
      <c r="E531" s="1375">
        <f t="shared" si="1095"/>
        <v>0</v>
      </c>
      <c r="F531" s="1375">
        <f t="shared" si="1095"/>
        <v>0</v>
      </c>
      <c r="G531" s="1375">
        <f t="shared" si="1095"/>
        <v>4.5520341307328967E-3</v>
      </c>
      <c r="H531" s="1375">
        <f t="shared" si="1095"/>
        <v>1.4697391213059682E-3</v>
      </c>
      <c r="I531" s="1375">
        <f t="shared" si="1095"/>
        <v>0</v>
      </c>
      <c r="J531" s="1378">
        <f t="shared" si="1095"/>
        <v>-6.9500167432221538E-5</v>
      </c>
      <c r="K531" s="1375">
        <f t="shared" si="1095"/>
        <v>0</v>
      </c>
      <c r="L531" s="1375">
        <f t="shared" si="1095"/>
        <v>0</v>
      </c>
      <c r="M531" s="1375">
        <f t="shared" si="1095"/>
        <v>0</v>
      </c>
      <c r="N531" s="1375">
        <f t="shared" si="1090"/>
        <v>0</v>
      </c>
      <c r="O531" s="1375">
        <f t="shared" si="1090"/>
        <v>0</v>
      </c>
      <c r="P531" s="1375">
        <f t="shared" si="1090"/>
        <v>0</v>
      </c>
      <c r="Q531" s="1375">
        <f t="shared" si="1090"/>
        <v>0</v>
      </c>
      <c r="R531" s="1375">
        <f t="shared" si="1090"/>
        <v>0</v>
      </c>
      <c r="S531" s="1375"/>
      <c r="T531" s="1375"/>
      <c r="U531" s="1375"/>
      <c r="V531" s="1375" t="e">
        <f t="shared" ref="V531:BE531" si="1096">V510/V$497</f>
        <v>#DIV/0!</v>
      </c>
      <c r="W531" s="1375" t="e">
        <f t="shared" si="1096"/>
        <v>#DIV/0!</v>
      </c>
      <c r="X531" s="1375" t="e">
        <f t="shared" si="1096"/>
        <v>#DIV/0!</v>
      </c>
      <c r="Y531" s="1375" t="e">
        <f t="shared" si="1096"/>
        <v>#DIV/0!</v>
      </c>
      <c r="Z531" s="1375">
        <f t="shared" si="1096"/>
        <v>0</v>
      </c>
      <c r="AA531" s="1375">
        <f t="shared" si="1096"/>
        <v>0</v>
      </c>
      <c r="AB531" s="1375">
        <f t="shared" si="1096"/>
        <v>0</v>
      </c>
      <c r="AC531" s="1375">
        <f t="shared" si="1096"/>
        <v>0</v>
      </c>
      <c r="AD531" s="1375">
        <f t="shared" si="1096"/>
        <v>0</v>
      </c>
      <c r="AE531" s="1375">
        <f t="shared" si="1096"/>
        <v>0</v>
      </c>
      <c r="AF531" s="1375">
        <f t="shared" si="1096"/>
        <v>0</v>
      </c>
      <c r="AG531" s="1378">
        <f t="shared" si="1096"/>
        <v>0</v>
      </c>
      <c r="AH531" s="1375">
        <f t="shared" si="1096"/>
        <v>5.5668955279272589E-3</v>
      </c>
      <c r="AI531" s="1375">
        <f t="shared" si="1096"/>
        <v>5.4794520547945206E-3</v>
      </c>
      <c r="AJ531" s="1375">
        <f t="shared" si="1096"/>
        <v>3.2008535609495867E-3</v>
      </c>
      <c r="AK531" s="1378">
        <f t="shared" si="1096"/>
        <v>4.903998005153354E-3</v>
      </c>
      <c r="AL531" s="1375">
        <f t="shared" si="1096"/>
        <v>3.8044512079132586E-3</v>
      </c>
      <c r="AM531" s="1375">
        <f t="shared" si="1096"/>
        <v>3.0899043318081882E-3</v>
      </c>
      <c r="AN531" s="1375">
        <f t="shared" si="1096"/>
        <v>0</v>
      </c>
      <c r="AO531" s="1378">
        <f t="shared" si="1096"/>
        <v>0</v>
      </c>
      <c r="AP531" s="1375">
        <f t="shared" si="1096"/>
        <v>0</v>
      </c>
      <c r="AQ531" s="1375">
        <f t="shared" si="1096"/>
        <v>0</v>
      </c>
      <c r="AR531" s="1375">
        <f t="shared" si="1096"/>
        <v>0</v>
      </c>
      <c r="AS531" s="1378">
        <f t="shared" si="1096"/>
        <v>0</v>
      </c>
      <c r="AT531" s="1375">
        <f t="shared" si="1096"/>
        <v>0</v>
      </c>
      <c r="AU531" s="1375">
        <f t="shared" si="1096"/>
        <v>-8.7483961273766481E-5</v>
      </c>
      <c r="AV531" s="1375">
        <f t="shared" si="1096"/>
        <v>-5.6340144230769234E-5</v>
      </c>
      <c r="AW531" s="1378">
        <f t="shared" si="1096"/>
        <v>-1.2960418880738226E-4</v>
      </c>
      <c r="AX531" s="1375">
        <f t="shared" si="1096"/>
        <v>-5.9780009564801534E-5</v>
      </c>
      <c r="AY531" s="1375">
        <f t="shared" si="1096"/>
        <v>-5.4424730597583543E-5</v>
      </c>
      <c r="AZ531" s="1375">
        <f t="shared" si="1096"/>
        <v>-4.8176518764754062E-5</v>
      </c>
      <c r="BA531" s="1378">
        <f t="shared" si="1096"/>
        <v>0</v>
      </c>
      <c r="BB531" s="1375">
        <f t="shared" si="1096"/>
        <v>0</v>
      </c>
      <c r="BC531" s="1375">
        <f t="shared" si="1096"/>
        <v>0</v>
      </c>
      <c r="BD531" s="1375">
        <f t="shared" si="1096"/>
        <v>0</v>
      </c>
      <c r="BE531" s="1375">
        <f t="shared" si="1096"/>
        <v>0</v>
      </c>
      <c r="BF531" s="141"/>
    </row>
    <row r="532" spans="1:90" s="13" customFormat="1" ht="12.75" customHeight="1" outlineLevel="1">
      <c r="A532" s="1349"/>
      <c r="B532" s="698" t="str">
        <f t="shared" si="1092"/>
        <v>Non-GAAP net income attributable to ordinary shareholder</v>
      </c>
      <c r="C532" s="1363">
        <f t="shared" ref="C532:M532" si="1097">C511/C$497</f>
        <v>0</v>
      </c>
      <c r="D532" s="1363">
        <f t="shared" si="1097"/>
        <v>0</v>
      </c>
      <c r="E532" s="1363">
        <f t="shared" si="1097"/>
        <v>0</v>
      </c>
      <c r="F532" s="1363">
        <f t="shared" si="1097"/>
        <v>0</v>
      </c>
      <c r="G532" s="1363">
        <f t="shared" si="1097"/>
        <v>0.53683528873990549</v>
      </c>
      <c r="H532" s="1363">
        <f t="shared" si="1097"/>
        <v>0.45826990709149124</v>
      </c>
      <c r="I532" s="1363">
        <f t="shared" si="1097"/>
        <v>0.42476493677268817</v>
      </c>
      <c r="J532" s="1377">
        <f t="shared" si="1097"/>
        <v>0.38104414524271352</v>
      </c>
      <c r="K532" s="1363">
        <f t="shared" si="1097"/>
        <v>0.34153955926478963</v>
      </c>
      <c r="L532" s="1363">
        <f t="shared" si="1097"/>
        <v>0.32912050233507922</v>
      </c>
      <c r="M532" s="1363">
        <f t="shared" si="1097"/>
        <v>0.31757212371159876</v>
      </c>
      <c r="N532" s="1363">
        <f t="shared" si="1090"/>
        <v>0.31472552567073775</v>
      </c>
      <c r="O532" s="1363">
        <f t="shared" si="1090"/>
        <v>0.31537100406560598</v>
      </c>
      <c r="P532" s="1363">
        <f t="shared" si="1090"/>
        <v>0.31515510410782971</v>
      </c>
      <c r="Q532" s="1363">
        <f t="shared" si="1090"/>
        <v>0.31626664781511199</v>
      </c>
      <c r="R532" s="1363">
        <f t="shared" si="1090"/>
        <v>0.31696623914306099</v>
      </c>
      <c r="S532" s="1363"/>
      <c r="T532" s="1363"/>
      <c r="U532" s="1363"/>
      <c r="V532" s="1363" t="e">
        <f t="shared" ref="V532:BE532" si="1098">V511/V$497</f>
        <v>#DIV/0!</v>
      </c>
      <c r="W532" s="1363" t="e">
        <f t="shared" si="1098"/>
        <v>#DIV/0!</v>
      </c>
      <c r="X532" s="1363" t="e">
        <f t="shared" si="1098"/>
        <v>#DIV/0!</v>
      </c>
      <c r="Y532" s="1363" t="e">
        <f t="shared" si="1098"/>
        <v>#DIV/0!</v>
      </c>
      <c r="Z532" s="1363">
        <f t="shared" si="1098"/>
        <v>0</v>
      </c>
      <c r="AA532" s="1363">
        <f t="shared" si="1098"/>
        <v>0</v>
      </c>
      <c r="AB532" s="1363">
        <f t="shared" si="1098"/>
        <v>0</v>
      </c>
      <c r="AC532" s="1363">
        <f t="shared" si="1098"/>
        <v>0</v>
      </c>
      <c r="AD532" s="1363">
        <f t="shared" si="1098"/>
        <v>0</v>
      </c>
      <c r="AE532" s="1363">
        <f t="shared" si="1098"/>
        <v>0</v>
      </c>
      <c r="AF532" s="1363">
        <f t="shared" si="1098"/>
        <v>0</v>
      </c>
      <c r="AG532" s="1377">
        <f t="shared" si="1098"/>
        <v>0</v>
      </c>
      <c r="AH532" s="1363">
        <f t="shared" si="1098"/>
        <v>0.48645388754871033</v>
      </c>
      <c r="AI532" s="1363">
        <f t="shared" si="1098"/>
        <v>0.53872146118721465</v>
      </c>
      <c r="AJ532" s="1363">
        <f t="shared" si="1098"/>
        <v>0.55653507602027208</v>
      </c>
      <c r="AK532" s="1377">
        <f t="shared" si="1098"/>
        <v>0.54958025101820296</v>
      </c>
      <c r="AL532" s="1363">
        <f t="shared" si="1098"/>
        <v>0.46179696912053769</v>
      </c>
      <c r="AM532" s="1363">
        <f t="shared" si="1098"/>
        <v>0.40442094004397172</v>
      </c>
      <c r="AN532" s="1363">
        <f t="shared" si="1098"/>
        <v>0.49917873104396654</v>
      </c>
      <c r="AO532" s="1377">
        <f t="shared" si="1098"/>
        <v>0.44562410329985652</v>
      </c>
      <c r="AP532" s="1363">
        <f t="shared" si="1098"/>
        <v>0.47038775006174366</v>
      </c>
      <c r="AQ532" s="1363">
        <f t="shared" si="1098"/>
        <v>0.41730188083532543</v>
      </c>
      <c r="AR532" s="1363">
        <f t="shared" si="1098"/>
        <v>0.48105260110586806</v>
      </c>
      <c r="AS532" s="1377">
        <f t="shared" si="1098"/>
        <v>0.31454680780681443</v>
      </c>
      <c r="AT532" s="1363">
        <f t="shared" si="1098"/>
        <v>0.38561298749766748</v>
      </c>
      <c r="AU532" s="1363">
        <f t="shared" si="1098"/>
        <v>0.39350285780940158</v>
      </c>
      <c r="AV532" s="1363">
        <f t="shared" si="1098"/>
        <v>0.43543419471153844</v>
      </c>
      <c r="AW532" s="1377">
        <f t="shared" si="1098"/>
        <v>0.29109100806138055</v>
      </c>
      <c r="AX532" s="1363">
        <f t="shared" si="1098"/>
        <v>0.41184441256177268</v>
      </c>
      <c r="AY532" s="1363">
        <f t="shared" si="1098"/>
        <v>0.40539167664453396</v>
      </c>
      <c r="AZ532" s="1363">
        <f t="shared" si="1098"/>
        <v>0.33415233415233414</v>
      </c>
      <c r="BA532" s="1377">
        <f t="shared" si="1098"/>
        <v>0.22631868641372493</v>
      </c>
      <c r="BB532" s="1363">
        <f t="shared" si="1098"/>
        <v>0.33629950018703675</v>
      </c>
      <c r="BC532" s="1363">
        <f t="shared" si="1098"/>
        <v>0.32216545427312865</v>
      </c>
      <c r="BD532" s="1363">
        <f t="shared" si="1098"/>
        <v>0.36289003132794789</v>
      </c>
      <c r="BE532" s="1363">
        <f t="shared" si="1098"/>
        <v>0.28339029606671357</v>
      </c>
      <c r="CG532"/>
      <c r="CH532"/>
      <c r="CI532"/>
      <c r="CJ532"/>
      <c r="CK532"/>
      <c r="CL532"/>
    </row>
    <row r="533" spans="1:90" s="13" customFormat="1" ht="12.75" customHeight="1" outlineLevel="1">
      <c r="A533" s="1349"/>
      <c r="B533" s="698"/>
      <c r="C533" s="699"/>
      <c r="D533" s="699"/>
      <c r="E533" s="701"/>
      <c r="F533" s="701"/>
      <c r="G533" s="701"/>
      <c r="H533" s="701"/>
      <c r="I533" s="701"/>
      <c r="J533" s="1379"/>
      <c r="K533" s="701"/>
      <c r="L533" s="701"/>
      <c r="M533" s="701"/>
      <c r="N533" s="701"/>
      <c r="O533" s="701"/>
      <c r="P533" s="701"/>
      <c r="Q533" s="701"/>
      <c r="R533" s="701"/>
      <c r="Y533" s="556"/>
      <c r="AC533" s="556"/>
      <c r="AG533" s="556"/>
      <c r="AH533" s="702"/>
      <c r="AI533" s="702"/>
      <c r="AJ533" s="702"/>
      <c r="AK533" s="703"/>
      <c r="AL533" s="702"/>
      <c r="AM533" s="702"/>
      <c r="AN533" s="702"/>
      <c r="AO533" s="703"/>
      <c r="AS533" s="556"/>
      <c r="AW533" s="556"/>
      <c r="AX533" s="226"/>
      <c r="AY533" s="226"/>
      <c r="AZ533" s="226"/>
      <c r="BA533" s="293"/>
      <c r="BB533" s="226"/>
      <c r="BC533" s="226"/>
      <c r="BD533" s="226"/>
      <c r="BE533" s="226"/>
      <c r="CG533"/>
      <c r="CH533"/>
      <c r="CI533"/>
      <c r="CJ533"/>
      <c r="CK533"/>
      <c r="CL533"/>
    </row>
    <row r="534" spans="1:90" s="13" customFormat="1" ht="12.75" customHeight="1" outlineLevel="1">
      <c r="A534" s="1349"/>
      <c r="B534" s="698" t="s">
        <v>677</v>
      </c>
      <c r="C534" s="1363">
        <f>C503/C$497</f>
        <v>0.13913043478260873</v>
      </c>
      <c r="D534" s="1363">
        <f t="shared" ref="D534:J534" si="1099">D503/D$497</f>
        <v>0.20146181634881954</v>
      </c>
      <c r="E534" s="1363">
        <f t="shared" si="1099"/>
        <v>0.32754057428214733</v>
      </c>
      <c r="F534" s="1363">
        <f t="shared" si="1099"/>
        <v>0.45780340122258595</v>
      </c>
      <c r="G534" s="1363">
        <f t="shared" si="1099"/>
        <v>0.53563538016151147</v>
      </c>
      <c r="H534" s="1363">
        <f t="shared" si="1099"/>
        <v>0.50426486798593251</v>
      </c>
      <c r="I534" s="1363">
        <f t="shared" si="1099"/>
        <v>0.48021118614239244</v>
      </c>
      <c r="J534" s="1377">
        <f t="shared" si="1099"/>
        <v>0.43704232560196621</v>
      </c>
      <c r="K534" s="1363">
        <f t="shared" ref="K534:R536" si="1100">K503/K$497</f>
        <v>0.39257950448779994</v>
      </c>
      <c r="L534" s="1363">
        <f t="shared" si="1100"/>
        <v>0.37478004872669024</v>
      </c>
      <c r="M534" s="1363">
        <f t="shared" si="1100"/>
        <v>0.36700761874776716</v>
      </c>
      <c r="N534" s="1363">
        <f t="shared" si="1100"/>
        <v>0.36668955360118199</v>
      </c>
      <c r="O534" s="1363">
        <f t="shared" si="1100"/>
        <v>0.36542354408576239</v>
      </c>
      <c r="P534" s="1363">
        <f t="shared" si="1100"/>
        <v>0.36083609892452584</v>
      </c>
      <c r="Q534" s="1363">
        <f t="shared" si="1100"/>
        <v>0.35631813566923265</v>
      </c>
      <c r="R534" s="1363">
        <f t="shared" si="1100"/>
        <v>0.35202370288023949</v>
      </c>
      <c r="S534" s="1363"/>
      <c r="T534" s="1363"/>
      <c r="U534" s="1363"/>
      <c r="V534" s="1363" t="e">
        <f t="shared" ref="V534:BE534" si="1101">V503/V$497</f>
        <v>#DIV/0!</v>
      </c>
      <c r="W534" s="1363" t="e">
        <f t="shared" si="1101"/>
        <v>#DIV/0!</v>
      </c>
      <c r="X534" s="1363" t="e">
        <f t="shared" si="1101"/>
        <v>#DIV/0!</v>
      </c>
      <c r="Y534" s="1363" t="e">
        <f t="shared" si="1101"/>
        <v>#DIV/0!</v>
      </c>
      <c r="Z534" s="1363">
        <f t="shared" si="1101"/>
        <v>0.33585181574457706</v>
      </c>
      <c r="AA534" s="1363">
        <f t="shared" si="1101"/>
        <v>0.26953124999999994</v>
      </c>
      <c r="AB534" s="1363">
        <f t="shared" si="1101"/>
        <v>0.36900539707016189</v>
      </c>
      <c r="AC534" s="1363">
        <f t="shared" si="1101"/>
        <v>0.31760078662733521</v>
      </c>
      <c r="AD534" s="1363">
        <f t="shared" si="1101"/>
        <v>0.39157956720153103</v>
      </c>
      <c r="AE534" s="1363">
        <f t="shared" si="1101"/>
        <v>0.38621429529301327</v>
      </c>
      <c r="AF534" s="1363">
        <f t="shared" si="1101"/>
        <v>0.4795997584749418</v>
      </c>
      <c r="AG534" s="1377">
        <f t="shared" si="1101"/>
        <v>0.54207977864883561</v>
      </c>
      <c r="AH534" s="1363">
        <f t="shared" si="1101"/>
        <v>0.54286509556503992</v>
      </c>
      <c r="AI534" s="1363">
        <f t="shared" si="1101"/>
        <v>0.5657534246575342</v>
      </c>
      <c r="AJ534" s="1363">
        <f t="shared" si="1101"/>
        <v>0.51122966124299818</v>
      </c>
      <c r="AK534" s="1377">
        <f t="shared" si="1101"/>
        <v>0.53977225500789627</v>
      </c>
      <c r="AL534" s="1363">
        <f t="shared" si="1101"/>
        <v>0.51683469659501613</v>
      </c>
      <c r="AM534" s="1363">
        <f t="shared" si="1101"/>
        <v>0.47257709905520234</v>
      </c>
      <c r="AN534" s="1363">
        <f t="shared" si="1101"/>
        <v>0.55193093701058105</v>
      </c>
      <c r="AO534" s="1377">
        <f t="shared" si="1101"/>
        <v>0.45187948350071738</v>
      </c>
      <c r="AP534" s="1363">
        <f t="shared" si="1101"/>
        <v>0.48421832551247224</v>
      </c>
      <c r="AQ534" s="1363">
        <f t="shared" si="1101"/>
        <v>0.46398448423616434</v>
      </c>
      <c r="AR534" s="1363">
        <f t="shared" si="1101"/>
        <v>0.52317401499580229</v>
      </c>
      <c r="AS534" s="1377">
        <f t="shared" si="1101"/>
        <v>0.43036718491564668</v>
      </c>
      <c r="AT534" s="1363">
        <f t="shared" si="1101"/>
        <v>0.42790943584001989</v>
      </c>
      <c r="AU534" s="1363">
        <f t="shared" si="1101"/>
        <v>0.42555114895602475</v>
      </c>
      <c r="AV534" s="1363">
        <f t="shared" si="1101"/>
        <v>0.48206505408653844</v>
      </c>
      <c r="AW534" s="1377">
        <f t="shared" si="1101"/>
        <v>0.39272661292412969</v>
      </c>
      <c r="AX534" s="1363">
        <f t="shared" si="1101"/>
        <v>0.46863542164833411</v>
      </c>
      <c r="AY534" s="1363">
        <f t="shared" si="1101"/>
        <v>0.41758281629839267</v>
      </c>
      <c r="AZ534" s="1363">
        <f t="shared" si="1101"/>
        <v>0.40542949366478781</v>
      </c>
      <c r="BA534" s="1377">
        <f t="shared" si="1101"/>
        <v>0.28823263780087244</v>
      </c>
      <c r="BB534" s="1363">
        <f t="shared" si="1101"/>
        <v>0.38503835038983375</v>
      </c>
      <c r="BC534" s="1363">
        <f t="shared" si="1101"/>
        <v>0.36081573968927055</v>
      </c>
      <c r="BD534" s="1363">
        <f t="shared" si="1101"/>
        <v>0.42078782738640097</v>
      </c>
      <c r="BE534" s="1363">
        <f t="shared" si="1101"/>
        <v>0.31643851506016241</v>
      </c>
      <c r="CG534"/>
      <c r="CH534"/>
      <c r="CI534"/>
      <c r="CJ534"/>
      <c r="CK534"/>
      <c r="CL534"/>
    </row>
    <row r="535" spans="1:90" ht="12.75" customHeight="1" outlineLevel="1">
      <c r="B535" s="1372" t="s">
        <v>873</v>
      </c>
      <c r="C535" s="1375">
        <f t="shared" ref="C535:J536" si="1102">C504/C$497</f>
        <v>0</v>
      </c>
      <c r="D535" s="1375">
        <f t="shared" si="1102"/>
        <v>0</v>
      </c>
      <c r="E535" s="1375">
        <f t="shared" si="1102"/>
        <v>-3.5705368289637954E-2</v>
      </c>
      <c r="F535" s="1375">
        <f t="shared" si="1102"/>
        <v>-2.3321841411478403E-2</v>
      </c>
      <c r="G535" s="1375">
        <f t="shared" si="1102"/>
        <v>-2.550281883285083E-2</v>
      </c>
      <c r="H535" s="1375">
        <f t="shared" si="1102"/>
        <v>-3.0523332108550731E-2</v>
      </c>
      <c r="I535" s="1375">
        <f t="shared" si="1102"/>
        <v>-3.7273958652600775E-2</v>
      </c>
      <c r="J535" s="1378">
        <f t="shared" si="1102"/>
        <v>-3.3385353155623514E-2</v>
      </c>
      <c r="K535" s="1375">
        <f t="shared" si="1100"/>
        <v>-3.7454324342283497E-2</v>
      </c>
      <c r="L535" s="1375">
        <f t="shared" si="1100"/>
        <v>-5.9583596054775097E-2</v>
      </c>
      <c r="M535" s="1375">
        <f t="shared" si="1100"/>
        <v>-7.3433940526891783E-2</v>
      </c>
      <c r="N535" s="1375">
        <f t="shared" si="1100"/>
        <v>-8.4871560781002969E-2</v>
      </c>
      <c r="O535" s="1375">
        <f t="shared" si="1100"/>
        <v>-7.9066446766561327E-2</v>
      </c>
      <c r="P535" s="1375">
        <f t="shared" si="1100"/>
        <v>-6.6652016927446919E-2</v>
      </c>
      <c r="Q535" s="1375">
        <f t="shared" si="1100"/>
        <v>-5.9188034331005411E-2</v>
      </c>
      <c r="R535" s="1375">
        <f t="shared" si="1100"/>
        <v>-5.2702092524803117E-2</v>
      </c>
      <c r="S535" s="1375"/>
      <c r="T535" s="1375"/>
      <c r="U535" s="1375"/>
      <c r="V535" s="1375" t="e">
        <f t="shared" ref="V535:BE535" si="1103">V504/V$497</f>
        <v>#DIV/0!</v>
      </c>
      <c r="W535" s="1375" t="e">
        <f t="shared" si="1103"/>
        <v>#DIV/0!</v>
      </c>
      <c r="X535" s="1375" t="e">
        <f t="shared" si="1103"/>
        <v>#DIV/0!</v>
      </c>
      <c r="Y535" s="1375" t="e">
        <f t="shared" si="1103"/>
        <v>#DIV/0!</v>
      </c>
      <c r="Z535" s="1375">
        <f t="shared" si="1103"/>
        <v>-4.3565683646112602E-2</v>
      </c>
      <c r="AA535" s="1375">
        <f t="shared" si="1103"/>
        <v>-4.107306985294118E-2</v>
      </c>
      <c r="AB535" s="1375">
        <f t="shared" si="1103"/>
        <v>-2.756360832690825E-2</v>
      </c>
      <c r="AC535" s="1375">
        <f t="shared" si="1103"/>
        <v>-3.5152409046214354E-2</v>
      </c>
      <c r="AD535" s="1375">
        <f t="shared" si="1103"/>
        <v>-2.9626085676431622E-2</v>
      </c>
      <c r="AE535" s="1375">
        <f t="shared" si="1103"/>
        <v>-2.6988064905457958E-2</v>
      </c>
      <c r="AF535" s="1375">
        <f t="shared" si="1103"/>
        <v>-1.7359613559906839E-2</v>
      </c>
      <c r="AG535" s="1378">
        <f t="shared" si="1103"/>
        <v>-2.3201521789255247E-2</v>
      </c>
      <c r="AH535" s="1375">
        <f t="shared" si="1103"/>
        <v>-2.2545926888105399E-2</v>
      </c>
      <c r="AI535" s="1375">
        <f t="shared" si="1103"/>
        <v>-2.8310502283105023E-2</v>
      </c>
      <c r="AJ535" s="1375">
        <f t="shared" si="1103"/>
        <v>-2.1018938383568952E-2</v>
      </c>
      <c r="AK535" s="1378">
        <f t="shared" si="1103"/>
        <v>-3.2582495220679908E-2</v>
      </c>
      <c r="AL535" s="1375">
        <f t="shared" si="1103"/>
        <v>-2.6821381015788473E-2</v>
      </c>
      <c r="AM535" s="1375">
        <f t="shared" si="1103"/>
        <v>-3.2087468061085034E-2</v>
      </c>
      <c r="AN535" s="1375">
        <f t="shared" si="1103"/>
        <v>-2.4981855685855075E-2</v>
      </c>
      <c r="AO535" s="1378">
        <f t="shared" si="1103"/>
        <v>-4.0688665710186513E-2</v>
      </c>
      <c r="AP535" s="1375">
        <f t="shared" si="1103"/>
        <v>-3.8626821437391948E-2</v>
      </c>
      <c r="AQ535" s="1375">
        <f t="shared" si="1103"/>
        <v>-3.874430562446439E-2</v>
      </c>
      <c r="AR535" s="1375">
        <f t="shared" si="1103"/>
        <v>-3.0078452942709086E-2</v>
      </c>
      <c r="AS535" s="1378">
        <f t="shared" si="1103"/>
        <v>-4.5071121402580218E-2</v>
      </c>
      <c r="AT535" s="1375">
        <f t="shared" si="1103"/>
        <v>-3.7444796914847298E-2</v>
      </c>
      <c r="AU535" s="1375">
        <f t="shared" si="1103"/>
        <v>-3.7384812784322874E-2</v>
      </c>
      <c r="AV535" s="1375">
        <f t="shared" si="1103"/>
        <v>-2.5390625E-2</v>
      </c>
      <c r="AW535" s="1378">
        <f t="shared" si="1103"/>
        <v>-3.7481531403094945E-2</v>
      </c>
      <c r="AX535" s="1375">
        <f t="shared" si="1103"/>
        <v>-3.2002231787023751E-2</v>
      </c>
      <c r="AY535" s="1375">
        <f t="shared" si="1103"/>
        <v>-3.6518994230978555E-2</v>
      </c>
      <c r="AZ535" s="1375">
        <f t="shared" si="1103"/>
        <v>-3.0363250951486245E-2</v>
      </c>
      <c r="BA535" s="1378">
        <f t="shared" si="1103"/>
        <v>-5.2683646277000624E-2</v>
      </c>
      <c r="BB535" s="1375">
        <f t="shared" si="1103"/>
        <v>-6.8831622029182207E-2</v>
      </c>
      <c r="BC535" s="1375">
        <f t="shared" si="1103"/>
        <v>-6.4755413041996557E-2</v>
      </c>
      <c r="BD535" s="1375">
        <f t="shared" si="1103"/>
        <v>-4.6695429590740106E-2</v>
      </c>
      <c r="BE535" s="1375">
        <f t="shared" si="1103"/>
        <v>-6.3507110244315504E-2</v>
      </c>
      <c r="BF535" s="141"/>
    </row>
    <row r="536" spans="1:90" s="13" customFormat="1" ht="12.75" customHeight="1" outlineLevel="1">
      <c r="A536" s="1349"/>
      <c r="B536" s="698" t="s">
        <v>469</v>
      </c>
      <c r="C536" s="1363">
        <f t="shared" si="1102"/>
        <v>0</v>
      </c>
      <c r="D536" s="1363">
        <f t="shared" si="1102"/>
        <v>0</v>
      </c>
      <c r="E536" s="1363">
        <f t="shared" si="1102"/>
        <v>0.36324594257178527</v>
      </c>
      <c r="F536" s="1363">
        <f t="shared" si="1102"/>
        <v>0.48112524263406437</v>
      </c>
      <c r="G536" s="1363">
        <f t="shared" si="1102"/>
        <v>0.58530778607344203</v>
      </c>
      <c r="H536" s="1363">
        <f t="shared" si="1102"/>
        <v>0.53478820009448325</v>
      </c>
      <c r="I536" s="1363">
        <f t="shared" si="1102"/>
        <v>0.51748514479499319</v>
      </c>
      <c r="J536" s="1377">
        <f t="shared" si="1102"/>
        <v>0.47042767875758973</v>
      </c>
      <c r="K536" s="1363">
        <f t="shared" si="1100"/>
        <v>0.4300338288300834</v>
      </c>
      <c r="L536" s="1363">
        <f t="shared" si="1100"/>
        <v>0.43436364478146533</v>
      </c>
      <c r="M536" s="1363">
        <f t="shared" si="1100"/>
        <v>0.440441559274659</v>
      </c>
      <c r="N536" s="1363">
        <f t="shared" si="1100"/>
        <v>0.45156111438218499</v>
      </c>
      <c r="O536" s="1363">
        <f t="shared" si="1100"/>
        <v>0.44448999085232371</v>
      </c>
      <c r="P536" s="1363">
        <f t="shared" si="1100"/>
        <v>0.42748811585197277</v>
      </c>
      <c r="Q536" s="1363">
        <f t="shared" si="1100"/>
        <v>0.41550617000023804</v>
      </c>
      <c r="R536" s="1363">
        <f t="shared" si="1100"/>
        <v>0.40472579540504255</v>
      </c>
      <c r="S536" s="1363"/>
      <c r="T536" s="1363"/>
      <c r="U536" s="1363"/>
      <c r="V536" s="1363" t="e">
        <f t="shared" ref="V536:BE536" si="1104">V505/V$497</f>
        <v>#DIV/0!</v>
      </c>
      <c r="W536" s="1363" t="e">
        <f t="shared" si="1104"/>
        <v>#DIV/0!</v>
      </c>
      <c r="X536" s="1363" t="e">
        <f t="shared" si="1104"/>
        <v>#DIV/0!</v>
      </c>
      <c r="Y536" s="1363" t="e">
        <f t="shared" si="1104"/>
        <v>#DIV/0!</v>
      </c>
      <c r="Z536" s="1363">
        <f t="shared" si="1104"/>
        <v>0.37941749939068969</v>
      </c>
      <c r="AA536" s="1363">
        <f t="shared" si="1104"/>
        <v>0.31060431985294112</v>
      </c>
      <c r="AB536" s="1363">
        <f t="shared" si="1104"/>
        <v>0.39656900539707018</v>
      </c>
      <c r="AC536" s="1363">
        <f t="shared" si="1104"/>
        <v>0.35275319567354957</v>
      </c>
      <c r="AD536" s="1363">
        <f t="shared" si="1104"/>
        <v>0.42120565287796269</v>
      </c>
      <c r="AE536" s="1363">
        <f t="shared" si="1104"/>
        <v>0.41320236019847123</v>
      </c>
      <c r="AF536" s="1363">
        <f t="shared" si="1104"/>
        <v>0.49695937203484863</v>
      </c>
      <c r="AG536" s="1377">
        <f t="shared" si="1104"/>
        <v>0.56528130043809088</v>
      </c>
      <c r="AH536" s="1363">
        <f t="shared" si="1104"/>
        <v>0.56541102245314534</v>
      </c>
      <c r="AI536" s="1363">
        <f t="shared" si="1104"/>
        <v>0.59406392694063925</v>
      </c>
      <c r="AJ536" s="1363">
        <f t="shared" si="1104"/>
        <v>0.59994665244065082</v>
      </c>
      <c r="AK536" s="1377">
        <f t="shared" si="1104"/>
        <v>0.57235475022857618</v>
      </c>
      <c r="AL536" s="1363">
        <f t="shared" si="1104"/>
        <v>0.54365607761080459</v>
      </c>
      <c r="AM536" s="1363">
        <f t="shared" si="1104"/>
        <v>0.50466456711628738</v>
      </c>
      <c r="AN536" s="1363">
        <f t="shared" si="1104"/>
        <v>0.57691279269643603</v>
      </c>
      <c r="AO536" s="1377">
        <f t="shared" si="1104"/>
        <v>0.49256814921090386</v>
      </c>
      <c r="AP536" s="1363">
        <f t="shared" si="1104"/>
        <v>0.52284514694986417</v>
      </c>
      <c r="AQ536" s="1363">
        <f t="shared" si="1104"/>
        <v>0.50272878986062874</v>
      </c>
      <c r="AR536" s="1363">
        <f t="shared" si="1104"/>
        <v>0.55325246793851146</v>
      </c>
      <c r="AS536" s="1377">
        <f t="shared" si="1104"/>
        <v>0.47543830631822692</v>
      </c>
      <c r="AT536" s="1363">
        <f t="shared" si="1104"/>
        <v>0.4653542327548672</v>
      </c>
      <c r="AU536" s="1363">
        <f t="shared" si="1104"/>
        <v>0.46293596174034762</v>
      </c>
      <c r="AV536" s="1363">
        <f t="shared" si="1104"/>
        <v>0.50745567908653844</v>
      </c>
      <c r="AW536" s="1377">
        <f t="shared" si="1104"/>
        <v>0.43020814432722465</v>
      </c>
      <c r="AX536" s="1363">
        <f t="shared" si="1104"/>
        <v>0.50063765343535793</v>
      </c>
      <c r="AY536" s="1363">
        <f t="shared" si="1104"/>
        <v>0.45410181052937121</v>
      </c>
      <c r="AZ536" s="1363">
        <f t="shared" si="1104"/>
        <v>0.43579274461627404</v>
      </c>
      <c r="BA536" s="1377">
        <f t="shared" si="1104"/>
        <v>0.34091628407787306</v>
      </c>
      <c r="BB536" s="1363">
        <f t="shared" si="1104"/>
        <v>0.45386997241901594</v>
      </c>
      <c r="BC536" s="1363">
        <f t="shared" si="1104"/>
        <v>0.42557115273126711</v>
      </c>
      <c r="BD536" s="1363">
        <f t="shared" si="1104"/>
        <v>0.4674832569771411</v>
      </c>
      <c r="BE536" s="1363">
        <f t="shared" si="1104"/>
        <v>0.3799456253044779</v>
      </c>
      <c r="CG536"/>
      <c r="CH536"/>
      <c r="CI536"/>
      <c r="CJ536"/>
      <c r="CK536"/>
      <c r="CL536"/>
    </row>
    <row r="537" spans="1:90" ht="12.75" customHeight="1" outlineLevel="1">
      <c r="B537" s="1372"/>
      <c r="C537" s="728"/>
      <c r="D537" s="728"/>
      <c r="E537" s="763"/>
      <c r="F537" s="763"/>
      <c r="G537" s="763"/>
      <c r="H537" s="763"/>
      <c r="I537" s="763"/>
      <c r="J537" s="764"/>
      <c r="K537" s="763"/>
      <c r="L537" s="763"/>
      <c r="M537" s="763"/>
      <c r="N537" s="763"/>
      <c r="O537" s="763"/>
      <c r="P537" s="763"/>
      <c r="Q537" s="763"/>
      <c r="R537" s="763"/>
      <c r="V537" s="141"/>
      <c r="W537" s="141"/>
      <c r="X537" s="141"/>
      <c r="Y537" s="398"/>
      <c r="Z537" s="141"/>
      <c r="AA537" s="141"/>
      <c r="AB537" s="141"/>
      <c r="AC537" s="398"/>
      <c r="AD537" s="141"/>
      <c r="AE537" s="141"/>
      <c r="AF537" s="141"/>
      <c r="AG537" s="398"/>
      <c r="AH537" s="1373"/>
      <c r="AI537" s="1373"/>
      <c r="AJ537" s="1373"/>
      <c r="AK537" s="1374"/>
      <c r="AL537" s="1373"/>
      <c r="AM537" s="1373"/>
      <c r="AN537" s="1373"/>
      <c r="AO537" s="1374"/>
      <c r="AP537" s="141"/>
      <c r="AQ537" s="141"/>
      <c r="AR537" s="141"/>
      <c r="AS537" s="398"/>
      <c r="AT537" s="141"/>
      <c r="AU537" s="141"/>
      <c r="AV537" s="141"/>
      <c r="AW537" s="398"/>
      <c r="AX537" s="225"/>
      <c r="AY537" s="225"/>
      <c r="AZ537" s="225"/>
      <c r="BA537" s="278"/>
      <c r="BB537" s="225"/>
      <c r="BC537" s="225"/>
      <c r="BD537" s="225"/>
      <c r="BE537" s="225"/>
      <c r="BF537" s="141"/>
    </row>
    <row r="538" spans="1:90" s="225" customFormat="1" ht="12.75" customHeight="1" outlineLevel="1">
      <c r="A538" s="1348"/>
      <c r="B538" s="337" t="s">
        <v>665</v>
      </c>
      <c r="G538" s="274"/>
      <c r="H538" s="275"/>
      <c r="I538" s="276"/>
      <c r="J538" s="1380"/>
      <c r="K538" s="276"/>
      <c r="L538" s="276"/>
      <c r="M538" s="276"/>
      <c r="N538" s="276"/>
      <c r="O538" s="276"/>
      <c r="P538" s="276"/>
      <c r="Q538" s="276"/>
      <c r="R538" s="276"/>
      <c r="V538" s="218"/>
      <c r="W538" s="218"/>
      <c r="X538" s="218"/>
      <c r="Y538" s="277"/>
      <c r="Z538" s="218"/>
      <c r="AA538" s="218"/>
      <c r="AB538" s="218"/>
      <c r="AC538" s="277"/>
      <c r="AG538" s="278"/>
      <c r="AK538" s="279"/>
      <c r="AL538" s="280"/>
      <c r="AM538" s="280"/>
      <c r="AN538" s="281"/>
      <c r="AO538" s="282"/>
      <c r="AP538" s="218"/>
      <c r="AQ538" s="218"/>
      <c r="AR538" s="283"/>
      <c r="AS538" s="284"/>
      <c r="AT538" s="285"/>
      <c r="AU538" s="283"/>
      <c r="AV538" s="283"/>
      <c r="AW538" s="284"/>
      <c r="AX538" s="300"/>
      <c r="AY538" s="300"/>
      <c r="AZ538" s="300"/>
      <c r="BA538" s="267"/>
      <c r="BB538" s="300"/>
      <c r="BC538" s="266"/>
      <c r="BD538" s="266"/>
      <c r="BE538" s="266"/>
      <c r="BF538" s="283"/>
      <c r="CG538"/>
      <c r="CH538"/>
      <c r="CI538"/>
      <c r="CJ538"/>
      <c r="CK538"/>
      <c r="CL538"/>
    </row>
    <row r="539" spans="1:90" s="225" customFormat="1" ht="12.75" customHeight="1" outlineLevel="1">
      <c r="A539" s="1348"/>
      <c r="B539" s="306" t="s">
        <v>114</v>
      </c>
      <c r="C539" s="301"/>
      <c r="D539" s="301"/>
      <c r="E539" s="301"/>
      <c r="F539" s="301"/>
      <c r="G539" s="332">
        <f t="shared" ref="G539:R539" si="1105">G499/G497</f>
        <v>0.7673510589669359</v>
      </c>
      <c r="H539" s="332">
        <f t="shared" si="1105"/>
        <v>0.74203453886935067</v>
      </c>
      <c r="I539" s="332">
        <f t="shared" si="1105"/>
        <v>0.69991002837566618</v>
      </c>
      <c r="J539" s="336">
        <f t="shared" si="1105"/>
        <v>0.64877142658570952</v>
      </c>
      <c r="K539" s="332">
        <f t="shared" si="1105"/>
        <v>0.61589999999999989</v>
      </c>
      <c r="L539" s="332">
        <f t="shared" si="1105"/>
        <v>0.61649999999999994</v>
      </c>
      <c r="M539" s="332">
        <f t="shared" si="1105"/>
        <v>0.60185000000000011</v>
      </c>
      <c r="N539" s="301">
        <f t="shared" si="1105"/>
        <v>0.6007499999999999</v>
      </c>
      <c r="O539" s="301">
        <f t="shared" si="1105"/>
        <v>0.59800000000000009</v>
      </c>
      <c r="P539" s="301">
        <f t="shared" si="1105"/>
        <v>0.59689999999999999</v>
      </c>
      <c r="Q539" s="301">
        <f t="shared" si="1105"/>
        <v>0.59689999999999999</v>
      </c>
      <c r="R539" s="301">
        <f t="shared" si="1105"/>
        <v>0.5969000000000001</v>
      </c>
      <c r="V539" s="286"/>
      <c r="W539" s="286"/>
      <c r="X539" s="286"/>
      <c r="Y539" s="287"/>
      <c r="Z539" s="286">
        <f t="shared" ref="Z539:BA539" si="1106">Z499/Z497</f>
        <v>0.71232198325339413</v>
      </c>
      <c r="AA539" s="286">
        <f t="shared" si="1106"/>
        <v>0.69662044692278824</v>
      </c>
      <c r="AB539" s="286">
        <f t="shared" si="1106"/>
        <v>0.70302071151805356</v>
      </c>
      <c r="AC539" s="287">
        <f t="shared" si="1106"/>
        <v>0.6764132553606238</v>
      </c>
      <c r="AD539" s="301">
        <f t="shared" si="1106"/>
        <v>0.69478181939147521</v>
      </c>
      <c r="AE539" s="301">
        <f t="shared" si="1106"/>
        <v>0.70057367828661921</v>
      </c>
      <c r="AF539" s="301">
        <f t="shared" si="1106"/>
        <v>0.75656868065669436</v>
      </c>
      <c r="AG539" s="335">
        <f t="shared" si="1106"/>
        <v>0.7453618246526782</v>
      </c>
      <c r="AH539" s="301">
        <f t="shared" si="1106"/>
        <v>0.76099461866765639</v>
      </c>
      <c r="AI539" s="301">
        <f t="shared" si="1106"/>
        <v>0.7484931506849315</v>
      </c>
      <c r="AJ539" s="301">
        <f t="shared" si="1106"/>
        <v>0.78954387836756468</v>
      </c>
      <c r="AK539" s="335">
        <f t="shared" si="1106"/>
        <v>0.75563128584490069</v>
      </c>
      <c r="AL539" s="286">
        <f t="shared" si="1106"/>
        <v>0.74687717963350453</v>
      </c>
      <c r="AM539" s="286">
        <f t="shared" si="1106"/>
        <v>0.73611028581615068</v>
      </c>
      <c r="AN539" s="286">
        <f t="shared" si="1106"/>
        <v>0.76672141793040227</v>
      </c>
      <c r="AO539" s="287">
        <f t="shared" si="1106"/>
        <v>0.70628407460545195</v>
      </c>
      <c r="AP539" s="286">
        <f t="shared" si="1106"/>
        <v>0.71706594220795261</v>
      </c>
      <c r="AQ539" s="286">
        <f t="shared" si="1106"/>
        <v>0.70118623426999238</v>
      </c>
      <c r="AR539" s="286">
        <f t="shared" si="1106"/>
        <v>0.7254436499435486</v>
      </c>
      <c r="AS539" s="287">
        <f t="shared" si="1106"/>
        <v>0.6479077075752564</v>
      </c>
      <c r="AT539" s="286">
        <f t="shared" si="1106"/>
        <v>0.66256142315108535</v>
      </c>
      <c r="AU539" s="286">
        <f t="shared" si="1106"/>
        <v>0.65181383413040939</v>
      </c>
      <c r="AV539" s="286">
        <f t="shared" si="1106"/>
        <v>0.65189302884615385</v>
      </c>
      <c r="AW539" s="287">
        <f t="shared" si="1106"/>
        <v>0.63026517017029993</v>
      </c>
      <c r="AX539" s="286">
        <f t="shared" si="1106"/>
        <v>0.67455762792922047</v>
      </c>
      <c r="AY539" s="286">
        <f>AY499/AY497</f>
        <v>0.62568484452668627</v>
      </c>
      <c r="AZ539" s="286">
        <f>AZ499/AZ497</f>
        <v>0.59351062292238765</v>
      </c>
      <c r="BA539" s="287">
        <f t="shared" si="1106"/>
        <v>0.58883668297799951</v>
      </c>
      <c r="BB539" s="286">
        <f>BB499/BB497</f>
        <v>0.61425000000000007</v>
      </c>
      <c r="BC539" s="286">
        <f>BC499/BC497</f>
        <v>0.61062500000000008</v>
      </c>
      <c r="BD539" s="286">
        <f>BD499/BD497</f>
        <v>0.61429999999999996</v>
      </c>
      <c r="BE539" s="286">
        <f>BE499/BE497</f>
        <v>0.62732975883381026</v>
      </c>
      <c r="BF539" s="283"/>
      <c r="CG539"/>
      <c r="CH539"/>
      <c r="CI539"/>
      <c r="CJ539"/>
      <c r="CK539"/>
      <c r="CL539"/>
    </row>
    <row r="540" spans="1:90" s="225" customFormat="1" ht="12.75" customHeight="1" outlineLevel="1">
      <c r="A540" s="1348"/>
      <c r="B540" s="306" t="s">
        <v>680</v>
      </c>
      <c r="C540" s="301"/>
      <c r="D540" s="301"/>
      <c r="E540" s="301"/>
      <c r="F540" s="301"/>
      <c r="G540" s="332">
        <f t="shared" ref="G540:R540" si="1107">G503/G497</f>
        <v>0.53563538016151147</v>
      </c>
      <c r="H540" s="332">
        <f t="shared" si="1107"/>
        <v>0.50426486798593251</v>
      </c>
      <c r="I540" s="332">
        <f t="shared" si="1107"/>
        <v>0.48021118614239244</v>
      </c>
      <c r="J540" s="336">
        <f t="shared" si="1107"/>
        <v>0.43704232560196621</v>
      </c>
      <c r="K540" s="332">
        <f t="shared" si="1107"/>
        <v>0.39257950448779994</v>
      </c>
      <c r="L540" s="332">
        <f t="shared" si="1107"/>
        <v>0.37478004872669024</v>
      </c>
      <c r="M540" s="332">
        <f t="shared" si="1107"/>
        <v>0.36700761874776716</v>
      </c>
      <c r="N540" s="301">
        <f t="shared" si="1107"/>
        <v>0.36668955360118199</v>
      </c>
      <c r="O540" s="301">
        <f t="shared" si="1107"/>
        <v>0.36542354408576239</v>
      </c>
      <c r="P540" s="301">
        <f t="shared" si="1107"/>
        <v>0.36083609892452584</v>
      </c>
      <c r="Q540" s="301">
        <f t="shared" si="1107"/>
        <v>0.35631813566923265</v>
      </c>
      <c r="R540" s="301">
        <f t="shared" si="1107"/>
        <v>0.35202370288023949</v>
      </c>
      <c r="V540" s="286"/>
      <c r="W540" s="286"/>
      <c r="X540" s="286"/>
      <c r="Y540" s="287"/>
      <c r="Z540" s="286">
        <f t="shared" ref="Z540:BA540" si="1108">Z503/Z497</f>
        <v>0.33585181574457706</v>
      </c>
      <c r="AA540" s="286">
        <f t="shared" si="1108"/>
        <v>0.26953124999999994</v>
      </c>
      <c r="AB540" s="286">
        <f t="shared" si="1108"/>
        <v>0.36900539707016189</v>
      </c>
      <c r="AC540" s="287">
        <f t="shared" si="1108"/>
        <v>0.31760078662733521</v>
      </c>
      <c r="AD540" s="301">
        <f t="shared" si="1108"/>
        <v>0.39157956720153103</v>
      </c>
      <c r="AE540" s="301">
        <f t="shared" si="1108"/>
        <v>0.38621429529301327</v>
      </c>
      <c r="AF540" s="301">
        <f t="shared" si="1108"/>
        <v>0.4795997584749418</v>
      </c>
      <c r="AG540" s="335">
        <f t="shared" si="1108"/>
        <v>0.54207977864883561</v>
      </c>
      <c r="AH540" s="301">
        <f t="shared" si="1108"/>
        <v>0.54286509556503992</v>
      </c>
      <c r="AI540" s="301">
        <f t="shared" si="1108"/>
        <v>0.5657534246575342</v>
      </c>
      <c r="AJ540" s="301">
        <f t="shared" si="1108"/>
        <v>0.51122966124299818</v>
      </c>
      <c r="AK540" s="335">
        <f t="shared" si="1108"/>
        <v>0.53977225500789627</v>
      </c>
      <c r="AL540" s="286">
        <f t="shared" si="1108"/>
        <v>0.51683469659501613</v>
      </c>
      <c r="AM540" s="286">
        <f t="shared" si="1108"/>
        <v>0.47257709905520234</v>
      </c>
      <c r="AN540" s="286">
        <f t="shared" si="1108"/>
        <v>0.55193093701058105</v>
      </c>
      <c r="AO540" s="287">
        <f t="shared" si="1108"/>
        <v>0.45187948350071738</v>
      </c>
      <c r="AP540" s="286">
        <f t="shared" si="1108"/>
        <v>0.48421832551247224</v>
      </c>
      <c r="AQ540" s="286">
        <f t="shared" si="1108"/>
        <v>0.46398448423616434</v>
      </c>
      <c r="AR540" s="286">
        <f t="shared" si="1108"/>
        <v>0.52317401499580229</v>
      </c>
      <c r="AS540" s="287">
        <f t="shared" si="1108"/>
        <v>0.43036718491564668</v>
      </c>
      <c r="AT540" s="286">
        <f t="shared" si="1108"/>
        <v>0.42790943584001989</v>
      </c>
      <c r="AU540" s="286">
        <f t="shared" si="1108"/>
        <v>0.42555114895602475</v>
      </c>
      <c r="AV540" s="286">
        <f t="shared" si="1108"/>
        <v>0.48206505408653844</v>
      </c>
      <c r="AW540" s="287">
        <f t="shared" si="1108"/>
        <v>0.39272661292412969</v>
      </c>
      <c r="AX540" s="286">
        <f t="shared" si="1108"/>
        <v>0.46863542164833411</v>
      </c>
      <c r="AY540" s="286">
        <f>AY503/AY497</f>
        <v>0.41758281629839267</v>
      </c>
      <c r="AZ540" s="286">
        <f>AZ503/AZ497</f>
        <v>0.40542949366478781</v>
      </c>
      <c r="BA540" s="287">
        <f t="shared" si="1108"/>
        <v>0.28823263780087244</v>
      </c>
      <c r="BB540" s="286">
        <f>BB503/BB497</f>
        <v>0.38503835038983375</v>
      </c>
      <c r="BC540" s="286">
        <f>BC503/BC497</f>
        <v>0.36081573968927055</v>
      </c>
      <c r="BD540" s="286">
        <f>BD503/BD497</f>
        <v>0.42078782738640097</v>
      </c>
      <c r="BE540" s="286">
        <f>BE503/BE497</f>
        <v>0.31643851506016241</v>
      </c>
      <c r="BF540" s="283"/>
      <c r="CG540"/>
      <c r="CH540"/>
      <c r="CI540"/>
      <c r="CJ540"/>
      <c r="CK540"/>
      <c r="CL540"/>
    </row>
    <row r="541" spans="1:90" s="225" customFormat="1" ht="12.75" customHeight="1" outlineLevel="1">
      <c r="A541" s="1348"/>
      <c r="B541" s="306" t="s">
        <v>116</v>
      </c>
      <c r="C541" s="301"/>
      <c r="D541" s="301"/>
      <c r="E541" s="301"/>
      <c r="F541" s="301"/>
      <c r="G541" s="332">
        <f>G507/G497</f>
        <v>0.52963583726954133</v>
      </c>
      <c r="H541" s="332">
        <f t="shared" ref="H541:M541" si="1109">H507/H497</f>
        <v>0.47685160883943101</v>
      </c>
      <c r="I541" s="332">
        <f t="shared" si="1109"/>
        <v>0.45123241351354021</v>
      </c>
      <c r="J541" s="336">
        <f t="shared" si="1109"/>
        <v>0.40468052036670815</v>
      </c>
      <c r="K541" s="332">
        <f t="shared" si="1109"/>
        <v>0.36414957497852268</v>
      </c>
      <c r="L541" s="332">
        <f t="shared" si="1109"/>
        <v>0.35466527348592425</v>
      </c>
      <c r="M541" s="332">
        <f t="shared" si="1109"/>
        <v>0.35138980579925388</v>
      </c>
      <c r="N541" s="301"/>
      <c r="O541" s="301"/>
      <c r="P541" s="301"/>
      <c r="Q541" s="301"/>
      <c r="R541" s="301"/>
      <c r="V541" s="286"/>
      <c r="W541" s="286"/>
      <c r="X541" s="286"/>
      <c r="Y541" s="287"/>
      <c r="Z541" s="286"/>
      <c r="AA541" s="286"/>
      <c r="AB541" s="286"/>
      <c r="AC541" s="287"/>
      <c r="AD541" s="301"/>
      <c r="AE541" s="301"/>
      <c r="AF541" s="301"/>
      <c r="AG541" s="335"/>
      <c r="AH541" s="301">
        <f>AH507/AH497</f>
        <v>0.53961773984041561</v>
      </c>
      <c r="AI541" s="301">
        <f t="shared" ref="AI541:BA541" si="1110">AI507/AI497</f>
        <v>0.56219178082191779</v>
      </c>
      <c r="AJ541" s="301">
        <f t="shared" si="1110"/>
        <v>0.50466791144305145</v>
      </c>
      <c r="AK541" s="335">
        <f t="shared" si="1110"/>
        <v>0.52996425899758959</v>
      </c>
      <c r="AL541" s="301">
        <f t="shared" si="1110"/>
        <v>0.50199733688415449</v>
      </c>
      <c r="AM541" s="301">
        <f t="shared" si="1110"/>
        <v>0.43704319923940815</v>
      </c>
      <c r="AN541" s="301">
        <f t="shared" si="1110"/>
        <v>0.52847702356850912</v>
      </c>
      <c r="AO541" s="335">
        <f t="shared" si="1110"/>
        <v>0.41497847919655667</v>
      </c>
      <c r="AP541" s="301">
        <f t="shared" si="1110"/>
        <v>0.45225981723882441</v>
      </c>
      <c r="AQ541" s="301">
        <f t="shared" si="1110"/>
        <v>0.43114879797934236</v>
      </c>
      <c r="AR541" s="301">
        <f t="shared" si="1110"/>
        <v>0.49963813218307618</v>
      </c>
      <c r="AS541" s="335">
        <f t="shared" si="1110"/>
        <v>0.39964439298709892</v>
      </c>
      <c r="AT541" s="301">
        <f t="shared" si="1110"/>
        <v>0.38900292343098836</v>
      </c>
      <c r="AU541" s="301">
        <f t="shared" si="1110"/>
        <v>0.38772891636533302</v>
      </c>
      <c r="AV541" s="301">
        <f t="shared" si="1110"/>
        <v>0.45838341346153844</v>
      </c>
      <c r="AW541" s="335">
        <f t="shared" si="1110"/>
        <v>0.35869255294331115</v>
      </c>
      <c r="AX541" s="301">
        <f t="shared" si="1110"/>
        <v>0.42906105531643551</v>
      </c>
      <c r="AY541" s="301">
        <f>AY507/AY497</f>
        <v>0.38587133993686729</v>
      </c>
      <c r="AZ541" s="301">
        <f>AZ507/AZ497</f>
        <v>0.38065471889001301</v>
      </c>
      <c r="BA541" s="335">
        <f t="shared" si="1110"/>
        <v>0.2670793679602893</v>
      </c>
      <c r="BB541" s="301">
        <f>BB507/BB497</f>
        <v>0.36180154196857706</v>
      </c>
      <c r="BC541" s="301">
        <f>BC507/BC497</f>
        <v>0.33895501517433357</v>
      </c>
      <c r="BD541" s="301">
        <f>BD507/BD497</f>
        <v>0.40502395724124757</v>
      </c>
      <c r="BE541" s="301">
        <f>BE507/BE497</f>
        <v>0.29499920401924079</v>
      </c>
      <c r="BF541" s="283"/>
      <c r="CG541"/>
      <c r="CH541"/>
      <c r="CI541"/>
      <c r="CJ541"/>
      <c r="CK541"/>
      <c r="CL541"/>
    </row>
    <row r="542" spans="1:90" s="225" customFormat="1" ht="12.75" customHeight="1" outlineLevel="1">
      <c r="A542" s="1348"/>
      <c r="B542" s="306" t="s">
        <v>134</v>
      </c>
      <c r="C542" s="301"/>
      <c r="D542" s="301"/>
      <c r="E542" s="301"/>
      <c r="F542" s="301"/>
      <c r="G542" s="332">
        <f t="shared" ref="G542:R542" si="1111">G505/G497</f>
        <v>0.58530778607344203</v>
      </c>
      <c r="H542" s="332">
        <f t="shared" si="1111"/>
        <v>0.53478820009448325</v>
      </c>
      <c r="I542" s="332">
        <f t="shared" si="1111"/>
        <v>0.51748514479499319</v>
      </c>
      <c r="J542" s="336">
        <f t="shared" si="1111"/>
        <v>0.47042767875758973</v>
      </c>
      <c r="K542" s="332">
        <f t="shared" si="1111"/>
        <v>0.4300338288300834</v>
      </c>
      <c r="L542" s="332">
        <f t="shared" si="1111"/>
        <v>0.43436364478146533</v>
      </c>
      <c r="M542" s="332">
        <f t="shared" si="1111"/>
        <v>0.440441559274659</v>
      </c>
      <c r="N542" s="301">
        <f t="shared" si="1111"/>
        <v>0.45156111438218499</v>
      </c>
      <c r="O542" s="301">
        <f t="shared" si="1111"/>
        <v>0.44448999085232371</v>
      </c>
      <c r="P542" s="301">
        <f t="shared" si="1111"/>
        <v>0.42748811585197277</v>
      </c>
      <c r="Q542" s="301">
        <f t="shared" si="1111"/>
        <v>0.41550617000023804</v>
      </c>
      <c r="R542" s="301">
        <f t="shared" si="1111"/>
        <v>0.40472579540504255</v>
      </c>
      <c r="V542" s="286"/>
      <c r="W542" s="286"/>
      <c r="X542" s="286"/>
      <c r="Y542" s="287"/>
      <c r="Z542" s="286">
        <f t="shared" ref="Z542:BA542" si="1112">Z505/Z497</f>
        <v>0.37941749939068969</v>
      </c>
      <c r="AA542" s="286">
        <f t="shared" si="1112"/>
        <v>0.31060431985294112</v>
      </c>
      <c r="AB542" s="286">
        <f t="shared" si="1112"/>
        <v>0.39656900539707018</v>
      </c>
      <c r="AC542" s="287">
        <f t="shared" si="1112"/>
        <v>0.35275319567354957</v>
      </c>
      <c r="AD542" s="301">
        <f t="shared" si="1112"/>
        <v>0.42120565287796269</v>
      </c>
      <c r="AE542" s="301">
        <f t="shared" si="1112"/>
        <v>0.41320236019847123</v>
      </c>
      <c r="AF542" s="301">
        <f t="shared" si="1112"/>
        <v>0.49695937203484863</v>
      </c>
      <c r="AG542" s="335">
        <f t="shared" si="1112"/>
        <v>0.56528130043809088</v>
      </c>
      <c r="AH542" s="301">
        <f t="shared" si="1112"/>
        <v>0.56541102245314534</v>
      </c>
      <c r="AI542" s="301">
        <f t="shared" si="1112"/>
        <v>0.59406392694063925</v>
      </c>
      <c r="AJ542" s="301">
        <f t="shared" si="1112"/>
        <v>0.59994665244065082</v>
      </c>
      <c r="AK542" s="335">
        <f t="shared" si="1112"/>
        <v>0.57235475022857618</v>
      </c>
      <c r="AL542" s="286">
        <f t="shared" si="1112"/>
        <v>0.54365607761080459</v>
      </c>
      <c r="AM542" s="286">
        <f t="shared" si="1112"/>
        <v>0.50466456711628738</v>
      </c>
      <c r="AN542" s="286">
        <f t="shared" si="1112"/>
        <v>0.57691279269643603</v>
      </c>
      <c r="AO542" s="287">
        <f t="shared" si="1112"/>
        <v>0.49256814921090386</v>
      </c>
      <c r="AP542" s="286">
        <f t="shared" si="1112"/>
        <v>0.52284514694986417</v>
      </c>
      <c r="AQ542" s="286">
        <f t="shared" si="1112"/>
        <v>0.50272878986062874</v>
      </c>
      <c r="AR542" s="286">
        <f t="shared" si="1112"/>
        <v>0.55325246793851146</v>
      </c>
      <c r="AS542" s="287">
        <f t="shared" si="1112"/>
        <v>0.47543830631822692</v>
      </c>
      <c r="AT542" s="286">
        <f t="shared" si="1112"/>
        <v>0.4653542327548672</v>
      </c>
      <c r="AU542" s="286">
        <f t="shared" si="1112"/>
        <v>0.46293596174034762</v>
      </c>
      <c r="AV542" s="286">
        <f t="shared" si="1112"/>
        <v>0.50745567908653844</v>
      </c>
      <c r="AW542" s="287">
        <f t="shared" si="1112"/>
        <v>0.43020814432722465</v>
      </c>
      <c r="AX542" s="286">
        <f t="shared" si="1112"/>
        <v>0.50063765343535793</v>
      </c>
      <c r="AY542" s="286">
        <f>AY505/AY497</f>
        <v>0.45410181052937121</v>
      </c>
      <c r="AZ542" s="286">
        <f>AZ505/AZ497</f>
        <v>0.43579274461627404</v>
      </c>
      <c r="BA542" s="287">
        <f t="shared" si="1112"/>
        <v>0.34091628407787306</v>
      </c>
      <c r="BB542" s="286">
        <f>BB505/BB497</f>
        <v>0.45386997241901594</v>
      </c>
      <c r="BC542" s="286">
        <f>BC505/BC497</f>
        <v>0.42557115273126711</v>
      </c>
      <c r="BD542" s="286">
        <f>BD505/BD497</f>
        <v>0.4674832569771411</v>
      </c>
      <c r="BE542" s="286">
        <f>BE505/BE497</f>
        <v>0.3799456253044779</v>
      </c>
      <c r="BF542" s="283"/>
      <c r="CG542"/>
      <c r="CH542"/>
      <c r="CI542"/>
      <c r="CJ542"/>
      <c r="CK542"/>
      <c r="CL542"/>
    </row>
    <row r="543" spans="1:90" s="225" customFormat="1" ht="12.75" customHeight="1" outlineLevel="1">
      <c r="A543" s="1348"/>
      <c r="B543" s="306" t="s">
        <v>117</v>
      </c>
      <c r="C543" s="301"/>
      <c r="D543" s="301"/>
      <c r="E543" s="301"/>
      <c r="F543" s="301"/>
      <c r="G543" s="332">
        <f t="shared" ref="G543:R543" si="1113">G511/G497</f>
        <v>0.53683528873990549</v>
      </c>
      <c r="H543" s="332">
        <f t="shared" si="1113"/>
        <v>0.45826990709149124</v>
      </c>
      <c r="I543" s="332">
        <f t="shared" si="1113"/>
        <v>0.42476493677268817</v>
      </c>
      <c r="J543" s="336">
        <f t="shared" si="1113"/>
        <v>0.38104414524271352</v>
      </c>
      <c r="K543" s="332">
        <f t="shared" si="1113"/>
        <v>0.34153955926478963</v>
      </c>
      <c r="L543" s="332">
        <f t="shared" si="1113"/>
        <v>0.32912050233507922</v>
      </c>
      <c r="M543" s="332">
        <f t="shared" si="1113"/>
        <v>0.31757212371159876</v>
      </c>
      <c r="N543" s="301">
        <f t="shared" si="1113"/>
        <v>0.31472552567073775</v>
      </c>
      <c r="O543" s="301">
        <f t="shared" si="1113"/>
        <v>0.31537100406560598</v>
      </c>
      <c r="P543" s="301">
        <f t="shared" si="1113"/>
        <v>0.31515510410782971</v>
      </c>
      <c r="Q543" s="301">
        <f t="shared" si="1113"/>
        <v>0.31626664781511199</v>
      </c>
      <c r="R543" s="301">
        <f t="shared" si="1113"/>
        <v>0.31696623914306099</v>
      </c>
      <c r="V543" s="286"/>
      <c r="W543" s="286"/>
      <c r="X543" s="286"/>
      <c r="Y543" s="287"/>
      <c r="Z543" s="301">
        <f t="shared" ref="Z543:BA543" si="1114">Z511/Z497</f>
        <v>0</v>
      </c>
      <c r="AA543" s="301">
        <f t="shared" si="1114"/>
        <v>0</v>
      </c>
      <c r="AB543" s="301">
        <f t="shared" si="1114"/>
        <v>0</v>
      </c>
      <c r="AC543" s="301">
        <f t="shared" si="1114"/>
        <v>0</v>
      </c>
      <c r="AD543" s="301">
        <f t="shared" si="1114"/>
        <v>0</v>
      </c>
      <c r="AE543" s="301">
        <f t="shared" si="1114"/>
        <v>0</v>
      </c>
      <c r="AF543" s="301">
        <f t="shared" si="1114"/>
        <v>0</v>
      </c>
      <c r="AG543" s="335">
        <f t="shared" si="1114"/>
        <v>0</v>
      </c>
      <c r="AH543" s="301">
        <f t="shared" si="1114"/>
        <v>0.48645388754871033</v>
      </c>
      <c r="AI543" s="301">
        <f t="shared" si="1114"/>
        <v>0.53872146118721465</v>
      </c>
      <c r="AJ543" s="301">
        <f t="shared" si="1114"/>
        <v>0.55653507602027208</v>
      </c>
      <c r="AK543" s="335">
        <f t="shared" si="1114"/>
        <v>0.54958025101820296</v>
      </c>
      <c r="AL543" s="301">
        <f t="shared" si="1114"/>
        <v>0.46179696912053769</v>
      </c>
      <c r="AM543" s="301">
        <f t="shared" si="1114"/>
        <v>0.40442094004397172</v>
      </c>
      <c r="AN543" s="301">
        <f t="shared" si="1114"/>
        <v>0.49917873104396654</v>
      </c>
      <c r="AO543" s="335">
        <f t="shared" si="1114"/>
        <v>0.44562410329985652</v>
      </c>
      <c r="AP543" s="301">
        <f t="shared" si="1114"/>
        <v>0.47038775006174366</v>
      </c>
      <c r="AQ543" s="301">
        <f t="shared" si="1114"/>
        <v>0.41730188083532543</v>
      </c>
      <c r="AR543" s="301">
        <f t="shared" si="1114"/>
        <v>0.48105260110586806</v>
      </c>
      <c r="AS543" s="335">
        <f t="shared" si="1114"/>
        <v>0.31454680780681443</v>
      </c>
      <c r="AT543" s="332">
        <f t="shared" si="1114"/>
        <v>0.38561298749766748</v>
      </c>
      <c r="AU543" s="301">
        <f t="shared" si="1114"/>
        <v>0.39350285780940158</v>
      </c>
      <c r="AV543" s="301">
        <f t="shared" si="1114"/>
        <v>0.43543419471153844</v>
      </c>
      <c r="AW543" s="335">
        <f t="shared" si="1114"/>
        <v>0.29109100806138055</v>
      </c>
      <c r="AX543" s="332">
        <f t="shared" si="1114"/>
        <v>0.41184441256177268</v>
      </c>
      <c r="AY543" s="332">
        <f>AY511/AY497</f>
        <v>0.40539167664453396</v>
      </c>
      <c r="AZ543" s="332">
        <f>AZ511/AZ497</f>
        <v>0.33415233415233414</v>
      </c>
      <c r="BA543" s="335">
        <f t="shared" si="1114"/>
        <v>0.22631868641372493</v>
      </c>
      <c r="BB543" s="301">
        <f>BB511/BB497</f>
        <v>0.33629950018703675</v>
      </c>
      <c r="BC543" s="301">
        <f>BC511/BC497</f>
        <v>0.32216545427312865</v>
      </c>
      <c r="BD543" s="301">
        <f>BD511/BD497</f>
        <v>0.36289003132794789</v>
      </c>
      <c r="BE543" s="301">
        <f>BE511/BE497</f>
        <v>0.28339029606671357</v>
      </c>
      <c r="BF543" s="283"/>
      <c r="CG543"/>
      <c r="CH543"/>
      <c r="CI543"/>
      <c r="CJ543"/>
      <c r="CK543"/>
      <c r="CL543"/>
    </row>
    <row r="544" spans="1:90" s="225" customFormat="1" ht="12.75" customHeight="1" outlineLevel="1">
      <c r="A544" s="1348"/>
      <c r="B544" s="306"/>
      <c r="G544" s="274"/>
      <c r="H544" s="275"/>
      <c r="I544" s="276"/>
      <c r="J544" s="1380"/>
      <c r="K544" s="276"/>
      <c r="L544" s="276"/>
      <c r="M544" s="276"/>
      <c r="N544" s="276"/>
      <c r="O544" s="276"/>
      <c r="P544" s="276"/>
      <c r="Q544" s="276"/>
      <c r="R544" s="276"/>
      <c r="V544" s="218"/>
      <c r="W544" s="218"/>
      <c r="X544" s="218"/>
      <c r="Y544" s="277"/>
      <c r="Z544" s="218"/>
      <c r="AA544" s="218"/>
      <c r="AB544" s="218"/>
      <c r="AC544" s="277"/>
      <c r="AG544" s="278"/>
      <c r="AK544" s="279"/>
      <c r="AL544" s="280"/>
      <c r="AM544" s="280"/>
      <c r="AN544" s="281"/>
      <c r="AO544" s="282"/>
      <c r="AP544" s="218"/>
      <c r="AQ544" s="218"/>
      <c r="AR544" s="283"/>
      <c r="AS544" s="284"/>
      <c r="AT544" s="285"/>
      <c r="AU544" s="283"/>
      <c r="AV544" s="283"/>
      <c r="AW544" s="284"/>
      <c r="AX544" s="300"/>
      <c r="AY544" s="300"/>
      <c r="AZ544" s="300"/>
      <c r="BA544" s="267"/>
      <c r="BB544" s="300"/>
      <c r="BC544" s="266"/>
      <c r="BD544" s="266"/>
      <c r="BE544" s="266"/>
      <c r="BF544" s="283"/>
      <c r="CG544"/>
      <c r="CH544"/>
      <c r="CI544"/>
      <c r="CJ544"/>
      <c r="CK544"/>
      <c r="CL544"/>
    </row>
    <row r="545" spans="1:90" s="225" customFormat="1" ht="12.75" customHeight="1" outlineLevel="1">
      <c r="A545" s="1348"/>
      <c r="B545" s="337" t="s">
        <v>81</v>
      </c>
      <c r="G545" s="274"/>
      <c r="H545" s="275"/>
      <c r="I545" s="276"/>
      <c r="J545" s="1380"/>
      <c r="K545" s="276"/>
      <c r="L545" s="276"/>
      <c r="M545" s="276"/>
      <c r="N545" s="276"/>
      <c r="O545" s="276"/>
      <c r="P545" s="276"/>
      <c r="Q545" s="276"/>
      <c r="R545" s="276"/>
      <c r="V545" s="218"/>
      <c r="W545" s="218"/>
      <c r="X545" s="218"/>
      <c r="Y545" s="277"/>
      <c r="Z545" s="218"/>
      <c r="AA545" s="218"/>
      <c r="AB545" s="218"/>
      <c r="AC545" s="277"/>
      <c r="AG545" s="278"/>
      <c r="AK545" s="279"/>
      <c r="AL545" s="280"/>
      <c r="AM545" s="280"/>
      <c r="AN545" s="281"/>
      <c r="AO545" s="282"/>
      <c r="AP545" s="218"/>
      <c r="AQ545" s="218"/>
      <c r="AR545" s="283"/>
      <c r="AS545" s="284"/>
      <c r="AT545" s="285"/>
      <c r="AU545" s="283"/>
      <c r="AV545" s="283"/>
      <c r="AW545" s="284"/>
      <c r="AX545" s="300"/>
      <c r="AY545" s="300"/>
      <c r="AZ545" s="300"/>
      <c r="BA545" s="267"/>
      <c r="BB545" s="300"/>
      <c r="BC545" s="266"/>
      <c r="BD545" s="266"/>
      <c r="BE545" s="266"/>
      <c r="BF545" s="283"/>
      <c r="CG545"/>
      <c r="CH545"/>
      <c r="CI545"/>
      <c r="CJ545"/>
      <c r="CK545"/>
      <c r="CL545"/>
    </row>
    <row r="546" spans="1:90" s="225" customFormat="1" ht="12.75" customHeight="1" outlineLevel="1">
      <c r="A546" s="1348"/>
      <c r="B546" s="306" t="s">
        <v>388</v>
      </c>
      <c r="G546" s="274"/>
      <c r="H546" s="275"/>
      <c r="I546" s="276"/>
      <c r="J546" s="1380"/>
      <c r="K546" s="276"/>
      <c r="L546" s="276"/>
      <c r="M546" s="276"/>
      <c r="N546" s="276"/>
      <c r="O546" s="276"/>
      <c r="P546" s="276"/>
      <c r="Q546" s="276"/>
      <c r="R546" s="276"/>
      <c r="V546" s="218"/>
      <c r="W546" s="286"/>
      <c r="X546" s="286"/>
      <c r="Y546" s="287"/>
      <c r="Z546" s="286"/>
      <c r="AA546" s="286">
        <f t="shared" ref="AA546:BA546" si="1115">AA497/Z497-1</f>
        <v>6.0687301974165164E-2</v>
      </c>
      <c r="AB546" s="286">
        <f t="shared" si="1115"/>
        <v>0.49011948529411775</v>
      </c>
      <c r="AC546" s="287">
        <f t="shared" si="1115"/>
        <v>-0.21588280647648417</v>
      </c>
      <c r="AD546" s="301">
        <f t="shared" si="1115"/>
        <v>0.3358898721730581</v>
      </c>
      <c r="AE546" s="301">
        <f t="shared" si="1115"/>
        <v>9.7747681436773259E-2</v>
      </c>
      <c r="AF546" s="301">
        <f t="shared" si="1115"/>
        <v>0.55464664074024417</v>
      </c>
      <c r="AG546" s="335">
        <f t="shared" si="1115"/>
        <v>-0.25178987319934443</v>
      </c>
      <c r="AH546" s="301">
        <f t="shared" si="1115"/>
        <v>0.24256398432095927</v>
      </c>
      <c r="AI546" s="301">
        <f t="shared" si="1115"/>
        <v>1.5958433846724907E-2</v>
      </c>
      <c r="AJ546" s="301">
        <f t="shared" si="1115"/>
        <v>0.71187214611872141</v>
      </c>
      <c r="AK546" s="335">
        <f t="shared" si="1115"/>
        <v>-0.35817551347025878</v>
      </c>
      <c r="AL546" s="286">
        <f t="shared" si="1115"/>
        <v>0.31086360236056843</v>
      </c>
      <c r="AM546" s="286">
        <f t="shared" si="1115"/>
        <v>6.7085156299537152E-2</v>
      </c>
      <c r="AN546" s="286">
        <f t="shared" si="1115"/>
        <v>0.55558856735397222</v>
      </c>
      <c r="AO546" s="287">
        <f t="shared" si="1115"/>
        <v>-0.33439016005194999</v>
      </c>
      <c r="AP546" s="286">
        <f t="shared" si="1115"/>
        <v>0.16183644189383073</v>
      </c>
      <c r="AQ546" s="286">
        <f t="shared" si="1115"/>
        <v>9.5134601136082964E-2</v>
      </c>
      <c r="AR546" s="286">
        <f t="shared" si="1115"/>
        <v>0.55802625050741961</v>
      </c>
      <c r="AS546" s="287">
        <f t="shared" si="1115"/>
        <v>-0.29988709724111973</v>
      </c>
      <c r="AT546" s="286">
        <f t="shared" si="1115"/>
        <v>0.32955673172345357</v>
      </c>
      <c r="AU546" s="286">
        <f t="shared" si="1115"/>
        <v>6.6492504820551135E-2</v>
      </c>
      <c r="AV546" s="286">
        <f t="shared" si="1115"/>
        <v>0.5527819899685058</v>
      </c>
      <c r="AW546" s="287">
        <f t="shared" si="1115"/>
        <v>-0.27548452524038458</v>
      </c>
      <c r="AX546" s="286">
        <f t="shared" si="1115"/>
        <v>0.30081132222193419</v>
      </c>
      <c r="AY546" s="286">
        <f t="shared" si="1115"/>
        <v>9.8397895743663311E-2</v>
      </c>
      <c r="AZ546" s="286">
        <f t="shared" si="1115"/>
        <v>0.50625884401872212</v>
      </c>
      <c r="BA546" s="287">
        <f t="shared" si="1115"/>
        <v>-0.27722298978416959</v>
      </c>
      <c r="BB546" s="286">
        <f>BB497/BA497-1</f>
        <v>0.21967725572990537</v>
      </c>
      <c r="BC546" s="286">
        <f>BC497/BB497-1</f>
        <v>6.2947772173765015E-2</v>
      </c>
      <c r="BD546" s="286">
        <f>BD497/BC497-1</f>
        <v>0.38676126570720792</v>
      </c>
      <c r="BE546" s="286">
        <f>BE497/BD497-1</f>
        <v>-0.2647212349751058</v>
      </c>
      <c r="BF546" s="283"/>
      <c r="CG546"/>
      <c r="CH546"/>
      <c r="CI546"/>
      <c r="CJ546"/>
      <c r="CK546"/>
      <c r="CL546"/>
    </row>
    <row r="547" spans="1:90" s="225" customFormat="1" ht="12.75" customHeight="1" outlineLevel="1">
      <c r="A547" s="1348"/>
      <c r="B547" s="306" t="s">
        <v>623</v>
      </c>
      <c r="G547" s="274"/>
      <c r="H547" s="275"/>
      <c r="I547" s="276"/>
      <c r="J547" s="1380"/>
      <c r="K547" s="276"/>
      <c r="L547" s="276"/>
      <c r="M547" s="276"/>
      <c r="N547" s="276"/>
      <c r="O547" s="276"/>
      <c r="P547" s="276"/>
      <c r="Q547" s="276"/>
      <c r="R547" s="276"/>
      <c r="V547" s="218"/>
      <c r="W547" s="286"/>
      <c r="X547" s="286"/>
      <c r="Y547" s="287"/>
      <c r="Z547" s="286"/>
      <c r="AA547" s="286">
        <f t="shared" ref="AA547:BA547" si="1116">AA499/Z499-1</f>
        <v>3.7306835557427975E-2</v>
      </c>
      <c r="AB547" s="286">
        <f t="shared" si="1116"/>
        <v>0.50381009547728373</v>
      </c>
      <c r="AC547" s="287">
        <f t="shared" si="1116"/>
        <v>-0.24555954786851641</v>
      </c>
      <c r="AD547" s="301">
        <f t="shared" si="1116"/>
        <v>0.37216707174108588</v>
      </c>
      <c r="AE547" s="301">
        <f t="shared" si="1116"/>
        <v>0.10689875519244785</v>
      </c>
      <c r="AF547" s="301">
        <f t="shared" si="1116"/>
        <v>0.67890543753915034</v>
      </c>
      <c r="AG547" s="335">
        <f t="shared" si="1116"/>
        <v>-0.26287291610897623</v>
      </c>
      <c r="AH547" s="301">
        <f t="shared" si="1116"/>
        <v>0.26862481300154206</v>
      </c>
      <c r="AI547" s="301">
        <f t="shared" si="1116"/>
        <v>-7.3152889539140897E-4</v>
      </c>
      <c r="AJ547" s="301">
        <f t="shared" si="1116"/>
        <v>0.80575890678379691</v>
      </c>
      <c r="AK547" s="335">
        <f t="shared" si="1116"/>
        <v>-0.38574324324324327</v>
      </c>
      <c r="AL547" s="286">
        <f t="shared" si="1116"/>
        <v>0.29567704322956767</v>
      </c>
      <c r="AM547" s="286">
        <f t="shared" si="1116"/>
        <v>5.1702181849053508E-2</v>
      </c>
      <c r="AN547" s="286">
        <f t="shared" si="1116"/>
        <v>0.62027768808524386</v>
      </c>
      <c r="AO547" s="287">
        <f t="shared" si="1116"/>
        <v>-0.38685731367078513</v>
      </c>
      <c r="AP547" s="286">
        <f t="shared" si="1116"/>
        <v>0.1795726009588039</v>
      </c>
      <c r="AQ547" s="286">
        <f t="shared" si="1116"/>
        <v>7.088241372184334E-2</v>
      </c>
      <c r="AR547" s="286">
        <f t="shared" si="1116"/>
        <v>0.61192589733693548</v>
      </c>
      <c r="AS547" s="287">
        <f t="shared" si="1116"/>
        <v>-0.37471567101640124</v>
      </c>
      <c r="AT547" s="286">
        <f t="shared" si="1116"/>
        <v>0.3596272895526198</v>
      </c>
      <c r="AU547" s="286">
        <f t="shared" si="1116"/>
        <v>4.9192639879834799E-2</v>
      </c>
      <c r="AV547" s="286">
        <f t="shared" si="1116"/>
        <v>0.55297065139584833</v>
      </c>
      <c r="AW547" s="287">
        <f t="shared" si="1116"/>
        <v>-0.2995217792117999</v>
      </c>
      <c r="AX547" s="286">
        <f t="shared" si="1116"/>
        <v>0.39222702035780377</v>
      </c>
      <c r="AY547" s="286">
        <f t="shared" si="1116"/>
        <v>1.8817204301075252E-2</v>
      </c>
      <c r="AZ547" s="286">
        <f t="shared" si="1116"/>
        <v>0.42880338658702777</v>
      </c>
      <c r="BA547" s="287">
        <f t="shared" si="1116"/>
        <v>-0.28291491206569375</v>
      </c>
      <c r="BB547" s="286">
        <f>BB499/BA499-1</f>
        <v>0.27231671529554835</v>
      </c>
      <c r="BC547" s="286">
        <f>BC499/BB499-1</f>
        <v>5.6674779623288929E-2</v>
      </c>
      <c r="BD547" s="286">
        <f>BD499/BC499-1</f>
        <v>0.39510738263899725</v>
      </c>
      <c r="BE547" s="286">
        <f>BE499/BD499-1</f>
        <v>-0.24912542676430283</v>
      </c>
      <c r="BF547" s="283"/>
      <c r="CG547"/>
      <c r="CH547"/>
      <c r="CI547"/>
      <c r="CJ547"/>
      <c r="CK547"/>
      <c r="CL547"/>
    </row>
    <row r="548" spans="1:90" s="225" customFormat="1" ht="12.75" customHeight="1" outlineLevel="1">
      <c r="A548" s="1348"/>
      <c r="B548" s="306" t="s">
        <v>677</v>
      </c>
      <c r="G548" s="274"/>
      <c r="H548" s="275"/>
      <c r="I548" s="276"/>
      <c r="J548" s="1380"/>
      <c r="K548" s="276"/>
      <c r="L548" s="276"/>
      <c r="M548" s="276"/>
      <c r="N548" s="276"/>
      <c r="O548" s="276"/>
      <c r="P548" s="276"/>
      <c r="Q548" s="276"/>
      <c r="R548" s="276"/>
      <c r="V548" s="218"/>
      <c r="W548" s="301"/>
      <c r="X548" s="286"/>
      <c r="Y548" s="287"/>
      <c r="Z548" s="286"/>
      <c r="AA548" s="286">
        <f t="shared" ref="AA548:BA548" si="1117">AA503/Z503-1</f>
        <v>-0.14876632801161105</v>
      </c>
      <c r="AB548" s="286">
        <f t="shared" si="1117"/>
        <v>1.0400682011935212</v>
      </c>
      <c r="AC548" s="287">
        <f t="shared" si="1117"/>
        <v>-0.32511491851232777</v>
      </c>
      <c r="AD548" s="301">
        <f t="shared" si="1117"/>
        <v>0.64705882352941257</v>
      </c>
      <c r="AE548" s="301">
        <f t="shared" si="1117"/>
        <v>8.2706766917292951E-2</v>
      </c>
      <c r="AF548" s="301">
        <f t="shared" si="1117"/>
        <v>0.93055555555555558</v>
      </c>
      <c r="AG548" s="335">
        <f t="shared" si="1117"/>
        <v>-0.15431654676258988</v>
      </c>
      <c r="AH548" s="301">
        <f t="shared" si="1117"/>
        <v>0.24436410038281586</v>
      </c>
      <c r="AI548" s="301">
        <f t="shared" si="1117"/>
        <v>5.8793368654930678E-2</v>
      </c>
      <c r="AJ548" s="301">
        <f t="shared" si="1117"/>
        <v>0.54689265536723153</v>
      </c>
      <c r="AK548" s="335">
        <f t="shared" si="1117"/>
        <v>-0.32234164666597098</v>
      </c>
      <c r="AL548" s="286">
        <f t="shared" si="1117"/>
        <v>0.25515860794579615</v>
      </c>
      <c r="AM548" s="286">
        <f t="shared" si="1117"/>
        <v>-2.4291497975708509E-2</v>
      </c>
      <c r="AN548" s="286">
        <f t="shared" si="1117"/>
        <v>0.81679869231736446</v>
      </c>
      <c r="AO548" s="287">
        <f t="shared" si="1117"/>
        <v>-0.45504879230396567</v>
      </c>
      <c r="AP548" s="286">
        <f t="shared" si="1117"/>
        <v>0.24498348996697983</v>
      </c>
      <c r="AQ548" s="286">
        <f t="shared" si="1117"/>
        <v>4.937264102825667E-2</v>
      </c>
      <c r="AR548" s="286">
        <f t="shared" si="1117"/>
        <v>0.7567804024496938</v>
      </c>
      <c r="AS548" s="287">
        <f t="shared" si="1117"/>
        <v>-0.42408145196989822</v>
      </c>
      <c r="AT548" s="286">
        <f t="shared" si="1117"/>
        <v>0.32196387394312076</v>
      </c>
      <c r="AU548" s="286">
        <f t="shared" si="1117"/>
        <v>6.06148702667344E-2</v>
      </c>
      <c r="AV548" s="286">
        <f t="shared" si="1117"/>
        <v>0.7589940382375111</v>
      </c>
      <c r="AW548" s="287">
        <f t="shared" si="1117"/>
        <v>-0.40975495734154033</v>
      </c>
      <c r="AX548" s="286">
        <f t="shared" si="1117"/>
        <v>0.55224077618639034</v>
      </c>
      <c r="AY548" s="286">
        <f t="shared" si="1117"/>
        <v>-2.1260311250956732E-2</v>
      </c>
      <c r="AZ548" s="286">
        <f t="shared" si="1117"/>
        <v>0.46242071422365116</v>
      </c>
      <c r="BA548" s="287">
        <f t="shared" si="1117"/>
        <v>-0.48615498514130295</v>
      </c>
      <c r="BB548" s="286">
        <f>BB503/BA503-1</f>
        <v>0.62931763084610948</v>
      </c>
      <c r="BC548" s="286">
        <f>BC503/BB503-1</f>
        <v>-3.9218527722385543E-3</v>
      </c>
      <c r="BD548" s="286">
        <f>BD503/BC503-1</f>
        <v>0.61725832859475949</v>
      </c>
      <c r="BE548" s="286">
        <f>BE503/BD503-1</f>
        <v>-0.44705976405042025</v>
      </c>
      <c r="BF548" s="283"/>
      <c r="CG548"/>
      <c r="CH548"/>
      <c r="CI548"/>
      <c r="CJ548"/>
      <c r="CK548"/>
      <c r="CL548"/>
    </row>
    <row r="549" spans="1:90" s="225" customFormat="1" ht="12.75" customHeight="1" outlineLevel="1">
      <c r="A549" s="1348"/>
      <c r="B549" s="306" t="s">
        <v>115</v>
      </c>
      <c r="G549" s="274"/>
      <c r="H549" s="275"/>
      <c r="I549" s="276"/>
      <c r="J549" s="1380"/>
      <c r="K549" s="276"/>
      <c r="L549" s="276"/>
      <c r="M549" s="276"/>
      <c r="N549" s="276"/>
      <c r="O549" s="276"/>
      <c r="P549" s="276"/>
      <c r="Q549" s="276"/>
      <c r="R549" s="276"/>
      <c r="V549" s="218"/>
      <c r="W549" s="301"/>
      <c r="X549" s="286"/>
      <c r="Y549" s="287"/>
      <c r="Z549" s="286"/>
      <c r="AA549" s="286"/>
      <c r="AB549" s="286"/>
      <c r="AC549" s="287"/>
      <c r="AD549" s="301"/>
      <c r="AE549" s="301"/>
      <c r="AF549" s="301"/>
      <c r="AG549" s="335"/>
      <c r="AH549" s="301"/>
      <c r="AI549" s="301">
        <f>AI507/AH507-1</f>
        <v>5.8459422283356322E-2</v>
      </c>
      <c r="AJ549" s="301">
        <f t="shared" ref="AJ549:BA549" si="1118">AJ507/AI507-1</f>
        <v>0.53671215074723855</v>
      </c>
      <c r="AK549" s="335">
        <f t="shared" si="1118"/>
        <v>-0.32600422832980969</v>
      </c>
      <c r="AL549" s="301">
        <f t="shared" si="1118"/>
        <v>0.24168757841907151</v>
      </c>
      <c r="AM549" s="301">
        <f t="shared" si="1118"/>
        <v>-7.0986484779588244E-2</v>
      </c>
      <c r="AN549" s="301">
        <f t="shared" si="1118"/>
        <v>0.88103331067301149</v>
      </c>
      <c r="AO549" s="335">
        <f t="shared" si="1118"/>
        <v>-0.477340079508493</v>
      </c>
      <c r="AP549" s="301">
        <f t="shared" si="1118"/>
        <v>0.26621490803484993</v>
      </c>
      <c r="AQ549" s="301">
        <f t="shared" si="1118"/>
        <v>4.4014853647881269E-2</v>
      </c>
      <c r="AR549" s="301">
        <f t="shared" si="1118"/>
        <v>0.80552359033371701</v>
      </c>
      <c r="AS549" s="335">
        <f t="shared" si="1118"/>
        <v>-0.44000231763138076</v>
      </c>
      <c r="AT549" s="301">
        <f t="shared" si="1118"/>
        <v>0.29415416451112253</v>
      </c>
      <c r="AU549" s="301">
        <f t="shared" si="1118"/>
        <v>6.2999680204669062E-2</v>
      </c>
      <c r="AV549" s="301">
        <f t="shared" si="1118"/>
        <v>0.83574007220216617</v>
      </c>
      <c r="AW549" s="335">
        <f t="shared" si="1118"/>
        <v>-0.43305473615208123</v>
      </c>
      <c r="AX549" s="301">
        <f t="shared" si="1118"/>
        <v>0.55600520306402657</v>
      </c>
      <c r="AY549" s="301">
        <f t="shared" si="1118"/>
        <v>-1.216793609511424E-2</v>
      </c>
      <c r="AZ549" s="301">
        <f t="shared" si="1118"/>
        <v>0.48589562764456984</v>
      </c>
      <c r="BA549" s="335">
        <f t="shared" si="1118"/>
        <v>-0.49287683171885621</v>
      </c>
      <c r="BB549" s="301">
        <f>BB507/BA507-1</f>
        <v>0.65224710241449335</v>
      </c>
      <c r="BC549" s="301">
        <f>BC507/BB507-1</f>
        <v>-4.1737348980830369E-3</v>
      </c>
      <c r="BD549" s="301">
        <f>BD507/BC507-1</f>
        <v>0.6570680781835665</v>
      </c>
      <c r="BE549" s="301">
        <f>BE507/BD507-1</f>
        <v>-0.4644597028481543</v>
      </c>
      <c r="BF549" s="283"/>
      <c r="CG549"/>
      <c r="CH549"/>
      <c r="CI549"/>
      <c r="CJ549"/>
      <c r="CK549"/>
      <c r="CL549"/>
    </row>
    <row r="550" spans="1:90" s="225" customFormat="1" ht="12.75" customHeight="1" outlineLevel="1">
      <c r="A550" s="1348"/>
      <c r="B550" s="306" t="s">
        <v>469</v>
      </c>
      <c r="G550" s="274"/>
      <c r="H550" s="275"/>
      <c r="I550" s="276"/>
      <c r="J550" s="1380"/>
      <c r="K550" s="276"/>
      <c r="L550" s="276"/>
      <c r="M550" s="276"/>
      <c r="N550" s="276"/>
      <c r="O550" s="276"/>
      <c r="P550" s="276"/>
      <c r="Q550" s="276"/>
      <c r="R550" s="276"/>
      <c r="V550" s="218"/>
      <c r="W550" s="286"/>
      <c r="X550" s="286"/>
      <c r="Y550" s="287"/>
      <c r="Z550" s="286"/>
      <c r="AA550" s="286">
        <f t="shared" ref="AA550:BA550" si="1119">AA505/Z505-1</f>
        <v>-0.1316845993255179</v>
      </c>
      <c r="AB550" s="286">
        <f t="shared" si="1119"/>
        <v>0.90253375254300017</v>
      </c>
      <c r="AC550" s="287">
        <f t="shared" si="1119"/>
        <v>-0.30251774083795102</v>
      </c>
      <c r="AD550" s="301">
        <f t="shared" si="1119"/>
        <v>0.59512195121951295</v>
      </c>
      <c r="AE550" s="301">
        <f t="shared" si="1119"/>
        <v>7.6889471384884001E-2</v>
      </c>
      <c r="AF550" s="301">
        <f t="shared" si="1119"/>
        <v>0.86977687626774847</v>
      </c>
      <c r="AG550" s="335">
        <f t="shared" si="1119"/>
        <v>-0.14892601431980912</v>
      </c>
      <c r="AH550" s="301">
        <f t="shared" si="1119"/>
        <v>0.24284913067863156</v>
      </c>
      <c r="AI550" s="301">
        <f t="shared" si="1119"/>
        <v>6.7443386937971805E-2</v>
      </c>
      <c r="AJ550" s="301">
        <f t="shared" si="1119"/>
        <v>0.72882398155265182</v>
      </c>
      <c r="AK550" s="335">
        <f t="shared" si="1119"/>
        <v>-0.38769340209852388</v>
      </c>
      <c r="AL550" s="286">
        <f t="shared" si="1119"/>
        <v>0.24513505663665414</v>
      </c>
      <c r="AM550" s="286">
        <f t="shared" si="1119"/>
        <v>-9.4471658502449651E-3</v>
      </c>
      <c r="AN550" s="286">
        <f t="shared" si="1119"/>
        <v>0.77828800188390446</v>
      </c>
      <c r="AO550" s="287">
        <f t="shared" si="1119"/>
        <v>-0.43170231079917898</v>
      </c>
      <c r="AP550" s="286">
        <f t="shared" si="1119"/>
        <v>0.23325177676802977</v>
      </c>
      <c r="AQ550" s="286">
        <f t="shared" si="1119"/>
        <v>5.2999527633443622E-2</v>
      </c>
      <c r="AR550" s="286">
        <f t="shared" si="1119"/>
        <v>0.71460613673066575</v>
      </c>
      <c r="AS550" s="287">
        <f t="shared" si="1119"/>
        <v>-0.39835696719166969</v>
      </c>
      <c r="AT550" s="286">
        <f t="shared" si="1119"/>
        <v>0.30135675769699088</v>
      </c>
      <c r="AU550" s="286">
        <f t="shared" si="1119"/>
        <v>6.0950344182316485E-2</v>
      </c>
      <c r="AV550" s="286">
        <f t="shared" si="1119"/>
        <v>0.70211023622047253</v>
      </c>
      <c r="AW550" s="287">
        <f t="shared" si="1119"/>
        <v>-0.3857740276081566</v>
      </c>
      <c r="AX550" s="286">
        <f t="shared" si="1119"/>
        <v>0.5137675483521118</v>
      </c>
      <c r="AY550" s="286">
        <f t="shared" si="1119"/>
        <v>-3.7016398662633732E-3</v>
      </c>
      <c r="AZ550" s="286">
        <f t="shared" si="1119"/>
        <v>0.44552754584315446</v>
      </c>
      <c r="BA550" s="287">
        <f t="shared" si="1119"/>
        <v>-0.43457880934511062</v>
      </c>
      <c r="BB550" s="286">
        <f>BB505/BA505-1</f>
        <v>0.6237853932837778</v>
      </c>
      <c r="BC550" s="286">
        <f>BC505/BB505-1</f>
        <v>-3.3270844375234976E-3</v>
      </c>
      <c r="BD550" s="286">
        <f>BD505/BC505-1</f>
        <v>0.52333556675989867</v>
      </c>
      <c r="BE550" s="286">
        <f>BE505/BD505-1</f>
        <v>-0.40240437281768127</v>
      </c>
      <c r="BF550" s="283"/>
      <c r="CG550"/>
      <c r="CH550"/>
      <c r="CI550"/>
      <c r="CJ550"/>
      <c r="CK550"/>
      <c r="CL550"/>
    </row>
    <row r="551" spans="1:90" s="225" customFormat="1" ht="12.75" customHeight="1" outlineLevel="1">
      <c r="A551" s="1348"/>
      <c r="B551" s="306" t="s">
        <v>624</v>
      </c>
      <c r="G551" s="274"/>
      <c r="H551" s="275"/>
      <c r="I551" s="276"/>
      <c r="J551" s="1380"/>
      <c r="K551" s="276"/>
      <c r="L551" s="276"/>
      <c r="M551" s="276"/>
      <c r="N551" s="276"/>
      <c r="O551" s="276"/>
      <c r="P551" s="276"/>
      <c r="Q551" s="276"/>
      <c r="R551" s="276"/>
      <c r="V551" s="218"/>
      <c r="W551" s="286"/>
      <c r="X551" s="286"/>
      <c r="Y551" s="287"/>
      <c r="Z551" s="286"/>
      <c r="AA551" s="286"/>
      <c r="AB551" s="286"/>
      <c r="AC551" s="287"/>
      <c r="AD551" s="301"/>
      <c r="AE551" s="301"/>
      <c r="AF551" s="301"/>
      <c r="AG551" s="335"/>
      <c r="AH551" s="301"/>
      <c r="AI551" s="301"/>
      <c r="AJ551" s="301"/>
      <c r="AK551" s="335">
        <f t="shared" ref="AK551:BA551" si="1120">AK511/AJ511-1</f>
        <v>-0.36619617052888875</v>
      </c>
      <c r="AL551" s="301">
        <f t="shared" si="1120"/>
        <v>0.10148215366001212</v>
      </c>
      <c r="AM551" s="301">
        <f t="shared" si="1120"/>
        <v>-6.549498832898526E-2</v>
      </c>
      <c r="AN551" s="301">
        <f t="shared" si="1120"/>
        <v>0.92007052600646499</v>
      </c>
      <c r="AO551" s="335">
        <f t="shared" si="1120"/>
        <v>-0.40580042852770126</v>
      </c>
      <c r="AP551" s="301">
        <f t="shared" si="1120"/>
        <v>0.22640051513200254</v>
      </c>
      <c r="AQ551" s="301">
        <f t="shared" si="1120"/>
        <v>-2.8457418880604823E-2</v>
      </c>
      <c r="AR551" s="301">
        <f t="shared" si="1120"/>
        <v>0.79604409857328151</v>
      </c>
      <c r="AS551" s="335">
        <f t="shared" si="1120"/>
        <v>-0.54221580309321782</v>
      </c>
      <c r="AT551" s="301">
        <f t="shared" si="1120"/>
        <v>0.62994610227422121</v>
      </c>
      <c r="AU551" s="301">
        <f t="shared" si="1120"/>
        <v>8.8313573675296464E-2</v>
      </c>
      <c r="AV551" s="301">
        <f t="shared" si="1120"/>
        <v>0.7182451459908108</v>
      </c>
      <c r="AW551" s="335">
        <f t="shared" si="1120"/>
        <v>-0.51565599930992834</v>
      </c>
      <c r="AX551" s="301">
        <f t="shared" si="1120"/>
        <v>0.84042742653606406</v>
      </c>
      <c r="AY551" s="301">
        <f t="shared" si="1120"/>
        <v>8.1188310431585142E-2</v>
      </c>
      <c r="AZ551" s="301">
        <f t="shared" si="1120"/>
        <v>0.24156448581401602</v>
      </c>
      <c r="BA551" s="335">
        <f t="shared" si="1120"/>
        <v>-0.51046894843022739</v>
      </c>
      <c r="BB551" s="301">
        <f>BB511/BA511-1</f>
        <v>0.81238614447255353</v>
      </c>
      <c r="BC551" s="301">
        <f>BC511/BB511-1</f>
        <v>1.8274043525239758E-2</v>
      </c>
      <c r="BD551" s="301">
        <f>BD511/BC511-1</f>
        <v>0.56206021620874957</v>
      </c>
      <c r="BE551" s="301">
        <f>BE511/BD511-1</f>
        <v>-0.42580162329213955</v>
      </c>
      <c r="BF551" s="283"/>
      <c r="CG551"/>
      <c r="CH551"/>
      <c r="CI551"/>
      <c r="CJ551"/>
      <c r="CK551"/>
      <c r="CL551"/>
    </row>
    <row r="552" spans="1:90" s="225" customFormat="1" ht="12.75" customHeight="1" outlineLevel="1">
      <c r="A552" s="1348"/>
      <c r="B552" s="306"/>
      <c r="G552" s="274"/>
      <c r="H552" s="275"/>
      <c r="I552" s="276"/>
      <c r="J552" s="1380"/>
      <c r="K552" s="276"/>
      <c r="L552" s="276"/>
      <c r="M552" s="276"/>
      <c r="N552" s="276"/>
      <c r="O552" s="276"/>
      <c r="P552" s="276"/>
      <c r="Q552" s="276"/>
      <c r="R552" s="276"/>
      <c r="V552" s="218"/>
      <c r="W552" s="218"/>
      <c r="X552" s="218"/>
      <c r="Y552" s="277"/>
      <c r="Z552" s="218"/>
      <c r="AA552" s="218"/>
      <c r="AB552" s="218"/>
      <c r="AC552" s="277"/>
      <c r="AG552" s="278"/>
      <c r="AK552" s="279"/>
      <c r="AL552" s="280"/>
      <c r="AM552" s="280"/>
      <c r="AN552" s="281"/>
      <c r="AO552" s="282"/>
      <c r="AP552" s="218"/>
      <c r="AQ552" s="218"/>
      <c r="AR552" s="283"/>
      <c r="AS552" s="284"/>
      <c r="AT552" s="285"/>
      <c r="AU552" s="283"/>
      <c r="AV552" s="283"/>
      <c r="AW552" s="284"/>
      <c r="AX552" s="300"/>
      <c r="AY552" s="300"/>
      <c r="AZ552" s="266"/>
      <c r="BA552" s="267"/>
      <c r="BB552" s="300"/>
      <c r="BC552" s="266"/>
      <c r="BD552" s="266"/>
      <c r="BE552" s="266"/>
      <c r="BF552" s="283"/>
      <c r="CG552"/>
      <c r="CH552"/>
      <c r="CI552"/>
      <c r="CJ552"/>
      <c r="CK552"/>
      <c r="CL552"/>
    </row>
    <row r="553" spans="1:90" s="225" customFormat="1" ht="12.75" customHeight="1" outlineLevel="1">
      <c r="A553" s="1348"/>
      <c r="B553" s="337" t="s">
        <v>80</v>
      </c>
      <c r="G553" s="274"/>
      <c r="H553" s="275"/>
      <c r="I553" s="276"/>
      <c r="J553" s="1380"/>
      <c r="K553" s="276"/>
      <c r="L553" s="276"/>
      <c r="M553" s="276"/>
      <c r="N553" s="276"/>
      <c r="O553" s="276"/>
      <c r="P553" s="276"/>
      <c r="Q553" s="276"/>
      <c r="R553" s="276"/>
      <c r="V553" s="218"/>
      <c r="W553" s="218"/>
      <c r="X553" s="218"/>
      <c r="Y553" s="277"/>
      <c r="Z553" s="218"/>
      <c r="AA553" s="218"/>
      <c r="AB553" s="218"/>
      <c r="AC553" s="277"/>
      <c r="AG553" s="278"/>
      <c r="AK553" s="279"/>
      <c r="AL553" s="280"/>
      <c r="AM553" s="280"/>
      <c r="AN553" s="281"/>
      <c r="AO553" s="282"/>
      <c r="AP553" s="218"/>
      <c r="AQ553" s="218"/>
      <c r="AR553" s="283"/>
      <c r="AS553" s="284"/>
      <c r="AT553" s="285"/>
      <c r="AU553" s="283"/>
      <c r="AV553" s="283"/>
      <c r="AW553" s="284"/>
      <c r="AX553" s="300"/>
      <c r="AY553" s="300"/>
      <c r="AZ553" s="266"/>
      <c r="BA553" s="267"/>
      <c r="BB553" s="300"/>
      <c r="BC553" s="266"/>
      <c r="BD553" s="266"/>
      <c r="BE553" s="266"/>
      <c r="BF553" s="283"/>
      <c r="CG553"/>
      <c r="CH553"/>
      <c r="CI553"/>
      <c r="CJ553"/>
      <c r="CK553"/>
      <c r="CL553"/>
    </row>
    <row r="554" spans="1:90" s="225" customFormat="1" ht="12.75" customHeight="1" outlineLevel="1">
      <c r="A554" s="1348"/>
      <c r="B554" s="306" t="s">
        <v>388</v>
      </c>
      <c r="D554" s="301">
        <f t="shared" ref="D554:R554" si="1121">D497/C497-1</f>
        <v>0.78455772113943034</v>
      </c>
      <c r="E554" s="301">
        <f t="shared" si="1121"/>
        <v>0.68234898765017227</v>
      </c>
      <c r="F554" s="301">
        <f t="shared" si="1121"/>
        <v>0.7236953807740325</v>
      </c>
      <c r="G554" s="301">
        <f t="shared" si="1121"/>
        <v>0.52110554219659888</v>
      </c>
      <c r="H554" s="301">
        <f t="shared" si="1121"/>
        <v>0.45139417949108629</v>
      </c>
      <c r="I554" s="301">
        <f t="shared" si="1121"/>
        <v>0.32726628523437085</v>
      </c>
      <c r="J554" s="335">
        <f t="shared" si="1121"/>
        <v>0.56484383496633472</v>
      </c>
      <c r="K554" s="301">
        <f t="shared" si="1121"/>
        <v>0.56909093530924415</v>
      </c>
      <c r="L554" s="301">
        <f t="shared" si="1121"/>
        <v>0.36188416083393227</v>
      </c>
      <c r="M554" s="301">
        <f t="shared" si="1121"/>
        <v>0.30081872708300139</v>
      </c>
      <c r="N554" s="301">
        <f t="shared" si="1121"/>
        <v>0.22141585898080485</v>
      </c>
      <c r="O554" s="301">
        <f t="shared" si="1121"/>
        <v>0.20361879420118245</v>
      </c>
      <c r="P554" s="301">
        <f t="shared" si="1121"/>
        <v>0.2154828345100932</v>
      </c>
      <c r="Q554" s="301">
        <f t="shared" si="1121"/>
        <v>0.15150792599299812</v>
      </c>
      <c r="R554" s="301">
        <f t="shared" si="1121"/>
        <v>0.13691255254524592</v>
      </c>
      <c r="V554" s="218"/>
      <c r="W554" s="218"/>
      <c r="X554" s="218"/>
      <c r="Y554" s="277"/>
      <c r="Z554" s="301"/>
      <c r="AA554" s="286"/>
      <c r="AB554" s="286"/>
      <c r="AC554" s="287"/>
      <c r="AD554" s="301">
        <f t="shared" ref="AD554:BA554" si="1122">AD497/Z497-1</f>
        <v>0.65561784060443573</v>
      </c>
      <c r="AE554" s="301">
        <f t="shared" si="1122"/>
        <v>0.71346507352941169</v>
      </c>
      <c r="AF554" s="301">
        <f t="shared" si="1122"/>
        <v>0.78766383962991515</v>
      </c>
      <c r="AG554" s="335">
        <f t="shared" si="1122"/>
        <v>0.70580137659783682</v>
      </c>
      <c r="AH554" s="301">
        <f t="shared" si="1122"/>
        <v>0.58663329898424843</v>
      </c>
      <c r="AI554" s="301">
        <f t="shared" si="1122"/>
        <v>0.46841893522864431</v>
      </c>
      <c r="AJ554" s="301">
        <f t="shared" si="1122"/>
        <v>0.61692400586560847</v>
      </c>
      <c r="AK554" s="335">
        <f t="shared" si="1122"/>
        <v>0.38701867650449628</v>
      </c>
      <c r="AL554" s="286">
        <f t="shared" si="1122"/>
        <v>0.46325848951568016</v>
      </c>
      <c r="AM554" s="286">
        <f t="shared" si="1122"/>
        <v>0.53689497716894974</v>
      </c>
      <c r="AN554" s="286">
        <f t="shared" si="1122"/>
        <v>0.39658575620165371</v>
      </c>
      <c r="AO554" s="287">
        <f t="shared" si="1122"/>
        <v>0.44834178372537603</v>
      </c>
      <c r="AP554" s="286">
        <f t="shared" si="1122"/>
        <v>0.28368524507006532</v>
      </c>
      <c r="AQ554" s="286">
        <f t="shared" si="1122"/>
        <v>0.31742824885614129</v>
      </c>
      <c r="AR554" s="286">
        <f t="shared" si="1122"/>
        <v>0.31949272317506394</v>
      </c>
      <c r="AS554" s="287">
        <f t="shared" si="1122"/>
        <v>0.38789096126255385</v>
      </c>
      <c r="AT554" s="286">
        <f t="shared" si="1122"/>
        <v>0.58824401086688072</v>
      </c>
      <c r="AU554" s="286">
        <f t="shared" si="1122"/>
        <v>0.54670515538315811</v>
      </c>
      <c r="AV554" s="286">
        <f t="shared" si="1122"/>
        <v>0.54149900124482531</v>
      </c>
      <c r="AW554" s="287">
        <f t="shared" si="1122"/>
        <v>0.59522825008269931</v>
      </c>
      <c r="AX554" s="286">
        <f t="shared" si="1122"/>
        <v>0.56073894383280454</v>
      </c>
      <c r="AY554" s="286">
        <f t="shared" si="1122"/>
        <v>0.60743030444418533</v>
      </c>
      <c r="AZ554" s="286">
        <f t="shared" si="1122"/>
        <v>0.55926983173076916</v>
      </c>
      <c r="BA554" s="287">
        <f t="shared" si="1122"/>
        <v>0.55552838601829913</v>
      </c>
      <c r="BB554" s="286">
        <f>BB497/AX497-1</f>
        <v>0.45850713370795493</v>
      </c>
      <c r="BC554" s="286">
        <f>BC497/AY497-1</f>
        <v>0.41143470365516488</v>
      </c>
      <c r="BD554" s="286">
        <f>BD497/AZ497-1</f>
        <v>0.29945990616177642</v>
      </c>
      <c r="BE554" s="286">
        <f>BE497/BA497-1</f>
        <v>0.32193644996633441</v>
      </c>
      <c r="BF554" s="283"/>
      <c r="CG554"/>
      <c r="CH554"/>
      <c r="CI554"/>
      <c r="CJ554"/>
      <c r="CK554"/>
      <c r="CL554"/>
    </row>
    <row r="555" spans="1:90" s="225" customFormat="1" ht="12.75" customHeight="1" outlineLevel="1">
      <c r="A555" s="1348"/>
      <c r="B555" s="306" t="s">
        <v>623</v>
      </c>
      <c r="D555" s="301">
        <f t="shared" ref="D555:R555" si="1123">D499/C499-1</f>
        <v>0.69352511422842711</v>
      </c>
      <c r="E555" s="301">
        <f t="shared" si="1123"/>
        <v>0.59203894180602856</v>
      </c>
      <c r="F555" s="301">
        <f t="shared" si="1123"/>
        <v>0.80462982871067146</v>
      </c>
      <c r="G555" s="301">
        <f t="shared" si="1123"/>
        <v>0.60003971405877676</v>
      </c>
      <c r="H555" s="301">
        <f t="shared" si="1123"/>
        <v>0.40350964283054935</v>
      </c>
      <c r="I555" s="301">
        <f t="shared" si="1123"/>
        <v>0.25191879178014354</v>
      </c>
      <c r="J555" s="335">
        <f t="shared" si="1123"/>
        <v>0.45050924552556126</v>
      </c>
      <c r="K555" s="301">
        <f t="shared" si="1123"/>
        <v>0.48958950325980699</v>
      </c>
      <c r="L555" s="301">
        <f t="shared" si="1123"/>
        <v>0.36321088675778435</v>
      </c>
      <c r="M555" s="301">
        <f t="shared" si="1123"/>
        <v>0.26990713851566039</v>
      </c>
      <c r="N555" s="301">
        <f t="shared" si="1123"/>
        <v>0.2191834797419927</v>
      </c>
      <c r="O555" s="301">
        <f t="shared" si="1123"/>
        <v>0.1981090951848643</v>
      </c>
      <c r="P555" s="301">
        <f t="shared" si="1123"/>
        <v>0.21324699652019152</v>
      </c>
      <c r="Q555" s="301">
        <f t="shared" si="1123"/>
        <v>0.15150792599299812</v>
      </c>
      <c r="R555" s="301">
        <f t="shared" si="1123"/>
        <v>0.13691255254524592</v>
      </c>
      <c r="V555" s="218"/>
      <c r="W555" s="218"/>
      <c r="X555" s="218"/>
      <c r="Y555" s="277"/>
      <c r="Z555" s="301"/>
      <c r="AA555" s="286"/>
      <c r="AB555" s="286"/>
      <c r="AC555" s="287"/>
      <c r="AD555" s="301">
        <f t="shared" ref="AD555:BA555" si="1124">AD499/Z499-1</f>
        <v>0.61485002927804033</v>
      </c>
      <c r="AE555" s="301">
        <f t="shared" si="1124"/>
        <v>0.72318876725592718</v>
      </c>
      <c r="AF555" s="301">
        <f t="shared" si="1124"/>
        <v>0.92382735024408102</v>
      </c>
      <c r="AG555" s="335">
        <f t="shared" si="1124"/>
        <v>0.87967816490845863</v>
      </c>
      <c r="AH555" s="301">
        <f t="shared" si="1124"/>
        <v>0.73783966221718678</v>
      </c>
      <c r="AI555" s="301">
        <f t="shared" si="1124"/>
        <v>0.56885927835992001</v>
      </c>
      <c r="AJ555" s="301">
        <f t="shared" si="1124"/>
        <v>0.68739796300931566</v>
      </c>
      <c r="AK555" s="335">
        <f t="shared" si="1124"/>
        <v>0.40612877042148487</v>
      </c>
      <c r="AL555" s="286">
        <f t="shared" si="1124"/>
        <v>0.4361131431358205</v>
      </c>
      <c r="AM555" s="286">
        <f t="shared" si="1124"/>
        <v>0.51146900927281602</v>
      </c>
      <c r="AN555" s="286">
        <f t="shared" si="1124"/>
        <v>0.35621621621621613</v>
      </c>
      <c r="AO555" s="287">
        <f t="shared" si="1124"/>
        <v>0.35375646243537573</v>
      </c>
      <c r="AP555" s="286">
        <f t="shared" si="1124"/>
        <v>0.23244757619492318</v>
      </c>
      <c r="AQ555" s="286">
        <f t="shared" si="1124"/>
        <v>0.25492412011624155</v>
      </c>
      <c r="AR555" s="286">
        <f t="shared" si="1124"/>
        <v>0.24845555998405744</v>
      </c>
      <c r="AS555" s="287">
        <f t="shared" si="1124"/>
        <v>0.27317786625497686</v>
      </c>
      <c r="AT555" s="286">
        <f t="shared" si="1124"/>
        <v>0.46752083763863062</v>
      </c>
      <c r="AU555" s="286">
        <f t="shared" si="1124"/>
        <v>0.43779750418113994</v>
      </c>
      <c r="AV555" s="286">
        <f t="shared" si="1124"/>
        <v>0.38521090227064136</v>
      </c>
      <c r="AW555" s="287">
        <f t="shared" si="1124"/>
        <v>0.55179015891250249</v>
      </c>
      <c r="AX555" s="286">
        <f t="shared" si="1124"/>
        <v>0.58899737138565533</v>
      </c>
      <c r="AY555" s="286">
        <f t="shared" si="1124"/>
        <v>0.54299391553328569</v>
      </c>
      <c r="AZ555" s="286">
        <f t="shared" si="1124"/>
        <v>0.41962433740493199</v>
      </c>
      <c r="BA555" s="287">
        <f t="shared" si="1124"/>
        <v>0.45328064829227821</v>
      </c>
      <c r="BB555" s="286">
        <f>BB499/AX499-1</f>
        <v>0.32811189109274208</v>
      </c>
      <c r="BC555" s="286">
        <f>BC499/AY499-1</f>
        <v>0.37746234938998247</v>
      </c>
      <c r="BD555" s="286">
        <f>BD499/AZ499-1</f>
        <v>0.3449771402989128</v>
      </c>
      <c r="BE555" s="286">
        <f>BE499/BA499-1</f>
        <v>0.40835328083999212</v>
      </c>
      <c r="BF555" s="283"/>
      <c r="CG555"/>
      <c r="CH555"/>
      <c r="CI555"/>
      <c r="CJ555"/>
      <c r="CK555"/>
      <c r="CL555"/>
    </row>
    <row r="556" spans="1:90" s="225" customFormat="1" ht="12.75" customHeight="1" outlineLevel="1">
      <c r="A556" s="1348"/>
      <c r="B556" s="306" t="s">
        <v>677</v>
      </c>
      <c r="D556" s="301">
        <f t="shared" ref="D556:R556" si="1125">D503/C503-1</f>
        <v>1.5840517241379293</v>
      </c>
      <c r="E556" s="301">
        <f t="shared" si="1125"/>
        <v>1.7351959966638875</v>
      </c>
      <c r="F556" s="301">
        <f t="shared" si="1125"/>
        <v>1.4092087208415918</v>
      </c>
      <c r="G556" s="301">
        <f t="shared" si="1125"/>
        <v>0.77971142893304646</v>
      </c>
      <c r="H556" s="301">
        <f t="shared" si="1125"/>
        <v>0.36639049887992026</v>
      </c>
      <c r="I556" s="301">
        <f t="shared" si="1125"/>
        <v>0.2639550316183934</v>
      </c>
      <c r="J556" s="335">
        <f t="shared" si="1125"/>
        <v>0.4241712991558575</v>
      </c>
      <c r="K556" s="301">
        <f t="shared" si="1125"/>
        <v>0.40945831969833879</v>
      </c>
      <c r="L556" s="301">
        <f t="shared" si="1125"/>
        <v>0.30013667632338303</v>
      </c>
      <c r="M556" s="301">
        <f t="shared" si="1125"/>
        <v>0.2738415106973513</v>
      </c>
      <c r="N556" s="301">
        <f t="shared" si="1125"/>
        <v>0.22035732560334065</v>
      </c>
      <c r="O556" s="301">
        <f t="shared" si="1125"/>
        <v>0.19946325491343431</v>
      </c>
      <c r="P556" s="301">
        <f t="shared" si="1125"/>
        <v>0.2002239357938389</v>
      </c>
      <c r="Q556" s="301">
        <f t="shared" si="1125"/>
        <v>0.13709010440219505</v>
      </c>
      <c r="R556" s="301">
        <f t="shared" si="1125"/>
        <v>0.12321020608820077</v>
      </c>
      <c r="V556" s="218"/>
      <c r="W556" s="218"/>
      <c r="X556" s="218"/>
      <c r="Y556" s="277"/>
      <c r="Z556" s="301"/>
      <c r="AA556" s="286"/>
      <c r="AB556" s="286"/>
      <c r="AC556" s="287"/>
      <c r="AD556" s="301">
        <f t="shared" ref="AD556:BA556" si="1126">AD503/Z503-1</f>
        <v>0.9303338171262705</v>
      </c>
      <c r="AE556" s="301">
        <f t="shared" si="1126"/>
        <v>1.4552429667519187</v>
      </c>
      <c r="AF556" s="301">
        <f t="shared" si="1126"/>
        <v>1.323443376514835</v>
      </c>
      <c r="AG556" s="335">
        <f t="shared" si="1126"/>
        <v>1.9114551083591338</v>
      </c>
      <c r="AH556" s="301">
        <f t="shared" si="1126"/>
        <v>1.1996240601503754</v>
      </c>
      <c r="AI556" s="301">
        <f t="shared" si="1126"/>
        <v>1.1510416666666665</v>
      </c>
      <c r="AJ556" s="301">
        <f t="shared" si="1126"/>
        <v>0.72356115107913666</v>
      </c>
      <c r="AK556" s="335">
        <f t="shared" si="1126"/>
        <v>0.38111441939600166</v>
      </c>
      <c r="AL556" s="286">
        <f t="shared" si="1126"/>
        <v>0.39309519740215348</v>
      </c>
      <c r="AM556" s="286">
        <f t="shared" si="1126"/>
        <v>0.28377723970944313</v>
      </c>
      <c r="AN556" s="286">
        <f t="shared" si="1126"/>
        <v>0.50777418344985903</v>
      </c>
      <c r="AO556" s="287">
        <f t="shared" si="1126"/>
        <v>0.21250384970742231</v>
      </c>
      <c r="AP556" s="286">
        <f t="shared" si="1126"/>
        <v>0.2026745184639922</v>
      </c>
      <c r="AQ556" s="286">
        <f t="shared" si="1126"/>
        <v>0.29347416069407761</v>
      </c>
      <c r="AR556" s="286">
        <f t="shared" si="1126"/>
        <v>0.25074399612429921</v>
      </c>
      <c r="AS556" s="287">
        <f t="shared" si="1126"/>
        <v>0.32181864363728718</v>
      </c>
      <c r="AT556" s="286">
        <f t="shared" si="1126"/>
        <v>0.40354993369376713</v>
      </c>
      <c r="AU556" s="286">
        <f t="shared" si="1126"/>
        <v>0.41858656556819285</v>
      </c>
      <c r="AV556" s="286">
        <f t="shared" si="1126"/>
        <v>0.42037405931828253</v>
      </c>
      <c r="AW556" s="287">
        <f t="shared" si="1126"/>
        <v>0.4557071483474251</v>
      </c>
      <c r="AX556" s="286">
        <f t="shared" si="1126"/>
        <v>0.70928119776146525</v>
      </c>
      <c r="AY556" s="286">
        <f t="shared" si="1126"/>
        <v>0.57733159734119099</v>
      </c>
      <c r="AZ556" s="286">
        <f t="shared" si="1126"/>
        <v>0.31138727648135878</v>
      </c>
      <c r="BA556" s="287">
        <f t="shared" si="1126"/>
        <v>0.14164417465338675</v>
      </c>
      <c r="BB556" s="286">
        <f>BB503/AX503-1</f>
        <v>0.19833276541381117</v>
      </c>
      <c r="BC556" s="286">
        <f>BC503/AY503-1</f>
        <v>0.21956133429239721</v>
      </c>
      <c r="BD556" s="286">
        <f>BD503/AZ503-1</f>
        <v>0.34868557723046734</v>
      </c>
      <c r="BE556" s="286">
        <f>BE503/BA503-1</f>
        <v>0.45129854281194581</v>
      </c>
      <c r="BF556" s="283"/>
      <c r="CG556"/>
      <c r="CH556"/>
      <c r="CI556"/>
      <c r="CJ556"/>
      <c r="CK556"/>
      <c r="CL556"/>
    </row>
    <row r="557" spans="1:90" s="225" customFormat="1" ht="12.75" customHeight="1" outlineLevel="1">
      <c r="A557" s="1348"/>
      <c r="B557" s="306" t="s">
        <v>115</v>
      </c>
      <c r="D557" s="301">
        <f>D507/C507-1</f>
        <v>1.8281053952321185</v>
      </c>
      <c r="E557" s="301">
        <f t="shared" ref="E557:M557" si="1127">E507/D507-1</f>
        <v>1.8411712511091403</v>
      </c>
      <c r="F557" s="301">
        <f t="shared" si="1127"/>
        <v>1.4472204871955028</v>
      </c>
      <c r="G557" s="301">
        <f t="shared" si="1127"/>
        <v>0.77437468095967321</v>
      </c>
      <c r="H557" s="301">
        <f t="shared" si="1127"/>
        <v>0.30674626006904493</v>
      </c>
      <c r="I557" s="301">
        <f t="shared" si="1127"/>
        <v>0.25595795035500024</v>
      </c>
      <c r="J557" s="335">
        <f t="shared" si="1127"/>
        <v>0.40340498258068758</v>
      </c>
      <c r="K557" s="301">
        <f t="shared" si="1127"/>
        <v>0.41193798178806507</v>
      </c>
      <c r="L557" s="301">
        <f t="shared" si="1127"/>
        <v>0.32641379132957349</v>
      </c>
      <c r="M557" s="301">
        <f t="shared" si="1127"/>
        <v>0.28880517507973424</v>
      </c>
      <c r="N557" s="301"/>
      <c r="O557" s="301"/>
      <c r="P557" s="301"/>
      <c r="Q557" s="301"/>
      <c r="R557" s="301"/>
      <c r="V557" s="218"/>
      <c r="W557" s="218"/>
      <c r="X557" s="218"/>
      <c r="Y557" s="277"/>
      <c r="Z557" s="301"/>
      <c r="AA557" s="286"/>
      <c r="AB557" s="286"/>
      <c r="AC557" s="287"/>
      <c r="AD557" s="301"/>
      <c r="AE557" s="301"/>
      <c r="AF557" s="301"/>
      <c r="AG557" s="335"/>
      <c r="AH557" s="301"/>
      <c r="AI557" s="301"/>
      <c r="AJ557" s="301"/>
      <c r="AK557" s="335"/>
      <c r="AL557" s="286">
        <f>AL507/AH507-1</f>
        <v>0.36124484181568084</v>
      </c>
      <c r="AM557" s="286">
        <f t="shared" ref="AM557:BA557" si="1128">AM507/AI507-1</f>
        <v>0.19476933073424307</v>
      </c>
      <c r="AN557" s="286">
        <f t="shared" si="1128"/>
        <v>0.46247357293868929</v>
      </c>
      <c r="AO557" s="287">
        <f t="shared" si="1128"/>
        <v>0.13409661229611047</v>
      </c>
      <c r="AP557" s="286">
        <f t="shared" si="1128"/>
        <v>0.15649867374005311</v>
      </c>
      <c r="AQ557" s="286">
        <f t="shared" si="1128"/>
        <v>0.29966009517335146</v>
      </c>
      <c r="AR557" s="286">
        <f t="shared" si="1128"/>
        <v>0.24748825442717748</v>
      </c>
      <c r="AS557" s="287">
        <f t="shared" si="1128"/>
        <v>0.33660627852302594</v>
      </c>
      <c r="AT557" s="286">
        <f t="shared" si="1128"/>
        <v>0.36609873307121021</v>
      </c>
      <c r="AU557" s="286">
        <f t="shared" si="1128"/>
        <v>0.390940474945078</v>
      </c>
      <c r="AV557" s="286">
        <f t="shared" si="1128"/>
        <v>0.41421866852077183</v>
      </c>
      <c r="AW557" s="287">
        <f t="shared" si="1128"/>
        <v>0.43176409725814802</v>
      </c>
      <c r="AX557" s="286">
        <f t="shared" si="1128"/>
        <v>0.72145826670930613</v>
      </c>
      <c r="AY557" s="286">
        <f t="shared" si="1128"/>
        <v>0.5997292418772564</v>
      </c>
      <c r="AZ557" s="286">
        <f t="shared" si="1128"/>
        <v>0.29486234021632263</v>
      </c>
      <c r="BA557" s="287">
        <f t="shared" si="1128"/>
        <v>0.1582329623880292</v>
      </c>
      <c r="BB557" s="286">
        <f>BB507/AX507-1</f>
        <v>0.22987188748354836</v>
      </c>
      <c r="BC557" s="286">
        <f>BC507/AY507-1</f>
        <v>0.23982483766037377</v>
      </c>
      <c r="BD557" s="286">
        <f>BD507/AZ507-1</f>
        <v>0.38265038459186029</v>
      </c>
      <c r="BE557" s="286">
        <f>BE507/BA507-1</f>
        <v>0.46012851341655248</v>
      </c>
      <c r="BF557" s="283"/>
      <c r="CG557"/>
      <c r="CH557"/>
      <c r="CI557"/>
      <c r="CJ557"/>
      <c r="CK557"/>
      <c r="CL557"/>
    </row>
    <row r="558" spans="1:90" s="225" customFormat="1" ht="12.75" customHeight="1" outlineLevel="1">
      <c r="A558" s="1348"/>
      <c r="B558" s="306" t="s">
        <v>469</v>
      </c>
      <c r="D558" s="301"/>
      <c r="E558" s="301"/>
      <c r="F558" s="301">
        <f t="shared" ref="F558:R558" si="1129">F505/E505-1</f>
        <v>1.2830629639813034</v>
      </c>
      <c r="G558" s="301">
        <f t="shared" si="1129"/>
        <v>0.85048473535256219</v>
      </c>
      <c r="H558" s="301">
        <f t="shared" si="1129"/>
        <v>0.32612020435390976</v>
      </c>
      <c r="I558" s="301">
        <f t="shared" si="1129"/>
        <v>0.28432262655510021</v>
      </c>
      <c r="J558" s="335">
        <f t="shared" si="1129"/>
        <v>0.42254489873901413</v>
      </c>
      <c r="K558" s="301">
        <f t="shared" si="1129"/>
        <v>0.43435901662009635</v>
      </c>
      <c r="L558" s="301">
        <f t="shared" si="1129"/>
        <v>0.37559635594089702</v>
      </c>
      <c r="M558" s="301">
        <f t="shared" si="1129"/>
        <v>0.31902067627774411</v>
      </c>
      <c r="N558" s="301">
        <f t="shared" si="1129"/>
        <v>0.25225218826705587</v>
      </c>
      <c r="O558" s="301">
        <f t="shared" si="1129"/>
        <v>0.18477098621775201</v>
      </c>
      <c r="P558" s="301">
        <f t="shared" si="1129"/>
        <v>0.16899025280361646</v>
      </c>
      <c r="Q558" s="301">
        <f t="shared" si="1129"/>
        <v>0.11923262966202586</v>
      </c>
      <c r="R558" s="301">
        <f t="shared" si="1129"/>
        <v>0.10741517300353998</v>
      </c>
      <c r="V558" s="218"/>
      <c r="W558" s="218"/>
      <c r="X558" s="218"/>
      <c r="Y558" s="277"/>
      <c r="Z558" s="301"/>
      <c r="AA558" s="286"/>
      <c r="AB558" s="286"/>
      <c r="AC558" s="287"/>
      <c r="AD558" s="301">
        <f t="shared" ref="AD558:BA558" si="1130">AD505/Z505-1</f>
        <v>0.83796370643969875</v>
      </c>
      <c r="AE558" s="301">
        <f t="shared" si="1130"/>
        <v>1.2794525614943595</v>
      </c>
      <c r="AF558" s="301">
        <f t="shared" si="1130"/>
        <v>1.2402060853504424</v>
      </c>
      <c r="AG558" s="335">
        <f t="shared" si="1130"/>
        <v>1.7335191637630669</v>
      </c>
      <c r="AH558" s="301">
        <f t="shared" si="1130"/>
        <v>1.1298383573612929</v>
      </c>
      <c r="AI558" s="301">
        <f t="shared" si="1130"/>
        <v>1.1111561866125759</v>
      </c>
      <c r="AJ558" s="301">
        <f t="shared" si="1130"/>
        <v>0.95200694293773047</v>
      </c>
      <c r="AK558" s="335">
        <f t="shared" si="1130"/>
        <v>0.40437464946719004</v>
      </c>
      <c r="AL558" s="286">
        <f t="shared" si="1130"/>
        <v>0.40695766327535288</v>
      </c>
      <c r="AM558" s="286">
        <f t="shared" si="1130"/>
        <v>0.30561106840891616</v>
      </c>
      <c r="AN558" s="286">
        <f t="shared" si="1130"/>
        <v>0.34296638804908408</v>
      </c>
      <c r="AO558" s="287">
        <f t="shared" si="1130"/>
        <v>0.24644205634620975</v>
      </c>
      <c r="AP558" s="286">
        <f t="shared" si="1130"/>
        <v>0.23454630277583388</v>
      </c>
      <c r="AQ558" s="286">
        <f t="shared" si="1130"/>
        <v>0.31237489697397858</v>
      </c>
      <c r="AR558" s="286">
        <f t="shared" si="1130"/>
        <v>0.26537773952194921</v>
      </c>
      <c r="AS558" s="287">
        <f t="shared" si="1130"/>
        <v>0.33962483979960378</v>
      </c>
      <c r="AT558" s="286">
        <f t="shared" si="1130"/>
        <v>0.41360415682569673</v>
      </c>
      <c r="AU558" s="286">
        <f t="shared" si="1130"/>
        <v>0.42427776780907944</v>
      </c>
      <c r="AV558" s="286">
        <f t="shared" si="1130"/>
        <v>0.41389775521950711</v>
      </c>
      <c r="AW558" s="287">
        <f t="shared" si="1130"/>
        <v>0.44346842929205077</v>
      </c>
      <c r="AX558" s="286">
        <f t="shared" si="1130"/>
        <v>0.67907505179442618</v>
      </c>
      <c r="AY558" s="286">
        <f t="shared" si="1130"/>
        <v>0.576755905511811</v>
      </c>
      <c r="AZ558" s="286">
        <f t="shared" si="1130"/>
        <v>0.3390696125235928</v>
      </c>
      <c r="BA558" s="287">
        <f t="shared" si="1130"/>
        <v>0.23267065984610835</v>
      </c>
      <c r="BB558" s="286">
        <f>BB505/AX505-1</f>
        <v>0.32225889923887063</v>
      </c>
      <c r="BC558" s="286">
        <f>BC505/AY505-1</f>
        <v>0.32275599857048354</v>
      </c>
      <c r="BD558" s="286">
        <f>BD505/AZ505-1</f>
        <v>0.3939556285605772</v>
      </c>
      <c r="BE558" s="286">
        <f>BE505/BA505-1</f>
        <v>0.47327656246690797</v>
      </c>
      <c r="BF558" s="283"/>
      <c r="CG558"/>
      <c r="CH558"/>
      <c r="CI558"/>
      <c r="CJ558"/>
      <c r="CK558"/>
      <c r="CL558"/>
    </row>
    <row r="559" spans="1:90" s="225" customFormat="1" ht="12.75" customHeight="1" outlineLevel="1">
      <c r="A559" s="1348"/>
      <c r="B559" s="306" t="s">
        <v>624</v>
      </c>
      <c r="D559" s="301"/>
      <c r="E559" s="301"/>
      <c r="F559" s="301"/>
      <c r="G559" s="301"/>
      <c r="H559" s="301">
        <f t="shared" ref="H559:R559" si="1131">H511/G511-1</f>
        <v>0.23898389271269416</v>
      </c>
      <c r="I559" s="301">
        <f t="shared" si="1131"/>
        <v>0.23022736383941345</v>
      </c>
      <c r="J559" s="335">
        <f t="shared" si="1131"/>
        <v>0.4037754294492808</v>
      </c>
      <c r="K559" s="301">
        <f t="shared" si="1131"/>
        <v>0.40641611525231425</v>
      </c>
      <c r="L559" s="301">
        <f t="shared" si="1131"/>
        <v>0.31236334701817503</v>
      </c>
      <c r="M559" s="301">
        <f t="shared" si="1131"/>
        <v>0.25517481528083086</v>
      </c>
      <c r="N559" s="301">
        <f t="shared" si="1131"/>
        <v>0.21046754289242897</v>
      </c>
      <c r="O559" s="301">
        <f t="shared" si="1131"/>
        <v>0.20608732587066969</v>
      </c>
      <c r="P559" s="301">
        <f t="shared" si="1131"/>
        <v>0.21465072664581464</v>
      </c>
      <c r="Q559" s="301">
        <f t="shared" si="1131"/>
        <v>0.15556926395751103</v>
      </c>
      <c r="R559" s="301">
        <f t="shared" si="1131"/>
        <v>0.13942743727271156</v>
      </c>
      <c r="V559" s="218"/>
      <c r="W559" s="218"/>
      <c r="X559" s="218"/>
      <c r="Y559" s="277"/>
      <c r="Z559" s="301"/>
      <c r="AA559" s="286"/>
      <c r="AB559" s="286"/>
      <c r="AC559" s="287"/>
      <c r="AD559" s="301"/>
      <c r="AE559" s="301"/>
      <c r="AF559" s="301"/>
      <c r="AG559" s="335"/>
      <c r="AH559" s="301"/>
      <c r="AI559" s="301"/>
      <c r="AJ559" s="301"/>
      <c r="AK559" s="335"/>
      <c r="AL559" s="286"/>
      <c r="AM559" s="286"/>
      <c r="AN559" s="286">
        <f t="shared" ref="AN559:BA559" si="1132">AN511/AJ511-1</f>
        <v>0.25265402957176075</v>
      </c>
      <c r="AO559" s="287">
        <f t="shared" si="1132"/>
        <v>0.17437991530550523</v>
      </c>
      <c r="AP559" s="286">
        <f t="shared" si="1132"/>
        <v>0.30756556364135657</v>
      </c>
      <c r="AQ559" s="286">
        <f t="shared" si="1132"/>
        <v>0.35938877461063767</v>
      </c>
      <c r="AR559" s="286">
        <f t="shared" si="1132"/>
        <v>0.27157943067033985</v>
      </c>
      <c r="AS559" s="287">
        <f t="shared" si="1132"/>
        <v>-2.0347714101738523E-2</v>
      </c>
      <c r="AT559" s="286">
        <f t="shared" si="1132"/>
        <v>0.3020056704819909</v>
      </c>
      <c r="AU559" s="286">
        <f t="shared" si="1132"/>
        <v>0.45849546044098566</v>
      </c>
      <c r="AV559" s="286">
        <f t="shared" si="1132"/>
        <v>0.39531804778239144</v>
      </c>
      <c r="AW559" s="287">
        <f t="shared" si="1132"/>
        <v>0.47627185487051404</v>
      </c>
      <c r="AX559" s="286">
        <f t="shared" si="1132"/>
        <v>0.66690862166303733</v>
      </c>
      <c r="AY559" s="286">
        <f t="shared" si="1132"/>
        <v>0.65599525715132656</v>
      </c>
      <c r="AZ559" s="286">
        <f t="shared" si="1132"/>
        <v>0.19658414560510651</v>
      </c>
      <c r="BA559" s="287">
        <f t="shared" si="1132"/>
        <v>0.20939888644272231</v>
      </c>
      <c r="BB559" s="286">
        <f>BB511/AX511-1</f>
        <v>0.19097213686647563</v>
      </c>
      <c r="BC559" s="286">
        <f>BC511/AY511-1</f>
        <v>0.12166955731219997</v>
      </c>
      <c r="BD559" s="286">
        <f>BD511/AZ511-1</f>
        <v>0.41121577753660965</v>
      </c>
      <c r="BE559" s="286">
        <f>BE511/BA511-1</f>
        <v>0.65529399217395357</v>
      </c>
      <c r="BF559" s="283"/>
      <c r="CG559"/>
      <c r="CH559"/>
      <c r="CI559"/>
      <c r="CJ559"/>
      <c r="CK559"/>
      <c r="CL559"/>
    </row>
    <row r="560" spans="1:90">
      <c r="H560" s="275"/>
      <c r="I560" s="449"/>
      <c r="J560" s="1422"/>
      <c r="K560" s="449"/>
      <c r="L560" s="449"/>
      <c r="M560" s="449"/>
      <c r="N560" s="449"/>
      <c r="O560" s="449"/>
      <c r="P560" s="449"/>
      <c r="Q560" s="449"/>
      <c r="R560" s="449"/>
      <c r="V560" s="141"/>
      <c r="W560" s="141"/>
      <c r="X560" s="141"/>
      <c r="Y560" s="398"/>
      <c r="Z560" s="141"/>
      <c r="AA560" s="141"/>
      <c r="AB560" s="141"/>
      <c r="AC560" s="398"/>
      <c r="AD560" s="141"/>
      <c r="AE560" s="141"/>
      <c r="AF560" s="141"/>
      <c r="AG560" s="398"/>
      <c r="AH560" s="141"/>
      <c r="AI560" s="141"/>
      <c r="AJ560" s="141"/>
      <c r="AK560" s="398"/>
      <c r="AL560" s="141"/>
      <c r="AM560" s="141"/>
      <c r="AN560" s="141"/>
      <c r="AO560" s="398"/>
      <c r="AP560" s="141"/>
      <c r="AQ560" s="141"/>
      <c r="AR560" s="141"/>
      <c r="AS560" s="398"/>
      <c r="AT560" s="141"/>
      <c r="AU560" s="141"/>
      <c r="AV560" s="141"/>
      <c r="AW560" s="398"/>
      <c r="AX560" s="225"/>
      <c r="AY560" s="225"/>
      <c r="AZ560" s="225"/>
      <c r="BA560" s="278"/>
      <c r="BB560" s="225"/>
      <c r="BC560" s="225"/>
      <c r="BD560" s="225"/>
      <c r="BE560" s="225"/>
      <c r="BF560" s="141"/>
    </row>
    <row r="561" spans="1:90" s="225" customFormat="1">
      <c r="A561" s="1348"/>
      <c r="B561" s="226"/>
      <c r="G561" s="274"/>
      <c r="H561" s="275"/>
      <c r="I561" s="276"/>
      <c r="J561" s="1380"/>
      <c r="K561" s="276"/>
      <c r="L561" s="276"/>
      <c r="M561" s="276"/>
      <c r="N561" s="276"/>
      <c r="O561" s="276"/>
      <c r="P561" s="276"/>
      <c r="Q561" s="276"/>
      <c r="R561" s="276"/>
      <c r="V561" s="218"/>
      <c r="W561" s="218"/>
      <c r="X561" s="218"/>
      <c r="Y561" s="277"/>
      <c r="Z561" s="218"/>
      <c r="AA561" s="218"/>
      <c r="AB561" s="218"/>
      <c r="AC561" s="277"/>
      <c r="AG561" s="278"/>
      <c r="AK561" s="279"/>
      <c r="AL561" s="280"/>
      <c r="AM561" s="280"/>
      <c r="AN561" s="281"/>
      <c r="AO561" s="282"/>
      <c r="AP561" s="218"/>
      <c r="AQ561" s="218"/>
      <c r="AR561" s="283"/>
      <c r="AS561" s="284"/>
      <c r="AT561" s="285"/>
      <c r="AU561" s="283"/>
      <c r="AV561" s="283"/>
      <c r="AW561" s="284"/>
      <c r="AX561" s="300"/>
      <c r="AY561" s="266"/>
      <c r="AZ561" s="266"/>
      <c r="BA561" s="267"/>
      <c r="BB561" s="300"/>
      <c r="BC561" s="266"/>
      <c r="BD561" s="266"/>
      <c r="BE561" s="266"/>
      <c r="BF561" s="283"/>
      <c r="CG561"/>
      <c r="CH561"/>
      <c r="CI561"/>
      <c r="CJ561"/>
      <c r="CK561"/>
      <c r="CL561"/>
    </row>
    <row r="562" spans="1:90" s="765" customFormat="1" ht="12.75" customHeight="1" outlineLevel="1">
      <c r="A562" s="1349"/>
      <c r="B562" s="765" t="s">
        <v>684</v>
      </c>
      <c r="C562" s="766">
        <f>SUM(C563:C566)</f>
        <v>6670</v>
      </c>
      <c r="D562" s="766">
        <f>SUM(D563:D566)</f>
        <v>11903</v>
      </c>
      <c r="E562" s="766">
        <f>SUM(E563:E566)</f>
        <v>20025</v>
      </c>
      <c r="F562" s="766">
        <f>SUM(F563:F566)</f>
        <v>34517</v>
      </c>
      <c r="G562" s="766">
        <f t="shared" ref="G562:R562" si="1133">SUM(G563:G566)</f>
        <v>52504</v>
      </c>
      <c r="H562" s="766">
        <f t="shared" si="1133"/>
        <v>76204</v>
      </c>
      <c r="I562" s="766">
        <f t="shared" si="1133"/>
        <v>101143</v>
      </c>
      <c r="J562" s="770">
        <f t="shared" si="1133"/>
        <v>158273</v>
      </c>
      <c r="K562" s="766">
        <f t="shared" si="1133"/>
        <v>248344.72960419999</v>
      </c>
      <c r="L562" s="766">
        <f t="shared" si="1133"/>
        <v>338216.75367454567</v>
      </c>
      <c r="M562" s="766">
        <f t="shared" si="1133"/>
        <v>439958.68699306768</v>
      </c>
      <c r="N562" s="766">
        <f t="shared" si="1133"/>
        <v>537372.51758970483</v>
      </c>
      <c r="O562" s="766">
        <f t="shared" si="1133"/>
        <v>646791.66165817401</v>
      </c>
      <c r="P562" s="766">
        <f t="shared" si="1133"/>
        <v>786164.16224977083</v>
      </c>
      <c r="Q562" s="766">
        <f t="shared" si="1133"/>
        <v>905274.26396225626</v>
      </c>
      <c r="R562" s="766">
        <f t="shared" si="1133"/>
        <v>1029217.6741948477</v>
      </c>
      <c r="S562" s="226"/>
      <c r="T562" s="767"/>
      <c r="U562" s="226"/>
      <c r="V562" s="768">
        <f>SUM(V563:V566)</f>
        <v>2390.5</v>
      </c>
      <c r="W562" s="768">
        <f>SUM(W563:W566)</f>
        <v>2520.5</v>
      </c>
      <c r="X562" s="768">
        <f>SUM(X563:X566)</f>
        <v>3217.5</v>
      </c>
      <c r="Y562" s="769">
        <f>SUM(Y563:Y566)</f>
        <v>3774.5</v>
      </c>
      <c r="Z562" s="766">
        <f t="shared" ref="Z562:BE562" si="1134">Z19</f>
        <v>4103</v>
      </c>
      <c r="AA562" s="766">
        <f t="shared" si="1134"/>
        <v>4352</v>
      </c>
      <c r="AB562" s="766">
        <f t="shared" si="1134"/>
        <v>6485</v>
      </c>
      <c r="AC562" s="770">
        <f t="shared" si="1134"/>
        <v>5085</v>
      </c>
      <c r="AD562" s="766">
        <f t="shared" si="1134"/>
        <v>6793</v>
      </c>
      <c r="AE562" s="766">
        <f t="shared" si="1134"/>
        <v>7457</v>
      </c>
      <c r="AF562" s="766">
        <f t="shared" si="1134"/>
        <v>11593</v>
      </c>
      <c r="AG562" s="770">
        <f t="shared" si="1134"/>
        <v>8674</v>
      </c>
      <c r="AH562" s="766">
        <f t="shared" si="1134"/>
        <v>10778</v>
      </c>
      <c r="AI562" s="766">
        <f t="shared" si="1134"/>
        <v>10950</v>
      </c>
      <c r="AJ562" s="766">
        <f t="shared" si="1134"/>
        <v>18745</v>
      </c>
      <c r="AK562" s="770">
        <f t="shared" si="1134"/>
        <v>12031</v>
      </c>
      <c r="AL562" s="766">
        <f t="shared" si="1134"/>
        <v>15771</v>
      </c>
      <c r="AM562" s="766">
        <f t="shared" si="1134"/>
        <v>16829</v>
      </c>
      <c r="AN562" s="766">
        <f t="shared" si="1134"/>
        <v>26179</v>
      </c>
      <c r="AO562" s="770">
        <f t="shared" si="1134"/>
        <v>17425</v>
      </c>
      <c r="AP562" s="766">
        <f t="shared" si="1134"/>
        <v>20245</v>
      </c>
      <c r="AQ562" s="766">
        <f t="shared" si="1134"/>
        <v>22171</v>
      </c>
      <c r="AR562" s="766">
        <f t="shared" si="1134"/>
        <v>34543</v>
      </c>
      <c r="AS562" s="770">
        <f t="shared" si="1134"/>
        <v>24184</v>
      </c>
      <c r="AT562" s="766">
        <f t="shared" si="1134"/>
        <v>32154</v>
      </c>
      <c r="AU562" s="766">
        <f t="shared" si="1134"/>
        <v>34292</v>
      </c>
      <c r="AV562" s="766">
        <f t="shared" si="1134"/>
        <v>53248</v>
      </c>
      <c r="AW562" s="770">
        <f t="shared" si="1134"/>
        <v>38579</v>
      </c>
      <c r="AX562" s="766">
        <f t="shared" si="1134"/>
        <v>50184</v>
      </c>
      <c r="AY562" s="766">
        <f t="shared" si="1134"/>
        <v>55122</v>
      </c>
      <c r="AZ562" s="766">
        <f t="shared" si="1134"/>
        <v>83028</v>
      </c>
      <c r="BA562" s="770">
        <f t="shared" si="1134"/>
        <v>60010.729604199965</v>
      </c>
      <c r="BB562" s="766">
        <f t="shared" si="1134"/>
        <v>73193.721998000008</v>
      </c>
      <c r="BC562" s="766">
        <f t="shared" si="1134"/>
        <v>77801.103734880002</v>
      </c>
      <c r="BD562" s="766">
        <f t="shared" si="1134"/>
        <v>107891.55708879998</v>
      </c>
      <c r="BE562" s="766">
        <f t="shared" si="1134"/>
        <v>79330.370852865715</v>
      </c>
      <c r="BF562" s="440"/>
      <c r="BG562" s="1287"/>
      <c r="BH562" s="226"/>
      <c r="BI562" s="314"/>
      <c r="BJ562" s="314"/>
      <c r="BK562" s="314"/>
      <c r="BL562" s="314"/>
      <c r="BM562" s="314"/>
      <c r="BN562" s="314"/>
      <c r="BO562" s="314"/>
      <c r="BP562" s="314"/>
      <c r="BQ562" s="226"/>
      <c r="BR562" s="226"/>
      <c r="BS562" s="226"/>
      <c r="BT562" s="226"/>
      <c r="BU562" s="226"/>
      <c r="BV562" s="226"/>
      <c r="BW562" s="226"/>
      <c r="BX562" s="226"/>
      <c r="BY562" s="226"/>
      <c r="BZ562" s="226"/>
      <c r="CA562" s="226"/>
      <c r="CB562" s="226"/>
      <c r="CC562" s="226"/>
      <c r="CG562"/>
      <c r="CH562"/>
      <c r="CI562"/>
      <c r="CJ562"/>
      <c r="CK562"/>
      <c r="CL562"/>
    </row>
    <row r="563" spans="1:90" s="225" customFormat="1" ht="12.75" customHeight="1" outlineLevel="1">
      <c r="A563" s="1348"/>
      <c r="B563" s="374" t="s">
        <v>140</v>
      </c>
      <c r="C563" s="595">
        <v>3716</v>
      </c>
      <c r="D563" s="595">
        <v>7665</v>
      </c>
      <c r="E563" s="771">
        <f>E162+E224</f>
        <v>15637</v>
      </c>
      <c r="F563" s="771">
        <f>F162+F224</f>
        <v>29167</v>
      </c>
      <c r="G563" s="771">
        <v>45132</v>
      </c>
      <c r="H563" s="772">
        <f>SUM(AL563:AO563)</f>
        <v>62937</v>
      </c>
      <c r="I563" s="772">
        <f>SUM(AP563:AS563)</f>
        <v>84321</v>
      </c>
      <c r="J563" s="1423">
        <f>J162+J224</f>
        <v>119788</v>
      </c>
      <c r="K563" s="565">
        <f t="shared" ref="K563:R563" si="1135">K162+K224+K279</f>
        <v>190115.99850419999</v>
      </c>
      <c r="L563" s="565">
        <f t="shared" si="1135"/>
        <v>261897.39130454569</v>
      </c>
      <c r="M563" s="565">
        <f t="shared" si="1135"/>
        <v>339708.58696876769</v>
      </c>
      <c r="N563" s="565">
        <f t="shared" si="1135"/>
        <v>408375.79733174026</v>
      </c>
      <c r="O563" s="565">
        <f t="shared" si="1135"/>
        <v>484229.48028049187</v>
      </c>
      <c r="P563" s="565">
        <f t="shared" si="1135"/>
        <v>585402.22325547237</v>
      </c>
      <c r="Q563" s="565">
        <f t="shared" si="1135"/>
        <v>662029.24508805305</v>
      </c>
      <c r="R563" s="565">
        <f t="shared" si="1135"/>
        <v>739694.99871754274</v>
      </c>
      <c r="V563" s="266">
        <f>V162+V224</f>
        <v>1409.5</v>
      </c>
      <c r="W563" s="266">
        <f>W162+W224</f>
        <v>1511.5</v>
      </c>
      <c r="X563" s="266">
        <f>X162+X224</f>
        <v>2083.5</v>
      </c>
      <c r="Y563" s="267">
        <f>Y162+Y224</f>
        <v>2660.5</v>
      </c>
      <c r="Z563" s="773">
        <v>3007</v>
      </c>
      <c r="AA563" s="773">
        <v>3285</v>
      </c>
      <c r="AB563" s="773">
        <v>5371</v>
      </c>
      <c r="AC563" s="774">
        <v>3974</v>
      </c>
      <c r="AD563" s="773">
        <v>5601</v>
      </c>
      <c r="AE563" s="773">
        <v>6152</v>
      </c>
      <c r="AF563" s="773">
        <v>10172</v>
      </c>
      <c r="AG563" s="774">
        <v>7242</v>
      </c>
      <c r="AH563" s="773">
        <v>9193</v>
      </c>
      <c r="AI563" s="773">
        <v>9213</v>
      </c>
      <c r="AJ563" s="773">
        <v>16761</v>
      </c>
      <c r="AK563" s="574">
        <v>9965</v>
      </c>
      <c r="AL563" s="773">
        <f>12639+709</f>
        <v>13348</v>
      </c>
      <c r="AM563" s="573">
        <f>12769+790</f>
        <v>13559</v>
      </c>
      <c r="AN563" s="573">
        <v>22135</v>
      </c>
      <c r="AO563" s="574">
        <v>13895</v>
      </c>
      <c r="AP563" s="309">
        <f>Reported!P59</f>
        <v>16709</v>
      </c>
      <c r="AQ563" s="309">
        <f>Reported!Q59</f>
        <v>18313</v>
      </c>
      <c r="AR563" s="309">
        <f>Reported!R59</f>
        <v>29876</v>
      </c>
      <c r="AS563" s="310">
        <f>Reported!S59</f>
        <v>19423</v>
      </c>
      <c r="AT563" s="309">
        <f>Reported!T59</f>
        <v>24644</v>
      </c>
      <c r="AU563" s="309">
        <f>Reported!U59</f>
        <v>25544</v>
      </c>
      <c r="AV563" s="309">
        <f>Reported!V59</f>
        <v>42316</v>
      </c>
      <c r="AW563" s="310">
        <f>Reported!W59</f>
        <v>27284</v>
      </c>
      <c r="AX563" s="309">
        <f>Reported!X59</f>
        <v>38353</v>
      </c>
      <c r="AY563" s="309">
        <f>Reported!Y59</f>
        <v>41271</v>
      </c>
      <c r="AZ563" s="309">
        <f>Reported!Z59+Reported!Z132</f>
        <v>65938</v>
      </c>
      <c r="BA563" s="267">
        <f>BA162+BA224+BA284+BA279</f>
        <v>45275.998504199968</v>
      </c>
      <c r="BB563" s="266">
        <f>BB162+BB224+BB284+BB279</f>
        <v>57918.441048000015</v>
      </c>
      <c r="BC563" s="266">
        <f>BC162+BC224+BC284+BC279</f>
        <v>60312.716394879993</v>
      </c>
      <c r="BD563" s="266">
        <f>BD162+BD224+BD284+BD279</f>
        <v>87586.299580799983</v>
      </c>
      <c r="BE563" s="266">
        <f>BE162+BE224+BE284+BE279</f>
        <v>59885.134280865714</v>
      </c>
      <c r="BF563" s="266"/>
      <c r="BG563" s="301"/>
      <c r="BJ563" s="314"/>
      <c r="BK563" s="314"/>
      <c r="BL563" s="314"/>
      <c r="BM563" s="314"/>
      <c r="BN563" s="314"/>
      <c r="BO563" s="314"/>
      <c r="BP563" s="314"/>
      <c r="CG563"/>
      <c r="CH563"/>
      <c r="CI563"/>
      <c r="CJ563"/>
      <c r="CK563"/>
      <c r="CL563"/>
    </row>
    <row r="564" spans="1:90" ht="12.75" customHeight="1" outlineLevel="1">
      <c r="B564" s="268" t="s">
        <v>141</v>
      </c>
      <c r="C564" s="775">
        <v>2620</v>
      </c>
      <c r="D564" s="775">
        <v>3433</v>
      </c>
      <c r="E564" s="771">
        <f>E232+E254</f>
        <v>3765</v>
      </c>
      <c r="F564" s="771">
        <f>F232+F254</f>
        <v>4160</v>
      </c>
      <c r="G564" s="776">
        <v>4851</v>
      </c>
      <c r="H564" s="772">
        <f>SUM(AL564:AO564)</f>
        <v>6486</v>
      </c>
      <c r="I564" s="772">
        <f>SUM(AP564:AS564)</f>
        <v>7629</v>
      </c>
      <c r="J564" s="1423">
        <f>J232+J254</f>
        <v>13337</v>
      </c>
      <c r="K564" s="434">
        <f t="shared" ref="K564:R564" si="1136">K232+K254+K284</f>
        <v>22798.071100000001</v>
      </c>
      <c r="L564" s="434">
        <f t="shared" si="1136"/>
        <v>27762.664069999999</v>
      </c>
      <c r="M564" s="434">
        <f t="shared" si="1136"/>
        <v>32475.067218899996</v>
      </c>
      <c r="N564" s="434">
        <f t="shared" si="1136"/>
        <v>36996.955006665601</v>
      </c>
      <c r="O564" s="434">
        <f t="shared" si="1136"/>
        <v>41196.559399722049</v>
      </c>
      <c r="P564" s="434">
        <f t="shared" si="1136"/>
        <v>44991.401948251325</v>
      </c>
      <c r="Q564" s="434">
        <f t="shared" si="1136"/>
        <v>48343.305845846073</v>
      </c>
      <c r="R564" s="434">
        <f t="shared" si="1136"/>
        <v>51248.926463840064</v>
      </c>
      <c r="V564" s="777">
        <v>815</v>
      </c>
      <c r="W564" s="778">
        <v>874</v>
      </c>
      <c r="X564" s="778">
        <v>911</v>
      </c>
      <c r="Y564" s="779">
        <v>833</v>
      </c>
      <c r="Z564" s="780">
        <v>950</v>
      </c>
      <c r="AA564" s="780">
        <v>949</v>
      </c>
      <c r="AB564" s="780">
        <v>945</v>
      </c>
      <c r="AC564" s="781">
        <v>921</v>
      </c>
      <c r="AD564" s="780">
        <v>974</v>
      </c>
      <c r="AE564" s="780">
        <v>1049</v>
      </c>
      <c r="AF564" s="780">
        <v>1094</v>
      </c>
      <c r="AG564" s="781">
        <v>1043</v>
      </c>
      <c r="AH564" s="780">
        <v>1117</v>
      </c>
      <c r="AI564" s="780">
        <v>1176</v>
      </c>
      <c r="AJ564" s="780">
        <v>1264</v>
      </c>
      <c r="AK564" s="782">
        <v>1294</v>
      </c>
      <c r="AL564" s="780">
        <f>1111+358</f>
        <v>1469</v>
      </c>
      <c r="AM564" s="461">
        <f>419+1198</f>
        <v>1617</v>
      </c>
      <c r="AN564" s="461">
        <v>1763</v>
      </c>
      <c r="AO564" s="492">
        <v>1637</v>
      </c>
      <c r="AP564" s="307">
        <f>Reported!P63</f>
        <v>1746</v>
      </c>
      <c r="AQ564" s="307">
        <f>Reported!Q63</f>
        <v>1836</v>
      </c>
      <c r="AR564" s="307">
        <f>Reported!R63</f>
        <v>2062</v>
      </c>
      <c r="AS564" s="493">
        <f>Reported!S63</f>
        <v>1985</v>
      </c>
      <c r="AT564" s="307">
        <f>Reported!T63</f>
        <v>2549</v>
      </c>
      <c r="AU564" s="307">
        <f>Reported!U63</f>
        <v>2844</v>
      </c>
      <c r="AV564" s="307">
        <f>Reported!V63</f>
        <v>4006</v>
      </c>
      <c r="AW564" s="493">
        <f>Reported!W63</f>
        <v>3938</v>
      </c>
      <c r="AX564" s="307">
        <f>Reported!X63</f>
        <v>4247</v>
      </c>
      <c r="AY564" s="307">
        <f>Reported!Y63</f>
        <v>4529</v>
      </c>
      <c r="AZ564" s="307">
        <f>Reported!Z63</f>
        <v>6399</v>
      </c>
      <c r="BA564" s="747">
        <f>BA232+BA254</f>
        <v>4905.0711000000001</v>
      </c>
      <c r="BB564" s="489">
        <f>BB232+BB254</f>
        <v>4975.6109500000002</v>
      </c>
      <c r="BC564" s="489">
        <f>BC232+BC254</f>
        <v>5474.7373399999997</v>
      </c>
      <c r="BD564" s="489">
        <f>BD232+BD254</f>
        <v>7318.3075079999999</v>
      </c>
      <c r="BE564" s="489">
        <f>BE232+BE254</f>
        <v>6188.8082719999993</v>
      </c>
      <c r="BF564" s="454"/>
      <c r="BG564" s="15"/>
      <c r="BJ564" s="314"/>
      <c r="BK564" s="314"/>
      <c r="BL564" s="314"/>
      <c r="BM564" s="314"/>
      <c r="BN564" s="314"/>
      <c r="BO564" s="314"/>
      <c r="BP564" s="314"/>
    </row>
    <row r="565" spans="1:90" ht="12.75" customHeight="1" outlineLevel="1">
      <c r="B565" s="268" t="s">
        <v>142</v>
      </c>
      <c r="C565" s="775">
        <v>144</v>
      </c>
      <c r="D565" s="775">
        <v>425</v>
      </c>
      <c r="E565" s="771">
        <f>E289</f>
        <v>515</v>
      </c>
      <c r="F565" s="771">
        <f>F289</f>
        <v>650</v>
      </c>
      <c r="G565" s="776">
        <v>773</v>
      </c>
      <c r="H565" s="772">
        <f>SUM(AL565:AO565)</f>
        <v>1271</v>
      </c>
      <c r="I565" s="772">
        <f>SUM(AP565:AS565)</f>
        <v>3019</v>
      </c>
      <c r="J565" s="1423">
        <f t="shared" ref="J565:R565" si="1137">J289</f>
        <v>6663</v>
      </c>
      <c r="K565" s="434">
        <f t="shared" si="1137"/>
        <v>12792.96</v>
      </c>
      <c r="L565" s="434">
        <f t="shared" si="1137"/>
        <v>21492.172799999997</v>
      </c>
      <c r="M565" s="434">
        <f t="shared" si="1137"/>
        <v>34237.031270399995</v>
      </c>
      <c r="N565" s="434">
        <f t="shared" si="1137"/>
        <v>51504.820361938931</v>
      </c>
      <c r="O565" s="434">
        <f t="shared" si="1137"/>
        <v>73721.898469408625</v>
      </c>
      <c r="P565" s="434">
        <f t="shared" si="1137"/>
        <v>101059.79374989326</v>
      </c>
      <c r="Q565" s="434">
        <f t="shared" si="1137"/>
        <v>133428.59175835547</v>
      </c>
      <c r="R565" s="434">
        <f t="shared" si="1137"/>
        <v>170500.90953974938</v>
      </c>
      <c r="V565" s="777">
        <v>106</v>
      </c>
      <c r="W565" s="778">
        <v>86</v>
      </c>
      <c r="X565" s="778">
        <v>114</v>
      </c>
      <c r="Y565" s="779">
        <v>119</v>
      </c>
      <c r="Z565" s="780">
        <v>129</v>
      </c>
      <c r="AA565" s="780">
        <v>104</v>
      </c>
      <c r="AB565" s="780">
        <v>138</v>
      </c>
      <c r="AC565" s="781">
        <v>144</v>
      </c>
      <c r="AD565" s="780">
        <v>155</v>
      </c>
      <c r="AE565" s="780">
        <v>164</v>
      </c>
      <c r="AF565" s="780">
        <v>165</v>
      </c>
      <c r="AG565" s="781">
        <v>166</v>
      </c>
      <c r="AH565" s="780">
        <v>174</v>
      </c>
      <c r="AI565" s="780">
        <v>190</v>
      </c>
      <c r="AJ565" s="780">
        <v>196</v>
      </c>
      <c r="AK565" s="782">
        <v>213</v>
      </c>
      <c r="AL565" s="780">
        <v>236</v>
      </c>
      <c r="AM565" s="461">
        <v>285</v>
      </c>
      <c r="AN565" s="461">
        <v>362</v>
      </c>
      <c r="AO565" s="492">
        <v>388</v>
      </c>
      <c r="AP565" s="307">
        <f>Reported!P64</f>
        <v>485</v>
      </c>
      <c r="AQ565" s="307">
        <f>Reported!Q64</f>
        <v>649</v>
      </c>
      <c r="AR565" s="307">
        <f>Reported!R64</f>
        <v>819</v>
      </c>
      <c r="AS565" s="493">
        <f>Reported!S64</f>
        <v>1066</v>
      </c>
      <c r="AT565" s="307">
        <f>Reported!T64</f>
        <v>1243</v>
      </c>
      <c r="AU565" s="307">
        <f>Reported!U64</f>
        <v>1493</v>
      </c>
      <c r="AV565" s="307">
        <f>Reported!V64</f>
        <v>1764</v>
      </c>
      <c r="AW565" s="493">
        <f>Reported!W64</f>
        <v>2163</v>
      </c>
      <c r="AX565" s="307">
        <f>Reported!X64</f>
        <v>2431</v>
      </c>
      <c r="AY565" s="307">
        <f>Reported!Y64</f>
        <v>2975</v>
      </c>
      <c r="AZ565" s="307">
        <f>Reported!Z64</f>
        <v>3599</v>
      </c>
      <c r="BA565" s="747">
        <f>BA289</f>
        <v>3787.9599999999991</v>
      </c>
      <c r="BB565" s="489">
        <f>BB289</f>
        <v>4424.4199999999992</v>
      </c>
      <c r="BC565" s="489">
        <f>BC289</f>
        <v>5236</v>
      </c>
      <c r="BD565" s="489">
        <f>BD289</f>
        <v>5758.4000000000005</v>
      </c>
      <c r="BE565" s="489">
        <f>BE289</f>
        <v>6073.3527999999969</v>
      </c>
      <c r="BF565" s="454"/>
      <c r="BG565" s="15"/>
    </row>
    <row r="566" spans="1:90" ht="12.75" customHeight="1" outlineLevel="1">
      <c r="B566" s="268" t="s">
        <v>82</v>
      </c>
      <c r="C566" s="775">
        <v>190</v>
      </c>
      <c r="D566" s="775">
        <v>380</v>
      </c>
      <c r="E566" s="771">
        <v>108</v>
      </c>
      <c r="F566" s="771">
        <v>540</v>
      </c>
      <c r="G566" s="776">
        <v>1748</v>
      </c>
      <c r="H566" s="772">
        <f>SUM(AL566:AO566)</f>
        <v>5510</v>
      </c>
      <c r="I566" s="772">
        <f>SUM(AP566:AS566)</f>
        <v>6174</v>
      </c>
      <c r="J566" s="1423">
        <f>SUM(AT566:AW566)</f>
        <v>18485</v>
      </c>
      <c r="K566" s="434">
        <f t="shared" ref="K566:R566" si="1138">K321+K310</f>
        <v>22637.699999999997</v>
      </c>
      <c r="L566" s="434">
        <f t="shared" si="1138"/>
        <v>27064.5255</v>
      </c>
      <c r="M566" s="434">
        <f t="shared" si="1138"/>
        <v>33538.001534999996</v>
      </c>
      <c r="N566" s="434">
        <f t="shared" si="1138"/>
        <v>40494.944889359998</v>
      </c>
      <c r="O566" s="434">
        <f t="shared" si="1138"/>
        <v>47643.723508551499</v>
      </c>
      <c r="P566" s="434">
        <f t="shared" si="1138"/>
        <v>54710.743296153931</v>
      </c>
      <c r="Q566" s="434">
        <f t="shared" si="1138"/>
        <v>61473.121270001662</v>
      </c>
      <c r="R566" s="434">
        <f t="shared" si="1138"/>
        <v>67772.839473715489</v>
      </c>
      <c r="V566" s="777">
        <v>60</v>
      </c>
      <c r="W566" s="777">
        <v>49</v>
      </c>
      <c r="X566" s="777">
        <v>109</v>
      </c>
      <c r="Y566" s="783">
        <v>162</v>
      </c>
      <c r="Z566" s="780">
        <v>17</v>
      </c>
      <c r="AA566" s="780">
        <v>14</v>
      </c>
      <c r="AB566" s="780">
        <v>31</v>
      </c>
      <c r="AC566" s="781">
        <v>46</v>
      </c>
      <c r="AD566" s="780">
        <v>63</v>
      </c>
      <c r="AE566" s="780">
        <v>92</v>
      </c>
      <c r="AF566" s="780">
        <v>162</v>
      </c>
      <c r="AG566" s="781">
        <v>223</v>
      </c>
      <c r="AH566" s="780">
        <v>294</v>
      </c>
      <c r="AI566" s="780">
        <v>371</v>
      </c>
      <c r="AJ566" s="780">
        <v>524</v>
      </c>
      <c r="AK566" s="782">
        <v>559</v>
      </c>
      <c r="AL566" s="780">
        <v>718</v>
      </c>
      <c r="AM566" s="461">
        <v>1368</v>
      </c>
      <c r="AN566" s="461">
        <v>1919</v>
      </c>
      <c r="AO566" s="492">
        <v>1505</v>
      </c>
      <c r="AP566" s="307">
        <f>Reported!P65</f>
        <v>1305</v>
      </c>
      <c r="AQ566" s="307">
        <f>Reported!Q65</f>
        <v>1373</v>
      </c>
      <c r="AR566" s="307">
        <f>Reported!R65</f>
        <v>1786</v>
      </c>
      <c r="AS566" s="493">
        <f>Reported!S65</f>
        <v>1710</v>
      </c>
      <c r="AT566" s="307">
        <f>Reported!T65</f>
        <v>3718</v>
      </c>
      <c r="AU566" s="307">
        <f>Reported!U65</f>
        <v>4411</v>
      </c>
      <c r="AV566" s="307">
        <f>Reported!V65</f>
        <v>5162</v>
      </c>
      <c r="AW566" s="493">
        <f>Reported!W65</f>
        <v>5194</v>
      </c>
      <c r="AX566" s="307">
        <f>Reported!X65</f>
        <v>5153</v>
      </c>
      <c r="AY566" s="307">
        <f>Reported!Y65</f>
        <v>6347</v>
      </c>
      <c r="AZ566" s="307">
        <f>Reported!Z65</f>
        <v>7092</v>
      </c>
      <c r="BA566" s="747">
        <f>BA310+BA321</f>
        <v>6041.6999999999989</v>
      </c>
      <c r="BB566" s="489">
        <f>BB310+BB321</f>
        <v>5875.25</v>
      </c>
      <c r="BC566" s="489">
        <f>BC310+BC321</f>
        <v>6777.65</v>
      </c>
      <c r="BD566" s="489">
        <f>BD310+BD321</f>
        <v>7228.55</v>
      </c>
      <c r="BE566" s="489">
        <f>BE310+BE321</f>
        <v>7183.075499999999</v>
      </c>
      <c r="BF566" s="454"/>
      <c r="BG566" s="15"/>
    </row>
    <row r="567" spans="1:90" s="274" customFormat="1" ht="12.75" customHeight="1" outlineLevel="1">
      <c r="A567" s="1348"/>
      <c r="B567" s="784" t="s">
        <v>139</v>
      </c>
      <c r="C567" s="785">
        <f t="shared" ref="C567:R567" si="1139">C562-C19</f>
        <v>0</v>
      </c>
      <c r="D567" s="785">
        <f t="shared" si="1139"/>
        <v>0</v>
      </c>
      <c r="E567" s="785">
        <f t="shared" si="1139"/>
        <v>0</v>
      </c>
      <c r="F567" s="785">
        <f t="shared" si="1139"/>
        <v>0</v>
      </c>
      <c r="G567" s="785">
        <f t="shared" si="1139"/>
        <v>0</v>
      </c>
      <c r="H567" s="785">
        <f t="shared" si="1139"/>
        <v>0</v>
      </c>
      <c r="I567" s="785">
        <f t="shared" si="1139"/>
        <v>0</v>
      </c>
      <c r="J567" s="788">
        <f t="shared" si="1139"/>
        <v>0</v>
      </c>
      <c r="K567" s="785">
        <f t="shared" si="1139"/>
        <v>0</v>
      </c>
      <c r="L567" s="785">
        <f t="shared" si="1139"/>
        <v>0</v>
      </c>
      <c r="M567" s="785">
        <f t="shared" si="1139"/>
        <v>0</v>
      </c>
      <c r="N567" s="785">
        <f t="shared" si="1139"/>
        <v>0</v>
      </c>
      <c r="O567" s="785">
        <f t="shared" si="1139"/>
        <v>0</v>
      </c>
      <c r="P567" s="785">
        <f t="shared" si="1139"/>
        <v>0</v>
      </c>
      <c r="Q567" s="785">
        <f t="shared" si="1139"/>
        <v>0</v>
      </c>
      <c r="R567" s="785">
        <f t="shared" si="1139"/>
        <v>0</v>
      </c>
      <c r="V567" s="785"/>
      <c r="W567" s="786"/>
      <c r="X567" s="786"/>
      <c r="Y567" s="787"/>
      <c r="Z567" s="786">
        <f t="shared" ref="Z567:BA567" si="1140">SUM(Z563:Z566)-Z562</f>
        <v>0</v>
      </c>
      <c r="AA567" s="786">
        <f t="shared" si="1140"/>
        <v>0</v>
      </c>
      <c r="AB567" s="786">
        <f t="shared" si="1140"/>
        <v>0</v>
      </c>
      <c r="AC567" s="787">
        <f t="shared" si="1140"/>
        <v>0</v>
      </c>
      <c r="AD567" s="786">
        <f t="shared" si="1140"/>
        <v>0</v>
      </c>
      <c r="AE567" s="786">
        <f t="shared" si="1140"/>
        <v>0</v>
      </c>
      <c r="AF567" s="786">
        <f t="shared" si="1140"/>
        <v>0</v>
      </c>
      <c r="AG567" s="787">
        <f t="shared" si="1140"/>
        <v>0</v>
      </c>
      <c r="AH567" s="786">
        <f t="shared" si="1140"/>
        <v>0</v>
      </c>
      <c r="AI567" s="786">
        <f t="shared" si="1140"/>
        <v>0</v>
      </c>
      <c r="AJ567" s="786">
        <f t="shared" si="1140"/>
        <v>0</v>
      </c>
      <c r="AK567" s="787">
        <f t="shared" si="1140"/>
        <v>0</v>
      </c>
      <c r="AL567" s="786">
        <f t="shared" si="1140"/>
        <v>0</v>
      </c>
      <c r="AM567" s="785">
        <f t="shared" si="1140"/>
        <v>0</v>
      </c>
      <c r="AN567" s="785">
        <f t="shared" si="1140"/>
        <v>0</v>
      </c>
      <c r="AO567" s="788">
        <f t="shared" si="1140"/>
        <v>0</v>
      </c>
      <c r="AP567" s="785">
        <f t="shared" si="1140"/>
        <v>0</v>
      </c>
      <c r="AQ567" s="785">
        <f t="shared" si="1140"/>
        <v>0</v>
      </c>
      <c r="AR567" s="785">
        <f t="shared" si="1140"/>
        <v>0</v>
      </c>
      <c r="AS567" s="788">
        <f t="shared" si="1140"/>
        <v>0</v>
      </c>
      <c r="AT567" s="785">
        <f t="shared" si="1140"/>
        <v>0</v>
      </c>
      <c r="AU567" s="785">
        <f t="shared" si="1140"/>
        <v>0</v>
      </c>
      <c r="AV567" s="785">
        <f t="shared" si="1140"/>
        <v>0</v>
      </c>
      <c r="AW567" s="788">
        <f t="shared" si="1140"/>
        <v>0</v>
      </c>
      <c r="AX567" s="785">
        <f t="shared" si="1140"/>
        <v>0</v>
      </c>
      <c r="AY567" s="785">
        <f>SUM(AY563:AY566)-AY562</f>
        <v>0</v>
      </c>
      <c r="AZ567" s="321">
        <f t="shared" si="1140"/>
        <v>0</v>
      </c>
      <c r="BA567" s="329">
        <f t="shared" si="1140"/>
        <v>0</v>
      </c>
      <c r="BB567" s="321">
        <f>SUM(BB563:BB566)-BB562</f>
        <v>0</v>
      </c>
      <c r="BC567" s="321">
        <f>SUM(BC563:BC566)-BC562</f>
        <v>0</v>
      </c>
      <c r="BD567" s="321">
        <f>SUM(BD563:BD566)-BD562</f>
        <v>0</v>
      </c>
      <c r="BE567" s="321">
        <f>SUM(BE563:BE566)-BE562</f>
        <v>0</v>
      </c>
      <c r="BF567" s="785"/>
      <c r="BG567" s="449"/>
      <c r="CG567"/>
      <c r="CH567"/>
      <c r="CI567"/>
      <c r="CJ567"/>
      <c r="CK567"/>
      <c r="CL567"/>
    </row>
    <row r="568" spans="1:90" s="274" customFormat="1" ht="12.75" customHeight="1" outlineLevel="1">
      <c r="A568" s="1348"/>
      <c r="B568" s="784"/>
      <c r="C568" s="785"/>
      <c r="D568" s="785"/>
      <c r="E568" s="785"/>
      <c r="F568" s="785"/>
      <c r="G568" s="785"/>
      <c r="H568" s="785"/>
      <c r="I568" s="785"/>
      <c r="J568" s="788"/>
      <c r="K568" s="785"/>
      <c r="L568" s="785"/>
      <c r="M568" s="785"/>
      <c r="N568" s="785"/>
      <c r="O568" s="785"/>
      <c r="P568" s="785"/>
      <c r="Q568" s="785"/>
      <c r="R568" s="785"/>
      <c r="V568" s="785"/>
      <c r="W568" s="786"/>
      <c r="X568" s="786"/>
      <c r="Y568" s="787"/>
      <c r="Z568" s="786"/>
      <c r="AA568" s="786"/>
      <c r="AB568" s="786"/>
      <c r="AC568" s="787"/>
      <c r="AD568" s="786"/>
      <c r="AE568" s="786"/>
      <c r="AF568" s="786"/>
      <c r="AG568" s="787"/>
      <c r="AH568" s="786"/>
      <c r="AI568" s="786"/>
      <c r="AJ568" s="786"/>
      <c r="AK568" s="787"/>
      <c r="AL568" s="786"/>
      <c r="AM568" s="785"/>
      <c r="AN568" s="785"/>
      <c r="AO568" s="788"/>
      <c r="AP568" s="785"/>
      <c r="AQ568" s="785"/>
      <c r="AR568" s="785"/>
      <c r="AS568" s="788"/>
      <c r="AT568" s="785"/>
      <c r="AU568" s="785"/>
      <c r="AV568" s="785"/>
      <c r="AW568" s="788"/>
      <c r="AX568" s="321"/>
      <c r="AY568" s="321"/>
      <c r="AZ568" s="321"/>
      <c r="BA568" s="329"/>
      <c r="BB568" s="321"/>
      <c r="BC568" s="321"/>
      <c r="BD568" s="321"/>
      <c r="BE568" s="321"/>
      <c r="BF568" s="785"/>
      <c r="BG568" s="449"/>
      <c r="CG568"/>
      <c r="CH568"/>
      <c r="CI568"/>
      <c r="CJ568"/>
      <c r="CK568"/>
      <c r="CL568"/>
    </row>
    <row r="569" spans="1:90" s="790" customFormat="1" ht="12.75" customHeight="1" outlineLevel="1">
      <c r="A569" s="1350"/>
      <c r="G569" s="791"/>
      <c r="I569" s="792"/>
      <c r="J569" s="1424"/>
      <c r="L569" s="793"/>
      <c r="M569" s="793"/>
      <c r="N569" s="793"/>
      <c r="O569" s="793"/>
      <c r="P569" s="793"/>
      <c r="Q569" s="793"/>
      <c r="R569" s="793"/>
      <c r="V569" s="794"/>
      <c r="W569" s="794"/>
      <c r="X569" s="794"/>
      <c r="Y569" s="795"/>
      <c r="Z569" s="794"/>
      <c r="AA569" s="794"/>
      <c r="AB569" s="794"/>
      <c r="AC569" s="795"/>
      <c r="AD569" s="794"/>
      <c r="AE569" s="794"/>
      <c r="AF569" s="794"/>
      <c r="AG569" s="795"/>
      <c r="AH569" s="794"/>
      <c r="AI569" s="794"/>
      <c r="AJ569" s="794"/>
      <c r="AK569" s="795"/>
      <c r="AL569" s="794"/>
      <c r="AM569" s="794"/>
      <c r="AN569" s="794"/>
      <c r="AO569" s="795"/>
      <c r="AP569" s="794"/>
      <c r="AQ569" s="794"/>
      <c r="AR569" s="794"/>
      <c r="AS569" s="795"/>
      <c r="AT569" s="794"/>
      <c r="AU569" s="794"/>
      <c r="AV569" s="794"/>
      <c r="AW569" s="795"/>
      <c r="AX569" s="322"/>
      <c r="AY569" s="322"/>
      <c r="AZ569" s="322"/>
      <c r="BA569" s="323"/>
      <c r="BB569" s="322"/>
      <c r="BC569" s="322"/>
      <c r="BD569" s="322"/>
      <c r="BE569" s="322"/>
      <c r="BF569" s="794"/>
      <c r="BG569" s="793"/>
      <c r="CG569"/>
      <c r="CH569"/>
      <c r="CI569"/>
      <c r="CJ569"/>
      <c r="CK569"/>
      <c r="CL569"/>
    </row>
    <row r="570" spans="1:90" s="226" customFormat="1" ht="12.75" customHeight="1" outlineLevel="1">
      <c r="A570" s="1349"/>
      <c r="B570" s="226" t="s">
        <v>277</v>
      </c>
      <c r="C570" s="440">
        <f t="shared" ref="C570:J570" si="1141">C356</f>
        <v>384</v>
      </c>
      <c r="D570" s="440">
        <f t="shared" si="1141"/>
        <v>549</v>
      </c>
      <c r="E570" s="440">
        <f t="shared" si="1141"/>
        <v>258</v>
      </c>
      <c r="F570" s="440">
        <f t="shared" si="1141"/>
        <v>39</v>
      </c>
      <c r="G570" s="440">
        <f t="shared" si="1141"/>
        <v>1648</v>
      </c>
      <c r="H570" s="440">
        <f t="shared" si="1141"/>
        <v>9455</v>
      </c>
      <c r="I570" s="440">
        <f t="shared" si="1141"/>
        <v>52254</v>
      </c>
      <c r="J570" s="566">
        <f t="shared" si="1141"/>
        <v>8559</v>
      </c>
      <c r="K570" s="440">
        <f>K571+K572</f>
        <v>31374.42</v>
      </c>
      <c r="L570" s="440">
        <f t="shared" ref="L570:R570" si="1142">L571+L572</f>
        <v>9847.5784559123185</v>
      </c>
      <c r="M570" s="440">
        <f t="shared" si="1142"/>
        <v>10894.899585064315</v>
      </c>
      <c r="N570" s="440">
        <f t="shared" si="1142"/>
        <v>13162.852638638033</v>
      </c>
      <c r="O570" s="440">
        <f t="shared" si="1142"/>
        <v>17562.006676396799</v>
      </c>
      <c r="P570" s="440">
        <f t="shared" si="1142"/>
        <v>23804.351079766733</v>
      </c>
      <c r="Q570" s="440">
        <f t="shared" si="1142"/>
        <v>31550.968557342112</v>
      </c>
      <c r="R570" s="440">
        <f t="shared" si="1142"/>
        <v>40176.941361777135</v>
      </c>
      <c r="V570" s="315"/>
      <c r="W570" s="315"/>
      <c r="X570" s="315"/>
      <c r="Y570" s="316"/>
      <c r="Z570" s="315"/>
      <c r="AA570" s="315"/>
      <c r="AB570" s="315"/>
      <c r="AC570" s="316"/>
      <c r="AD570" s="315"/>
      <c r="AE570" s="315"/>
      <c r="AF570" s="315"/>
      <c r="AG570" s="316"/>
      <c r="AH570" s="369">
        <v>466</v>
      </c>
      <c r="AI570" s="796">
        <v>318</v>
      </c>
      <c r="AJ570" s="796">
        <v>296</v>
      </c>
      <c r="AK570" s="262">
        <v>568</v>
      </c>
      <c r="AL570" s="369">
        <v>6828</v>
      </c>
      <c r="AM570" s="796">
        <v>468</v>
      </c>
      <c r="AN570" s="796">
        <v>313</v>
      </c>
      <c r="AO570" s="797">
        <v>1846</v>
      </c>
      <c r="AP570" s="516">
        <f>Reported!P200</f>
        <v>27382</v>
      </c>
      <c r="AQ570" s="516">
        <f>Reported!Q200</f>
        <v>18150</v>
      </c>
      <c r="AR570" s="516">
        <f>Reported!R200</f>
        <v>2944</v>
      </c>
      <c r="AS570" s="518">
        <f>Reported!S200</f>
        <v>3778</v>
      </c>
      <c r="AT570" s="516">
        <f>Reported!T200</f>
        <v>750</v>
      </c>
      <c r="AU570" s="516">
        <f>Reported!U200</f>
        <v>419</v>
      </c>
      <c r="AV570" s="516">
        <f>Reported!V200</f>
        <v>837</v>
      </c>
      <c r="AW570" s="518">
        <f>Reported!W200</f>
        <v>6553</v>
      </c>
      <c r="AX570" s="516">
        <f>Reported!X200</f>
        <v>1472</v>
      </c>
      <c r="AY570" s="516">
        <f>Reported!Y200</f>
        <v>3435</v>
      </c>
      <c r="AZ570" s="516">
        <f>Reported!Z200</f>
        <v>23643</v>
      </c>
      <c r="BA570" s="1523">
        <f>K570-SUM(AX570:AZ570)</f>
        <v>2824.4199999999983</v>
      </c>
      <c r="BB570" s="315">
        <f>SUM(BB571:BB574)</f>
        <v>2461.8946139780796</v>
      </c>
      <c r="BC570" s="315">
        <f>SUM(BC571:BC574)</f>
        <v>2461.8946139780796</v>
      </c>
      <c r="BD570" s="315">
        <f>SUM(BD571:BD574)</f>
        <v>2461.8946139780796</v>
      </c>
      <c r="BE570" s="373">
        <f>L570-SUM(BB570:BD570)</f>
        <v>2461.8946139780801</v>
      </c>
      <c r="BF570" s="1288"/>
      <c r="BG570" s="302"/>
      <c r="CG570"/>
      <c r="CH570"/>
      <c r="CI570"/>
      <c r="CJ570"/>
      <c r="CK570"/>
      <c r="CL570"/>
    </row>
    <row r="571" spans="1:90" s="454" customFormat="1" ht="12.75" customHeight="1" outlineLevel="1">
      <c r="A571" s="1351"/>
      <c r="B571" s="798" t="s">
        <v>278</v>
      </c>
      <c r="C571" s="799"/>
      <c r="F571" s="454">
        <f>F570-F572</f>
        <v>39</v>
      </c>
      <c r="G571" s="454">
        <f>G570-G572</f>
        <v>1648</v>
      </c>
      <c r="H571" s="454">
        <f>H570-H572</f>
        <v>2920</v>
      </c>
      <c r="I571" s="454">
        <f>I570-I572</f>
        <v>8917</v>
      </c>
      <c r="J571" s="725">
        <f>J570-J572</f>
        <v>8559</v>
      </c>
      <c r="K571" s="454">
        <f t="shared" ref="K571:R571" si="1143">K573*AVERAGE(SUM(J594:J596))</f>
        <v>31374.42</v>
      </c>
      <c r="L571" s="454">
        <f t="shared" si="1143"/>
        <v>9847.5784559123185</v>
      </c>
      <c r="M571" s="454">
        <f t="shared" si="1143"/>
        <v>10894.899585064315</v>
      </c>
      <c r="N571" s="454">
        <f t="shared" si="1143"/>
        <v>13162.852638638033</v>
      </c>
      <c r="O571" s="454">
        <f t="shared" si="1143"/>
        <v>17562.006676396799</v>
      </c>
      <c r="P571" s="454">
        <f t="shared" si="1143"/>
        <v>23804.351079766733</v>
      </c>
      <c r="Q571" s="454">
        <f t="shared" si="1143"/>
        <v>31550.968557342112</v>
      </c>
      <c r="R571" s="454">
        <f t="shared" si="1143"/>
        <v>40176.941361777135</v>
      </c>
      <c r="V571" s="41"/>
      <c r="W571" s="41"/>
      <c r="X571" s="41"/>
      <c r="Y571" s="363"/>
      <c r="Z571" s="41"/>
      <c r="AA571" s="41"/>
      <c r="AB571" s="41"/>
      <c r="AC571" s="363"/>
      <c r="AD571" s="41"/>
      <c r="AE571" s="41"/>
      <c r="AF571" s="41"/>
      <c r="AG571" s="363"/>
      <c r="AH571" s="41"/>
      <c r="AI571" s="41"/>
      <c r="AJ571" s="41"/>
      <c r="AK571" s="363"/>
      <c r="AL571" s="41"/>
      <c r="AM571" s="41"/>
      <c r="AN571" s="41"/>
      <c r="AO571" s="363"/>
      <c r="AP571" s="41"/>
      <c r="AQ571" s="41"/>
      <c r="AR571" s="41"/>
      <c r="AS571" s="800"/>
      <c r="AT571" s="41"/>
      <c r="AU571" s="41"/>
      <c r="AV571" s="41"/>
      <c r="AW571" s="223"/>
      <c r="AX571" s="356">
        <f>K571/4</f>
        <v>7843.6049999999996</v>
      </c>
      <c r="AY571" s="356">
        <f>AX571</f>
        <v>7843.6049999999996</v>
      </c>
      <c r="AZ571" s="356">
        <f>AY571</f>
        <v>7843.6049999999996</v>
      </c>
      <c r="BA571" s="1525">
        <f>K571-SUM(AX571:AZ571)</f>
        <v>7843.6049999999996</v>
      </c>
      <c r="BB571" s="356">
        <f>L571/4</f>
        <v>2461.8946139780796</v>
      </c>
      <c r="BC571" s="356">
        <f>BB571</f>
        <v>2461.8946139780796</v>
      </c>
      <c r="BD571" s="356">
        <f>BC571</f>
        <v>2461.8946139780796</v>
      </c>
      <c r="BE571" s="469">
        <f>L571-SUM(BB571:BD571)</f>
        <v>2461.8946139780801</v>
      </c>
      <c r="BF571" s="1288"/>
      <c r="BG571" s="15"/>
      <c r="CG571"/>
      <c r="CH571"/>
      <c r="CI571"/>
      <c r="CJ571"/>
      <c r="CK571"/>
      <c r="CL571"/>
    </row>
    <row r="572" spans="1:90" s="454" customFormat="1" ht="12.75" customHeight="1" outlineLevel="1">
      <c r="A572" s="1351"/>
      <c r="B572" s="798" t="s">
        <v>687</v>
      </c>
      <c r="C572" s="799"/>
      <c r="H572" s="454">
        <v>6535</v>
      </c>
      <c r="I572" s="454">
        <f>24734+18603</f>
        <v>43337</v>
      </c>
      <c r="J572" s="725"/>
      <c r="V572" s="41"/>
      <c r="W572" s="41"/>
      <c r="X572" s="41"/>
      <c r="Y572" s="363"/>
      <c r="Z572" s="41"/>
      <c r="AA572" s="41"/>
      <c r="AB572" s="41"/>
      <c r="AC572" s="363"/>
      <c r="AD572" s="41"/>
      <c r="AE572" s="41"/>
      <c r="AF572" s="41"/>
      <c r="AG572" s="363"/>
      <c r="AH572" s="41"/>
      <c r="AI572" s="41"/>
      <c r="AJ572" s="41"/>
      <c r="AK572" s="363"/>
      <c r="AL572" s="41"/>
      <c r="AM572" s="41"/>
      <c r="AN572" s="41"/>
      <c r="AO572" s="363"/>
      <c r="AP572" s="41"/>
      <c r="AQ572" s="41"/>
      <c r="AR572" s="41"/>
      <c r="AS572" s="800"/>
      <c r="AT572" s="801"/>
      <c r="AU572" s="801"/>
      <c r="AV572" s="801"/>
      <c r="AW572" s="561"/>
      <c r="AX572" s="802"/>
      <c r="AY572" s="802"/>
      <c r="AZ572" s="802"/>
      <c r="BA572" s="1549"/>
      <c r="BB572" s="802"/>
      <c r="BC572" s="802"/>
      <c r="BD572" s="802"/>
      <c r="BE572" s="803"/>
      <c r="BF572" s="1288"/>
      <c r="BG572" s="15"/>
      <c r="CG572"/>
      <c r="CH572"/>
      <c r="CI572"/>
      <c r="CJ572"/>
      <c r="CK572"/>
      <c r="CL572"/>
    </row>
    <row r="573" spans="1:90" ht="12.75" customHeight="1" outlineLevel="1">
      <c r="B573" s="401" t="s">
        <v>688</v>
      </c>
      <c r="C573" s="418"/>
      <c r="F573" s="450">
        <f>F571/AVERAGE(SUM(Model!F594:F596),SUM(Model!E594:E596))</f>
        <v>1.2697585830796529E-3</v>
      </c>
      <c r="G573" s="450">
        <f>G571/AVERAGE(SUM(Model!G594:G596),SUM(Model!F594:F596))</f>
        <v>3.8810258342557052E-2</v>
      </c>
      <c r="H573" s="450">
        <f>H571/AVERAGE(SUM(Model!H594:H596),SUM(Model!G594:G596))</f>
        <v>3.3719996997534515E-2</v>
      </c>
      <c r="I573" s="450">
        <f>I571/AVERAGE(SUM(Model!I594:I596),SUM(Model!H594:H596))</f>
        <v>7.5089893979840172E-2</v>
      </c>
      <c r="J573" s="1360">
        <f>J571/AVERAGE(SUM(Model!J594:J596),SUM(Model!I594:I596))</f>
        <v>6.5269611768204797E-2</v>
      </c>
      <c r="K573" s="688">
        <v>0.21</v>
      </c>
      <c r="L573" s="688">
        <v>4.2999999999999997E-2</v>
      </c>
      <c r="M573" s="688">
        <v>3.6999999999999998E-2</v>
      </c>
      <c r="N573" s="688">
        <v>3.3000000000000002E-2</v>
      </c>
      <c r="O573" s="688">
        <f>N573</f>
        <v>3.3000000000000002E-2</v>
      </c>
      <c r="P573" s="688">
        <f>O573</f>
        <v>3.3000000000000002E-2</v>
      </c>
      <c r="Q573" s="688">
        <f>P573</f>
        <v>3.3000000000000002E-2</v>
      </c>
      <c r="R573" s="688">
        <f>Q573</f>
        <v>3.3000000000000002E-2</v>
      </c>
      <c r="AL573" s="252"/>
      <c r="AM573" s="252"/>
      <c r="AN573" s="252"/>
      <c r="AO573" s="253"/>
      <c r="AP573" s="41"/>
      <c r="AQ573" s="41"/>
      <c r="AR573" s="41"/>
      <c r="AS573" s="253"/>
      <c r="AT573" s="41"/>
      <c r="AU573" s="41"/>
      <c r="AV573" s="41"/>
      <c r="AW573" s="253"/>
      <c r="AX573" s="266"/>
      <c r="AY573" s="266"/>
      <c r="AZ573" s="266"/>
      <c r="BA573" s="535"/>
      <c r="BB573" s="266"/>
      <c r="BC573" s="266"/>
      <c r="BD573" s="266"/>
      <c r="BE573" s="270"/>
      <c r="BF573" s="252"/>
      <c r="BG573" s="15"/>
    </row>
    <row r="574" spans="1:90" s="454" customFormat="1" ht="12.75" customHeight="1" outlineLevel="1">
      <c r="A574" s="1351"/>
      <c r="B574" s="798"/>
      <c r="C574" s="799"/>
      <c r="J574" s="725"/>
      <c r="V574" s="41"/>
      <c r="W574" s="41"/>
      <c r="X574" s="41"/>
      <c r="Y574" s="363"/>
      <c r="Z574" s="41"/>
      <c r="AA574" s="41"/>
      <c r="AB574" s="41"/>
      <c r="AC574" s="363"/>
      <c r="AD574" s="41"/>
      <c r="AE574" s="41"/>
      <c r="AF574" s="41"/>
      <c r="AG574" s="363"/>
      <c r="AH574" s="41"/>
      <c r="AI574" s="41"/>
      <c r="AJ574" s="41"/>
      <c r="AK574" s="363"/>
      <c r="AL574" s="41"/>
      <c r="AM574" s="41"/>
      <c r="AN574" s="41"/>
      <c r="AO574" s="363"/>
      <c r="AP574" s="41"/>
      <c r="AQ574" s="41"/>
      <c r="AR574" s="41"/>
      <c r="AS574" s="800"/>
      <c r="AT574" s="801"/>
      <c r="AU574" s="801"/>
      <c r="AV574" s="801"/>
      <c r="AW574" s="561"/>
      <c r="AX574" s="802"/>
      <c r="AY574" s="802"/>
      <c r="AZ574" s="802"/>
      <c r="BA574" s="1549"/>
      <c r="BB574" s="802"/>
      <c r="BC574" s="802"/>
      <c r="BD574" s="802"/>
      <c r="BE574" s="803"/>
      <c r="BF574" s="1288"/>
      <c r="BG574" s="15"/>
      <c r="CG574"/>
      <c r="CH574"/>
      <c r="CI574"/>
      <c r="CJ574"/>
      <c r="CK574"/>
      <c r="CL574"/>
    </row>
    <row r="575" spans="1:90" ht="12.75" customHeight="1" outlineLevel="1">
      <c r="B575" s="401"/>
      <c r="C575" s="418"/>
      <c r="F575" s="450"/>
      <c r="G575" s="450"/>
      <c r="H575" s="450"/>
      <c r="I575" s="450"/>
      <c r="J575" s="1360"/>
      <c r="K575" s="450"/>
      <c r="L575" s="450"/>
      <c r="M575" s="450"/>
      <c r="N575" s="450"/>
      <c r="O575" s="450"/>
      <c r="P575" s="450"/>
      <c r="Q575" s="450"/>
      <c r="R575" s="450"/>
      <c r="AL575" s="252"/>
      <c r="AM575" s="252"/>
      <c r="AN575" s="252"/>
      <c r="AO575" s="253"/>
      <c r="AP575" s="41"/>
      <c r="AQ575" s="41"/>
      <c r="AR575" s="41"/>
      <c r="AS575" s="253"/>
      <c r="AT575" s="41"/>
      <c r="AU575" s="41"/>
      <c r="AV575" s="41"/>
      <c r="AW575" s="253"/>
      <c r="AX575" s="266"/>
      <c r="AY575" s="266"/>
      <c r="AZ575" s="266"/>
      <c r="BA575" s="535"/>
      <c r="BB575" s="266"/>
      <c r="BC575" s="266"/>
      <c r="BD575" s="266"/>
      <c r="BE575" s="270"/>
      <c r="BF575" s="252"/>
      <c r="BG575" s="15"/>
    </row>
    <row r="576" spans="1:90" ht="12.75" customHeight="1" outlineLevel="1">
      <c r="B576" s="401"/>
      <c r="C576" s="418"/>
      <c r="BG576" s="15"/>
    </row>
    <row r="577" spans="1:90" s="226" customFormat="1" ht="12.75" customHeight="1" outlineLevel="1">
      <c r="A577" s="1349"/>
      <c r="B577" s="226" t="s">
        <v>98</v>
      </c>
      <c r="C577" s="440">
        <f t="shared" ref="C577:J577" si="1144">C357</f>
        <v>0</v>
      </c>
      <c r="D577" s="440">
        <f t="shared" si="1144"/>
        <v>-4</v>
      </c>
      <c r="E577" s="440">
        <f t="shared" si="1144"/>
        <v>-68</v>
      </c>
      <c r="F577" s="440">
        <f t="shared" si="1144"/>
        <v>-1572</v>
      </c>
      <c r="G577" s="440">
        <f t="shared" si="1144"/>
        <v>-2195</v>
      </c>
      <c r="H577" s="440">
        <f t="shared" si="1144"/>
        <v>-2750</v>
      </c>
      <c r="I577" s="440">
        <f t="shared" si="1144"/>
        <v>-1946</v>
      </c>
      <c r="J577" s="566">
        <f t="shared" si="1144"/>
        <v>-2671</v>
      </c>
      <c r="K577" s="440">
        <f t="shared" ref="K577:R577" si="1145">SUM(K578:K579)</f>
        <v>-3775.1431386696081</v>
      </c>
      <c r="L577" s="440">
        <f t="shared" si="1145"/>
        <v>-4870.1442656149911</v>
      </c>
      <c r="M577" s="440">
        <f t="shared" si="1145"/>
        <v>-4536.4529180841355</v>
      </c>
      <c r="N577" s="440">
        <f t="shared" si="1145"/>
        <v>-4924.0378192355165</v>
      </c>
      <c r="O577" s="440">
        <f t="shared" si="1145"/>
        <v>-5093.1734159381604</v>
      </c>
      <c r="P577" s="440">
        <f t="shared" si="1145"/>
        <v>-5296.6202954424825</v>
      </c>
      <c r="Q577" s="440">
        <f t="shared" si="1145"/>
        <v>-5507.9918586506228</v>
      </c>
      <c r="R577" s="440">
        <f t="shared" si="1145"/>
        <v>-5706.7464375085892</v>
      </c>
      <c r="V577" s="291"/>
      <c r="W577" s="291"/>
      <c r="X577" s="291"/>
      <c r="Y577" s="292"/>
      <c r="Z577" s="291"/>
      <c r="AA577" s="291"/>
      <c r="AB577" s="291"/>
      <c r="AC577" s="292"/>
      <c r="AD577" s="315"/>
      <c r="AE577" s="315"/>
      <c r="AF577" s="315"/>
      <c r="AG577" s="316"/>
      <c r="AH577" s="804">
        <v>-1081</v>
      </c>
      <c r="AI577" s="804">
        <v>-374</v>
      </c>
      <c r="AJ577" s="804">
        <v>-387</v>
      </c>
      <c r="AK577" s="316">
        <f>G577-SUM(AH577:AJ577)</f>
        <v>-353</v>
      </c>
      <c r="AL577" s="804">
        <v>-410</v>
      </c>
      <c r="AM577" s="796">
        <v>-521</v>
      </c>
      <c r="AN577" s="804">
        <v>-1344</v>
      </c>
      <c r="AO577" s="805">
        <v>-475</v>
      </c>
      <c r="AP577" s="516">
        <f>Reported!P201</f>
        <v>-477</v>
      </c>
      <c r="AQ577" s="516">
        <f>Reported!Q201</f>
        <v>-484</v>
      </c>
      <c r="AR577" s="516">
        <f>Reported!R201</f>
        <v>-475</v>
      </c>
      <c r="AS577" s="518">
        <f>Reported!S201</f>
        <v>-510</v>
      </c>
      <c r="AT577" s="516">
        <f>Reported!T201</f>
        <v>-626</v>
      </c>
      <c r="AU577" s="516">
        <f>Reported!U201</f>
        <v>-668</v>
      </c>
      <c r="AV577" s="516">
        <f>Reported!V201</f>
        <v>-701</v>
      </c>
      <c r="AW577" s="518">
        <f>Reported!W201</f>
        <v>-676</v>
      </c>
      <c r="AX577" s="516">
        <f>Reported!X201</f>
        <v>-800</v>
      </c>
      <c r="AY577" s="516">
        <f>Reported!Y201</f>
        <v>-747</v>
      </c>
      <c r="AZ577" s="516">
        <f>Reported!Z201</f>
        <v>-844</v>
      </c>
      <c r="BA577" s="1523">
        <f>K577-SUM(AX577:AZ577)</f>
        <v>-1384.1431386696081</v>
      </c>
      <c r="BB577" s="372">
        <f>L577/4</f>
        <v>-1217.5360664037478</v>
      </c>
      <c r="BC577" s="372">
        <f>BB577</f>
        <v>-1217.5360664037478</v>
      </c>
      <c r="BD577" s="372">
        <f>BC577</f>
        <v>-1217.5360664037478</v>
      </c>
      <c r="BE577" s="373">
        <f>L577-SUM(BB577:BD577)</f>
        <v>-1217.536066403748</v>
      </c>
      <c r="BF577" s="1288"/>
      <c r="BG577" s="302"/>
      <c r="CG577"/>
      <c r="CH577"/>
      <c r="CI577"/>
      <c r="CJ577"/>
      <c r="CK577"/>
      <c r="CL577"/>
    </row>
    <row r="578" spans="1:90" ht="12.75" customHeight="1" outlineLevel="1">
      <c r="B578" s="374" t="s">
        <v>54</v>
      </c>
      <c r="C578" s="357"/>
      <c r="E578" s="454">
        <f>-E580*AVERAGE(Model!D660:E660)</f>
        <v>-64.150000000000006</v>
      </c>
      <c r="F578" s="454">
        <f>-F580*AVERAGE(Model!E660:F660)</f>
        <v>-729.82500000000005</v>
      </c>
      <c r="G578" s="454">
        <f>-G580*AVERAGE(Model!F660:G660)</f>
        <v>-1724.625</v>
      </c>
      <c r="H578" s="454">
        <f>-H580*AVERAGE(Model!G660:H660)</f>
        <v>-1686.0239999999999</v>
      </c>
      <c r="I578" s="454">
        <f>I577-I579</f>
        <v>-1116</v>
      </c>
      <c r="J578" s="725">
        <f>-J580*AVERAGE(Model!I660:J660)</f>
        <v>-1512.5098085494603</v>
      </c>
      <c r="K578" s="454">
        <f>-K580*AVERAGE(Model!J660:K660)</f>
        <v>-3775.1431386696081</v>
      </c>
      <c r="L578" s="454">
        <f>-L580*AVERAGE(Model!K660:L660)</f>
        <v>-4870.1442656149911</v>
      </c>
      <c r="M578" s="454">
        <f>-M580*AVERAGE(Model!L660:M660)</f>
        <v>-4536.4529180841355</v>
      </c>
      <c r="N578" s="454">
        <f>-N580*AVERAGE(Model!M660:N660)</f>
        <v>-4924.0378192355165</v>
      </c>
      <c r="O578" s="454">
        <f>-O580*AVERAGE(Model!N660:O660)</f>
        <v>-5093.1734159381604</v>
      </c>
      <c r="P578" s="454">
        <f>-P580*AVERAGE(Model!O660:P660)</f>
        <v>-5296.6202954424825</v>
      </c>
      <c r="Q578" s="454">
        <f>-Q580*AVERAGE(Model!P660:Q660)</f>
        <v>-5507.9918586506228</v>
      </c>
      <c r="R578" s="454">
        <f>-R580*AVERAGE(Model!Q660:R660)</f>
        <v>-5706.7464375085892</v>
      </c>
      <c r="AL578" s="222"/>
      <c r="AM578" s="41"/>
      <c r="AN578" s="41"/>
      <c r="AO578" s="363"/>
      <c r="BG578" s="15"/>
    </row>
    <row r="579" spans="1:90" ht="12.75" customHeight="1" outlineLevel="1">
      <c r="B579" s="374" t="s">
        <v>38</v>
      </c>
      <c r="C579" s="357"/>
      <c r="E579" s="454">
        <f>E577-E578</f>
        <v>-3.8499999999999943</v>
      </c>
      <c r="F579" s="454">
        <f>F577-F578</f>
        <v>-842.17499999999995</v>
      </c>
      <c r="G579" s="350">
        <f>G577-G578</f>
        <v>-470.375</v>
      </c>
      <c r="H579" s="350">
        <f>H577-H578</f>
        <v>-1063.9760000000001</v>
      </c>
      <c r="I579" s="674">
        <v>-830</v>
      </c>
      <c r="J579" s="670">
        <f>J577-J578</f>
        <v>-1158.4901914505397</v>
      </c>
      <c r="K579" s="454"/>
      <c r="L579" s="454"/>
      <c r="M579" s="454"/>
      <c r="N579" s="454"/>
      <c r="O579" s="454"/>
      <c r="P579" s="454"/>
      <c r="Q579" s="454"/>
      <c r="R579" s="454"/>
      <c r="AL579" s="454"/>
      <c r="AM579" s="454"/>
      <c r="AN579" s="461"/>
      <c r="AO579" s="223"/>
      <c r="AP579" s="222"/>
      <c r="AQ579" s="454"/>
      <c r="AR579" s="454"/>
      <c r="AS579" s="223"/>
      <c r="AT579" s="454"/>
      <c r="AU579" s="454"/>
      <c r="AV579" s="454"/>
      <c r="AW579" s="223">
        <f>M579-SUM(AT579:AV579)</f>
        <v>0</v>
      </c>
      <c r="AX579" s="489"/>
      <c r="AY579" s="489"/>
      <c r="AZ579" s="489"/>
      <c r="BA579" s="1530"/>
      <c r="BB579" s="489"/>
      <c r="BC579" s="489"/>
      <c r="BD579" s="489"/>
      <c r="BE579" s="498"/>
      <c r="BF579" s="222"/>
      <c r="BG579" s="15"/>
    </row>
    <row r="580" spans="1:90" ht="12.75" customHeight="1" outlineLevel="1">
      <c r="B580" s="401" t="s">
        <v>55</v>
      </c>
      <c r="C580" s="418"/>
      <c r="D580" s="376"/>
      <c r="E580" s="611">
        <v>0.05</v>
      </c>
      <c r="F580" s="611">
        <v>0.05</v>
      </c>
      <c r="G580" s="611">
        <v>0.05</v>
      </c>
      <c r="H580" s="611">
        <v>3.5999999999999997E-2</v>
      </c>
      <c r="I580" s="450">
        <f>-I578/AVERAGE(H660:I660)</f>
        <v>2.0261621837525758E-2</v>
      </c>
      <c r="J580" s="1425">
        <f>I580</f>
        <v>2.0261621837525758E-2</v>
      </c>
      <c r="K580" s="688">
        <v>3.3000000000000002E-2</v>
      </c>
      <c r="L580" s="688">
        <v>3.5000000000000003E-2</v>
      </c>
      <c r="M580" s="688">
        <v>3.15E-2</v>
      </c>
      <c r="N580" s="688">
        <v>3.3000000000000002E-2</v>
      </c>
      <c r="O580" s="688">
        <f t="shared" ref="O580:R580" si="1146">N580</f>
        <v>3.3000000000000002E-2</v>
      </c>
      <c r="P580" s="688">
        <f t="shared" si="1146"/>
        <v>3.3000000000000002E-2</v>
      </c>
      <c r="Q580" s="688">
        <f t="shared" si="1146"/>
        <v>3.3000000000000002E-2</v>
      </c>
      <c r="R580" s="688">
        <f t="shared" si="1146"/>
        <v>3.3000000000000002E-2</v>
      </c>
      <c r="AL580" s="450"/>
      <c r="AM580" s="252"/>
      <c r="AN580" s="252"/>
      <c r="AO580" s="253"/>
      <c r="AP580" s="806"/>
      <c r="AQ580" s="806"/>
      <c r="AR580" s="806"/>
      <c r="AS580" s="807"/>
      <c r="AT580" s="806"/>
      <c r="AU580" s="806"/>
      <c r="AV580" s="806"/>
      <c r="AW580" s="807"/>
      <c r="BG580" s="15"/>
    </row>
    <row r="581" spans="1:90" ht="12.75" customHeight="1" outlineLevel="1">
      <c r="B581" s="374"/>
      <c r="C581" s="357"/>
      <c r="BG581" s="15"/>
    </row>
    <row r="582" spans="1:90" ht="12.75" customHeight="1" outlineLevel="1">
      <c r="B582" s="374"/>
      <c r="C582" s="357"/>
      <c r="BG582" s="15"/>
    </row>
    <row r="583" spans="1:90" s="226" customFormat="1" ht="12.75" customHeight="1" outlineLevel="1">
      <c r="A583" s="1349"/>
      <c r="B583" s="226" t="s">
        <v>357</v>
      </c>
      <c r="C583" s="808">
        <f>Model!C358</f>
        <v>200</v>
      </c>
      <c r="D583" s="808">
        <f>Model!D358</f>
        <v>68</v>
      </c>
      <c r="E583" s="808">
        <f>Model!E358</f>
        <v>327</v>
      </c>
      <c r="F583" s="808">
        <f>Model!F358</f>
        <v>894</v>
      </c>
      <c r="G583" s="808">
        <f>Model!G358</f>
        <v>2429</v>
      </c>
      <c r="H583" s="808">
        <f>Model!H358</f>
        <v>2486</v>
      </c>
      <c r="I583" s="808">
        <f>Model!I358</f>
        <v>2058</v>
      </c>
      <c r="J583" s="1426">
        <f>Model!J358</f>
        <v>6086</v>
      </c>
      <c r="K583" s="808">
        <f>J583*(1+K584)</f>
        <v>1825.8000000000002</v>
      </c>
      <c r="L583" s="808">
        <f t="shared" ref="L583:R583" si="1147">K583*(1+L584)</f>
        <v>-547.74000000000012</v>
      </c>
      <c r="M583" s="808">
        <f t="shared" si="1147"/>
        <v>-547.74000000000012</v>
      </c>
      <c r="N583" s="808">
        <f t="shared" si="1147"/>
        <v>-547.74000000000012</v>
      </c>
      <c r="O583" s="808">
        <f t="shared" si="1147"/>
        <v>-547.74000000000012</v>
      </c>
      <c r="P583" s="808">
        <f t="shared" si="1147"/>
        <v>-547.74000000000012</v>
      </c>
      <c r="Q583" s="808">
        <f t="shared" si="1147"/>
        <v>-547.74000000000012</v>
      </c>
      <c r="R583" s="808">
        <f t="shared" si="1147"/>
        <v>-547.74000000000012</v>
      </c>
      <c r="V583" s="291"/>
      <c r="W583" s="291"/>
      <c r="X583" s="291"/>
      <c r="Y583" s="292"/>
      <c r="Z583" s="291"/>
      <c r="AA583" s="291"/>
      <c r="AB583" s="291"/>
      <c r="AC583" s="292"/>
      <c r="AD583" s="315"/>
      <c r="AE583" s="315"/>
      <c r="AF583" s="315"/>
      <c r="AG583" s="316"/>
      <c r="AH583" s="804">
        <v>241</v>
      </c>
      <c r="AI583" s="804">
        <v>389</v>
      </c>
      <c r="AJ583" s="804">
        <v>548</v>
      </c>
      <c r="AK583" s="316">
        <f>G583-SUM(AH583:AJ583)</f>
        <v>1251</v>
      </c>
      <c r="AL583" s="804">
        <v>711</v>
      </c>
      <c r="AM583" s="804">
        <v>378</v>
      </c>
      <c r="AN583" s="804">
        <v>901</v>
      </c>
      <c r="AO583" s="805">
        <v>496</v>
      </c>
      <c r="AP583" s="516">
        <f>Reported!P202</f>
        <v>551</v>
      </c>
      <c r="AQ583" s="516">
        <f>Reported!Q202</f>
        <v>429</v>
      </c>
      <c r="AR583" s="516">
        <f>Reported!R202</f>
        <v>1607</v>
      </c>
      <c r="AS583" s="518">
        <f>Reported!S202</f>
        <v>-529</v>
      </c>
      <c r="AT583" s="516">
        <f>Reported!T202</f>
        <v>1763</v>
      </c>
      <c r="AU583" s="516">
        <f>Reported!U202</f>
        <v>868</v>
      </c>
      <c r="AV583" s="516">
        <f>Reported!V202</f>
        <v>3015</v>
      </c>
      <c r="AW583" s="518">
        <f>Reported!W202</f>
        <v>440</v>
      </c>
      <c r="AX583" s="516">
        <f>Reported!X202</f>
        <v>1887</v>
      </c>
      <c r="AY583" s="516">
        <f>Reported!Y202</f>
        <v>1737</v>
      </c>
      <c r="AZ583" s="516">
        <f>Reported!Z202</f>
        <v>-348</v>
      </c>
      <c r="BA583" s="1550">
        <f>K583-SUM(AX583:AZ583)</f>
        <v>-1450.1999999999998</v>
      </c>
      <c r="BB583" s="1586">
        <v>250</v>
      </c>
      <c r="BC583" s="1587">
        <v>-250</v>
      </c>
      <c r="BD583" s="1587">
        <f>BC583</f>
        <v>-250</v>
      </c>
      <c r="BE583" s="373">
        <f>L583-SUM(BB583:BD583)</f>
        <v>-297.74000000000012</v>
      </c>
      <c r="BF583" s="365"/>
      <c r="BG583" s="302"/>
      <c r="CG583"/>
      <c r="CH583"/>
      <c r="CI583"/>
      <c r="CJ583"/>
      <c r="CK583"/>
      <c r="CL583"/>
    </row>
    <row r="584" spans="1:90" s="226" customFormat="1" ht="12.75" customHeight="1" outlineLevel="1">
      <c r="A584" s="1349"/>
      <c r="B584" s="374" t="s">
        <v>40</v>
      </c>
      <c r="C584" s="808"/>
      <c r="D584" s="808"/>
      <c r="E584" s="808"/>
      <c r="F584" s="808"/>
      <c r="G584" s="808"/>
      <c r="H584" s="808"/>
      <c r="I584" s="808"/>
      <c r="J584" s="1426"/>
      <c r="K584" s="721">
        <v>-0.7</v>
      </c>
      <c r="L584" s="721">
        <v>-1.3</v>
      </c>
      <c r="M584" s="721">
        <v>0</v>
      </c>
      <c r="N584" s="721">
        <v>0</v>
      </c>
      <c r="O584" s="721">
        <f>N584</f>
        <v>0</v>
      </c>
      <c r="P584" s="721">
        <f t="shared" ref="P584:R584" si="1148">O584</f>
        <v>0</v>
      </c>
      <c r="Q584" s="721">
        <f t="shared" si="1148"/>
        <v>0</v>
      </c>
      <c r="R584" s="721">
        <f t="shared" si="1148"/>
        <v>0</v>
      </c>
      <c r="V584" s="291"/>
      <c r="W584" s="291"/>
      <c r="X584" s="291"/>
      <c r="Y584" s="292"/>
      <c r="Z584" s="291"/>
      <c r="AA584" s="291"/>
      <c r="AB584" s="291"/>
      <c r="AC584" s="292"/>
      <c r="AD584" s="315"/>
      <c r="AE584" s="315"/>
      <c r="AF584" s="315"/>
      <c r="AG584" s="316"/>
      <c r="AH584" s="804"/>
      <c r="AI584" s="804"/>
      <c r="AJ584" s="804"/>
      <c r="AK584" s="316"/>
      <c r="AL584" s="804"/>
      <c r="AM584" s="804"/>
      <c r="AN584" s="804"/>
      <c r="AO584" s="805"/>
      <c r="AP584" s="516"/>
      <c r="AQ584" s="516"/>
      <c r="AR584" s="516"/>
      <c r="AS584" s="518"/>
      <c r="AT584" s="516"/>
      <c r="AU584" s="516"/>
      <c r="AV584" s="516"/>
      <c r="AW584" s="518"/>
      <c r="AX584" s="809"/>
      <c r="AY584" s="809"/>
      <c r="AZ584" s="809"/>
      <c r="BA584" s="1551"/>
      <c r="BB584" s="809"/>
      <c r="BC584" s="809"/>
      <c r="BD584" s="809"/>
      <c r="BE584" s="809"/>
      <c r="BF584" s="365"/>
      <c r="BG584" s="302"/>
      <c r="CG584"/>
      <c r="CH584"/>
      <c r="CI584"/>
      <c r="CJ584"/>
      <c r="CK584"/>
      <c r="CL584"/>
    </row>
    <row r="585" spans="1:90" ht="12.75" customHeight="1" outlineLevel="1">
      <c r="B585" s="374"/>
      <c r="C585" s="357"/>
      <c r="E585" s="669"/>
      <c r="F585" s="669"/>
      <c r="G585" s="669"/>
      <c r="H585" s="454"/>
      <c r="I585" s="454"/>
      <c r="J585" s="725"/>
      <c r="K585" s="454"/>
      <c r="L585" s="454"/>
      <c r="M585" s="454"/>
      <c r="N585" s="454"/>
      <c r="O585" s="454"/>
      <c r="P585" s="454"/>
      <c r="Q585" s="454"/>
      <c r="R585" s="454"/>
      <c r="AH585" s="612"/>
      <c r="AI585" s="810"/>
      <c r="AJ585" s="811"/>
      <c r="AK585" s="223"/>
      <c r="AL585" s="612"/>
      <c r="AM585" s="354"/>
      <c r="AN585" s="266"/>
      <c r="AO585" s="223"/>
      <c r="BG585" s="15"/>
    </row>
    <row r="586" spans="1:90" ht="12.75" customHeight="1" outlineLevel="1">
      <c r="B586" s="401" t="s">
        <v>895</v>
      </c>
      <c r="C586" s="357"/>
      <c r="E586" s="450"/>
      <c r="F586" s="450"/>
      <c r="G586" s="776">
        <f>SUM(AH586:AK586)</f>
        <v>1727</v>
      </c>
      <c r="H586" s="776">
        <f>SUM(AL586:AO586)</f>
        <v>1501</v>
      </c>
      <c r="I586" s="776">
        <f>SUM(AP586:AS586)</f>
        <v>1122</v>
      </c>
      <c r="J586" s="1427">
        <f>SUM(AT586:AW586)</f>
        <v>2086</v>
      </c>
      <c r="K586" s="776">
        <f>AX586+AY586+AZ586</f>
        <v>4157</v>
      </c>
      <c r="L586" s="450"/>
      <c r="M586" s="450"/>
      <c r="N586" s="450"/>
      <c r="O586" s="450"/>
      <c r="P586" s="450"/>
      <c r="Q586" s="450"/>
      <c r="R586" s="450"/>
      <c r="AH586" s="1346">
        <v>150</v>
      </c>
      <c r="AI586" s="811">
        <v>204</v>
      </c>
      <c r="AJ586" s="811">
        <v>243</v>
      </c>
      <c r="AK586" s="1296">
        <v>1130</v>
      </c>
      <c r="AL586" s="811">
        <v>527</v>
      </c>
      <c r="AM586" s="811">
        <v>430</v>
      </c>
      <c r="AN586" s="811">
        <v>344</v>
      </c>
      <c r="AO586" s="1296">
        <v>200</v>
      </c>
      <c r="AP586" s="573">
        <v>364</v>
      </c>
      <c r="AQ586" s="573">
        <v>463</v>
      </c>
      <c r="AR586" s="573">
        <v>502</v>
      </c>
      <c r="AS586" s="574">
        <v>-207</v>
      </c>
      <c r="AT586" s="573">
        <v>372</v>
      </c>
      <c r="AU586" s="573">
        <v>413</v>
      </c>
      <c r="AV586" s="573">
        <v>512</v>
      </c>
      <c r="AW586" s="574">
        <v>789</v>
      </c>
      <c r="AX586" s="573">
        <v>1966</v>
      </c>
      <c r="AY586" s="573">
        <v>1995</v>
      </c>
      <c r="AZ586" s="573">
        <v>196</v>
      </c>
      <c r="BA586" s="1584">
        <v>-1250</v>
      </c>
      <c r="BB586" s="1585">
        <v>500</v>
      </c>
      <c r="BG586" s="15"/>
    </row>
    <row r="587" spans="1:90" ht="12.75" customHeight="1" outlineLevel="1">
      <c r="B587" s="401" t="s">
        <v>40</v>
      </c>
      <c r="C587" s="357"/>
      <c r="E587" s="450"/>
      <c r="F587" s="450"/>
      <c r="G587" s="450"/>
      <c r="H587" s="375">
        <f>H586/G586-1</f>
        <v>-0.13086276780544293</v>
      </c>
      <c r="I587" s="375">
        <f t="shared" ref="I587:K587" si="1149">I586/H586-1</f>
        <v>-0.25249833444370418</v>
      </c>
      <c r="J587" s="431">
        <f t="shared" si="1149"/>
        <v>0.85918003565062384</v>
      </c>
      <c r="K587" s="375">
        <f t="shared" si="1149"/>
        <v>0.99280920421860008</v>
      </c>
      <c r="L587" s="450"/>
      <c r="M587" s="450"/>
      <c r="N587" s="450"/>
      <c r="O587" s="450"/>
      <c r="P587" s="450"/>
      <c r="Q587" s="450"/>
      <c r="R587" s="450"/>
      <c r="AX587" s="498"/>
      <c r="AY587" s="498"/>
      <c r="AZ587" s="498"/>
      <c r="BA587" s="1530">
        <f>SUM(AX586:BA586)</f>
        <v>2907</v>
      </c>
      <c r="BG587" s="15"/>
    </row>
    <row r="588" spans="1:90" ht="12.75" customHeight="1" outlineLevel="1">
      <c r="B588" s="374"/>
      <c r="C588" s="357"/>
      <c r="E588" s="812"/>
      <c r="F588" s="812"/>
      <c r="G588" s="812"/>
      <c r="H588" s="360"/>
      <c r="I588" s="360"/>
      <c r="J588" s="451"/>
      <c r="K588" s="360"/>
      <c r="L588" s="360"/>
      <c r="M588" s="360"/>
      <c r="N588" s="360"/>
      <c r="O588" s="360"/>
      <c r="P588" s="360"/>
      <c r="Q588" s="360"/>
      <c r="R588" s="360"/>
      <c r="AH588" s="612"/>
      <c r="AI588" s="810"/>
      <c r="AJ588" s="222"/>
      <c r="AK588" s="223"/>
      <c r="AL588" s="612"/>
      <c r="AM588" s="354"/>
      <c r="AN588" s="266"/>
      <c r="AO588" s="223"/>
      <c r="AX588" s="498"/>
      <c r="BG588" s="15"/>
    </row>
    <row r="589" spans="1:90" ht="12.75" customHeight="1" outlineLevel="1">
      <c r="B589" s="401"/>
      <c r="C589" s="357"/>
      <c r="F589" s="450"/>
      <c r="G589" s="450"/>
      <c r="H589" s="15"/>
      <c r="I589" s="15"/>
      <c r="J589" s="435"/>
      <c r="K589" s="15"/>
      <c r="L589" s="15"/>
      <c r="M589" s="15"/>
      <c r="N589" s="15"/>
      <c r="O589" s="15"/>
      <c r="P589" s="15"/>
      <c r="Q589" s="15"/>
      <c r="R589" s="15"/>
      <c r="AX589" s="803"/>
      <c r="BG589" s="15"/>
    </row>
    <row r="590" spans="1:90" ht="12.75" customHeight="1" outlineLevel="1">
      <c r="B590" s="401"/>
      <c r="C590" s="357"/>
      <c r="E590" s="450"/>
      <c r="F590" s="450"/>
      <c r="G590" s="450"/>
      <c r="H590" s="450"/>
      <c r="I590" s="450"/>
      <c r="J590" s="1360"/>
      <c r="K590" s="450"/>
      <c r="L590" s="450"/>
      <c r="M590" s="450"/>
      <c r="N590" s="450"/>
      <c r="O590" s="450"/>
      <c r="P590" s="450"/>
      <c r="Q590" s="450"/>
      <c r="R590" s="450"/>
      <c r="BG590" s="15"/>
    </row>
    <row r="591" spans="1:90">
      <c r="B591" s="374"/>
      <c r="C591" s="252"/>
      <c r="D591" s="252"/>
      <c r="E591" s="252"/>
      <c r="F591" s="252"/>
      <c r="G591" s="252"/>
      <c r="H591" s="252"/>
      <c r="I591" s="252"/>
      <c r="J591" s="253"/>
      <c r="K591" s="252"/>
      <c r="L591" s="252"/>
      <c r="M591" s="252"/>
      <c r="N591" s="252"/>
      <c r="O591" s="252"/>
      <c r="P591" s="252"/>
      <c r="Q591" s="252"/>
      <c r="R591" s="252"/>
      <c r="AI591" s="813"/>
      <c r="AM591" s="813"/>
      <c r="AN591" s="252"/>
      <c r="AO591" s="253"/>
      <c r="AP591" s="252"/>
      <c r="AQ591" s="252"/>
      <c r="AR591" s="252"/>
      <c r="AS591" s="253"/>
      <c r="AT591" s="252"/>
      <c r="AU591" s="252"/>
      <c r="AV591" s="252"/>
      <c r="AW591" s="253"/>
      <c r="AX591" s="270"/>
      <c r="AY591" s="270"/>
      <c r="AZ591" s="270"/>
      <c r="BA591" s="535"/>
      <c r="BB591" s="270"/>
      <c r="BC591" s="270"/>
      <c r="BD591" s="270"/>
      <c r="BE591" s="270"/>
      <c r="BF591" s="252"/>
      <c r="BG591" s="15"/>
    </row>
    <row r="592" spans="1:90">
      <c r="AV592" s="218"/>
      <c r="AW592" s="277"/>
    </row>
    <row r="593" spans="1:90" s="816" customFormat="1">
      <c r="A593" s="1349"/>
      <c r="B593" s="616" t="s">
        <v>28</v>
      </c>
      <c r="C593" s="617"/>
      <c r="D593" s="617"/>
      <c r="E593" s="617"/>
      <c r="F593" s="617"/>
      <c r="G593" s="617"/>
      <c r="H593" s="617"/>
      <c r="I593" s="617"/>
      <c r="J593" s="1409"/>
      <c r="K593" s="1383"/>
      <c r="L593" s="617"/>
      <c r="M593" s="617"/>
      <c r="N593" s="617"/>
      <c r="O593" s="617"/>
      <c r="P593" s="617"/>
      <c r="Q593" s="617"/>
      <c r="R593" s="617"/>
      <c r="S593" s="814"/>
      <c r="T593" s="815"/>
      <c r="U593" s="814"/>
      <c r="Y593" s="817"/>
      <c r="AC593" s="817"/>
      <c r="AG593" s="817"/>
      <c r="AK593" s="817"/>
      <c r="AO593" s="817"/>
      <c r="AP593" s="818"/>
      <c r="AQ593" s="818"/>
      <c r="AR593" s="818"/>
      <c r="AS593" s="819"/>
      <c r="AT593" s="818"/>
      <c r="AU593" s="818"/>
      <c r="AV593" s="818"/>
      <c r="AW593" s="819"/>
      <c r="AX593" s="818"/>
      <c r="AY593" s="818"/>
      <c r="AZ593" s="818"/>
      <c r="BA593" s="819"/>
      <c r="BB593" s="818"/>
      <c r="BC593" s="818"/>
      <c r="BD593" s="818"/>
      <c r="BE593" s="818"/>
      <c r="BF593" s="226"/>
      <c r="BG593" s="226"/>
      <c r="BH593" s="226"/>
      <c r="BI593" s="226"/>
      <c r="BJ593" s="226"/>
      <c r="BK593" s="226"/>
      <c r="BL593" s="226"/>
      <c r="BM593" s="226"/>
      <c r="BN593" s="226"/>
      <c r="BO593" s="226"/>
      <c r="BP593" s="226"/>
      <c r="BQ593" s="226"/>
      <c r="BR593" s="226"/>
      <c r="BS593" s="226"/>
      <c r="BT593" s="226"/>
      <c r="BU593" s="226"/>
      <c r="BV593" s="226"/>
      <c r="BW593" s="226"/>
      <c r="BX593" s="226"/>
      <c r="BY593" s="226"/>
      <c r="BZ593" s="226"/>
      <c r="CA593" s="226"/>
      <c r="CB593" s="226"/>
      <c r="CC593" s="226"/>
      <c r="CG593"/>
      <c r="CH593"/>
      <c r="CI593"/>
      <c r="CJ593"/>
      <c r="CK593"/>
      <c r="CL593"/>
    </row>
    <row r="594" spans="1:90" s="821" customFormat="1" outlineLevel="1">
      <c r="A594" s="1336"/>
      <c r="B594" s="821" t="s">
        <v>143</v>
      </c>
      <c r="C594" s="30"/>
      <c r="D594" s="822"/>
      <c r="E594" s="674">
        <v>16857</v>
      </c>
      <c r="F594" s="674">
        <v>30396</v>
      </c>
      <c r="G594" s="674">
        <v>33045</v>
      </c>
      <c r="H594" s="823">
        <f>Reported!C272</f>
        <v>108193</v>
      </c>
      <c r="I594" s="823">
        <f>Reported!D272</f>
        <v>106818</v>
      </c>
      <c r="J594" s="1428">
        <f>Reported!E272</f>
        <v>143736</v>
      </c>
      <c r="K594" s="30">
        <f>Model!K828</f>
        <v>223347.45246307721</v>
      </c>
      <c r="L594" s="30">
        <f>Model!L828</f>
        <v>288790.7455422788</v>
      </c>
      <c r="M594" s="30">
        <f>Model!M828</f>
        <v>393208.32238297065</v>
      </c>
      <c r="N594" s="30">
        <f>Model!N828</f>
        <v>526516.02049687272</v>
      </c>
      <c r="O594" s="30">
        <f>Model!O828</f>
        <v>715677.97211414343</v>
      </c>
      <c r="P594" s="30">
        <f>Model!P828</f>
        <v>950423.95628309425</v>
      </c>
      <c r="Q594" s="30">
        <f>Model!Q828</f>
        <v>1211817.0715690041</v>
      </c>
      <c r="R594" s="30">
        <f>Model!R828</f>
        <v>1510374.4124668466</v>
      </c>
      <c r="S594" s="824"/>
      <c r="T594" s="30"/>
      <c r="U594" s="653"/>
      <c r="V594" s="820"/>
      <c r="W594" s="820"/>
      <c r="X594" s="820"/>
      <c r="Y594" s="825"/>
      <c r="Z594" s="820"/>
      <c r="AA594" s="820"/>
      <c r="AB594" s="820"/>
      <c r="AC594" s="825"/>
      <c r="AD594" s="820"/>
      <c r="AE594" s="820"/>
      <c r="AF594" s="820"/>
      <c r="AG594" s="825"/>
      <c r="AH594" s="820"/>
      <c r="AI594" s="820"/>
      <c r="AJ594" s="820"/>
      <c r="AK594" s="825"/>
      <c r="AL594" s="820"/>
      <c r="AM594" s="820"/>
      <c r="AN594" s="820"/>
      <c r="AO594" s="825"/>
      <c r="AP594" s="820"/>
      <c r="AQ594" s="820"/>
      <c r="AR594" s="820"/>
      <c r="AS594" s="825"/>
      <c r="AT594" s="820"/>
      <c r="AU594" s="820"/>
      <c r="AV594" s="820"/>
      <c r="AW594" s="825"/>
      <c r="AX594" s="820"/>
      <c r="AY594" s="820"/>
      <c r="AZ594" s="820"/>
      <c r="BA594" s="825"/>
      <c r="BB594" s="820"/>
      <c r="BC594" s="820"/>
      <c r="BD594" s="820"/>
      <c r="BE594" s="820"/>
      <c r="BF594" s="820"/>
      <c r="BG594" s="820"/>
      <c r="BH594" s="820"/>
      <c r="BI594" s="820"/>
      <c r="BJ594" s="820"/>
      <c r="BK594" s="820"/>
      <c r="BL594" s="820"/>
      <c r="BM594" s="820"/>
      <c r="BN594" s="820"/>
      <c r="BO594" s="820"/>
      <c r="BP594" s="820"/>
      <c r="BQ594" s="820"/>
      <c r="BR594" s="820"/>
      <c r="BS594" s="820"/>
      <c r="BT594" s="820"/>
      <c r="BU594" s="820"/>
      <c r="BV594" s="820"/>
      <c r="BW594" s="820"/>
      <c r="BX594" s="820"/>
      <c r="BY594" s="820"/>
      <c r="BZ594" s="820"/>
      <c r="CA594" s="820"/>
      <c r="CB594" s="820"/>
      <c r="CC594" s="820"/>
      <c r="CG594"/>
      <c r="CH594"/>
      <c r="CI594"/>
      <c r="CJ594"/>
      <c r="CK594"/>
      <c r="CL594"/>
    </row>
    <row r="595" spans="1:90" s="821" customFormat="1" outlineLevel="1">
      <c r="A595" s="1336"/>
      <c r="B595" s="821" t="s">
        <v>144</v>
      </c>
      <c r="C595" s="822"/>
      <c r="D595" s="822"/>
      <c r="E595" s="674">
        <v>3312</v>
      </c>
      <c r="F595" s="674">
        <v>3687</v>
      </c>
      <c r="G595" s="674">
        <v>4921</v>
      </c>
      <c r="H595" s="823">
        <f>Reported!C274</f>
        <v>2297</v>
      </c>
      <c r="I595" s="823">
        <f>Reported!D274</f>
        <v>1346</v>
      </c>
      <c r="J595" s="1428">
        <f>Reported!E274</f>
        <v>2655</v>
      </c>
      <c r="K595" s="828">
        <f>J595</f>
        <v>2655</v>
      </c>
      <c r="L595" s="828">
        <f t="shared" ref="L595:R595" si="1150">K595</f>
        <v>2655</v>
      </c>
      <c r="M595" s="828">
        <f t="shared" si="1150"/>
        <v>2655</v>
      </c>
      <c r="N595" s="828">
        <f t="shared" si="1150"/>
        <v>2655</v>
      </c>
      <c r="O595" s="828">
        <f t="shared" si="1150"/>
        <v>2655</v>
      </c>
      <c r="P595" s="828">
        <f t="shared" si="1150"/>
        <v>2655</v>
      </c>
      <c r="Q595" s="828">
        <f t="shared" si="1150"/>
        <v>2655</v>
      </c>
      <c r="R595" s="828">
        <f t="shared" si="1150"/>
        <v>2655</v>
      </c>
      <c r="S595" s="829"/>
      <c r="T595" s="30"/>
      <c r="U595" s="653"/>
      <c r="V595" s="820"/>
      <c r="W595" s="820"/>
      <c r="X595" s="820"/>
      <c r="Y595" s="825"/>
      <c r="Z595" s="820"/>
      <c r="AA595" s="820"/>
      <c r="AB595" s="820"/>
      <c r="AC595" s="825"/>
      <c r="AD595" s="820"/>
      <c r="AE595" s="820"/>
      <c r="AF595" s="820"/>
      <c r="AG595" s="825"/>
      <c r="AH595" s="820"/>
      <c r="AI595" s="820"/>
      <c r="AJ595" s="820"/>
      <c r="AK595" s="825"/>
      <c r="AL595" s="820"/>
      <c r="AM595" s="820"/>
      <c r="AN595" s="820"/>
      <c r="AO595" s="825"/>
      <c r="AP595" s="820"/>
      <c r="AQ595" s="820"/>
      <c r="AR595" s="820"/>
      <c r="AS595" s="825"/>
      <c r="AT595" s="820"/>
      <c r="AU595" s="820"/>
      <c r="AV595" s="820"/>
      <c r="AW595" s="825"/>
      <c r="AX595" s="820"/>
      <c r="AY595" s="820"/>
      <c r="AZ595" s="820"/>
      <c r="BA595" s="825"/>
      <c r="BB595" s="820"/>
      <c r="BC595" s="820"/>
      <c r="BD595" s="820"/>
      <c r="BE595" s="820"/>
      <c r="BF595" s="820"/>
      <c r="BG595" s="820"/>
      <c r="BH595" s="820"/>
      <c r="BI595" s="820"/>
      <c r="BJ595" s="820"/>
      <c r="BK595" s="820"/>
      <c r="BL595" s="820"/>
      <c r="BM595" s="820"/>
      <c r="BN595" s="820"/>
      <c r="BO595" s="820"/>
      <c r="BP595" s="820"/>
      <c r="BQ595" s="820"/>
      <c r="BR595" s="820"/>
      <c r="BS595" s="820"/>
      <c r="BT595" s="820"/>
      <c r="BU595" s="820"/>
      <c r="BV595" s="820"/>
      <c r="BW595" s="820"/>
      <c r="BX595" s="820"/>
      <c r="BY595" s="820"/>
      <c r="BZ595" s="820"/>
      <c r="CA595" s="820"/>
      <c r="CB595" s="820"/>
      <c r="CC595" s="820"/>
      <c r="CG595"/>
      <c r="CH595"/>
      <c r="CI595"/>
      <c r="CJ595"/>
      <c r="CK595"/>
      <c r="CL595"/>
    </row>
    <row r="596" spans="1:90" s="821" customFormat="1" outlineLevel="1">
      <c r="A596" s="1336"/>
      <c r="B596" s="821" t="s">
        <v>169</v>
      </c>
      <c r="C596" s="822"/>
      <c r="D596" s="822"/>
      <c r="E596" s="674">
        <v>4887</v>
      </c>
      <c r="F596" s="674">
        <v>2290</v>
      </c>
      <c r="G596" s="674">
        <v>10587</v>
      </c>
      <c r="H596" s="823">
        <f>Reported!C273</f>
        <v>14148</v>
      </c>
      <c r="I596" s="823">
        <f>Reported!D273</f>
        <v>4700</v>
      </c>
      <c r="J596" s="1428">
        <f>Reported!E273</f>
        <v>3011</v>
      </c>
      <c r="K596" s="828">
        <f>J596</f>
        <v>3011</v>
      </c>
      <c r="L596" s="828">
        <f t="shared" ref="L596:R598" si="1151">K596</f>
        <v>3011</v>
      </c>
      <c r="M596" s="828">
        <f t="shared" si="1151"/>
        <v>3011</v>
      </c>
      <c r="N596" s="828">
        <f t="shared" si="1151"/>
        <v>3011</v>
      </c>
      <c r="O596" s="828">
        <f t="shared" si="1151"/>
        <v>3011</v>
      </c>
      <c r="P596" s="828">
        <f t="shared" si="1151"/>
        <v>3011</v>
      </c>
      <c r="Q596" s="828">
        <f t="shared" si="1151"/>
        <v>3011</v>
      </c>
      <c r="R596" s="828">
        <f t="shared" si="1151"/>
        <v>3011</v>
      </c>
      <c r="S596" s="820"/>
      <c r="T596" s="30"/>
      <c r="U596" s="653"/>
      <c r="V596" s="820"/>
      <c r="W596" s="820"/>
      <c r="X596" s="820"/>
      <c r="Y596" s="825"/>
      <c r="Z596" s="820"/>
      <c r="AA596" s="820"/>
      <c r="AB596" s="820"/>
      <c r="AC596" s="825"/>
      <c r="AD596" s="820"/>
      <c r="AE596" s="820"/>
      <c r="AF596" s="820"/>
      <c r="AG596" s="825"/>
      <c r="AH596" s="820"/>
      <c r="AI596" s="820"/>
      <c r="AJ596" s="820"/>
      <c r="AK596" s="825"/>
      <c r="AL596" s="820"/>
      <c r="AM596" s="820"/>
      <c r="AN596" s="820"/>
      <c r="AO596" s="825"/>
      <c r="AP596" s="820"/>
      <c r="AQ596" s="820"/>
      <c r="AR596" s="820"/>
      <c r="AS596" s="825"/>
      <c r="AT596" s="820"/>
      <c r="AU596" s="820"/>
      <c r="AV596" s="820"/>
      <c r="AW596" s="825"/>
      <c r="AX596" s="820"/>
      <c r="AY596" s="820"/>
      <c r="AZ596" s="820"/>
      <c r="BA596" s="825"/>
      <c r="BB596" s="820"/>
      <c r="BC596" s="820"/>
      <c r="BD596" s="820"/>
      <c r="BE596" s="820"/>
      <c r="BF596" s="820"/>
      <c r="BG596" s="820"/>
      <c r="BH596" s="820"/>
      <c r="BI596" s="820"/>
      <c r="BJ596" s="820"/>
      <c r="BK596" s="820"/>
      <c r="BL596" s="820"/>
      <c r="BM596" s="820"/>
      <c r="BN596" s="820"/>
      <c r="BO596" s="820"/>
      <c r="BP596" s="820"/>
      <c r="BQ596" s="820"/>
      <c r="BR596" s="820"/>
      <c r="BS596" s="820"/>
      <c r="BT596" s="820"/>
      <c r="BU596" s="820"/>
      <c r="BV596" s="820"/>
      <c r="BW596" s="820"/>
      <c r="BX596" s="820"/>
      <c r="BY596" s="820"/>
      <c r="BZ596" s="820"/>
      <c r="CA596" s="820"/>
      <c r="CB596" s="820"/>
      <c r="CC596" s="820"/>
      <c r="CG596"/>
      <c r="CH596"/>
      <c r="CI596"/>
      <c r="CJ596"/>
      <c r="CK596"/>
      <c r="CL596"/>
    </row>
    <row r="597" spans="1:90" s="821" customFormat="1" outlineLevel="1">
      <c r="A597" s="1336"/>
      <c r="B597" s="821" t="s">
        <v>191</v>
      </c>
      <c r="C597" s="822"/>
      <c r="D597" s="822"/>
      <c r="E597" s="674">
        <v>581</v>
      </c>
      <c r="F597" s="674">
        <v>4426</v>
      </c>
      <c r="G597" s="674">
        <v>13159</v>
      </c>
      <c r="H597" s="830">
        <f>Reported!C275</f>
        <v>835</v>
      </c>
      <c r="I597" s="830">
        <f>Reported!D275</f>
        <v>0</v>
      </c>
      <c r="J597" s="1429">
        <f>Reported!E275</f>
        <v>0</v>
      </c>
      <c r="K597" s="30">
        <v>0</v>
      </c>
      <c r="L597" s="30">
        <v>0</v>
      </c>
      <c r="M597" s="30">
        <v>0</v>
      </c>
      <c r="N597" s="30">
        <v>0</v>
      </c>
      <c r="O597" s="30">
        <v>0</v>
      </c>
      <c r="P597" s="30">
        <v>0</v>
      </c>
      <c r="Q597" s="30">
        <v>0</v>
      </c>
      <c r="R597" s="30">
        <v>0</v>
      </c>
      <c r="S597" s="820"/>
      <c r="T597" s="30"/>
      <c r="U597" s="653"/>
      <c r="V597" s="820"/>
      <c r="W597" s="820"/>
      <c r="X597" s="820"/>
      <c r="Y597" s="825"/>
      <c r="Z597" s="820"/>
      <c r="AA597" s="820"/>
      <c r="AB597" s="820"/>
      <c r="AC597" s="825"/>
      <c r="AD597" s="820"/>
      <c r="AE597" s="820"/>
      <c r="AF597" s="820"/>
      <c r="AG597" s="825"/>
      <c r="AH597" s="820"/>
      <c r="AI597" s="820"/>
      <c r="AJ597" s="820"/>
      <c r="AK597" s="825"/>
      <c r="AL597" s="820"/>
      <c r="AM597" s="820"/>
      <c r="AN597" s="820"/>
      <c r="AO597" s="825"/>
      <c r="AP597" s="820"/>
      <c r="AQ597" s="820"/>
      <c r="AR597" s="820"/>
      <c r="AS597" s="825"/>
      <c r="AT597" s="820"/>
      <c r="AU597" s="820"/>
      <c r="AV597" s="820"/>
      <c r="AW597" s="825"/>
      <c r="AX597" s="820"/>
      <c r="AY597" s="820"/>
      <c r="AZ597" s="820"/>
      <c r="BA597" s="825"/>
      <c r="BB597" s="820"/>
      <c r="BC597" s="820"/>
      <c r="BD597" s="820"/>
      <c r="BE597" s="820"/>
      <c r="BF597" s="820"/>
      <c r="BG597" s="820"/>
      <c r="BH597" s="820"/>
      <c r="BI597" s="820"/>
      <c r="BJ597" s="820"/>
      <c r="BK597" s="820"/>
      <c r="BL597" s="820"/>
      <c r="BM597" s="820"/>
      <c r="BN597" s="820"/>
      <c r="BO597" s="820"/>
      <c r="BP597" s="820"/>
      <c r="BQ597" s="820"/>
      <c r="BR597" s="820"/>
      <c r="BS597" s="820"/>
      <c r="BT597" s="820"/>
      <c r="BU597" s="820"/>
      <c r="BV597" s="820"/>
      <c r="BW597" s="820"/>
      <c r="BX597" s="820"/>
      <c r="BY597" s="820"/>
      <c r="BZ597" s="820"/>
      <c r="CA597" s="820"/>
      <c r="CB597" s="820"/>
      <c r="CC597" s="820"/>
      <c r="CG597"/>
      <c r="CH597"/>
      <c r="CI597"/>
      <c r="CJ597"/>
      <c r="CK597"/>
      <c r="CL597"/>
    </row>
    <row r="598" spans="1:90" s="821" customFormat="1" outlineLevel="1">
      <c r="A598" s="1336"/>
      <c r="B598" s="821" t="s">
        <v>192</v>
      </c>
      <c r="C598" s="822"/>
      <c r="D598" s="822"/>
      <c r="E598" s="674">
        <v>593</v>
      </c>
      <c r="F598" s="674">
        <v>629</v>
      </c>
      <c r="G598" s="674">
        <v>1442</v>
      </c>
      <c r="H598" s="823">
        <f>Reported!C276</f>
        <v>3658</v>
      </c>
      <c r="I598" s="823">
        <f>Reported!D276</f>
        <v>4178</v>
      </c>
      <c r="J598" s="1428">
        <f>Reported!E276</f>
        <v>4054</v>
      </c>
      <c r="K598" s="828">
        <f>J598</f>
        <v>4054</v>
      </c>
      <c r="L598" s="828">
        <f t="shared" si="1151"/>
        <v>4054</v>
      </c>
      <c r="M598" s="828">
        <f t="shared" si="1151"/>
        <v>4054</v>
      </c>
      <c r="N598" s="828">
        <f t="shared" si="1151"/>
        <v>4054</v>
      </c>
      <c r="O598" s="828">
        <f t="shared" si="1151"/>
        <v>4054</v>
      </c>
      <c r="P598" s="828">
        <f t="shared" si="1151"/>
        <v>4054</v>
      </c>
      <c r="Q598" s="828">
        <f t="shared" si="1151"/>
        <v>4054</v>
      </c>
      <c r="R598" s="828">
        <f t="shared" si="1151"/>
        <v>4054</v>
      </c>
      <c r="S598" s="820"/>
      <c r="T598" s="30"/>
      <c r="U598" s="653"/>
      <c r="V598" s="820"/>
      <c r="W598" s="820"/>
      <c r="X598" s="820"/>
      <c r="Y598" s="825"/>
      <c r="Z598" s="820"/>
      <c r="AA598" s="820"/>
      <c r="AB598" s="820"/>
      <c r="AC598" s="825"/>
      <c r="AD598" s="820"/>
      <c r="AE598" s="820"/>
      <c r="AF598" s="820"/>
      <c r="AG598" s="825"/>
      <c r="AH598" s="820"/>
      <c r="AI598" s="820"/>
      <c r="AJ598" s="820"/>
      <c r="AK598" s="825"/>
      <c r="AL598" s="820"/>
      <c r="AM598" s="820"/>
      <c r="AN598" s="820"/>
      <c r="AO598" s="825"/>
      <c r="AP598" s="820"/>
      <c r="AQ598" s="820"/>
      <c r="AR598" s="820"/>
      <c r="AS598" s="825"/>
      <c r="AT598" s="820"/>
      <c r="AU598" s="820"/>
      <c r="AV598" s="820"/>
      <c r="AW598" s="825"/>
      <c r="AX598" s="820"/>
      <c r="AY598" s="820"/>
      <c r="AZ598" s="820"/>
      <c r="BA598" s="825"/>
      <c r="BB598" s="820"/>
      <c r="BC598" s="820"/>
      <c r="BD598" s="820"/>
      <c r="BE598" s="820"/>
      <c r="BF598" s="820"/>
      <c r="BG598" s="820"/>
      <c r="BH598" s="820"/>
      <c r="BI598" s="820"/>
      <c r="BJ598" s="820"/>
      <c r="BK598" s="820"/>
      <c r="BL598" s="820"/>
      <c r="BM598" s="820"/>
      <c r="BN598" s="820"/>
      <c r="BO598" s="820"/>
      <c r="BP598" s="820"/>
      <c r="BQ598" s="820"/>
      <c r="BR598" s="820"/>
      <c r="BS598" s="820"/>
      <c r="BT598" s="820"/>
      <c r="BU598" s="820"/>
      <c r="BV598" s="820"/>
      <c r="BW598" s="820"/>
      <c r="BX598" s="820"/>
      <c r="BY598" s="820"/>
      <c r="BZ598" s="820"/>
      <c r="CA598" s="820"/>
      <c r="CB598" s="820"/>
      <c r="CC598" s="820"/>
      <c r="CG598"/>
      <c r="CH598"/>
      <c r="CI598"/>
      <c r="CJ598"/>
      <c r="CK598"/>
      <c r="CL598"/>
    </row>
    <row r="599" spans="1:90" s="821" customFormat="1" outlineLevel="1">
      <c r="A599" s="1336"/>
      <c r="B599" s="821" t="s">
        <v>170</v>
      </c>
      <c r="C599" s="822"/>
      <c r="D599" s="822"/>
      <c r="E599" s="674">
        <v>1669</v>
      </c>
      <c r="F599" s="674">
        <v>1734</v>
      </c>
      <c r="G599" s="674">
        <v>4679</v>
      </c>
      <c r="H599" s="823">
        <f>Reported!C277</f>
        <v>12978</v>
      </c>
      <c r="I599" s="823">
        <f>Reported!D277</f>
        <v>16993</v>
      </c>
      <c r="J599" s="1428">
        <f>Reported!E277</f>
        <v>29060</v>
      </c>
      <c r="K599" s="30">
        <f t="shared" ref="K599:R599" si="1152">-K648*K337</f>
        <v>43249.234660571427</v>
      </c>
      <c r="L599" s="30">
        <f t="shared" si="1152"/>
        <v>54114.680587927323</v>
      </c>
      <c r="M599" s="30">
        <f t="shared" si="1152"/>
        <v>69047.116336692037</v>
      </c>
      <c r="N599" s="30">
        <f t="shared" si="1152"/>
        <v>82115.894412882772</v>
      </c>
      <c r="O599" s="30">
        <f t="shared" si="1152"/>
        <v>96164.984255337316</v>
      </c>
      <c r="P599" s="30">
        <f t="shared" si="1152"/>
        <v>113640.02965320436</v>
      </c>
      <c r="Q599" s="30">
        <f t="shared" si="1152"/>
        <v>127118.61214558003</v>
      </c>
      <c r="R599" s="30">
        <f t="shared" si="1152"/>
        <v>140272.07681601576</v>
      </c>
      <c r="S599" s="820"/>
      <c r="T599" s="30"/>
      <c r="U599" s="653"/>
      <c r="V599" s="820"/>
      <c r="W599" s="820"/>
      <c r="X599" s="820"/>
      <c r="Y599" s="825"/>
      <c r="Z599" s="820"/>
      <c r="AA599" s="820"/>
      <c r="AB599" s="820"/>
      <c r="AC599" s="825"/>
      <c r="AD599" s="820"/>
      <c r="AE599" s="820"/>
      <c r="AF599" s="820"/>
      <c r="AG599" s="825"/>
      <c r="AH599" s="820"/>
      <c r="AI599" s="820"/>
      <c r="AJ599" s="820"/>
      <c r="AK599" s="825"/>
      <c r="AL599" s="820"/>
      <c r="AM599" s="820"/>
      <c r="AN599" s="820"/>
      <c r="AO599" s="825"/>
      <c r="AP599" s="820"/>
      <c r="AQ599" s="820"/>
      <c r="AR599" s="820"/>
      <c r="AS599" s="825"/>
      <c r="AT599" s="820"/>
      <c r="AU599" s="820"/>
      <c r="AV599" s="820"/>
      <c r="AW599" s="825"/>
      <c r="AX599" s="820"/>
      <c r="AY599" s="820"/>
      <c r="AZ599" s="820"/>
      <c r="BA599" s="825"/>
      <c r="BB599" s="820"/>
      <c r="BC599" s="820"/>
      <c r="BD599" s="820"/>
      <c r="BE599" s="820"/>
      <c r="BF599" s="820"/>
      <c r="BG599" s="820"/>
      <c r="BH599" s="820"/>
      <c r="BI599" s="820"/>
      <c r="BJ599" s="820"/>
      <c r="BK599" s="820"/>
      <c r="BL599" s="820"/>
      <c r="BM599" s="820"/>
      <c r="BN599" s="820"/>
      <c r="BO599" s="820"/>
      <c r="BP599" s="820"/>
      <c r="BQ599" s="820"/>
      <c r="BR599" s="820"/>
      <c r="BS599" s="820"/>
      <c r="BT599" s="820"/>
      <c r="BU599" s="820"/>
      <c r="BV599" s="820"/>
      <c r="BW599" s="820"/>
      <c r="BX599" s="820"/>
      <c r="BY599" s="820"/>
      <c r="BZ599" s="820"/>
      <c r="CA599" s="820"/>
      <c r="CB599" s="820"/>
      <c r="CC599" s="820"/>
      <c r="CG599"/>
      <c r="CH599"/>
      <c r="CI599"/>
      <c r="CJ599"/>
      <c r="CK599"/>
      <c r="CL599"/>
    </row>
    <row r="600" spans="1:90" s="831" customFormat="1" outlineLevel="1">
      <c r="A600" s="1353"/>
      <c r="B600" s="831" t="s">
        <v>145</v>
      </c>
      <c r="C600" s="832"/>
      <c r="D600" s="832"/>
      <c r="E600" s="389">
        <f t="shared" ref="E600:J600" si="1153">SUM(E594:E599)</f>
        <v>27899</v>
      </c>
      <c r="F600" s="389">
        <f t="shared" si="1153"/>
        <v>43162</v>
      </c>
      <c r="G600" s="389">
        <f t="shared" si="1153"/>
        <v>67833</v>
      </c>
      <c r="H600" s="833">
        <f t="shared" si="1153"/>
        <v>142109</v>
      </c>
      <c r="I600" s="389">
        <f t="shared" si="1153"/>
        <v>134035</v>
      </c>
      <c r="J600" s="592">
        <f t="shared" si="1153"/>
        <v>182516</v>
      </c>
      <c r="K600" s="389">
        <f t="shared" ref="K600:R600" si="1154">SUM(K594:K599)</f>
        <v>276316.68712364865</v>
      </c>
      <c r="L600" s="389">
        <f t="shared" si="1154"/>
        <v>352625.42613020615</v>
      </c>
      <c r="M600" s="389">
        <f t="shared" si="1154"/>
        <v>471975.43871966272</v>
      </c>
      <c r="N600" s="389">
        <f t="shared" si="1154"/>
        <v>618351.91490975546</v>
      </c>
      <c r="O600" s="389">
        <f t="shared" si="1154"/>
        <v>821562.9563694807</v>
      </c>
      <c r="P600" s="389">
        <f t="shared" si="1154"/>
        <v>1073783.9859362985</v>
      </c>
      <c r="Q600" s="389">
        <f t="shared" si="1154"/>
        <v>1348655.6837145842</v>
      </c>
      <c r="R600" s="389">
        <f t="shared" si="1154"/>
        <v>1660366.4892828623</v>
      </c>
      <c r="T600" s="389"/>
      <c r="U600" s="833"/>
      <c r="Y600" s="834"/>
      <c r="AC600" s="834"/>
      <c r="AG600" s="834"/>
      <c r="AK600" s="834"/>
      <c r="AO600" s="834"/>
      <c r="AS600" s="834"/>
      <c r="AW600" s="834"/>
      <c r="BA600" s="834"/>
      <c r="CG600"/>
      <c r="CH600"/>
      <c r="CI600"/>
      <c r="CJ600"/>
      <c r="CK600"/>
      <c r="CL600"/>
    </row>
    <row r="601" spans="1:90" s="821" customFormat="1" outlineLevel="1">
      <c r="A601" s="1336"/>
      <c r="C601" s="822"/>
      <c r="D601" s="822"/>
      <c r="E601" s="822"/>
      <c r="F601" s="822"/>
      <c r="G601" s="30"/>
      <c r="H601" s="822"/>
      <c r="I601" s="822"/>
      <c r="J601" s="1430"/>
      <c r="K601" s="822"/>
      <c r="L601" s="822"/>
      <c r="M601" s="822"/>
      <c r="N601" s="822"/>
      <c r="O601" s="822"/>
      <c r="P601" s="822"/>
      <c r="Q601" s="822"/>
      <c r="R601" s="822"/>
      <c r="S601" s="820"/>
      <c r="U601" s="820"/>
      <c r="V601" s="820"/>
      <c r="W601" s="820"/>
      <c r="X601" s="820"/>
      <c r="Y601" s="825"/>
      <c r="Z601" s="820"/>
      <c r="AA601" s="820"/>
      <c r="AB601" s="820"/>
      <c r="AC601" s="825"/>
      <c r="AD601" s="820"/>
      <c r="AE601" s="820"/>
      <c r="AF601" s="820"/>
      <c r="AG601" s="825"/>
      <c r="AH601" s="820"/>
      <c r="AI601" s="820"/>
      <c r="AJ601" s="820"/>
      <c r="AK601" s="825"/>
      <c r="AL601" s="820"/>
      <c r="AM601" s="820"/>
      <c r="AN601" s="820"/>
      <c r="AO601" s="825"/>
      <c r="AP601" s="820"/>
      <c r="AQ601" s="820"/>
      <c r="AR601" s="820"/>
      <c r="AS601" s="825"/>
      <c r="AT601" s="820"/>
      <c r="AU601" s="820"/>
      <c r="AV601" s="820"/>
      <c r="AW601" s="825"/>
      <c r="AX601" s="820"/>
      <c r="AY601" s="820"/>
      <c r="AZ601" s="820"/>
      <c r="BA601" s="825"/>
      <c r="BB601" s="820"/>
      <c r="BC601" s="820"/>
      <c r="BD601" s="820"/>
      <c r="BE601" s="820"/>
      <c r="BF601" s="820"/>
      <c r="BG601" s="820"/>
      <c r="BH601" s="820"/>
      <c r="BI601" s="820"/>
      <c r="BJ601" s="820"/>
      <c r="BK601" s="820"/>
      <c r="BL601" s="820"/>
      <c r="BM601" s="820"/>
      <c r="BN601" s="820"/>
      <c r="BO601" s="820"/>
      <c r="BP601" s="820"/>
      <c r="BQ601" s="820"/>
      <c r="BR601" s="820"/>
      <c r="BS601" s="820"/>
      <c r="BT601" s="820"/>
      <c r="BU601" s="820"/>
      <c r="BV601" s="820"/>
      <c r="BW601" s="820"/>
      <c r="BX601" s="820"/>
      <c r="BY601" s="820"/>
      <c r="BZ601" s="820"/>
      <c r="CA601" s="820"/>
      <c r="CB601" s="820"/>
      <c r="CC601" s="820"/>
      <c r="CG601"/>
      <c r="CH601"/>
      <c r="CI601"/>
      <c r="CJ601"/>
      <c r="CK601"/>
      <c r="CL601"/>
    </row>
    <row r="602" spans="1:90" s="820" customFormat="1" outlineLevel="1">
      <c r="A602" s="1336"/>
      <c r="B602" s="820" t="s">
        <v>171</v>
      </c>
      <c r="C602" s="835"/>
      <c r="D602" s="835"/>
      <c r="E602" s="836">
        <v>2463</v>
      </c>
      <c r="F602" s="836">
        <v>3808</v>
      </c>
      <c r="G602" s="674">
        <v>5581</v>
      </c>
      <c r="H602" s="830">
        <f>Reported!C282</f>
        <v>9139</v>
      </c>
      <c r="I602" s="830">
        <f>Reported!D282</f>
        <v>13629</v>
      </c>
      <c r="J602" s="1429">
        <f>Reported!E282</f>
        <v>20206</v>
      </c>
      <c r="K602" s="454">
        <f t="shared" ref="K602:R602" si="1155">K674</f>
        <v>38933.370393982201</v>
      </c>
      <c r="L602" s="454">
        <f t="shared" si="1155"/>
        <v>73707.422436194378</v>
      </c>
      <c r="M602" s="454">
        <f t="shared" si="1155"/>
        <v>104389.60429301299</v>
      </c>
      <c r="N602" s="454">
        <f t="shared" si="1155"/>
        <v>128196.64074635725</v>
      </c>
      <c r="O602" s="454">
        <f t="shared" si="1155"/>
        <v>132825.47711515301</v>
      </c>
      <c r="P602" s="454">
        <f t="shared" si="1155"/>
        <v>146431.28918428405</v>
      </c>
      <c r="Q602" s="454">
        <f t="shared" si="1155"/>
        <v>166590.08093317552</v>
      </c>
      <c r="R602" s="454">
        <f t="shared" si="1155"/>
        <v>190194.09388209553</v>
      </c>
      <c r="T602" s="454"/>
      <c r="U602" s="653"/>
      <c r="Y602" s="825"/>
      <c r="AC602" s="825"/>
      <c r="AG602" s="825"/>
      <c r="AK602" s="825"/>
      <c r="AO602" s="825"/>
      <c r="AS602" s="825"/>
      <c r="AW602" s="825"/>
      <c r="BA602" s="825"/>
      <c r="CG602"/>
      <c r="CH602"/>
      <c r="CI602"/>
      <c r="CJ602"/>
      <c r="CK602"/>
      <c r="CL602"/>
    </row>
    <row r="603" spans="1:90" s="820" customFormat="1" outlineLevel="1">
      <c r="A603" s="1336"/>
      <c r="B603" s="820" t="s">
        <v>193</v>
      </c>
      <c r="C603" s="835"/>
      <c r="D603" s="835"/>
      <c r="E603" s="836">
        <v>1642</v>
      </c>
      <c r="F603" s="836">
        <v>1555</v>
      </c>
      <c r="G603" s="674">
        <v>17666</v>
      </c>
      <c r="H603" s="830">
        <f>Reported!C281</f>
        <v>33877</v>
      </c>
      <c r="I603" s="830">
        <f>Reported!D281</f>
        <v>91461</v>
      </c>
      <c r="J603" s="1429">
        <f>Reported!E281</f>
        <v>120368</v>
      </c>
      <c r="K603" s="311">
        <f t="shared" ref="K603:R603" si="1156">J603+J603-I603</f>
        <v>149275</v>
      </c>
      <c r="L603" s="311">
        <f t="shared" si="1156"/>
        <v>178182</v>
      </c>
      <c r="M603" s="311">
        <f t="shared" si="1156"/>
        <v>207089</v>
      </c>
      <c r="N603" s="311">
        <f t="shared" si="1156"/>
        <v>235996</v>
      </c>
      <c r="O603" s="311">
        <f t="shared" si="1156"/>
        <v>264903</v>
      </c>
      <c r="P603" s="311">
        <f t="shared" si="1156"/>
        <v>293810</v>
      </c>
      <c r="Q603" s="311">
        <f t="shared" si="1156"/>
        <v>322717</v>
      </c>
      <c r="R603" s="311">
        <f t="shared" si="1156"/>
        <v>351624</v>
      </c>
      <c r="T603" s="454"/>
      <c r="U603" s="653"/>
      <c r="Y603" s="825"/>
      <c r="AC603" s="825"/>
      <c r="AG603" s="825"/>
      <c r="AK603" s="825"/>
      <c r="AO603" s="825"/>
      <c r="AS603" s="825"/>
      <c r="AW603" s="825"/>
      <c r="BA603" s="825"/>
      <c r="CG603"/>
      <c r="CH603"/>
      <c r="CI603"/>
      <c r="CJ603"/>
      <c r="CK603"/>
      <c r="CL603"/>
    </row>
    <row r="604" spans="1:90" s="820" customFormat="1" outlineLevel="1">
      <c r="A604" s="1336"/>
      <c r="B604" s="820" t="s">
        <v>192</v>
      </c>
      <c r="C604" s="835"/>
      <c r="D604" s="835"/>
      <c r="E604" s="836">
        <v>248</v>
      </c>
      <c r="F604" s="836">
        <v>242</v>
      </c>
      <c r="G604" s="674">
        <v>3023</v>
      </c>
      <c r="H604" s="830">
        <f>Reported!C279</f>
        <v>14611</v>
      </c>
      <c r="I604" s="830">
        <f>Reported!D279</f>
        <v>29392</v>
      </c>
      <c r="J604" s="1429">
        <f>Reported!E279</f>
        <v>31452</v>
      </c>
      <c r="K604" s="311">
        <f>J604</f>
        <v>31452</v>
      </c>
      <c r="L604" s="311">
        <f t="shared" ref="L604:R604" si="1157">K604</f>
        <v>31452</v>
      </c>
      <c r="M604" s="311">
        <f t="shared" si="1157"/>
        <v>31452</v>
      </c>
      <c r="N604" s="311">
        <f t="shared" si="1157"/>
        <v>31452</v>
      </c>
      <c r="O604" s="311">
        <f t="shared" si="1157"/>
        <v>31452</v>
      </c>
      <c r="P604" s="311">
        <f t="shared" si="1157"/>
        <v>31452</v>
      </c>
      <c r="Q604" s="311">
        <f t="shared" si="1157"/>
        <v>31452</v>
      </c>
      <c r="R604" s="311">
        <f t="shared" si="1157"/>
        <v>31452</v>
      </c>
      <c r="S604" s="454"/>
      <c r="T604" s="454"/>
      <c r="U604" s="653"/>
      <c r="Y604" s="825"/>
      <c r="AC604" s="825"/>
      <c r="AG604" s="825"/>
      <c r="AK604" s="825"/>
      <c r="AO604" s="825"/>
      <c r="AS604" s="825"/>
      <c r="AW604" s="825"/>
      <c r="BA604" s="825"/>
      <c r="CG604"/>
      <c r="CH604"/>
      <c r="CI604"/>
      <c r="CJ604"/>
      <c r="CK604"/>
      <c r="CL604"/>
    </row>
    <row r="605" spans="1:90" s="820" customFormat="1" outlineLevel="1">
      <c r="A605" s="1336"/>
      <c r="B605" s="820" t="s">
        <v>194</v>
      </c>
      <c r="C605" s="835"/>
      <c r="D605" s="835"/>
      <c r="E605" s="836">
        <v>1466</v>
      </c>
      <c r="F605" s="836">
        <v>1496</v>
      </c>
      <c r="G605" s="674">
        <v>2087</v>
      </c>
      <c r="H605" s="830">
        <f>Reported!C280</f>
        <v>4085</v>
      </c>
      <c r="I605" s="830">
        <f>Reported!D280</f>
        <v>5837</v>
      </c>
      <c r="J605" s="1429">
        <f>Reported!E280</f>
        <v>8051</v>
      </c>
      <c r="K605" s="454">
        <f t="shared" ref="K605:R605" si="1158">K336*K649</f>
        <v>12632.751120174724</v>
      </c>
      <c r="L605" s="454">
        <f t="shared" si="1158"/>
        <v>17204.343658323072</v>
      </c>
      <c r="M605" s="454">
        <f t="shared" si="1158"/>
        <v>22379.732417918327</v>
      </c>
      <c r="N605" s="454">
        <f t="shared" si="1158"/>
        <v>27334.960094992279</v>
      </c>
      <c r="O605" s="454">
        <f t="shared" si="1158"/>
        <v>32900.871709072046</v>
      </c>
      <c r="P605" s="454">
        <f t="shared" si="1158"/>
        <v>39990.444802795828</v>
      </c>
      <c r="Q605" s="454">
        <f t="shared" si="1158"/>
        <v>46049.314154404899</v>
      </c>
      <c r="R605" s="454">
        <f t="shared" si="1158"/>
        <v>52354.043298242388</v>
      </c>
      <c r="T605" s="454"/>
      <c r="U605" s="653"/>
      <c r="Y605" s="825"/>
      <c r="AC605" s="825"/>
      <c r="AG605" s="825"/>
      <c r="AK605" s="825"/>
      <c r="AO605" s="825"/>
      <c r="AS605" s="825"/>
      <c r="AW605" s="825"/>
      <c r="BA605" s="825"/>
      <c r="CG605"/>
      <c r="CH605"/>
      <c r="CI605"/>
      <c r="CJ605"/>
      <c r="CK605"/>
      <c r="CL605"/>
    </row>
    <row r="606" spans="1:90" s="820" customFormat="1" outlineLevel="1">
      <c r="A606" s="1336"/>
      <c r="B606" s="820" t="s">
        <v>195</v>
      </c>
      <c r="C606" s="835"/>
      <c r="D606" s="835"/>
      <c r="E606" s="836">
        <v>1701</v>
      </c>
      <c r="F606" s="836">
        <v>1895</v>
      </c>
      <c r="G606" s="674">
        <v>1660</v>
      </c>
      <c r="H606" s="830">
        <f>Reported!C283</f>
        <v>3105</v>
      </c>
      <c r="I606" s="830">
        <f>Reported!D283</f>
        <v>2876</v>
      </c>
      <c r="J606" s="1429">
        <f>Reported!E283</f>
        <v>4691</v>
      </c>
      <c r="K606" s="311">
        <f>J606</f>
        <v>4691</v>
      </c>
      <c r="L606" s="311">
        <f t="shared" ref="L606:R606" si="1159">K606</f>
        <v>4691</v>
      </c>
      <c r="M606" s="311">
        <f t="shared" si="1159"/>
        <v>4691</v>
      </c>
      <c r="N606" s="311">
        <f t="shared" si="1159"/>
        <v>4691</v>
      </c>
      <c r="O606" s="311">
        <f t="shared" si="1159"/>
        <v>4691</v>
      </c>
      <c r="P606" s="311">
        <f t="shared" si="1159"/>
        <v>4691</v>
      </c>
      <c r="Q606" s="311">
        <f t="shared" si="1159"/>
        <v>4691</v>
      </c>
      <c r="R606" s="311">
        <f t="shared" si="1159"/>
        <v>4691</v>
      </c>
      <c r="T606" s="454"/>
      <c r="U606" s="653"/>
      <c r="Y606" s="825"/>
      <c r="AC606" s="825"/>
      <c r="AG606" s="825"/>
      <c r="AK606" s="825"/>
      <c r="AO606" s="825"/>
      <c r="AS606" s="825"/>
      <c r="AW606" s="825"/>
      <c r="BA606" s="825"/>
      <c r="CG606"/>
      <c r="CH606"/>
      <c r="CI606"/>
      <c r="CJ606"/>
      <c r="CK606"/>
      <c r="CL606"/>
    </row>
    <row r="607" spans="1:90" s="820" customFormat="1" outlineLevel="1">
      <c r="A607" s="1336"/>
      <c r="B607" s="820" t="s">
        <v>146</v>
      </c>
      <c r="C607" s="835"/>
      <c r="D607" s="835"/>
      <c r="E607" s="836">
        <v>355</v>
      </c>
      <c r="F607" s="836">
        <v>334</v>
      </c>
      <c r="G607" s="674">
        <v>1906</v>
      </c>
      <c r="H607" s="830">
        <f>Reported!C284</f>
        <v>6575</v>
      </c>
      <c r="I607" s="830">
        <f>Reported!D284</f>
        <v>5370</v>
      </c>
      <c r="J607" s="1429">
        <f>Reported!E284</f>
        <v>14108</v>
      </c>
      <c r="K607" s="454">
        <f t="shared" ref="K607:R607" si="1160">K717</f>
        <v>14015.576843352086</v>
      </c>
      <c r="L607" s="454">
        <f t="shared" si="1160"/>
        <v>12212.422860527095</v>
      </c>
      <c r="M607" s="454">
        <f t="shared" si="1160"/>
        <v>8341.2303819958543</v>
      </c>
      <c r="N607" s="454">
        <f t="shared" si="1160"/>
        <v>5880.9994077583688</v>
      </c>
      <c r="O607" s="454">
        <f t="shared" si="1160"/>
        <v>4634.153094462541</v>
      </c>
      <c r="P607" s="454">
        <f t="shared" si="1160"/>
        <v>3993.9991116375459</v>
      </c>
      <c r="Q607" s="454">
        <f t="shared" si="1160"/>
        <v>3353.8451288125507</v>
      </c>
      <c r="R607" s="454">
        <f t="shared" si="1160"/>
        <v>2713.6911459875555</v>
      </c>
      <c r="T607" s="454"/>
      <c r="U607" s="653"/>
      <c r="Y607" s="825"/>
      <c r="AC607" s="825"/>
      <c r="AG607" s="825"/>
      <c r="AK607" s="825"/>
      <c r="AO607" s="825"/>
      <c r="AS607" s="825"/>
      <c r="AW607" s="825"/>
      <c r="BA607" s="825"/>
      <c r="CG607"/>
      <c r="CH607"/>
      <c r="CI607"/>
      <c r="CJ607"/>
      <c r="CK607"/>
      <c r="CL607"/>
    </row>
    <row r="608" spans="1:90" s="820" customFormat="1" outlineLevel="1">
      <c r="A608" s="1336"/>
      <c r="B608" s="820" t="s">
        <v>147</v>
      </c>
      <c r="C608" s="835"/>
      <c r="D608" s="835"/>
      <c r="E608" s="836">
        <v>11436</v>
      </c>
      <c r="F608" s="836">
        <v>11294</v>
      </c>
      <c r="G608" s="674">
        <v>11793</v>
      </c>
      <c r="H608" s="830">
        <f>Reported!C285</f>
        <v>41933</v>
      </c>
      <c r="I608" s="830">
        <f>Reported!D285</f>
        <v>81645</v>
      </c>
      <c r="J608" s="1429">
        <f>Reported!E285</f>
        <v>125420</v>
      </c>
      <c r="K608" s="454">
        <f>K750</f>
        <v>125420</v>
      </c>
      <c r="L608" s="454">
        <f t="shared" ref="L608:R608" si="1161">L750</f>
        <v>125420</v>
      </c>
      <c r="M608" s="454">
        <f t="shared" si="1161"/>
        <v>125420</v>
      </c>
      <c r="N608" s="454">
        <f t="shared" si="1161"/>
        <v>125420</v>
      </c>
      <c r="O608" s="454">
        <f t="shared" si="1161"/>
        <v>125420</v>
      </c>
      <c r="P608" s="454">
        <f t="shared" si="1161"/>
        <v>125420</v>
      </c>
      <c r="Q608" s="454">
        <f t="shared" si="1161"/>
        <v>125420</v>
      </c>
      <c r="R608" s="454">
        <f t="shared" si="1161"/>
        <v>125420</v>
      </c>
      <c r="T608" s="454"/>
      <c r="U608" s="653"/>
      <c r="Y608" s="825"/>
      <c r="AC608" s="825"/>
      <c r="AG608" s="825"/>
      <c r="AK608" s="825"/>
      <c r="AO608" s="825"/>
      <c r="AS608" s="825"/>
      <c r="AW608" s="825"/>
      <c r="BA608" s="825"/>
      <c r="CG608"/>
      <c r="CH608"/>
      <c r="CI608"/>
      <c r="CJ608"/>
      <c r="CK608"/>
      <c r="CL608"/>
    </row>
    <row r="609" spans="1:90" s="837" customFormat="1" outlineLevel="1">
      <c r="A609" s="1353"/>
      <c r="B609" s="837" t="s">
        <v>148</v>
      </c>
      <c r="C609" s="838"/>
      <c r="D609" s="838"/>
      <c r="E609" s="839">
        <f t="shared" ref="E609:J609" si="1162">SUM(E600,E602:E608)</f>
        <v>47210</v>
      </c>
      <c r="F609" s="839">
        <f t="shared" si="1162"/>
        <v>63786</v>
      </c>
      <c r="G609" s="840">
        <f t="shared" si="1162"/>
        <v>111549</v>
      </c>
      <c r="H609" s="839">
        <f t="shared" si="1162"/>
        <v>255434</v>
      </c>
      <c r="I609" s="839">
        <f t="shared" si="1162"/>
        <v>364245</v>
      </c>
      <c r="J609" s="1431">
        <f t="shared" si="1162"/>
        <v>506812</v>
      </c>
      <c r="K609" s="839">
        <f t="shared" ref="K609:R609" si="1163">SUM(K600,K602:K608)</f>
        <v>652736.38548115769</v>
      </c>
      <c r="L609" s="839">
        <f t="shared" si="1163"/>
        <v>795494.6150852507</v>
      </c>
      <c r="M609" s="839">
        <f t="shared" si="1163"/>
        <v>975738.00581258989</v>
      </c>
      <c r="N609" s="839">
        <f t="shared" si="1163"/>
        <v>1177323.5151588635</v>
      </c>
      <c r="O609" s="839">
        <f t="shared" si="1163"/>
        <v>1418389.4582881683</v>
      </c>
      <c r="P609" s="839">
        <f t="shared" si="1163"/>
        <v>1719572.7190350157</v>
      </c>
      <c r="Q609" s="839">
        <f t="shared" si="1163"/>
        <v>2048928.9239309772</v>
      </c>
      <c r="R609" s="839">
        <f t="shared" si="1163"/>
        <v>2418815.3176091881</v>
      </c>
      <c r="S609" s="831"/>
      <c r="T609" s="838"/>
      <c r="U609" s="832"/>
      <c r="Y609" s="841"/>
      <c r="AC609" s="841"/>
      <c r="AG609" s="841"/>
      <c r="AK609" s="841"/>
      <c r="AO609" s="841"/>
      <c r="AS609" s="841"/>
      <c r="AW609" s="841"/>
      <c r="BA609" s="841"/>
      <c r="BF609" s="831"/>
      <c r="BG609" s="831"/>
      <c r="BH609" s="831"/>
      <c r="BI609" s="489"/>
      <c r="BJ609" s="489">
        <f t="shared" ref="BJ609" si="1164">E609*0.25+F609*0.75</f>
        <v>59642</v>
      </c>
      <c r="BK609" s="489">
        <f t="shared" ref="BK609" si="1165">F609*0.25+G609*0.75</f>
        <v>99608.25</v>
      </c>
      <c r="BL609" s="489">
        <f t="shared" ref="BL609" si="1166">G609*0.25+H609*0.75</f>
        <v>219462.75</v>
      </c>
      <c r="BM609" s="489">
        <f t="shared" ref="BM609" si="1167">H609*0.25+I609*0.75</f>
        <v>337042.25</v>
      </c>
      <c r="BN609" s="489">
        <f t="shared" ref="BN609" si="1168">I609*0.25+J609*0.75</f>
        <v>471170.25</v>
      </c>
      <c r="BO609" s="489">
        <f t="shared" ref="BO609" si="1169">J609*0.25+K609*0.75</f>
        <v>616255.28911086824</v>
      </c>
      <c r="BP609" s="489">
        <f t="shared" ref="BP609" si="1170">K609*0.25+L609*0.75</f>
        <v>759805.05768422747</v>
      </c>
      <c r="BQ609" s="489">
        <f t="shared" ref="BQ609" si="1171">L609*0.25+M609*0.75</f>
        <v>930677.15813075507</v>
      </c>
      <c r="BR609" s="489">
        <f t="shared" ref="BR609" si="1172">M609*0.25+N609*0.75</f>
        <v>1126927.1378222951</v>
      </c>
      <c r="BS609" s="489">
        <f t="shared" ref="BS609" si="1173">N609*0.25+O609*0.75</f>
        <v>1358122.9725058421</v>
      </c>
      <c r="BT609" s="489">
        <f t="shared" ref="BT609" si="1174">O609*0.25+P609*0.75</f>
        <v>1644276.9038483039</v>
      </c>
      <c r="BU609" s="489">
        <f t="shared" ref="BU609" si="1175">P609*0.25+Q609*0.75</f>
        <v>1966589.8727069867</v>
      </c>
      <c r="BV609" s="489">
        <f t="shared" ref="BV609" si="1176">Q609*0.25+R609*0.75</f>
        <v>2326343.7191896355</v>
      </c>
      <c r="BW609" s="831"/>
      <c r="BX609" s="831"/>
      <c r="BY609" s="831"/>
      <c r="BZ609" s="831"/>
      <c r="CA609" s="831"/>
      <c r="CB609" s="831"/>
      <c r="CC609" s="831"/>
      <c r="CG609"/>
      <c r="CH609"/>
      <c r="CI609"/>
      <c r="CJ609"/>
      <c r="CK609"/>
      <c r="CL609"/>
    </row>
    <row r="610" spans="1:90" s="820" customFormat="1" outlineLevel="1">
      <c r="A610" s="1336"/>
      <c r="C610" s="835"/>
      <c r="D610" s="835"/>
      <c r="E610" s="835"/>
      <c r="F610" s="835"/>
      <c r="G610" s="454"/>
      <c r="H610" s="835"/>
      <c r="I610" s="835"/>
      <c r="J610" s="1432"/>
      <c r="K610" s="835"/>
      <c r="L610" s="835"/>
      <c r="M610" s="835"/>
      <c r="N610" s="835"/>
      <c r="O610" s="835"/>
      <c r="P610" s="835"/>
      <c r="Q610" s="835"/>
      <c r="R610" s="835"/>
      <c r="Y610" s="825"/>
      <c r="AC610" s="825"/>
      <c r="AG610" s="825"/>
      <c r="AK610" s="825"/>
      <c r="AO610" s="825"/>
      <c r="AS610" s="825"/>
      <c r="AW610" s="825"/>
      <c r="BA610" s="825"/>
      <c r="CG610"/>
      <c r="CH610"/>
      <c r="CI610"/>
      <c r="CJ610"/>
      <c r="CK610"/>
      <c r="CL610"/>
    </row>
    <row r="611" spans="1:90" s="820" customFormat="1" outlineLevel="1">
      <c r="A611" s="1336"/>
      <c r="B611" s="820" t="s">
        <v>196</v>
      </c>
      <c r="C611" s="835"/>
      <c r="D611" s="835"/>
      <c r="E611" s="674">
        <v>1283</v>
      </c>
      <c r="F611" s="674">
        <v>3350</v>
      </c>
      <c r="G611" s="674">
        <v>1100</v>
      </c>
      <c r="H611" s="830">
        <f>Reported!C290</f>
        <v>1990</v>
      </c>
      <c r="I611" s="830">
        <f>Reported!D290</f>
        <v>4304</v>
      </c>
      <c r="J611" s="1429">
        <f>Reported!E290</f>
        <v>5948</v>
      </c>
      <c r="K611" s="454">
        <f t="shared" ref="K611:R611" si="1177">-K337*K650</f>
        <v>12069.553858764119</v>
      </c>
      <c r="L611" s="454">
        <f t="shared" si="1177"/>
        <v>16234.404176378195</v>
      </c>
      <c r="M611" s="454">
        <f t="shared" si="1177"/>
        <v>21804.352527376432</v>
      </c>
      <c r="N611" s="454">
        <f t="shared" si="1177"/>
        <v>26632.181971745762</v>
      </c>
      <c r="O611" s="454">
        <f t="shared" si="1177"/>
        <v>32054.994751779104</v>
      </c>
      <c r="P611" s="454">
        <f t="shared" si="1177"/>
        <v>38962.295881098638</v>
      </c>
      <c r="Q611" s="454">
        <f t="shared" si="1177"/>
        <v>44865.392521969428</v>
      </c>
      <c r="R611" s="454">
        <f t="shared" si="1177"/>
        <v>51008.027933096644</v>
      </c>
      <c r="T611" s="454"/>
      <c r="U611" s="653"/>
      <c r="Y611" s="825"/>
      <c r="AC611" s="825"/>
      <c r="AG611" s="825"/>
      <c r="AK611" s="825"/>
      <c r="AO611" s="825"/>
      <c r="AS611" s="825"/>
      <c r="AW611" s="825"/>
      <c r="BA611" s="825"/>
      <c r="CG611"/>
      <c r="CH611"/>
      <c r="CI611"/>
      <c r="CJ611"/>
      <c r="CK611"/>
      <c r="CL611"/>
    </row>
    <row r="612" spans="1:90" s="820" customFormat="1" outlineLevel="1">
      <c r="A612" s="1336"/>
      <c r="B612" s="820" t="s">
        <v>197</v>
      </c>
      <c r="C612" s="835"/>
      <c r="D612" s="835"/>
      <c r="E612" s="674">
        <v>0</v>
      </c>
      <c r="F612" s="674">
        <v>2098</v>
      </c>
      <c r="G612" s="674">
        <v>9264</v>
      </c>
      <c r="H612" s="830">
        <f>Reported!C291</f>
        <v>0</v>
      </c>
      <c r="I612" s="830">
        <f>Reported!D291</f>
        <v>0</v>
      </c>
      <c r="J612" s="1429">
        <f>Reported!E291</f>
        <v>8949</v>
      </c>
      <c r="K612" s="454"/>
      <c r="L612" s="454"/>
      <c r="M612" s="454"/>
      <c r="N612" s="454"/>
      <c r="O612" s="454"/>
      <c r="P612" s="454"/>
      <c r="Q612" s="454"/>
      <c r="R612" s="454"/>
      <c r="T612" s="454"/>
      <c r="U612" s="653"/>
      <c r="Y612" s="825"/>
      <c r="AC612" s="825"/>
      <c r="AG612" s="825"/>
      <c r="AK612" s="825"/>
      <c r="AO612" s="825"/>
      <c r="AS612" s="825"/>
      <c r="AW612" s="825"/>
      <c r="BA612" s="825"/>
      <c r="CG612"/>
      <c r="CH612"/>
      <c r="CI612"/>
      <c r="CJ612"/>
      <c r="CK612"/>
      <c r="CL612"/>
    </row>
    <row r="613" spans="1:90" s="820" customFormat="1" outlineLevel="1">
      <c r="A613" s="1336"/>
      <c r="B613" s="820" t="s">
        <v>162</v>
      </c>
      <c r="C613" s="835"/>
      <c r="D613" s="835"/>
      <c r="E613" s="674">
        <v>375</v>
      </c>
      <c r="F613" s="674">
        <v>259</v>
      </c>
      <c r="G613" s="674">
        <v>1267</v>
      </c>
      <c r="H613" s="830">
        <f>Reported!C292</f>
        <v>2733</v>
      </c>
      <c r="I613" s="830">
        <f>Reported!D292</f>
        <v>2790</v>
      </c>
      <c r="J613" s="1429">
        <f>Reported!E292</f>
        <v>6125</v>
      </c>
      <c r="K613" s="454">
        <f t="shared" ref="K613:R613" si="1178">-K651*K360</f>
        <v>5655.1882881164602</v>
      </c>
      <c r="L613" s="454">
        <f t="shared" si="1178"/>
        <v>6557.6968637877171</v>
      </c>
      <c r="M613" s="454">
        <f t="shared" si="1178"/>
        <v>8910.259021556376</v>
      </c>
      <c r="N613" s="454">
        <f t="shared" si="1178"/>
        <v>10117.859582814219</v>
      </c>
      <c r="O613" s="454">
        <f t="shared" si="1178"/>
        <v>11522.110832890092</v>
      </c>
      <c r="P613" s="454">
        <f t="shared" si="1178"/>
        <v>14244.189555014811</v>
      </c>
      <c r="Q613" s="454">
        <f t="shared" si="1178"/>
        <v>16469.673618186775</v>
      </c>
      <c r="R613" s="454">
        <f t="shared" si="1178"/>
        <v>18778.191027139797</v>
      </c>
      <c r="T613" s="454"/>
      <c r="U613" s="653"/>
      <c r="Y613" s="825"/>
      <c r="AC613" s="825"/>
      <c r="AG613" s="825"/>
      <c r="AK613" s="825"/>
      <c r="AO613" s="825"/>
      <c r="AS613" s="825"/>
      <c r="AW613" s="825"/>
      <c r="BA613" s="825"/>
      <c r="CG613"/>
      <c r="CH613"/>
      <c r="CI613"/>
      <c r="CJ613"/>
      <c r="CK613"/>
      <c r="CL613"/>
    </row>
    <row r="614" spans="1:90" s="820" customFormat="1" outlineLevel="1">
      <c r="A614" s="1336"/>
      <c r="B614" s="820" t="s">
        <v>198</v>
      </c>
      <c r="C614" s="835"/>
      <c r="D614" s="835"/>
      <c r="E614" s="674">
        <v>339</v>
      </c>
      <c r="F614" s="674">
        <v>1315</v>
      </c>
      <c r="G614" s="674">
        <v>2659</v>
      </c>
      <c r="H614" s="830">
        <f>Reported!C293</f>
        <v>0</v>
      </c>
      <c r="I614" s="830">
        <f>Reported!D293</f>
        <v>0</v>
      </c>
      <c r="J614" s="1429">
        <f>Reported!E293</f>
        <v>2322</v>
      </c>
      <c r="K614" s="454">
        <f t="shared" ref="K614:R614" si="1179">-K337*K652</f>
        <v>3926.2624139180225</v>
      </c>
      <c r="L614" s="454">
        <f t="shared" si="1179"/>
        <v>5281.1008323877095</v>
      </c>
      <c r="M614" s="454">
        <f t="shared" si="1179"/>
        <v>7093.0218954110242</v>
      </c>
      <c r="N614" s="454">
        <f t="shared" si="1179"/>
        <v>8663.5294311531125</v>
      </c>
      <c r="O614" s="454">
        <f t="shared" si="1179"/>
        <v>10427.586847450964</v>
      </c>
      <c r="P614" s="454">
        <f t="shared" si="1179"/>
        <v>12674.552818439868</v>
      </c>
      <c r="Q614" s="454">
        <f t="shared" si="1179"/>
        <v>14594.848028850402</v>
      </c>
      <c r="R614" s="454">
        <f t="shared" si="1179"/>
        <v>16593.065926490257</v>
      </c>
      <c r="T614" s="454"/>
      <c r="U614" s="653"/>
      <c r="Y614" s="825"/>
      <c r="AC614" s="825"/>
      <c r="AG614" s="825"/>
      <c r="AK614" s="825"/>
      <c r="AO614" s="825"/>
      <c r="AS614" s="825"/>
      <c r="AW614" s="825"/>
      <c r="BA614" s="825"/>
      <c r="CG614"/>
      <c r="CH614"/>
      <c r="CI614"/>
      <c r="CJ614"/>
      <c r="CK614"/>
      <c r="CL614"/>
    </row>
    <row r="615" spans="1:90" s="820" customFormat="1" outlineLevel="1">
      <c r="A615" s="1336"/>
      <c r="B615" s="820" t="s">
        <v>199</v>
      </c>
      <c r="C615" s="835"/>
      <c r="D615" s="835"/>
      <c r="E615" s="674">
        <v>4659</v>
      </c>
      <c r="F615" s="674">
        <v>8961</v>
      </c>
      <c r="G615" s="674">
        <v>11887</v>
      </c>
      <c r="H615" s="830">
        <f>Reported!C294</f>
        <v>19834</v>
      </c>
      <c r="I615" s="830">
        <f>Reported!D294</f>
        <v>27334</v>
      </c>
      <c r="J615" s="1429">
        <f>Reported!E294</f>
        <v>47186</v>
      </c>
      <c r="K615" s="454">
        <f t="shared" ref="K615:R615" si="1180">-K653*K337</f>
        <v>62359.36160361462</v>
      </c>
      <c r="L615" s="454">
        <f t="shared" si="1180"/>
        <v>81172.020881890974</v>
      </c>
      <c r="M615" s="454">
        <f t="shared" si="1180"/>
        <v>105387.7038823194</v>
      </c>
      <c r="N615" s="454">
        <f t="shared" si="1180"/>
        <v>124283.51586814689</v>
      </c>
      <c r="O615" s="454">
        <f t="shared" si="1180"/>
        <v>144247.47638300597</v>
      </c>
      <c r="P615" s="454">
        <f t="shared" si="1180"/>
        <v>175330.33146494385</v>
      </c>
      <c r="Q615" s="454">
        <f t="shared" si="1180"/>
        <v>201894.26634886238</v>
      </c>
      <c r="R615" s="454">
        <f t="shared" si="1180"/>
        <v>229536.12569893486</v>
      </c>
      <c r="T615" s="454"/>
      <c r="U615" s="653"/>
      <c r="Y615" s="825"/>
      <c r="AC615" s="825"/>
      <c r="AG615" s="825"/>
      <c r="AK615" s="825"/>
      <c r="AO615" s="825"/>
      <c r="AS615" s="825"/>
      <c r="AW615" s="825"/>
      <c r="BA615" s="825"/>
      <c r="CG615"/>
      <c r="CH615"/>
      <c r="CI615"/>
      <c r="CJ615"/>
      <c r="CK615"/>
      <c r="CL615"/>
    </row>
    <row r="616" spans="1:90" s="820" customFormat="1" outlineLevel="1">
      <c r="A616" s="1336"/>
      <c r="B616" s="820" t="s">
        <v>200</v>
      </c>
      <c r="C616" s="835"/>
      <c r="D616" s="835"/>
      <c r="E616" s="674">
        <v>745</v>
      </c>
      <c r="F616" s="674">
        <v>3083</v>
      </c>
      <c r="G616" s="674">
        <v>4711</v>
      </c>
      <c r="H616" s="830">
        <f>Reported!C295</f>
        <v>7201</v>
      </c>
      <c r="I616" s="830">
        <f>Reported!D295</f>
        <v>7314</v>
      </c>
      <c r="J616" s="1429">
        <f>Reported!E295</f>
        <v>8189</v>
      </c>
      <c r="K616" s="454">
        <f t="shared" ref="K616:R616" si="1181">K121*K654*1000</f>
        <v>11194.915985379199</v>
      </c>
      <c r="L616" s="454">
        <f t="shared" si="1181"/>
        <v>14538.829809004752</v>
      </c>
      <c r="M616" s="454">
        <f t="shared" si="1181"/>
        <v>18175.961446269455</v>
      </c>
      <c r="N616" s="454">
        <f t="shared" si="1181"/>
        <v>21765.019457496481</v>
      </c>
      <c r="O616" s="454">
        <f t="shared" si="1181"/>
        <v>25852.11045860553</v>
      </c>
      <c r="P616" s="454">
        <f t="shared" si="1181"/>
        <v>30304.509636401926</v>
      </c>
      <c r="Q616" s="454">
        <f t="shared" si="1181"/>
        <v>35035.673279140487</v>
      </c>
      <c r="R616" s="454">
        <f t="shared" si="1181"/>
        <v>39999.971542943385</v>
      </c>
      <c r="T616" s="454"/>
      <c r="U616" s="653"/>
      <c r="Y616" s="825"/>
      <c r="AC616" s="825"/>
      <c r="AG616" s="825"/>
      <c r="AK616" s="825"/>
      <c r="AO616" s="825"/>
      <c r="AS616" s="825"/>
      <c r="AW616" s="825"/>
      <c r="BA616" s="825"/>
      <c r="CG616"/>
      <c r="CH616"/>
      <c r="CI616"/>
      <c r="CJ616"/>
      <c r="CK616"/>
      <c r="CL616"/>
    </row>
    <row r="617" spans="1:90" s="820" customFormat="1" outlineLevel="1">
      <c r="A617" s="1336"/>
      <c r="B617" s="820" t="s">
        <v>201</v>
      </c>
      <c r="C617" s="835"/>
      <c r="D617" s="835"/>
      <c r="E617" s="674">
        <v>4350</v>
      </c>
      <c r="F617" s="674">
        <v>4929</v>
      </c>
      <c r="G617" s="674">
        <v>6496</v>
      </c>
      <c r="H617" s="830">
        <f>Reported!C296</f>
        <v>7914</v>
      </c>
      <c r="I617" s="830">
        <f>Reported!D296</f>
        <v>10297</v>
      </c>
      <c r="J617" s="1429">
        <f>Reported!E296</f>
        <v>15052</v>
      </c>
      <c r="K617" s="454">
        <f t="shared" ref="K617:R617" si="1182">K336*K655</f>
        <v>14900.683776251999</v>
      </c>
      <c r="L617" s="454">
        <f t="shared" si="1182"/>
        <v>20293.005220472744</v>
      </c>
      <c r="M617" s="454">
        <f t="shared" si="1182"/>
        <v>26397.521219584058</v>
      </c>
      <c r="N617" s="454">
        <f t="shared" si="1182"/>
        <v>32242.351055382282</v>
      </c>
      <c r="O617" s="454">
        <f t="shared" si="1182"/>
        <v>38807.499699490443</v>
      </c>
      <c r="P617" s="454">
        <f t="shared" si="1182"/>
        <v>47169.849734986245</v>
      </c>
      <c r="Q617" s="454">
        <f t="shared" si="1182"/>
        <v>54316.455837735382</v>
      </c>
      <c r="R617" s="454">
        <f t="shared" si="1182"/>
        <v>61753.06045169085</v>
      </c>
      <c r="T617" s="454"/>
      <c r="U617" s="653"/>
      <c r="Y617" s="825"/>
      <c r="AC617" s="825"/>
      <c r="AG617" s="825"/>
      <c r="AK617" s="825"/>
      <c r="AO617" s="825"/>
      <c r="AS617" s="825"/>
      <c r="AW617" s="825"/>
      <c r="BA617" s="825"/>
      <c r="CG617"/>
      <c r="CH617"/>
      <c r="CI617"/>
      <c r="CJ617"/>
      <c r="CK617"/>
      <c r="CL617"/>
    </row>
    <row r="618" spans="1:90" s="831" customFormat="1" outlineLevel="1">
      <c r="A618" s="1353"/>
      <c r="B618" s="831" t="s">
        <v>149</v>
      </c>
      <c r="C618" s="832"/>
      <c r="D618" s="832"/>
      <c r="E618" s="389">
        <f t="shared" ref="E618:J618" si="1183">SUM(E611:E617)</f>
        <v>11751</v>
      </c>
      <c r="F618" s="389">
        <f t="shared" si="1183"/>
        <v>23995</v>
      </c>
      <c r="G618" s="389">
        <f t="shared" si="1183"/>
        <v>37384</v>
      </c>
      <c r="H618" s="389">
        <f t="shared" si="1183"/>
        <v>39672</v>
      </c>
      <c r="I618" s="389">
        <f t="shared" si="1183"/>
        <v>52039</v>
      </c>
      <c r="J618" s="592">
        <f t="shared" si="1183"/>
        <v>93771</v>
      </c>
      <c r="K618" s="389">
        <f t="shared" ref="K618:R618" si="1184">SUM(K611:K617)</f>
        <v>110105.96592604442</v>
      </c>
      <c r="L618" s="389">
        <f t="shared" si="1184"/>
        <v>144077.05778392209</v>
      </c>
      <c r="M618" s="389">
        <f t="shared" si="1184"/>
        <v>187768.81999251671</v>
      </c>
      <c r="N618" s="389">
        <f t="shared" si="1184"/>
        <v>223704.45736673873</v>
      </c>
      <c r="O618" s="389">
        <f t="shared" si="1184"/>
        <v>262911.77897322207</v>
      </c>
      <c r="P618" s="389">
        <f t="shared" si="1184"/>
        <v>318685.72909088532</v>
      </c>
      <c r="Q618" s="389">
        <f t="shared" si="1184"/>
        <v>367176.30963474483</v>
      </c>
      <c r="R618" s="389">
        <f t="shared" si="1184"/>
        <v>417668.44258029578</v>
      </c>
      <c r="T618" s="389"/>
      <c r="U618" s="833"/>
      <c r="Y618" s="834"/>
      <c r="AC618" s="834"/>
      <c r="AG618" s="834"/>
      <c r="AK618" s="834"/>
      <c r="AO618" s="834"/>
      <c r="AS618" s="834"/>
      <c r="AW618" s="834"/>
      <c r="BA618" s="834"/>
      <c r="CG618"/>
      <c r="CH618"/>
      <c r="CI618"/>
      <c r="CJ618"/>
      <c r="CK618"/>
      <c r="CL618"/>
    </row>
    <row r="619" spans="1:90" s="820" customFormat="1" outlineLevel="1">
      <c r="A619" s="1336"/>
      <c r="C619" s="835"/>
      <c r="D619" s="835"/>
      <c r="E619" s="835"/>
      <c r="F619" s="835"/>
      <c r="G619" s="454"/>
      <c r="H619" s="835"/>
      <c r="I619" s="835"/>
      <c r="J619" s="1432"/>
      <c r="K619" s="835"/>
      <c r="L619" s="835"/>
      <c r="M619" s="835"/>
      <c r="N619" s="835"/>
      <c r="O619" s="835"/>
      <c r="P619" s="835"/>
      <c r="Q619" s="835"/>
      <c r="R619" s="835"/>
      <c r="Y619" s="825"/>
      <c r="AC619" s="825"/>
      <c r="AG619" s="825"/>
      <c r="AK619" s="825"/>
      <c r="AO619" s="825"/>
      <c r="AS619" s="825"/>
      <c r="AW619" s="825"/>
      <c r="BA619" s="825"/>
      <c r="CG619"/>
      <c r="CH619"/>
      <c r="CI619"/>
      <c r="CJ619"/>
      <c r="CK619"/>
      <c r="CL619"/>
    </row>
    <row r="620" spans="1:90" s="820" customFormat="1" outlineLevel="1">
      <c r="A620" s="1336"/>
      <c r="B620" s="820" t="s">
        <v>163</v>
      </c>
      <c r="C620" s="835"/>
      <c r="D620" s="835"/>
      <c r="E620" s="666">
        <v>529</v>
      </c>
      <c r="F620" s="666">
        <v>389</v>
      </c>
      <c r="G620" s="674">
        <v>428</v>
      </c>
      <c r="H620" s="830">
        <f>Reported!C298</f>
        <v>445</v>
      </c>
      <c r="I620" s="830">
        <f>Reported!D298</f>
        <v>418</v>
      </c>
      <c r="J620" s="1429">
        <f>Reported!E298</f>
        <v>641</v>
      </c>
      <c r="K620" s="454">
        <f t="shared" ref="K620:R620" si="1185">K336*K656</f>
        <v>1005.7872895332256</v>
      </c>
      <c r="L620" s="454">
        <f t="shared" si="1185"/>
        <v>1369.7657787833923</v>
      </c>
      <c r="M620" s="454">
        <f t="shared" si="1185"/>
        <v>1781.8169767588683</v>
      </c>
      <c r="N620" s="454">
        <f t="shared" si="1185"/>
        <v>2176.3395132145138</v>
      </c>
      <c r="O620" s="454">
        <f t="shared" si="1185"/>
        <v>2619.4831406676417</v>
      </c>
      <c r="P620" s="454">
        <f t="shared" si="1185"/>
        <v>3183.9367927701064</v>
      </c>
      <c r="Q620" s="454">
        <f t="shared" si="1185"/>
        <v>3666.328452735504</v>
      </c>
      <c r="R620" s="454">
        <f t="shared" si="1185"/>
        <v>4168.2948396687834</v>
      </c>
      <c r="T620" s="454"/>
      <c r="U620" s="653"/>
      <c r="Y620" s="825"/>
      <c r="AC620" s="825"/>
      <c r="AG620" s="825"/>
      <c r="AK620" s="825"/>
      <c r="AO620" s="825"/>
      <c r="AS620" s="825"/>
      <c r="AW620" s="825"/>
      <c r="BA620" s="825"/>
      <c r="CG620"/>
      <c r="CH620"/>
      <c r="CI620"/>
      <c r="CJ620"/>
      <c r="CK620"/>
      <c r="CL620"/>
    </row>
    <row r="621" spans="1:90" s="820" customFormat="1" outlineLevel="1">
      <c r="A621" s="1336"/>
      <c r="B621" s="820" t="s">
        <v>150</v>
      </c>
      <c r="C621" s="835"/>
      <c r="D621" s="835"/>
      <c r="E621" s="666">
        <v>413</v>
      </c>
      <c r="F621" s="666">
        <v>643</v>
      </c>
      <c r="G621" s="674">
        <v>2136</v>
      </c>
      <c r="H621" s="830">
        <f>Reported!C299</f>
        <v>4493</v>
      </c>
      <c r="I621" s="830">
        <f>Reported!D299</f>
        <v>6471</v>
      </c>
      <c r="J621" s="1429">
        <f>Reported!E299</f>
        <v>10154</v>
      </c>
      <c r="K621" s="454">
        <f t="shared" ref="K621:R621" si="1186">-K657*K360</f>
        <v>9694.6084939139309</v>
      </c>
      <c r="L621" s="454">
        <f t="shared" si="1186"/>
        <v>14989.021402943354</v>
      </c>
      <c r="M621" s="454">
        <f t="shared" si="1186"/>
        <v>22000.639559398456</v>
      </c>
      <c r="N621" s="454">
        <f t="shared" si="1186"/>
        <v>26965.097065701226</v>
      </c>
      <c r="O621" s="454">
        <f t="shared" si="1186"/>
        <v>33116.002132547124</v>
      </c>
      <c r="P621" s="454">
        <f t="shared" si="1186"/>
        <v>39699.006315280669</v>
      </c>
      <c r="Q621" s="454">
        <f t="shared" si="1186"/>
        <v>44467.078813228807</v>
      </c>
      <c r="R621" s="454">
        <f t="shared" si="1186"/>
        <v>49064.448434619611</v>
      </c>
      <c r="T621" s="454"/>
      <c r="U621" s="653"/>
      <c r="Y621" s="825"/>
      <c r="AC621" s="825"/>
      <c r="AG621" s="825"/>
      <c r="AK621" s="825"/>
      <c r="AO621" s="825"/>
      <c r="AS621" s="825"/>
      <c r="AW621" s="825"/>
      <c r="BA621" s="825"/>
      <c r="CG621"/>
      <c r="CH621"/>
      <c r="CI621"/>
      <c r="CJ621"/>
      <c r="CK621"/>
      <c r="CL621"/>
    </row>
    <row r="622" spans="1:90" s="820" customFormat="1" outlineLevel="1">
      <c r="A622" s="1336"/>
      <c r="B622" s="820" t="s">
        <v>202</v>
      </c>
      <c r="C622" s="835"/>
      <c r="D622" s="835"/>
      <c r="E622" s="674">
        <v>0</v>
      </c>
      <c r="F622" s="674">
        <v>5191</v>
      </c>
      <c r="G622" s="674">
        <v>0</v>
      </c>
      <c r="H622" s="653"/>
      <c r="I622" s="653"/>
      <c r="J622" s="1433"/>
      <c r="K622" s="311"/>
      <c r="L622" s="311"/>
      <c r="M622" s="311"/>
      <c r="N622" s="311"/>
      <c r="O622" s="311"/>
      <c r="P622" s="311"/>
      <c r="Q622" s="311"/>
      <c r="R622" s="311"/>
      <c r="T622" s="454"/>
      <c r="U622" s="653"/>
      <c r="Y622" s="825"/>
      <c r="AC622" s="825"/>
      <c r="AG622" s="825"/>
      <c r="AK622" s="825"/>
      <c r="AO622" s="825"/>
      <c r="AS622" s="825"/>
      <c r="AW622" s="825"/>
      <c r="BA622" s="825"/>
      <c r="CG622"/>
      <c r="CH622"/>
      <c r="CI622"/>
      <c r="CJ622"/>
      <c r="CK622"/>
      <c r="CL622"/>
    </row>
    <row r="623" spans="1:90" s="820" customFormat="1" outlineLevel="1">
      <c r="A623" s="1336"/>
      <c r="B623" s="820" t="s">
        <v>468</v>
      </c>
      <c r="C623" s="835"/>
      <c r="D623" s="835"/>
      <c r="E623" s="666">
        <v>0</v>
      </c>
      <c r="F623" s="666">
        <v>22462</v>
      </c>
      <c r="G623" s="674">
        <v>30711</v>
      </c>
      <c r="H623" s="830">
        <f>Reported!C300</f>
        <v>1609</v>
      </c>
      <c r="I623" s="830">
        <f>Reported!D300</f>
        <v>1871</v>
      </c>
      <c r="J623" s="1429">
        <f>Reported!E300</f>
        <v>30959</v>
      </c>
      <c r="K623" s="311">
        <f>J623+7000*6.88</f>
        <v>79119</v>
      </c>
      <c r="L623" s="311">
        <f t="shared" ref="L623:R623" si="1187">K623</f>
        <v>79119</v>
      </c>
      <c r="M623" s="311">
        <f t="shared" si="1187"/>
        <v>79119</v>
      </c>
      <c r="N623" s="311">
        <f t="shared" si="1187"/>
        <v>79119</v>
      </c>
      <c r="O623" s="311">
        <f t="shared" si="1187"/>
        <v>79119</v>
      </c>
      <c r="P623" s="311">
        <f t="shared" si="1187"/>
        <v>79119</v>
      </c>
      <c r="Q623" s="311">
        <f t="shared" si="1187"/>
        <v>79119</v>
      </c>
      <c r="R623" s="311">
        <f t="shared" si="1187"/>
        <v>79119</v>
      </c>
      <c r="T623" s="454"/>
      <c r="U623" s="653"/>
      <c r="Y623" s="825"/>
      <c r="AC623" s="825"/>
      <c r="AG623" s="825"/>
      <c r="AK623" s="825"/>
      <c r="AO623" s="825"/>
      <c r="AS623" s="825"/>
      <c r="AW623" s="825"/>
      <c r="BA623" s="825"/>
      <c r="CG623"/>
      <c r="CH623"/>
      <c r="CI623"/>
      <c r="CJ623"/>
      <c r="CK623"/>
      <c r="CL623"/>
    </row>
    <row r="624" spans="1:90" s="820" customFormat="1" outlineLevel="1">
      <c r="A624" s="1336"/>
      <c r="B624" s="820" t="s">
        <v>204</v>
      </c>
      <c r="C624" s="835"/>
      <c r="D624" s="835"/>
      <c r="E624" s="666">
        <v>104</v>
      </c>
      <c r="F624" s="666">
        <v>60</v>
      </c>
      <c r="G624" s="674">
        <v>72</v>
      </c>
      <c r="H624" s="830">
        <f>Reported!C302</f>
        <v>2150</v>
      </c>
      <c r="I624" s="830">
        <f>Reported!D302</f>
        <v>2166</v>
      </c>
      <c r="J624" s="1429">
        <f>Reported!E302</f>
        <v>1290</v>
      </c>
      <c r="K624" s="311">
        <f t="shared" ref="K624:R625" si="1188">J624</f>
        <v>1290</v>
      </c>
      <c r="L624" s="311">
        <f t="shared" si="1188"/>
        <v>1290</v>
      </c>
      <c r="M624" s="311">
        <f t="shared" si="1188"/>
        <v>1290</v>
      </c>
      <c r="N624" s="311">
        <f t="shared" si="1188"/>
        <v>1290</v>
      </c>
      <c r="O624" s="311">
        <f t="shared" si="1188"/>
        <v>1290</v>
      </c>
      <c r="P624" s="311">
        <f t="shared" si="1188"/>
        <v>1290</v>
      </c>
      <c r="Q624" s="311">
        <f t="shared" si="1188"/>
        <v>1290</v>
      </c>
      <c r="R624" s="311">
        <f t="shared" si="1188"/>
        <v>1290</v>
      </c>
      <c r="T624" s="454"/>
      <c r="U624" s="653"/>
      <c r="Y624" s="825"/>
      <c r="AC624" s="825"/>
      <c r="AG624" s="825"/>
      <c r="AK624" s="825"/>
      <c r="AO624" s="825"/>
      <c r="AS624" s="825"/>
      <c r="AW624" s="825"/>
      <c r="BA624" s="825"/>
      <c r="CG624"/>
      <c r="CH624"/>
      <c r="CI624"/>
      <c r="CJ624"/>
      <c r="CK624"/>
      <c r="CL624"/>
    </row>
    <row r="625" spans="1:90" s="820" customFormat="1" outlineLevel="1">
      <c r="A625" s="1336"/>
      <c r="B625" s="820" t="s">
        <v>466</v>
      </c>
      <c r="C625" s="835"/>
      <c r="D625" s="835"/>
      <c r="E625" s="666"/>
      <c r="F625" s="666"/>
      <c r="G625" s="674"/>
      <c r="H625" s="830">
        <f>Reported!C301</f>
        <v>48994</v>
      </c>
      <c r="I625" s="830">
        <f>Reported!D301</f>
        <v>51391</v>
      </c>
      <c r="J625" s="1429">
        <f>Reported!E301</f>
        <v>45876</v>
      </c>
      <c r="K625" s="311">
        <f t="shared" si="1188"/>
        <v>45876</v>
      </c>
      <c r="L625" s="311">
        <f t="shared" si="1188"/>
        <v>45876</v>
      </c>
      <c r="M625" s="311">
        <f t="shared" si="1188"/>
        <v>45876</v>
      </c>
      <c r="N625" s="311">
        <f t="shared" si="1188"/>
        <v>45876</v>
      </c>
      <c r="O625" s="311">
        <f t="shared" si="1188"/>
        <v>45876</v>
      </c>
      <c r="P625" s="311">
        <f t="shared" si="1188"/>
        <v>45876</v>
      </c>
      <c r="Q625" s="311">
        <f t="shared" si="1188"/>
        <v>45876</v>
      </c>
      <c r="R625" s="311">
        <f t="shared" si="1188"/>
        <v>45876</v>
      </c>
      <c r="T625" s="454"/>
      <c r="U625" s="653"/>
      <c r="Y625" s="825"/>
      <c r="AC625" s="825"/>
      <c r="AG625" s="825"/>
      <c r="AK625" s="825"/>
      <c r="AO625" s="825"/>
      <c r="AS625" s="825"/>
      <c r="AW625" s="825"/>
      <c r="BA625" s="825"/>
      <c r="CG625"/>
      <c r="CH625"/>
      <c r="CI625"/>
      <c r="CJ625"/>
      <c r="CK625"/>
      <c r="CL625"/>
    </row>
    <row r="626" spans="1:90" s="831" customFormat="1" outlineLevel="1">
      <c r="A626" s="1353"/>
      <c r="B626" s="831" t="s">
        <v>172</v>
      </c>
      <c r="C626" s="832"/>
      <c r="D626" s="832"/>
      <c r="E626" s="842">
        <f>SUM(E620:E624)</f>
        <v>1046</v>
      </c>
      <c r="F626" s="842">
        <f>SUM(F620:F624)</f>
        <v>28745</v>
      </c>
      <c r="G626" s="389">
        <f>SUM(G620:G624)</f>
        <v>33347</v>
      </c>
      <c r="H626" s="389">
        <f t="shared" ref="H626:R626" si="1189">SUM(H620:H625)</f>
        <v>57691</v>
      </c>
      <c r="I626" s="389">
        <f t="shared" si="1189"/>
        <v>62317</v>
      </c>
      <c r="J626" s="592">
        <f t="shared" si="1189"/>
        <v>88920</v>
      </c>
      <c r="K626" s="389">
        <f t="shared" si="1189"/>
        <v>136985.39578344714</v>
      </c>
      <c r="L626" s="389">
        <f t="shared" si="1189"/>
        <v>142643.78718172674</v>
      </c>
      <c r="M626" s="389">
        <f t="shared" si="1189"/>
        <v>150067.45653615732</v>
      </c>
      <c r="N626" s="389">
        <f t="shared" si="1189"/>
        <v>155426.43657891575</v>
      </c>
      <c r="O626" s="389">
        <f t="shared" si="1189"/>
        <v>162020.48527321476</v>
      </c>
      <c r="P626" s="389">
        <f t="shared" si="1189"/>
        <v>169167.94310805079</v>
      </c>
      <c r="Q626" s="389">
        <f t="shared" si="1189"/>
        <v>174418.40726596431</v>
      </c>
      <c r="R626" s="389">
        <f t="shared" si="1189"/>
        <v>179517.7432742884</v>
      </c>
      <c r="T626" s="389"/>
      <c r="U626" s="833"/>
      <c r="Y626" s="834"/>
      <c r="AC626" s="834"/>
      <c r="AG626" s="834"/>
      <c r="AK626" s="834"/>
      <c r="AO626" s="834"/>
      <c r="AS626" s="834"/>
      <c r="AW626" s="834"/>
      <c r="BA626" s="834"/>
      <c r="CG626"/>
      <c r="CH626"/>
      <c r="CI626"/>
      <c r="CJ626"/>
      <c r="CK626"/>
      <c r="CL626"/>
    </row>
    <row r="627" spans="1:90" s="837" customFormat="1" outlineLevel="1">
      <c r="A627" s="1353"/>
      <c r="B627" s="837" t="s">
        <v>151</v>
      </c>
      <c r="C627" s="838"/>
      <c r="D627" s="838"/>
      <c r="E627" s="839">
        <f t="shared" ref="E627:J627" si="1190">SUM(E618,E626)</f>
        <v>12797</v>
      </c>
      <c r="F627" s="839">
        <f t="shared" si="1190"/>
        <v>52740</v>
      </c>
      <c r="G627" s="840">
        <f t="shared" si="1190"/>
        <v>70731</v>
      </c>
      <c r="H627" s="838">
        <f t="shared" si="1190"/>
        <v>97363</v>
      </c>
      <c r="I627" s="838">
        <f t="shared" si="1190"/>
        <v>114356</v>
      </c>
      <c r="J627" s="1434">
        <f t="shared" si="1190"/>
        <v>182691</v>
      </c>
      <c r="K627" s="838">
        <f t="shared" ref="K627:R627" si="1191">SUM(K618,K626)</f>
        <v>247091.36170949155</v>
      </c>
      <c r="L627" s="838">
        <f t="shared" si="1191"/>
        <v>286720.84496564884</v>
      </c>
      <c r="M627" s="838">
        <f t="shared" si="1191"/>
        <v>337836.27652867406</v>
      </c>
      <c r="N627" s="838">
        <f t="shared" si="1191"/>
        <v>379130.8939456545</v>
      </c>
      <c r="O627" s="838">
        <f t="shared" si="1191"/>
        <v>424932.26424643683</v>
      </c>
      <c r="P627" s="838">
        <f t="shared" si="1191"/>
        <v>487853.67219893611</v>
      </c>
      <c r="Q627" s="838">
        <f t="shared" si="1191"/>
        <v>541594.71690070909</v>
      </c>
      <c r="R627" s="838">
        <f t="shared" si="1191"/>
        <v>597186.18585458421</v>
      </c>
      <c r="S627" s="831"/>
      <c r="T627" s="838"/>
      <c r="U627" s="832"/>
      <c r="Y627" s="841"/>
      <c r="AC627" s="841"/>
      <c r="AG627" s="841"/>
      <c r="AK627" s="841"/>
      <c r="AO627" s="841"/>
      <c r="AS627" s="841"/>
      <c r="AW627" s="841"/>
      <c r="BA627" s="841"/>
      <c r="BF627" s="831"/>
      <c r="BG627" s="831"/>
      <c r="BH627" s="831"/>
      <c r="BI627" s="831"/>
      <c r="BJ627" s="831"/>
      <c r="BK627" s="831"/>
      <c r="BL627" s="831"/>
      <c r="BM627" s="831"/>
      <c r="BN627" s="831"/>
      <c r="BO627" s="831"/>
      <c r="BP627" s="831"/>
      <c r="BQ627" s="831"/>
      <c r="BR627" s="831"/>
      <c r="BS627" s="831"/>
      <c r="BT627" s="831"/>
      <c r="BU627" s="831"/>
      <c r="BV627" s="831"/>
      <c r="BW627" s="831"/>
      <c r="BX627" s="831"/>
      <c r="BY627" s="831"/>
      <c r="BZ627" s="831"/>
      <c r="CA627" s="831"/>
      <c r="CB627" s="831"/>
      <c r="CC627" s="831"/>
      <c r="CG627"/>
      <c r="CH627"/>
      <c r="CI627"/>
      <c r="CJ627"/>
      <c r="CK627"/>
      <c r="CL627"/>
    </row>
    <row r="628" spans="1:90" s="820" customFormat="1" outlineLevel="1">
      <c r="A628" s="1336"/>
      <c r="C628" s="835"/>
      <c r="D628" s="835"/>
      <c r="E628" s="835"/>
      <c r="F628" s="835"/>
      <c r="G628" s="454"/>
      <c r="H628" s="835"/>
      <c r="I628" s="835"/>
      <c r="J628" s="1432"/>
      <c r="K628" s="835"/>
      <c r="L628" s="835"/>
      <c r="M628" s="835"/>
      <c r="N628" s="835"/>
      <c r="O628" s="835"/>
      <c r="P628" s="835"/>
      <c r="Q628" s="835"/>
      <c r="R628" s="835"/>
      <c r="T628" s="835"/>
      <c r="U628" s="835"/>
      <c r="Y628" s="825"/>
      <c r="AC628" s="825"/>
      <c r="AG628" s="825"/>
      <c r="AK628" s="825"/>
      <c r="AO628" s="825"/>
      <c r="AS628" s="825"/>
      <c r="AW628" s="825"/>
      <c r="BA628" s="825"/>
      <c r="CG628"/>
      <c r="CH628"/>
      <c r="CI628"/>
      <c r="CJ628"/>
      <c r="CK628"/>
      <c r="CL628"/>
    </row>
    <row r="629" spans="1:90" s="821" customFormat="1" outlineLevel="1">
      <c r="A629" s="1336"/>
      <c r="B629" s="821" t="s">
        <v>205</v>
      </c>
      <c r="C629" s="822"/>
      <c r="D629" s="822"/>
      <c r="E629" s="843">
        <v>0</v>
      </c>
      <c r="F629" s="843">
        <v>10447</v>
      </c>
      <c r="G629" s="844">
        <v>10284</v>
      </c>
      <c r="H629" s="845">
        <f>Reported!C307</f>
        <v>0</v>
      </c>
      <c r="I629" s="845">
        <f>Reported!D307</f>
        <v>0</v>
      </c>
      <c r="J629" s="1435">
        <f>Reported!E307</f>
        <v>0</v>
      </c>
      <c r="K629" s="822"/>
      <c r="L629" s="822"/>
      <c r="M629" s="822"/>
      <c r="N629" s="822"/>
      <c r="O629" s="822"/>
      <c r="P629" s="822"/>
      <c r="Q629" s="822"/>
      <c r="R629" s="822"/>
      <c r="S629" s="820"/>
      <c r="T629" s="846"/>
      <c r="U629" s="847"/>
      <c r="Y629" s="848"/>
      <c r="AC629" s="848"/>
      <c r="AG629" s="848"/>
      <c r="AK629" s="848"/>
      <c r="AO629" s="848"/>
      <c r="AS629" s="848"/>
      <c r="AW629" s="848"/>
      <c r="BA629" s="848"/>
      <c r="BF629" s="820"/>
      <c r="BG629" s="820"/>
      <c r="BH629" s="820"/>
      <c r="BI629" s="820"/>
      <c r="BJ629" s="820"/>
      <c r="BK629" s="820"/>
      <c r="BL629" s="820"/>
      <c r="BM629" s="820"/>
      <c r="BN629" s="820"/>
      <c r="BO629" s="820"/>
      <c r="BP629" s="820"/>
      <c r="BQ629" s="820"/>
      <c r="BR629" s="820"/>
      <c r="BS629" s="820"/>
      <c r="BT629" s="820"/>
      <c r="BU629" s="820"/>
      <c r="BV629" s="820"/>
      <c r="BW629" s="820"/>
      <c r="BX629" s="820"/>
      <c r="BY629" s="820"/>
      <c r="BZ629" s="820"/>
      <c r="CA629" s="820"/>
      <c r="CB629" s="820"/>
      <c r="CC629" s="820"/>
      <c r="CG629"/>
      <c r="CH629"/>
      <c r="CI629"/>
      <c r="CJ629"/>
      <c r="CK629"/>
      <c r="CL629"/>
    </row>
    <row r="630" spans="1:90" s="821" customFormat="1" outlineLevel="1">
      <c r="A630" s="1336"/>
      <c r="B630" s="821" t="s">
        <v>82</v>
      </c>
      <c r="C630" s="822"/>
      <c r="D630" s="822"/>
      <c r="E630" s="843">
        <v>30</v>
      </c>
      <c r="F630" s="843">
        <v>86</v>
      </c>
      <c r="G630" s="844">
        <v>117</v>
      </c>
      <c r="H630" s="845">
        <f>Reported!C308</f>
        <v>658</v>
      </c>
      <c r="I630" s="845">
        <f>Reported!D308</f>
        <v>350</v>
      </c>
      <c r="J630" s="1435">
        <f>Reported!E308</f>
        <v>2992</v>
      </c>
      <c r="K630" s="822"/>
      <c r="L630" s="822"/>
      <c r="M630" s="822"/>
      <c r="N630" s="822"/>
      <c r="O630" s="822"/>
      <c r="P630" s="822"/>
      <c r="Q630" s="822"/>
      <c r="R630" s="822"/>
      <c r="S630" s="820"/>
      <c r="T630" s="846"/>
      <c r="U630" s="847"/>
      <c r="Y630" s="848"/>
      <c r="AC630" s="848"/>
      <c r="AG630" s="848"/>
      <c r="AK630" s="848"/>
      <c r="AO630" s="848"/>
      <c r="AS630" s="848"/>
      <c r="AW630" s="848"/>
      <c r="BA630" s="848"/>
      <c r="BF630" s="820"/>
      <c r="BG630" s="820"/>
      <c r="BH630" s="820"/>
      <c r="BI630" s="820"/>
      <c r="BJ630" s="820"/>
      <c r="BK630" s="820"/>
      <c r="BL630" s="820"/>
      <c r="BM630" s="820"/>
      <c r="BN630" s="820"/>
      <c r="BO630" s="820"/>
      <c r="BP630" s="820"/>
      <c r="BQ630" s="820"/>
      <c r="BR630" s="820"/>
      <c r="BS630" s="820"/>
      <c r="BT630" s="820"/>
      <c r="BU630" s="820"/>
      <c r="BV630" s="820"/>
      <c r="BW630" s="820"/>
      <c r="BX630" s="820"/>
      <c r="BY630" s="820"/>
      <c r="BZ630" s="820"/>
      <c r="CA630" s="820"/>
      <c r="CB630" s="820"/>
      <c r="CC630" s="820"/>
      <c r="CG630"/>
      <c r="CH630"/>
      <c r="CI630"/>
      <c r="CJ630"/>
      <c r="CK630"/>
      <c r="CL630"/>
    </row>
    <row r="631" spans="1:90" s="821" customFormat="1" outlineLevel="1">
      <c r="A631" s="1336"/>
      <c r="B631" s="821" t="s">
        <v>173</v>
      </c>
      <c r="C631" s="822"/>
      <c r="D631" s="822"/>
      <c r="E631" s="247">
        <f t="shared" ref="E631:J631" si="1192">SUM(E629:E630)</f>
        <v>30</v>
      </c>
      <c r="F631" s="145">
        <f t="shared" si="1192"/>
        <v>10533</v>
      </c>
      <c r="G631" s="145">
        <f t="shared" si="1192"/>
        <v>10401</v>
      </c>
      <c r="H631" s="145">
        <f t="shared" si="1192"/>
        <v>658</v>
      </c>
      <c r="I631" s="145">
        <f t="shared" si="1192"/>
        <v>350</v>
      </c>
      <c r="J631" s="1436">
        <f t="shared" si="1192"/>
        <v>2992</v>
      </c>
      <c r="K631" s="849">
        <f>J631</f>
        <v>2992</v>
      </c>
      <c r="L631" s="849">
        <f t="shared" ref="L631:R631" si="1193">K631</f>
        <v>2992</v>
      </c>
      <c r="M631" s="849">
        <f t="shared" si="1193"/>
        <v>2992</v>
      </c>
      <c r="N631" s="849">
        <f t="shared" si="1193"/>
        <v>2992</v>
      </c>
      <c r="O631" s="849">
        <f t="shared" si="1193"/>
        <v>2992</v>
      </c>
      <c r="P631" s="849">
        <f t="shared" si="1193"/>
        <v>2992</v>
      </c>
      <c r="Q631" s="849">
        <f t="shared" si="1193"/>
        <v>2992</v>
      </c>
      <c r="R631" s="849">
        <f t="shared" si="1193"/>
        <v>2992</v>
      </c>
      <c r="S631" s="820"/>
      <c r="T631" s="850"/>
      <c r="U631" s="842"/>
      <c r="Y631" s="848"/>
      <c r="AC631" s="848"/>
      <c r="AG631" s="848"/>
      <c r="AK631" s="848"/>
      <c r="AO631" s="848"/>
      <c r="AS631" s="848"/>
      <c r="AW631" s="848"/>
      <c r="BA631" s="848"/>
      <c r="BF631" s="820"/>
      <c r="BG631" s="820"/>
      <c r="BH631" s="820"/>
      <c r="BI631" s="820"/>
      <c r="BJ631" s="820"/>
      <c r="BK631" s="820"/>
      <c r="BL631" s="820"/>
      <c r="BM631" s="820"/>
      <c r="BN631" s="820"/>
      <c r="BO631" s="820"/>
      <c r="BP631" s="820"/>
      <c r="BQ631" s="820"/>
      <c r="BR631" s="820"/>
      <c r="BS631" s="820"/>
      <c r="BT631" s="820"/>
      <c r="BU631" s="820"/>
      <c r="BV631" s="820"/>
      <c r="BW631" s="820"/>
      <c r="BX631" s="820"/>
      <c r="BY631" s="820"/>
      <c r="BZ631" s="820"/>
      <c r="CA631" s="820"/>
      <c r="CB631" s="820"/>
      <c r="CC631" s="820"/>
      <c r="CG631"/>
      <c r="CH631"/>
      <c r="CI631"/>
      <c r="CJ631"/>
      <c r="CK631"/>
      <c r="CL631"/>
    </row>
    <row r="632" spans="1:90" s="821" customFormat="1" outlineLevel="1">
      <c r="A632" s="1336"/>
      <c r="C632" s="822"/>
      <c r="D632" s="822"/>
      <c r="E632" s="822"/>
      <c r="F632" s="822"/>
      <c r="G632" s="30"/>
      <c r="H632" s="822"/>
      <c r="I632" s="822"/>
      <c r="J632" s="1430"/>
      <c r="K632" s="822"/>
      <c r="L632" s="822"/>
      <c r="M632" s="822"/>
      <c r="N632" s="822"/>
      <c r="O632" s="822"/>
      <c r="P632" s="822"/>
      <c r="Q632" s="822"/>
      <c r="R632" s="822"/>
      <c r="S632" s="820"/>
      <c r="T632" s="822"/>
      <c r="U632" s="835"/>
      <c r="Y632" s="848"/>
      <c r="AC632" s="848"/>
      <c r="AG632" s="848"/>
      <c r="AK632" s="848"/>
      <c r="AO632" s="848"/>
      <c r="AS632" s="848"/>
      <c r="AW632" s="848"/>
      <c r="BA632" s="848"/>
      <c r="BF632" s="820"/>
      <c r="BG632" s="820"/>
      <c r="BH632" s="820"/>
      <c r="BI632" s="820"/>
      <c r="BJ632" s="820"/>
      <c r="BK632" s="820"/>
      <c r="BL632" s="820"/>
      <c r="BM632" s="820"/>
      <c r="BN632" s="820"/>
      <c r="BO632" s="820"/>
      <c r="BP632" s="820"/>
      <c r="BQ632" s="820"/>
      <c r="BR632" s="820"/>
      <c r="BS632" s="820"/>
      <c r="BT632" s="820"/>
      <c r="BU632" s="820"/>
      <c r="BV632" s="820"/>
      <c r="BW632" s="820"/>
      <c r="BX632" s="820"/>
      <c r="BY632" s="820"/>
      <c r="BZ632" s="820"/>
      <c r="CA632" s="820"/>
      <c r="CB632" s="820"/>
      <c r="CC632" s="820"/>
      <c r="CG632"/>
      <c r="CH632"/>
      <c r="CI632"/>
      <c r="CJ632"/>
      <c r="CK632"/>
      <c r="CL632"/>
    </row>
    <row r="633" spans="1:90" s="821" customFormat="1" outlineLevel="1">
      <c r="A633" s="1336"/>
      <c r="B633" s="821" t="s">
        <v>160</v>
      </c>
      <c r="C633" s="822"/>
      <c r="D633" s="822"/>
      <c r="E633" s="844">
        <v>1</v>
      </c>
      <c r="F633" s="844">
        <v>1</v>
      </c>
      <c r="G633" s="844">
        <v>1</v>
      </c>
      <c r="H633" s="823">
        <f>Reported!C312</f>
        <v>1</v>
      </c>
      <c r="I633" s="823">
        <f>Reported!D312</f>
        <v>1</v>
      </c>
      <c r="J633" s="1428">
        <f>Reported!E312</f>
        <v>1</v>
      </c>
      <c r="K633" s="828">
        <f>J633</f>
        <v>1</v>
      </c>
      <c r="L633" s="828">
        <f t="shared" ref="L633:R633" si="1194">K633</f>
        <v>1</v>
      </c>
      <c r="M633" s="828">
        <f t="shared" si="1194"/>
        <v>1</v>
      </c>
      <c r="N633" s="828">
        <f t="shared" si="1194"/>
        <v>1</v>
      </c>
      <c r="O633" s="828">
        <f t="shared" si="1194"/>
        <v>1</v>
      </c>
      <c r="P633" s="828">
        <f t="shared" si="1194"/>
        <v>1</v>
      </c>
      <c r="Q633" s="828">
        <f t="shared" si="1194"/>
        <v>1</v>
      </c>
      <c r="R633" s="828">
        <f t="shared" si="1194"/>
        <v>1</v>
      </c>
      <c r="S633" s="820"/>
      <c r="T633" s="30"/>
      <c r="U633" s="653"/>
      <c r="Y633" s="848"/>
      <c r="AC633" s="848"/>
      <c r="AG633" s="848"/>
      <c r="AK633" s="848"/>
      <c r="AO633" s="848"/>
      <c r="AS633" s="848"/>
      <c r="AW633" s="848"/>
      <c r="BA633" s="848"/>
      <c r="BF633" s="820"/>
      <c r="BG633" s="820"/>
      <c r="BH633" s="820"/>
      <c r="BI633" s="820"/>
      <c r="BJ633" s="820"/>
      <c r="BK633" s="820"/>
      <c r="BL633" s="820"/>
      <c r="BM633" s="820"/>
      <c r="BN633" s="820"/>
      <c r="BO633" s="820"/>
      <c r="BP633" s="820"/>
      <c r="BQ633" s="820"/>
      <c r="BR633" s="820"/>
      <c r="BS633" s="820"/>
      <c r="BT633" s="820"/>
      <c r="BU633" s="820"/>
      <c r="BV633" s="820"/>
      <c r="BW633" s="820"/>
      <c r="BX633" s="820"/>
      <c r="BY633" s="820"/>
      <c r="BZ633" s="820"/>
      <c r="CA633" s="820"/>
      <c r="CB633" s="820"/>
      <c r="CC633" s="820"/>
      <c r="CG633"/>
      <c r="CH633"/>
      <c r="CI633"/>
      <c r="CJ633"/>
      <c r="CK633"/>
      <c r="CL633"/>
    </row>
    <row r="634" spans="1:90" s="821" customFormat="1" outlineLevel="1">
      <c r="A634" s="1336"/>
      <c r="B634" s="821" t="s">
        <v>152</v>
      </c>
      <c r="C634" s="822"/>
      <c r="D634" s="822"/>
      <c r="E634" s="844">
        <v>20778</v>
      </c>
      <c r="F634" s="844">
        <v>21655</v>
      </c>
      <c r="G634" s="844">
        <v>27043</v>
      </c>
      <c r="H634" s="845">
        <f>Reported!C313</f>
        <v>117142</v>
      </c>
      <c r="I634" s="845">
        <f>Reported!D313</f>
        <v>132206</v>
      </c>
      <c r="J634" s="1435">
        <f>Reported!E313</f>
        <v>164585</v>
      </c>
      <c r="K634" s="851">
        <f t="shared" ref="K634:R634" si="1195">J634-K474</f>
        <v>183459.19944991919</v>
      </c>
      <c r="L634" s="851">
        <f t="shared" si="1195"/>
        <v>203752.20467039195</v>
      </c>
      <c r="M634" s="851">
        <f t="shared" si="1195"/>
        <v>227509.9737680176</v>
      </c>
      <c r="N634" s="851">
        <f t="shared" si="1195"/>
        <v>254378.59964750285</v>
      </c>
      <c r="O634" s="851">
        <f t="shared" si="1195"/>
        <v>280250.2661138298</v>
      </c>
      <c r="P634" s="851">
        <f t="shared" si="1195"/>
        <v>308552.17595482152</v>
      </c>
      <c r="Q634" s="851">
        <f t="shared" si="1195"/>
        <v>341142.04945746274</v>
      </c>
      <c r="R634" s="851">
        <f t="shared" si="1195"/>
        <v>378193.88572847727</v>
      </c>
      <c r="S634" s="820"/>
      <c r="T634" s="822"/>
      <c r="U634" s="835"/>
      <c r="Y634" s="848"/>
      <c r="AC634" s="848"/>
      <c r="AG634" s="848"/>
      <c r="AK634" s="848"/>
      <c r="AO634" s="848"/>
      <c r="AS634" s="848"/>
      <c r="AW634" s="848"/>
      <c r="BA634" s="848"/>
      <c r="BF634" s="820"/>
      <c r="BG634" s="820"/>
      <c r="BH634" s="820"/>
      <c r="BI634" s="820"/>
      <c r="BJ634" s="820"/>
      <c r="BK634" s="820"/>
      <c r="BL634" s="820"/>
      <c r="BM634" s="820"/>
      <c r="BN634" s="820"/>
      <c r="BO634" s="820"/>
      <c r="BP634" s="820"/>
      <c r="BQ634" s="820"/>
      <c r="BR634" s="820"/>
      <c r="BS634" s="820"/>
      <c r="BT634" s="820"/>
      <c r="BU634" s="820"/>
      <c r="BV634" s="820"/>
      <c r="BW634" s="820"/>
      <c r="BX634" s="820"/>
      <c r="BY634" s="820"/>
      <c r="BZ634" s="820"/>
      <c r="CA634" s="820"/>
      <c r="CB634" s="820"/>
      <c r="CC634" s="820"/>
      <c r="CG634"/>
      <c r="CH634"/>
      <c r="CI634"/>
      <c r="CJ634"/>
      <c r="CK634"/>
      <c r="CL634"/>
    </row>
    <row r="635" spans="1:90" s="821" customFormat="1" outlineLevel="1">
      <c r="A635" s="1336"/>
      <c r="B635" s="820" t="s">
        <v>459</v>
      </c>
      <c r="C635" s="835"/>
      <c r="D635" s="835"/>
      <c r="E635" s="674"/>
      <c r="F635" s="674"/>
      <c r="G635" s="674"/>
      <c r="H635" s="845">
        <f>Reported!C314</f>
        <v>0</v>
      </c>
      <c r="I635" s="845">
        <f>Reported!D314</f>
        <v>0</v>
      </c>
      <c r="J635" s="1435">
        <f>Reported!E314</f>
        <v>-2823</v>
      </c>
      <c r="K635" s="828">
        <f>J635</f>
        <v>-2823</v>
      </c>
      <c r="L635" s="828">
        <f t="shared" ref="L635:R635" si="1196">K635</f>
        <v>-2823</v>
      </c>
      <c r="M635" s="828">
        <f t="shared" si="1196"/>
        <v>-2823</v>
      </c>
      <c r="N635" s="828">
        <f t="shared" si="1196"/>
        <v>-2823</v>
      </c>
      <c r="O635" s="828">
        <f t="shared" si="1196"/>
        <v>-2823</v>
      </c>
      <c r="P635" s="828">
        <f t="shared" si="1196"/>
        <v>-2823</v>
      </c>
      <c r="Q635" s="828">
        <f t="shared" si="1196"/>
        <v>-2823</v>
      </c>
      <c r="R635" s="828">
        <f t="shared" si="1196"/>
        <v>-2823</v>
      </c>
      <c r="S635" s="820"/>
      <c r="T635" s="835"/>
      <c r="U635" s="835"/>
      <c r="Y635" s="848"/>
      <c r="AC635" s="848"/>
      <c r="AG635" s="848"/>
      <c r="AK635" s="848"/>
      <c r="AO635" s="848"/>
      <c r="AS635" s="848"/>
      <c r="AW635" s="848"/>
      <c r="BA635" s="848"/>
      <c r="BF635" s="820"/>
      <c r="BG635" s="820"/>
      <c r="BH635" s="820"/>
      <c r="BI635" s="820"/>
      <c r="BJ635" s="820"/>
      <c r="BK635" s="820"/>
      <c r="BL635" s="820"/>
      <c r="BM635" s="820"/>
      <c r="BN635" s="820"/>
      <c r="BO635" s="820"/>
      <c r="BP635" s="820"/>
      <c r="BQ635" s="820"/>
      <c r="BR635" s="820"/>
      <c r="BS635" s="820"/>
      <c r="BT635" s="820"/>
      <c r="BU635" s="820"/>
      <c r="BV635" s="820"/>
      <c r="BW635" s="820"/>
      <c r="BX635" s="820"/>
      <c r="BY635" s="820"/>
      <c r="BZ635" s="820"/>
      <c r="CA635" s="820"/>
      <c r="CB635" s="820"/>
      <c r="CC635" s="820"/>
      <c r="CG635"/>
      <c r="CH635"/>
      <c r="CI635"/>
      <c r="CJ635"/>
      <c r="CK635"/>
      <c r="CL635"/>
    </row>
    <row r="636" spans="1:90" s="821" customFormat="1" outlineLevel="1">
      <c r="A636" s="1336"/>
      <c r="B636" s="821" t="s">
        <v>206</v>
      </c>
      <c r="C636" s="822"/>
      <c r="D636" s="822"/>
      <c r="E636" s="844">
        <v>-819</v>
      </c>
      <c r="F636" s="844">
        <v>-852</v>
      </c>
      <c r="G636" s="844">
        <v>-540</v>
      </c>
      <c r="H636" s="845">
        <f>Reported!C316</f>
        <v>-411</v>
      </c>
      <c r="I636" s="845">
        <f>Reported!D316</f>
        <v>-172</v>
      </c>
      <c r="J636" s="1435">
        <f>Reported!E316</f>
        <v>-63</v>
      </c>
      <c r="K636" s="828">
        <f t="shared" ref="K636:R636" si="1197">J636</f>
        <v>-63</v>
      </c>
      <c r="L636" s="828">
        <f t="shared" si="1197"/>
        <v>-63</v>
      </c>
      <c r="M636" s="828">
        <f t="shared" si="1197"/>
        <v>-63</v>
      </c>
      <c r="N636" s="828">
        <f t="shared" si="1197"/>
        <v>-63</v>
      </c>
      <c r="O636" s="828">
        <f t="shared" si="1197"/>
        <v>-63</v>
      </c>
      <c r="P636" s="828">
        <f t="shared" si="1197"/>
        <v>-63</v>
      </c>
      <c r="Q636" s="828">
        <f t="shared" si="1197"/>
        <v>-63</v>
      </c>
      <c r="R636" s="828">
        <f t="shared" si="1197"/>
        <v>-63</v>
      </c>
      <c r="S636" s="820"/>
      <c r="T636" s="822"/>
      <c r="U636" s="835"/>
      <c r="Y636" s="848"/>
      <c r="AC636" s="848"/>
      <c r="AG636" s="848"/>
      <c r="AK636" s="848"/>
      <c r="AO636" s="848"/>
      <c r="AS636" s="848"/>
      <c r="AW636" s="848"/>
      <c r="BA636" s="848"/>
      <c r="BF636" s="820"/>
      <c r="BG636" s="820"/>
      <c r="BH636" s="820"/>
      <c r="BI636" s="820"/>
      <c r="BJ636" s="820"/>
      <c r="BK636" s="820"/>
      <c r="BL636" s="820"/>
      <c r="BM636" s="820"/>
      <c r="BN636" s="820"/>
      <c r="BO636" s="820"/>
      <c r="BP636" s="820"/>
      <c r="BQ636" s="820"/>
      <c r="BR636" s="820"/>
      <c r="BS636" s="820"/>
      <c r="BT636" s="820"/>
      <c r="BU636" s="820"/>
      <c r="BV636" s="820"/>
      <c r="BW636" s="820"/>
      <c r="BX636" s="820"/>
      <c r="BY636" s="820"/>
      <c r="BZ636" s="820"/>
      <c r="CA636" s="820"/>
      <c r="CB636" s="820"/>
      <c r="CC636" s="820"/>
      <c r="CG636"/>
      <c r="CH636"/>
      <c r="CI636"/>
      <c r="CJ636"/>
      <c r="CK636"/>
      <c r="CL636"/>
    </row>
    <row r="637" spans="1:90" s="821" customFormat="1" outlineLevel="1">
      <c r="A637" s="1336"/>
      <c r="B637" s="821" t="s">
        <v>153</v>
      </c>
      <c r="C637" s="822"/>
      <c r="D637" s="822"/>
      <c r="E637" s="844">
        <v>1096</v>
      </c>
      <c r="F637" s="844">
        <v>1337</v>
      </c>
      <c r="G637" s="844">
        <v>2474</v>
      </c>
      <c r="H637" s="845">
        <f>Reported!C317</f>
        <v>2715</v>
      </c>
      <c r="I637" s="845">
        <f>Reported!D317</f>
        <v>3244</v>
      </c>
      <c r="J637" s="1435">
        <f>Reported!E317</f>
        <v>4080</v>
      </c>
      <c r="K637" s="828">
        <f t="shared" ref="K637:R637" si="1198">J637</f>
        <v>4080</v>
      </c>
      <c r="L637" s="828">
        <f t="shared" si="1198"/>
        <v>4080</v>
      </c>
      <c r="M637" s="828">
        <f t="shared" si="1198"/>
        <v>4080</v>
      </c>
      <c r="N637" s="828">
        <f t="shared" si="1198"/>
        <v>4080</v>
      </c>
      <c r="O637" s="828">
        <f t="shared" si="1198"/>
        <v>4080</v>
      </c>
      <c r="P637" s="828">
        <f t="shared" si="1198"/>
        <v>4080</v>
      </c>
      <c r="Q637" s="828">
        <f t="shared" si="1198"/>
        <v>4080</v>
      </c>
      <c r="R637" s="828">
        <f t="shared" si="1198"/>
        <v>4080</v>
      </c>
      <c r="S637" s="820"/>
      <c r="T637" s="822"/>
      <c r="U637" s="835"/>
      <c r="Y637" s="848"/>
      <c r="AC637" s="848"/>
      <c r="AG637" s="848"/>
      <c r="AK637" s="848"/>
      <c r="AO637" s="848"/>
      <c r="AS637" s="848"/>
      <c r="AW637" s="848"/>
      <c r="BA637" s="848"/>
      <c r="BF637" s="820"/>
      <c r="BG637" s="820"/>
      <c r="BH637" s="820"/>
      <c r="BI637" s="820"/>
      <c r="BJ637" s="820"/>
      <c r="BK637" s="820"/>
      <c r="BL637" s="820"/>
      <c r="BM637" s="820"/>
      <c r="BN637" s="820"/>
      <c r="BO637" s="820"/>
      <c r="BP637" s="820"/>
      <c r="BQ637" s="820"/>
      <c r="BR637" s="820"/>
      <c r="BS637" s="820"/>
      <c r="BT637" s="820"/>
      <c r="BU637" s="820"/>
      <c r="BV637" s="820"/>
      <c r="BW637" s="820"/>
      <c r="BX637" s="820"/>
      <c r="BY637" s="820"/>
      <c r="BZ637" s="820"/>
      <c r="CA637" s="820"/>
      <c r="CB637" s="820"/>
      <c r="CC637" s="820"/>
      <c r="CG637"/>
      <c r="CH637"/>
      <c r="CI637"/>
      <c r="CJ637"/>
      <c r="CK637"/>
      <c r="CL637"/>
    </row>
    <row r="638" spans="1:90" s="820" customFormat="1" outlineLevel="1">
      <c r="A638" s="1336"/>
      <c r="B638" s="820" t="s">
        <v>155</v>
      </c>
      <c r="C638" s="835"/>
      <c r="D638" s="835"/>
      <c r="E638" s="674">
        <f>-2121+1</f>
        <v>-2120</v>
      </c>
      <c r="F638" s="674">
        <f>-1666-8</f>
        <v>-1674</v>
      </c>
      <c r="G638" s="674">
        <f>321-1144</f>
        <v>-823</v>
      </c>
      <c r="H638" s="852">
        <f>Reported!C318</f>
        <v>2302</v>
      </c>
      <c r="I638" s="852">
        <f>Reported!D318</f>
        <v>3844</v>
      </c>
      <c r="J638" s="1437">
        <f>Reported!E318</f>
        <v>5085</v>
      </c>
      <c r="K638" s="828">
        <f t="shared" ref="K638:R639" si="1199">J638</f>
        <v>5085</v>
      </c>
      <c r="L638" s="828">
        <f t="shared" si="1199"/>
        <v>5085</v>
      </c>
      <c r="M638" s="828">
        <f t="shared" si="1199"/>
        <v>5085</v>
      </c>
      <c r="N638" s="828">
        <f t="shared" si="1199"/>
        <v>5085</v>
      </c>
      <c r="O638" s="828">
        <f t="shared" si="1199"/>
        <v>5085</v>
      </c>
      <c r="P638" s="828">
        <f t="shared" si="1199"/>
        <v>5085</v>
      </c>
      <c r="Q638" s="828">
        <f t="shared" si="1199"/>
        <v>5085</v>
      </c>
      <c r="R638" s="828">
        <f t="shared" si="1199"/>
        <v>5085</v>
      </c>
      <c r="T638" s="835"/>
      <c r="U638" s="835"/>
      <c r="Y638" s="825"/>
      <c r="AC638" s="825"/>
      <c r="AG638" s="825"/>
      <c r="AK638" s="825"/>
      <c r="AO638" s="825"/>
      <c r="AS638" s="825"/>
      <c r="AW638" s="825"/>
      <c r="BA638" s="825"/>
      <c r="CG638"/>
      <c r="CH638"/>
      <c r="CI638"/>
      <c r="CJ638"/>
      <c r="CK638"/>
      <c r="CL638"/>
    </row>
    <row r="639" spans="1:90" s="820" customFormat="1" outlineLevel="1">
      <c r="A639" s="1336"/>
      <c r="B639" s="820" t="s">
        <v>467</v>
      </c>
      <c r="C639" s="853"/>
      <c r="D639" s="853"/>
      <c r="E639" s="674"/>
      <c r="F639" s="674"/>
      <c r="G639" s="674"/>
      <c r="H639" s="852">
        <f>Reported!C315</f>
        <v>-1152</v>
      </c>
      <c r="I639" s="852">
        <f>Reported!D315</f>
        <v>-888</v>
      </c>
      <c r="J639" s="1437">
        <f>Reported!E315</f>
        <v>-624</v>
      </c>
      <c r="K639" s="828">
        <f>J639</f>
        <v>-624</v>
      </c>
      <c r="L639" s="828">
        <f t="shared" si="1199"/>
        <v>-624</v>
      </c>
      <c r="M639" s="828">
        <f t="shared" si="1199"/>
        <v>-624</v>
      </c>
      <c r="N639" s="828">
        <f t="shared" si="1199"/>
        <v>-624</v>
      </c>
      <c r="O639" s="828">
        <f t="shared" si="1199"/>
        <v>-624</v>
      </c>
      <c r="P639" s="828">
        <f t="shared" si="1199"/>
        <v>-624</v>
      </c>
      <c r="Q639" s="828">
        <f t="shared" si="1199"/>
        <v>-624</v>
      </c>
      <c r="R639" s="828">
        <f t="shared" si="1199"/>
        <v>-624</v>
      </c>
      <c r="S639" s="854"/>
      <c r="T639" s="853"/>
      <c r="U639" s="853"/>
      <c r="Y639" s="825"/>
      <c r="AC639" s="825"/>
      <c r="AG639" s="825"/>
      <c r="AK639" s="825"/>
      <c r="AO639" s="825"/>
      <c r="AS639" s="825"/>
      <c r="AW639" s="825"/>
      <c r="BA639" s="825"/>
      <c r="CG639"/>
      <c r="CH639"/>
      <c r="CI639"/>
      <c r="CJ639"/>
      <c r="CK639"/>
      <c r="CL639"/>
    </row>
    <row r="640" spans="1:90" s="820" customFormat="1" outlineLevel="1">
      <c r="A640" s="1336"/>
      <c r="B640" s="820" t="s">
        <v>154</v>
      </c>
      <c r="C640" s="835"/>
      <c r="D640" s="835"/>
      <c r="E640" s="674">
        <v>12552</v>
      </c>
      <c r="F640" s="674">
        <v>-20491</v>
      </c>
      <c r="G640" s="674">
        <v>1183</v>
      </c>
      <c r="H640" s="852">
        <f>Reported!C319</f>
        <v>24842</v>
      </c>
      <c r="I640" s="852">
        <f>Reported!D319</f>
        <v>78752</v>
      </c>
      <c r="J640" s="1437">
        <f>Reported!E319</f>
        <v>108558</v>
      </c>
      <c r="K640" s="847">
        <f t="shared" ref="K640:R640" si="1200">J640+K375</f>
        <v>173442.92688818471</v>
      </c>
      <c r="L640" s="847">
        <f t="shared" si="1200"/>
        <v>259660.83555239323</v>
      </c>
      <c r="M640" s="847">
        <f t="shared" si="1200"/>
        <v>370750.48854999139</v>
      </c>
      <c r="N640" s="847">
        <f t="shared" si="1200"/>
        <v>509546.47977569624</v>
      </c>
      <c r="O640" s="847">
        <f t="shared" si="1200"/>
        <v>685407.30275447352</v>
      </c>
      <c r="P640" s="847">
        <f t="shared" si="1200"/>
        <v>903228.887330328</v>
      </c>
      <c r="Q640" s="847">
        <f t="shared" si="1200"/>
        <v>1155306.9166614974</v>
      </c>
      <c r="R640" s="847">
        <f t="shared" si="1200"/>
        <v>1442842.181856767</v>
      </c>
      <c r="T640" s="835"/>
      <c r="U640" s="835"/>
      <c r="Y640" s="825"/>
      <c r="AC640" s="825"/>
      <c r="AG640" s="825"/>
      <c r="AK640" s="825"/>
      <c r="AO640" s="825"/>
      <c r="AS640" s="825"/>
      <c r="AW640" s="825"/>
      <c r="BA640" s="825"/>
      <c r="CG640"/>
      <c r="CH640"/>
      <c r="CI640"/>
      <c r="CJ640"/>
      <c r="CK640"/>
      <c r="CL640"/>
    </row>
    <row r="641" spans="1:90" s="837" customFormat="1" outlineLevel="1">
      <c r="A641" s="1353"/>
      <c r="B641" s="837" t="s">
        <v>294</v>
      </c>
      <c r="C641" s="838"/>
      <c r="D641" s="838"/>
      <c r="E641" s="840">
        <f t="shared" ref="E641:J641" si="1201">SUM(E633:E640)</f>
        <v>31488</v>
      </c>
      <c r="F641" s="840">
        <f t="shared" si="1201"/>
        <v>-24</v>
      </c>
      <c r="G641" s="840">
        <f t="shared" si="1201"/>
        <v>29338</v>
      </c>
      <c r="H641" s="855">
        <f t="shared" si="1201"/>
        <v>145439</v>
      </c>
      <c r="I641" s="840">
        <f t="shared" si="1201"/>
        <v>216987</v>
      </c>
      <c r="J641" s="1438">
        <f t="shared" si="1201"/>
        <v>278799</v>
      </c>
      <c r="K641" s="840">
        <f t="shared" ref="K641:R641" si="1202">SUM(K633:K640)</f>
        <v>362558.1263381039</v>
      </c>
      <c r="L641" s="840">
        <f t="shared" si="1202"/>
        <v>469069.0402227852</v>
      </c>
      <c r="M641" s="840">
        <f t="shared" si="1202"/>
        <v>603916.462318009</v>
      </c>
      <c r="N641" s="840">
        <f t="shared" si="1202"/>
        <v>769581.07942319906</v>
      </c>
      <c r="O641" s="840">
        <f t="shared" si="1202"/>
        <v>971313.56886830332</v>
      </c>
      <c r="P641" s="840">
        <f t="shared" si="1202"/>
        <v>1217437.0632851496</v>
      </c>
      <c r="Q641" s="840">
        <f t="shared" si="1202"/>
        <v>1502104.9661189602</v>
      </c>
      <c r="R641" s="840">
        <f t="shared" si="1202"/>
        <v>1826692.0675852443</v>
      </c>
      <c r="S641" s="831"/>
      <c r="T641" s="840"/>
      <c r="U641" s="833"/>
      <c r="Y641" s="841"/>
      <c r="AC641" s="841"/>
      <c r="AG641" s="841"/>
      <c r="AK641" s="841"/>
      <c r="AO641" s="841"/>
      <c r="AS641" s="841"/>
      <c r="AW641" s="841"/>
      <c r="BA641" s="841"/>
      <c r="BF641" s="831"/>
      <c r="BG641" s="831"/>
      <c r="BH641" s="831"/>
      <c r="BI641" s="831"/>
      <c r="BJ641" s="489">
        <f t="shared" ref="BJ641" si="1203">E641*0.25+F641*0.75</f>
        <v>7854</v>
      </c>
      <c r="BK641" s="489">
        <f t="shared" ref="BK641" si="1204">F641*0.25+G641*0.75</f>
        <v>21997.5</v>
      </c>
      <c r="BL641" s="489">
        <f t="shared" ref="BL641" si="1205">G641*0.25+H641*0.75</f>
        <v>116413.75</v>
      </c>
      <c r="BM641" s="489">
        <f t="shared" ref="BM641" si="1206">H641*0.25+I641*0.75</f>
        <v>199100</v>
      </c>
      <c r="BN641" s="489">
        <f t="shared" ref="BN641" si="1207">I641*0.25+J641*0.75</f>
        <v>263346</v>
      </c>
      <c r="BO641" s="489">
        <f t="shared" ref="BO641" si="1208">J641*0.25+K641*0.75</f>
        <v>341618.34475357796</v>
      </c>
      <c r="BP641" s="489">
        <f t="shared" ref="BP641" si="1209">K641*0.25+L641*0.75</f>
        <v>442441.31175161491</v>
      </c>
      <c r="BQ641" s="489">
        <f t="shared" ref="BQ641" si="1210">L641*0.25+M641*0.75</f>
        <v>570204.60679420305</v>
      </c>
      <c r="BR641" s="489">
        <f t="shared" ref="BR641" si="1211">M641*0.25+N641*0.75</f>
        <v>728164.92514690151</v>
      </c>
      <c r="BS641" s="489">
        <f t="shared" ref="BS641" si="1212">N641*0.25+O641*0.75</f>
        <v>920880.44650702726</v>
      </c>
      <c r="BT641" s="489">
        <f t="shared" ref="BT641" si="1213">O641*0.25+P641*0.75</f>
        <v>1155906.1896809381</v>
      </c>
      <c r="BU641" s="489">
        <f t="shared" ref="BU641" si="1214">P641*0.25+Q641*0.75</f>
        <v>1430937.9904105077</v>
      </c>
      <c r="BV641" s="489">
        <f t="shared" ref="BV641" si="1215">Q641*0.25+R641*0.75</f>
        <v>1745545.292218673</v>
      </c>
      <c r="BW641" s="831"/>
      <c r="BX641" s="831"/>
      <c r="BY641" s="831"/>
      <c r="BZ641" s="831"/>
      <c r="CA641" s="831"/>
      <c r="CB641" s="831"/>
      <c r="CC641" s="831"/>
      <c r="CG641"/>
      <c r="CH641"/>
      <c r="CI641"/>
      <c r="CJ641"/>
      <c r="CK641"/>
      <c r="CL641"/>
    </row>
    <row r="642" spans="1:90" s="820" customFormat="1" outlineLevel="1">
      <c r="A642" s="1336"/>
      <c r="B642" s="820" t="s">
        <v>207</v>
      </c>
      <c r="C642" s="835"/>
      <c r="D642" s="835"/>
      <c r="E642" s="674">
        <v>2895</v>
      </c>
      <c r="F642" s="674">
        <v>537</v>
      </c>
      <c r="G642" s="674">
        <v>1079</v>
      </c>
      <c r="H642" s="852">
        <f>Reported!C321</f>
        <v>11974</v>
      </c>
      <c r="I642" s="852">
        <f>Reported!D321</f>
        <v>32552</v>
      </c>
      <c r="J642" s="1437">
        <f>Reported!E321</f>
        <v>42330</v>
      </c>
      <c r="K642" s="847">
        <f t="shared" ref="K642:R642" si="1216">J642-K373</f>
        <v>40094.897433562197</v>
      </c>
      <c r="L642" s="847">
        <f t="shared" si="1216"/>
        <v>36712.729896816738</v>
      </c>
      <c r="M642" s="847">
        <f t="shared" si="1216"/>
        <v>30993.26696590686</v>
      </c>
      <c r="N642" s="847">
        <f t="shared" si="1216"/>
        <v>25619.541790009811</v>
      </c>
      <c r="O642" s="847">
        <f t="shared" si="1216"/>
        <v>19151.62517342807</v>
      </c>
      <c r="P642" s="847">
        <f t="shared" si="1216"/>
        <v>11289.983550930363</v>
      </c>
      <c r="Q642" s="847">
        <f t="shared" si="1216"/>
        <v>2237.2409113077993</v>
      </c>
      <c r="R642" s="847">
        <f t="shared" si="1216"/>
        <v>-8054.9358306406775</v>
      </c>
      <c r="T642" s="835"/>
      <c r="U642" s="835"/>
      <c r="Y642" s="825"/>
      <c r="AC642" s="825"/>
      <c r="AG642" s="825"/>
      <c r="AK642" s="825"/>
      <c r="AO642" s="825"/>
      <c r="AS642" s="825"/>
      <c r="AW642" s="825"/>
      <c r="BA642" s="825"/>
      <c r="CG642"/>
      <c r="CH642"/>
      <c r="CI642"/>
      <c r="CJ642"/>
      <c r="CK642"/>
      <c r="CL642"/>
    </row>
    <row r="643" spans="1:90" s="837" customFormat="1" outlineLevel="1">
      <c r="A643" s="1353"/>
      <c r="B643" s="837" t="s">
        <v>174</v>
      </c>
      <c r="C643" s="838"/>
      <c r="D643" s="838"/>
      <c r="E643" s="840">
        <f t="shared" ref="E643:J643" si="1217">E627+E641+E631+E642</f>
        <v>47210</v>
      </c>
      <c r="F643" s="840">
        <f t="shared" si="1217"/>
        <v>63786</v>
      </c>
      <c r="G643" s="840">
        <f t="shared" si="1217"/>
        <v>111549</v>
      </c>
      <c r="H643" s="855">
        <f t="shared" si="1217"/>
        <v>255434</v>
      </c>
      <c r="I643" s="840">
        <f t="shared" si="1217"/>
        <v>364245</v>
      </c>
      <c r="J643" s="1438">
        <f t="shared" si="1217"/>
        <v>506812</v>
      </c>
      <c r="K643" s="840">
        <f t="shared" ref="K643:R643" si="1218">K627+K641+K631+K642</f>
        <v>652736.38548115769</v>
      </c>
      <c r="L643" s="840">
        <f t="shared" si="1218"/>
        <v>795494.61508525081</v>
      </c>
      <c r="M643" s="840">
        <f t="shared" si="1218"/>
        <v>975738.00581258989</v>
      </c>
      <c r="N643" s="840">
        <f t="shared" si="1218"/>
        <v>1177323.5151588633</v>
      </c>
      <c r="O643" s="840">
        <f t="shared" si="1218"/>
        <v>1418389.4582881683</v>
      </c>
      <c r="P643" s="840">
        <f t="shared" si="1218"/>
        <v>1719572.7190350161</v>
      </c>
      <c r="Q643" s="840">
        <f t="shared" si="1218"/>
        <v>2048928.923930977</v>
      </c>
      <c r="R643" s="840">
        <f t="shared" si="1218"/>
        <v>2418815.3176091881</v>
      </c>
      <c r="S643" s="831"/>
      <c r="T643" s="840"/>
      <c r="U643" s="833"/>
      <c r="Y643" s="841"/>
      <c r="AC643" s="841"/>
      <c r="AG643" s="841"/>
      <c r="AK643" s="841"/>
      <c r="AO643" s="841"/>
      <c r="AS643" s="841"/>
      <c r="AW643" s="841"/>
      <c r="BA643" s="841"/>
      <c r="BF643" s="831"/>
      <c r="BG643" s="831"/>
      <c r="BH643" s="831"/>
      <c r="BI643" s="831"/>
      <c r="BJ643" s="831"/>
      <c r="BK643" s="831"/>
      <c r="BL643" s="831"/>
      <c r="BM643" s="831"/>
      <c r="BN643" s="831"/>
      <c r="BO643" s="831"/>
      <c r="BP643" s="831"/>
      <c r="BQ643" s="831"/>
      <c r="BR643" s="831"/>
      <c r="BS643" s="831"/>
      <c r="BT643" s="831"/>
      <c r="BU643" s="831"/>
      <c r="BV643" s="831"/>
      <c r="BW643" s="831"/>
      <c r="BX643" s="831"/>
      <c r="BY643" s="831"/>
      <c r="BZ643" s="831"/>
      <c r="CA643" s="831"/>
      <c r="CB643" s="831"/>
      <c r="CC643" s="831"/>
      <c r="CG643"/>
      <c r="CH643"/>
      <c r="CI643"/>
      <c r="CJ643"/>
      <c r="CK643"/>
      <c r="CL643"/>
    </row>
    <row r="644" spans="1:90" s="820" customFormat="1" outlineLevel="1">
      <c r="A644" s="1336"/>
      <c r="C644" s="856"/>
      <c r="D644" s="856"/>
      <c r="E644" s="856"/>
      <c r="F644" s="856"/>
      <c r="G644" s="856"/>
      <c r="H644" s="857"/>
      <c r="I644" s="856"/>
      <c r="J644" s="1439"/>
      <c r="K644" s="856"/>
      <c r="L644" s="856"/>
      <c r="M644" s="856"/>
      <c r="N644" s="856"/>
      <c r="O644" s="856"/>
      <c r="P644" s="856"/>
      <c r="Q644" s="856"/>
      <c r="R644" s="856"/>
      <c r="T644" s="856"/>
      <c r="U644" s="856"/>
      <c r="Y644" s="825"/>
      <c r="AC644" s="825"/>
      <c r="AG644" s="825"/>
      <c r="AK644" s="825"/>
      <c r="AO644" s="825"/>
      <c r="AS644" s="825"/>
      <c r="AW644" s="825"/>
      <c r="BA644" s="825"/>
      <c r="CG644"/>
      <c r="CH644"/>
      <c r="CI644"/>
      <c r="CJ644"/>
      <c r="CK644"/>
      <c r="CL644"/>
    </row>
    <row r="645" spans="1:90" s="859" customFormat="1" outlineLevel="1">
      <c r="A645" s="1354"/>
      <c r="B645" s="859" t="s">
        <v>276</v>
      </c>
      <c r="C645" s="860"/>
      <c r="D645" s="860"/>
      <c r="E645" s="861">
        <f t="shared" ref="E645:J645" si="1219">E609-E643</f>
        <v>0</v>
      </c>
      <c r="F645" s="861">
        <f t="shared" si="1219"/>
        <v>0</v>
      </c>
      <c r="G645" s="861">
        <f t="shared" si="1219"/>
        <v>0</v>
      </c>
      <c r="H645" s="861">
        <f t="shared" si="1219"/>
        <v>0</v>
      </c>
      <c r="I645" s="862">
        <f t="shared" si="1219"/>
        <v>0</v>
      </c>
      <c r="J645" s="1440">
        <f t="shared" si="1219"/>
        <v>0</v>
      </c>
      <c r="K645" s="861">
        <f>K609-K643</f>
        <v>0</v>
      </c>
      <c r="L645" s="861">
        <f t="shared" ref="L645:R645" si="1220">L609-L643</f>
        <v>0</v>
      </c>
      <c r="M645" s="861">
        <f t="shared" si="1220"/>
        <v>0</v>
      </c>
      <c r="N645" s="861">
        <f t="shared" si="1220"/>
        <v>0</v>
      </c>
      <c r="O645" s="861">
        <f t="shared" si="1220"/>
        <v>0</v>
      </c>
      <c r="P645" s="861">
        <f t="shared" si="1220"/>
        <v>0</v>
      </c>
      <c r="Q645" s="861">
        <f t="shared" si="1220"/>
        <v>0</v>
      </c>
      <c r="R645" s="861">
        <f t="shared" si="1220"/>
        <v>0</v>
      </c>
      <c r="S645" s="858"/>
      <c r="T645" s="861"/>
      <c r="U645" s="863"/>
      <c r="Y645" s="864"/>
      <c r="AC645" s="864"/>
      <c r="AG645" s="864"/>
      <c r="AK645" s="864"/>
      <c r="AO645" s="864"/>
      <c r="AS645" s="864"/>
      <c r="AW645" s="864"/>
      <c r="BA645" s="864"/>
      <c r="BF645" s="858"/>
      <c r="BG645" s="858"/>
      <c r="BH645" s="858"/>
      <c r="BI645" s="858"/>
      <c r="BJ645" s="858"/>
      <c r="BK645" s="858"/>
      <c r="BL645" s="858"/>
      <c r="BM645" s="858"/>
      <c r="BN645" s="858"/>
      <c r="BO645" s="858"/>
      <c r="BP645" s="858"/>
      <c r="BQ645" s="858"/>
      <c r="BR645" s="858"/>
      <c r="BS645" s="858"/>
      <c r="BT645" s="858"/>
      <c r="BU645" s="858"/>
      <c r="BV645" s="858"/>
      <c r="BW645" s="858"/>
      <c r="BX645" s="858"/>
      <c r="BY645" s="858"/>
      <c r="BZ645" s="858"/>
      <c r="CA645" s="858"/>
      <c r="CB645" s="858"/>
      <c r="CC645" s="858"/>
      <c r="CD645" s="865"/>
      <c r="CE645" s="865"/>
      <c r="CG645"/>
      <c r="CH645"/>
      <c r="CI645"/>
      <c r="CJ645"/>
      <c r="CK645"/>
      <c r="CL645"/>
    </row>
    <row r="646" spans="1:90" s="821" customFormat="1" outlineLevel="1">
      <c r="A646" s="1336"/>
      <c r="C646" s="866"/>
      <c r="D646" s="866"/>
      <c r="E646" s="866"/>
      <c r="F646" s="866"/>
      <c r="G646" s="866"/>
      <c r="H646" s="866"/>
      <c r="I646" s="866"/>
      <c r="J646" s="1441"/>
      <c r="K646" s="866"/>
      <c r="L646" s="866"/>
      <c r="M646" s="866"/>
      <c r="N646" s="866"/>
      <c r="O646" s="866"/>
      <c r="P646" s="866"/>
      <c r="Q646" s="866"/>
      <c r="R646" s="866"/>
      <c r="S646" s="820"/>
      <c r="T646" s="866"/>
      <c r="U646" s="867"/>
      <c r="Y646" s="848"/>
      <c r="AC646" s="848"/>
      <c r="AG646" s="848"/>
      <c r="AK646" s="848"/>
      <c r="AO646" s="848"/>
      <c r="AS646" s="848"/>
      <c r="AW646" s="848"/>
      <c r="BA646" s="848"/>
      <c r="BF646" s="820"/>
      <c r="BG646" s="820"/>
      <c r="BH646" s="820"/>
      <c r="BI646" s="820"/>
      <c r="BJ646" s="820"/>
      <c r="BK646" s="820"/>
      <c r="BL646" s="820"/>
      <c r="BM646" s="820"/>
      <c r="BN646" s="820"/>
      <c r="BO646" s="820"/>
      <c r="BP646" s="820"/>
      <c r="BQ646" s="820"/>
      <c r="BR646" s="820"/>
      <c r="BS646" s="820"/>
      <c r="BT646" s="820"/>
      <c r="BU646" s="820"/>
      <c r="BV646" s="820"/>
      <c r="BW646" s="820"/>
      <c r="BX646" s="820"/>
      <c r="BY646" s="820"/>
      <c r="BZ646" s="820"/>
      <c r="CA646" s="820"/>
      <c r="CB646" s="820"/>
      <c r="CC646" s="820"/>
      <c r="CD646" s="826"/>
      <c r="CE646" s="826"/>
      <c r="CG646"/>
      <c r="CH646"/>
      <c r="CI646"/>
      <c r="CJ646"/>
      <c r="CK646"/>
      <c r="CL646"/>
    </row>
    <row r="647" spans="1:90" s="821" customFormat="1" outlineLevel="2">
      <c r="A647" s="1336"/>
      <c r="B647" s="868" t="s">
        <v>690</v>
      </c>
      <c r="C647" s="866"/>
      <c r="D647" s="866"/>
      <c r="E647" s="866"/>
      <c r="F647" s="866"/>
      <c r="G647" s="866"/>
      <c r="H647" s="866"/>
      <c r="I647" s="866"/>
      <c r="J647" s="1441"/>
      <c r="K647" s="866"/>
      <c r="L647" s="866"/>
      <c r="M647" s="866"/>
      <c r="N647" s="866"/>
      <c r="O647" s="866"/>
      <c r="P647" s="866"/>
      <c r="Q647" s="866"/>
      <c r="R647" s="866"/>
      <c r="S647" s="820"/>
      <c r="T647" s="866"/>
      <c r="U647" s="867"/>
      <c r="Y647" s="848"/>
      <c r="AC647" s="848"/>
      <c r="AG647" s="848"/>
      <c r="AK647" s="848"/>
      <c r="AO647" s="848"/>
      <c r="AS647" s="848"/>
      <c r="AW647" s="848"/>
      <c r="BA647" s="848"/>
      <c r="BF647" s="820"/>
      <c r="BG647" s="820"/>
      <c r="BH647" s="820"/>
      <c r="BI647" s="820"/>
      <c r="BJ647" s="820"/>
      <c r="BK647" s="820"/>
      <c r="BL647" s="820"/>
      <c r="BM647" s="820"/>
      <c r="BN647" s="820"/>
      <c r="BO647" s="820"/>
      <c r="BP647" s="820"/>
      <c r="BQ647" s="820"/>
      <c r="BR647" s="820"/>
      <c r="BS647" s="820"/>
      <c r="BT647" s="820"/>
      <c r="BU647" s="820"/>
      <c r="BV647" s="820"/>
      <c r="BW647" s="820"/>
      <c r="BX647" s="820"/>
      <c r="BY647" s="820"/>
      <c r="BZ647" s="820"/>
      <c r="CA647" s="820"/>
      <c r="CB647" s="820"/>
      <c r="CC647" s="820"/>
      <c r="CD647" s="826"/>
      <c r="CE647" s="826"/>
      <c r="CG647"/>
      <c r="CH647"/>
      <c r="CI647"/>
      <c r="CJ647"/>
      <c r="CK647"/>
      <c r="CL647"/>
    </row>
    <row r="648" spans="1:90" s="821" customFormat="1" outlineLevel="2">
      <c r="A648" s="1336"/>
      <c r="B648" s="869" t="s">
        <v>170</v>
      </c>
      <c r="C648" s="866"/>
      <c r="D648" s="866"/>
      <c r="E648" s="7">
        <f t="shared" ref="E648:J648" si="1221">-E599/E337</f>
        <v>0.25465364662801343</v>
      </c>
      <c r="F648" s="7">
        <f t="shared" si="1221"/>
        <v>0.17841341701821176</v>
      </c>
      <c r="G648" s="7">
        <f t="shared" si="1221"/>
        <v>0.34998878001346401</v>
      </c>
      <c r="H648" s="7">
        <f t="shared" si="1221"/>
        <v>0.54451623730804732</v>
      </c>
      <c r="I648" s="7">
        <f t="shared" si="1221"/>
        <v>0.49462960267792172</v>
      </c>
      <c r="J648" s="1442">
        <f t="shared" si="1221"/>
        <v>0.48854294504312157</v>
      </c>
      <c r="K648" s="721">
        <v>0.43</v>
      </c>
      <c r="L648" s="721">
        <v>0.4</v>
      </c>
      <c r="M648" s="721">
        <v>0.38</v>
      </c>
      <c r="N648" s="721">
        <f>M648-1%</f>
        <v>0.37</v>
      </c>
      <c r="O648" s="721">
        <v>0.36</v>
      </c>
      <c r="P648" s="721">
        <v>0.35</v>
      </c>
      <c r="Q648" s="577">
        <f>P648-1%</f>
        <v>0.33999999999999997</v>
      </c>
      <c r="R648" s="577">
        <f>Q648-1%</f>
        <v>0.32999999999999996</v>
      </c>
      <c r="S648" s="820"/>
      <c r="T648" s="866"/>
      <c r="U648" s="867"/>
      <c r="Y648" s="848"/>
      <c r="AC648" s="848"/>
      <c r="AG648" s="848"/>
      <c r="AK648" s="848"/>
      <c r="AO648" s="848"/>
      <c r="AS648" s="848"/>
      <c r="AW648" s="848"/>
      <c r="BA648" s="848"/>
      <c r="BF648" s="820"/>
      <c r="BG648" s="820"/>
      <c r="BH648" s="820"/>
      <c r="BI648" s="820"/>
      <c r="BJ648" s="820"/>
      <c r="BK648" s="820"/>
      <c r="BL648" s="820"/>
      <c r="BM648" s="820"/>
      <c r="BN648" s="820"/>
      <c r="BO648" s="820"/>
      <c r="BP648" s="820"/>
      <c r="BQ648" s="820"/>
      <c r="BR648" s="820"/>
      <c r="BS648" s="820"/>
      <c r="BT648" s="820"/>
      <c r="BU648" s="820"/>
      <c r="BV648" s="820"/>
      <c r="BW648" s="820"/>
      <c r="BX648" s="820"/>
      <c r="BY648" s="820"/>
      <c r="BZ648" s="820"/>
      <c r="CA648" s="820"/>
      <c r="CB648" s="820"/>
      <c r="CC648" s="820"/>
      <c r="CD648" s="826"/>
      <c r="CE648" s="826"/>
      <c r="CG648"/>
      <c r="CH648"/>
      <c r="CI648"/>
      <c r="CJ648"/>
      <c r="CK648"/>
      <c r="CL648"/>
    </row>
    <row r="649" spans="1:90" s="821" customFormat="1" outlineLevel="2">
      <c r="A649" s="1336"/>
      <c r="B649" s="870" t="s">
        <v>194</v>
      </c>
      <c r="C649" s="866"/>
      <c r="D649" s="866"/>
      <c r="E649" s="7">
        <f t="shared" ref="E649:J649" si="1222">E605/E336</f>
        <v>7.3208489388264672E-2</v>
      </c>
      <c r="F649" s="7">
        <f t="shared" si="1222"/>
        <v>4.3340962424312658E-2</v>
      </c>
      <c r="G649" s="7">
        <f t="shared" si="1222"/>
        <v>3.9749352430291027E-2</v>
      </c>
      <c r="H649" s="7">
        <f t="shared" si="1222"/>
        <v>5.3606109915490002E-2</v>
      </c>
      <c r="I649" s="7">
        <f t="shared" si="1222"/>
        <v>5.7710370465578441E-2</v>
      </c>
      <c r="J649" s="1442">
        <f t="shared" si="1222"/>
        <v>5.0867804363346876E-2</v>
      </c>
      <c r="K649" s="721">
        <f>J649</f>
        <v>5.0867804363346876E-2</v>
      </c>
      <c r="L649" s="721">
        <f>K649</f>
        <v>5.0867804363346876E-2</v>
      </c>
      <c r="M649" s="721">
        <f t="shared" ref="M649:R652" si="1223">L649</f>
        <v>5.0867804363346876E-2</v>
      </c>
      <c r="N649" s="721">
        <f t="shared" si="1223"/>
        <v>5.0867804363346876E-2</v>
      </c>
      <c r="O649" s="721">
        <f t="shared" si="1223"/>
        <v>5.0867804363346876E-2</v>
      </c>
      <c r="P649" s="721">
        <f t="shared" si="1223"/>
        <v>5.0867804363346876E-2</v>
      </c>
      <c r="Q649" s="721">
        <f t="shared" si="1223"/>
        <v>5.0867804363346876E-2</v>
      </c>
      <c r="R649" s="721">
        <f t="shared" si="1223"/>
        <v>5.0867804363346876E-2</v>
      </c>
      <c r="S649" s="820"/>
      <c r="T649" s="866"/>
      <c r="U649" s="867"/>
      <c r="Y649" s="848"/>
      <c r="AC649" s="848"/>
      <c r="AG649" s="848"/>
      <c r="AK649" s="848"/>
      <c r="AO649" s="848"/>
      <c r="AS649" s="848"/>
      <c r="AW649" s="848"/>
      <c r="BA649" s="848"/>
      <c r="BF649" s="820"/>
      <c r="BG649" s="820"/>
      <c r="BH649" s="820"/>
      <c r="BI649" s="820"/>
      <c r="BJ649" s="820"/>
      <c r="BK649" s="820"/>
      <c r="BL649" s="820"/>
      <c r="BM649" s="820"/>
      <c r="BN649" s="820"/>
      <c r="BO649" s="820"/>
      <c r="BP649" s="820"/>
      <c r="BQ649" s="820"/>
      <c r="BR649" s="820"/>
      <c r="BS649" s="820"/>
      <c r="BT649" s="820"/>
      <c r="BU649" s="820"/>
      <c r="BV649" s="820"/>
      <c r="BW649" s="820"/>
      <c r="BX649" s="820"/>
      <c r="BY649" s="820"/>
      <c r="BZ649" s="820"/>
      <c r="CA649" s="820"/>
      <c r="CB649" s="820"/>
      <c r="CC649" s="820"/>
      <c r="CD649" s="826"/>
      <c r="CE649" s="826"/>
      <c r="CG649"/>
      <c r="CH649"/>
      <c r="CI649"/>
      <c r="CJ649"/>
      <c r="CK649"/>
      <c r="CL649"/>
    </row>
    <row r="650" spans="1:90" s="821" customFormat="1" outlineLevel="2">
      <c r="A650" s="1336"/>
      <c r="B650" s="870" t="s">
        <v>196</v>
      </c>
      <c r="C650" s="866"/>
      <c r="D650" s="866"/>
      <c r="E650" s="7">
        <f t="shared" ref="E650:J650" si="1224">-E611/E337</f>
        <v>0.19575831553249923</v>
      </c>
      <c r="F650" s="7">
        <f t="shared" si="1224"/>
        <v>0.34468566724971705</v>
      </c>
      <c r="G650" s="7">
        <f t="shared" si="1224"/>
        <v>8.227990126411848E-2</v>
      </c>
      <c r="H650" s="7">
        <f t="shared" si="1224"/>
        <v>8.3494167995300836E-2</v>
      </c>
      <c r="I650" s="7">
        <f t="shared" si="1224"/>
        <v>0.12528016300392955</v>
      </c>
      <c r="J650" s="1442">
        <f t="shared" si="1224"/>
        <v>9.9994956542205332E-2</v>
      </c>
      <c r="K650" s="721">
        <v>0.12</v>
      </c>
      <c r="L650" s="721">
        <v>0.12</v>
      </c>
      <c r="M650" s="721">
        <f t="shared" si="1223"/>
        <v>0.12</v>
      </c>
      <c r="N650" s="721">
        <f t="shared" si="1223"/>
        <v>0.12</v>
      </c>
      <c r="O650" s="721">
        <f t="shared" si="1223"/>
        <v>0.12</v>
      </c>
      <c r="P650" s="721">
        <f t="shared" si="1223"/>
        <v>0.12</v>
      </c>
      <c r="Q650" s="721">
        <f t="shared" si="1223"/>
        <v>0.12</v>
      </c>
      <c r="R650" s="721">
        <f t="shared" si="1223"/>
        <v>0.12</v>
      </c>
      <c r="S650" s="820"/>
      <c r="T650" s="866"/>
      <c r="U650" s="867"/>
      <c r="Y650" s="848"/>
      <c r="AC650" s="848"/>
      <c r="AG650" s="848"/>
      <c r="AK650" s="848"/>
      <c r="AO650" s="848"/>
      <c r="AS650" s="848"/>
      <c r="AW650" s="848"/>
      <c r="BA650" s="848"/>
      <c r="BF650" s="820"/>
      <c r="BG650" s="820"/>
      <c r="BH650" s="820"/>
      <c r="BI650" s="820"/>
      <c r="BJ650" s="820"/>
      <c r="BK650" s="820"/>
      <c r="BL650" s="820"/>
      <c r="BM650" s="820"/>
      <c r="BN650" s="820"/>
      <c r="BO650" s="820"/>
      <c r="BP650" s="820"/>
      <c r="BQ650" s="820"/>
      <c r="BR650" s="820"/>
      <c r="BS650" s="820"/>
      <c r="BT650" s="820"/>
      <c r="BU650" s="820"/>
      <c r="BV650" s="820"/>
      <c r="BW650" s="820"/>
      <c r="BX650" s="820"/>
      <c r="BY650" s="820"/>
      <c r="BZ650" s="820"/>
      <c r="CA650" s="820"/>
      <c r="CB650" s="820"/>
      <c r="CC650" s="820"/>
      <c r="CD650" s="826"/>
      <c r="CE650" s="826"/>
      <c r="CG650"/>
      <c r="CH650"/>
      <c r="CI650"/>
      <c r="CJ650"/>
      <c r="CK650"/>
      <c r="CL650"/>
    </row>
    <row r="651" spans="1:90" s="821" customFormat="1" outlineLevel="2">
      <c r="A651" s="1336"/>
      <c r="B651" s="870" t="s">
        <v>162</v>
      </c>
      <c r="C651" s="866"/>
      <c r="D651" s="866"/>
      <c r="E651" s="7">
        <f t="shared" ref="E651:J651" si="1225">-E613/E360</f>
        <v>0.44536817102137766</v>
      </c>
      <c r="F651" s="7">
        <f t="shared" si="1225"/>
        <v>0.17776252573781742</v>
      </c>
      <c r="G651" s="7">
        <f t="shared" si="1225"/>
        <v>0.39643304130162704</v>
      </c>
      <c r="H651" s="7">
        <f t="shared" si="1225"/>
        <v>0.42596633416458851</v>
      </c>
      <c r="I651" s="7">
        <f t="shared" si="1225"/>
        <v>0.33021659367972539</v>
      </c>
      <c r="J651" s="1442">
        <f t="shared" si="1225"/>
        <v>0.44461382113821141</v>
      </c>
      <c r="K651" s="721">
        <v>0.35</v>
      </c>
      <c r="L651" s="721">
        <f>K651*0.9</f>
        <v>0.315</v>
      </c>
      <c r="M651" s="721">
        <f>L651*0.9</f>
        <v>0.28350000000000003</v>
      </c>
      <c r="N651" s="721">
        <f>M651*0.9</f>
        <v>0.25515000000000004</v>
      </c>
      <c r="O651" s="721">
        <f>N651*0.9</f>
        <v>0.22963500000000003</v>
      </c>
      <c r="P651" s="721">
        <f t="shared" si="1223"/>
        <v>0.22963500000000003</v>
      </c>
      <c r="Q651" s="721">
        <f t="shared" si="1223"/>
        <v>0.22963500000000003</v>
      </c>
      <c r="R651" s="721">
        <f t="shared" si="1223"/>
        <v>0.22963500000000003</v>
      </c>
      <c r="S651" s="820"/>
      <c r="T651" s="866"/>
      <c r="U651" s="867"/>
      <c r="Y651" s="848"/>
      <c r="AC651" s="848"/>
      <c r="AG651" s="848"/>
      <c r="AK651" s="848"/>
      <c r="AO651" s="848"/>
      <c r="AS651" s="848"/>
      <c r="AW651" s="848"/>
      <c r="BA651" s="848"/>
      <c r="BF651" s="820"/>
      <c r="BG651" s="820"/>
      <c r="BH651" s="820"/>
      <c r="BI651" s="820"/>
      <c r="BJ651" s="820"/>
      <c r="BK651" s="820"/>
      <c r="BL651" s="820"/>
      <c r="BM651" s="820"/>
      <c r="BN651" s="820"/>
      <c r="BO651" s="820"/>
      <c r="BP651" s="820"/>
      <c r="BQ651" s="820"/>
      <c r="BR651" s="820"/>
      <c r="BS651" s="820"/>
      <c r="BT651" s="820"/>
      <c r="BU651" s="820"/>
      <c r="BV651" s="820"/>
      <c r="BW651" s="820"/>
      <c r="BX651" s="820"/>
      <c r="BY651" s="820"/>
      <c r="BZ651" s="820"/>
      <c r="CA651" s="820"/>
      <c r="CB651" s="820"/>
      <c r="CC651" s="820"/>
      <c r="CD651" s="826"/>
      <c r="CE651" s="826"/>
      <c r="CG651"/>
      <c r="CH651"/>
      <c r="CI651"/>
      <c r="CJ651"/>
      <c r="CK651"/>
      <c r="CL651"/>
    </row>
    <row r="652" spans="1:90" s="821" customFormat="1" outlineLevel="2">
      <c r="A652" s="1336"/>
      <c r="B652" s="870" t="s">
        <v>198</v>
      </c>
      <c r="C652" s="866"/>
      <c r="D652" s="866"/>
      <c r="E652" s="7">
        <f t="shared" ref="E652:J652" si="1226">-E614/E337</f>
        <v>5.1724137931034482E-2</v>
      </c>
      <c r="F652" s="7">
        <f t="shared" si="1226"/>
        <v>0.13530198580100833</v>
      </c>
      <c r="G652" s="7">
        <f t="shared" si="1226"/>
        <v>0.19889296132844642</v>
      </c>
      <c r="H652" s="7">
        <f t="shared" si="1226"/>
        <v>0</v>
      </c>
      <c r="I652" s="7">
        <f t="shared" si="1226"/>
        <v>0</v>
      </c>
      <c r="J652" s="1442">
        <f t="shared" si="1226"/>
        <v>3.9036363330699528E-2</v>
      </c>
      <c r="K652" s="721">
        <f>J652</f>
        <v>3.9036363330699528E-2</v>
      </c>
      <c r="L652" s="721">
        <f>K652</f>
        <v>3.9036363330699528E-2</v>
      </c>
      <c r="M652" s="721">
        <f t="shared" si="1223"/>
        <v>3.9036363330699528E-2</v>
      </c>
      <c r="N652" s="721">
        <f t="shared" si="1223"/>
        <v>3.9036363330699528E-2</v>
      </c>
      <c r="O652" s="721">
        <f t="shared" si="1223"/>
        <v>3.9036363330699528E-2</v>
      </c>
      <c r="P652" s="721">
        <f t="shared" si="1223"/>
        <v>3.9036363330699528E-2</v>
      </c>
      <c r="Q652" s="721">
        <f t="shared" si="1223"/>
        <v>3.9036363330699528E-2</v>
      </c>
      <c r="R652" s="721">
        <f t="shared" si="1223"/>
        <v>3.9036363330699528E-2</v>
      </c>
      <c r="S652" s="820"/>
      <c r="T652" s="866"/>
      <c r="U652" s="867"/>
      <c r="Y652" s="848"/>
      <c r="AC652" s="848"/>
      <c r="AG652" s="848"/>
      <c r="AK652" s="848"/>
      <c r="AO652" s="848"/>
      <c r="AS652" s="848"/>
      <c r="AW652" s="848"/>
      <c r="BA652" s="848"/>
      <c r="BF652" s="820"/>
      <c r="BG652" s="820"/>
      <c r="BH652" s="820"/>
      <c r="BI652" s="820"/>
      <c r="BJ652" s="820"/>
      <c r="BK652" s="820"/>
      <c r="BL652" s="820"/>
      <c r="BM652" s="820"/>
      <c r="BN652" s="820"/>
      <c r="BO652" s="820"/>
      <c r="BP652" s="820"/>
      <c r="BQ652" s="820"/>
      <c r="BR652" s="820"/>
      <c r="BS652" s="820"/>
      <c r="BT652" s="820"/>
      <c r="BU652" s="820"/>
      <c r="BV652" s="820"/>
      <c r="BW652" s="820"/>
      <c r="BX652" s="820"/>
      <c r="BY652" s="820"/>
      <c r="BZ652" s="820"/>
      <c r="CA652" s="820"/>
      <c r="CB652" s="820"/>
      <c r="CC652" s="820"/>
      <c r="CD652" s="826"/>
      <c r="CE652" s="826"/>
      <c r="CG652"/>
      <c r="CH652"/>
      <c r="CI652"/>
      <c r="CJ652"/>
      <c r="CK652"/>
      <c r="CL652"/>
    </row>
    <row r="653" spans="1:90" s="821" customFormat="1" outlineLevel="2">
      <c r="A653" s="1336"/>
      <c r="B653" s="870" t="s">
        <v>199</v>
      </c>
      <c r="C653" s="866"/>
      <c r="D653" s="866"/>
      <c r="E653" s="7">
        <f t="shared" ref="E653:J653" si="1227">-E615/E337</f>
        <v>0.7108635947512969</v>
      </c>
      <c r="F653" s="7">
        <f t="shared" si="1227"/>
        <v>0.92200843708200431</v>
      </c>
      <c r="G653" s="7">
        <f t="shared" si="1227"/>
        <v>0.88914653302416036</v>
      </c>
      <c r="H653" s="7">
        <f t="shared" si="1227"/>
        <v>0.83217252664261143</v>
      </c>
      <c r="I653" s="7">
        <f t="shared" si="1227"/>
        <v>0.79563382331538346</v>
      </c>
      <c r="J653" s="1442">
        <f t="shared" si="1227"/>
        <v>0.79326866499672177</v>
      </c>
      <c r="K653" s="721">
        <v>0.62</v>
      </c>
      <c r="L653" s="721">
        <f>K653-2%</f>
        <v>0.6</v>
      </c>
      <c r="M653" s="721">
        <f>L653-2%</f>
        <v>0.57999999999999996</v>
      </c>
      <c r="N653" s="721">
        <f>M653-2%</f>
        <v>0.55999999999999994</v>
      </c>
      <c r="O653" s="721">
        <f>N653-2%</f>
        <v>0.53999999999999992</v>
      </c>
      <c r="P653" s="721">
        <f>O653</f>
        <v>0.53999999999999992</v>
      </c>
      <c r="Q653" s="721">
        <f>P653</f>
        <v>0.53999999999999992</v>
      </c>
      <c r="R653" s="721">
        <f>Q653</f>
        <v>0.53999999999999992</v>
      </c>
      <c r="S653" s="9"/>
      <c r="T653" s="866"/>
      <c r="U653" s="867"/>
      <c r="Y653" s="848"/>
      <c r="AC653" s="848"/>
      <c r="AG653" s="848"/>
      <c r="AK653" s="848"/>
      <c r="AO653" s="848"/>
      <c r="AS653" s="848"/>
      <c r="AW653" s="848"/>
      <c r="BA653" s="848"/>
      <c r="BF653" s="820"/>
      <c r="BG653" s="820"/>
      <c r="BH653" s="820"/>
      <c r="BI653" s="820"/>
      <c r="BJ653" s="820"/>
      <c r="BK653" s="820"/>
      <c r="BL653" s="820"/>
      <c r="BM653" s="820"/>
      <c r="BN653" s="820"/>
      <c r="BO653" s="820"/>
      <c r="BP653" s="820"/>
      <c r="BQ653" s="820"/>
      <c r="BR653" s="820"/>
      <c r="BS653" s="820"/>
      <c r="BT653" s="820"/>
      <c r="BU653" s="820"/>
      <c r="BV653" s="820"/>
      <c r="BW653" s="820"/>
      <c r="BX653" s="820"/>
      <c r="BY653" s="820"/>
      <c r="BZ653" s="820"/>
      <c r="CA653" s="820"/>
      <c r="CB653" s="820"/>
      <c r="CC653" s="820"/>
      <c r="CD653" s="826"/>
      <c r="CE653" s="826"/>
      <c r="CG653"/>
      <c r="CH653"/>
      <c r="CI653"/>
      <c r="CJ653"/>
      <c r="CK653"/>
      <c r="CL653"/>
    </row>
    <row r="654" spans="1:90" s="821" customFormat="1" outlineLevel="2">
      <c r="A654" s="1336"/>
      <c r="B654" s="870" t="s">
        <v>200</v>
      </c>
      <c r="C654" s="866"/>
      <c r="D654" s="866"/>
      <c r="E654" s="16">
        <f t="shared" ref="E654:J654" si="1228">E616/E121/1000</f>
        <v>6.5350877192982462E-3</v>
      </c>
      <c r="F654" s="16">
        <f t="shared" si="1228"/>
        <v>1.2177636282483239E-2</v>
      </c>
      <c r="G654" s="16">
        <f t="shared" si="1228"/>
        <v>9.3287128712871287E-3</v>
      </c>
      <c r="H654" s="16">
        <f t="shared" si="1228"/>
        <v>8.501770956316412E-3</v>
      </c>
      <c r="I654" s="16">
        <f t="shared" si="1228"/>
        <v>6.0197530864197525E-3</v>
      </c>
      <c r="J654" s="1443">
        <f t="shared" si="1228"/>
        <v>5.2325878594249205E-3</v>
      </c>
      <c r="K654" s="688">
        <f>J654</f>
        <v>5.2325878594249205E-3</v>
      </c>
      <c r="L654" s="688">
        <f t="shared" ref="L654:R656" si="1229">K654</f>
        <v>5.2325878594249205E-3</v>
      </c>
      <c r="M654" s="688">
        <f t="shared" si="1229"/>
        <v>5.2325878594249205E-3</v>
      </c>
      <c r="N654" s="688">
        <f t="shared" si="1229"/>
        <v>5.2325878594249205E-3</v>
      </c>
      <c r="O654" s="688">
        <f t="shared" si="1229"/>
        <v>5.2325878594249205E-3</v>
      </c>
      <c r="P654" s="688">
        <f t="shared" si="1229"/>
        <v>5.2325878594249205E-3</v>
      </c>
      <c r="Q654" s="688">
        <f t="shared" si="1229"/>
        <v>5.2325878594249205E-3</v>
      </c>
      <c r="R654" s="688">
        <f t="shared" si="1229"/>
        <v>5.2325878594249205E-3</v>
      </c>
      <c r="S654" s="9"/>
      <c r="T654" s="866"/>
      <c r="U654" s="867"/>
      <c r="Y654" s="848"/>
      <c r="AC654" s="848"/>
      <c r="AG654" s="848"/>
      <c r="AK654" s="848"/>
      <c r="AO654" s="848"/>
      <c r="AS654" s="848"/>
      <c r="AW654" s="848"/>
      <c r="BA654" s="848"/>
      <c r="BF654" s="820"/>
      <c r="BG654" s="820"/>
      <c r="BH654" s="820"/>
      <c r="BI654" s="820"/>
      <c r="BJ654" s="820"/>
      <c r="BK654" s="820"/>
      <c r="BL654" s="820"/>
      <c r="BM654" s="820"/>
      <c r="BN654" s="820"/>
      <c r="BO654" s="820"/>
      <c r="BP654" s="820"/>
      <c r="BQ654" s="820"/>
      <c r="BR654" s="820"/>
      <c r="BS654" s="820"/>
      <c r="BT654" s="820"/>
      <c r="BU654" s="820"/>
      <c r="BV654" s="820"/>
      <c r="BW654" s="820"/>
      <c r="BX654" s="820"/>
      <c r="BY654" s="820"/>
      <c r="BZ654" s="820"/>
      <c r="CA654" s="820"/>
      <c r="CB654" s="820"/>
      <c r="CC654" s="820"/>
      <c r="CD654" s="826"/>
      <c r="CE654" s="826"/>
      <c r="CG654"/>
      <c r="CH654"/>
      <c r="CI654"/>
      <c r="CJ654"/>
      <c r="CK654"/>
      <c r="CL654"/>
    </row>
    <row r="655" spans="1:90" s="821" customFormat="1" outlineLevel="2">
      <c r="A655" s="1336"/>
      <c r="B655" s="870" t="s">
        <v>201</v>
      </c>
      <c r="C655" s="871"/>
      <c r="D655" s="871"/>
      <c r="E655" s="7">
        <f t="shared" ref="E655:J655" si="1230">E617/E336</f>
        <v>0.21722846441947566</v>
      </c>
      <c r="F655" s="7">
        <f t="shared" si="1230"/>
        <v>0.14279920039400876</v>
      </c>
      <c r="G655" s="7">
        <f t="shared" si="1230"/>
        <v>0.12372390674996191</v>
      </c>
      <c r="H655" s="7">
        <f t="shared" si="1230"/>
        <v>0.10385281612513779</v>
      </c>
      <c r="I655" s="7">
        <f t="shared" si="1230"/>
        <v>0.10180635338085681</v>
      </c>
      <c r="J655" s="1442">
        <f t="shared" si="1230"/>
        <v>9.5101501835436239E-2</v>
      </c>
      <c r="K655" s="688">
        <v>0.06</v>
      </c>
      <c r="L655" s="688">
        <f t="shared" si="1229"/>
        <v>0.06</v>
      </c>
      <c r="M655" s="688">
        <f t="shared" si="1229"/>
        <v>0.06</v>
      </c>
      <c r="N655" s="688">
        <f t="shared" si="1229"/>
        <v>0.06</v>
      </c>
      <c r="O655" s="688">
        <f t="shared" si="1229"/>
        <v>0.06</v>
      </c>
      <c r="P655" s="688">
        <f t="shared" si="1229"/>
        <v>0.06</v>
      </c>
      <c r="Q655" s="688">
        <f t="shared" si="1229"/>
        <v>0.06</v>
      </c>
      <c r="R655" s="688">
        <f t="shared" si="1229"/>
        <v>0.06</v>
      </c>
      <c r="S655" s="820"/>
      <c r="T655" s="871"/>
      <c r="U655" s="856"/>
      <c r="Y655" s="848"/>
      <c r="AC655" s="848"/>
      <c r="AG655" s="848"/>
      <c r="AK655" s="848"/>
      <c r="AO655" s="848"/>
      <c r="AS655" s="848"/>
      <c r="AW655" s="848"/>
      <c r="BA655" s="848"/>
      <c r="BF655" s="820"/>
      <c r="BG655" s="820"/>
      <c r="BH655" s="820"/>
      <c r="BI655" s="820"/>
      <c r="BJ655" s="820"/>
      <c r="BK655" s="820"/>
      <c r="BL655" s="820"/>
      <c r="BM655" s="820"/>
      <c r="BN655" s="820"/>
      <c r="BO655" s="820"/>
      <c r="BP655" s="820"/>
      <c r="BQ655" s="820"/>
      <c r="BR655" s="820"/>
      <c r="BS655" s="820"/>
      <c r="BT655" s="820"/>
      <c r="BU655" s="820"/>
      <c r="BV655" s="820"/>
      <c r="BW655" s="820"/>
      <c r="BX655" s="820"/>
      <c r="BY655" s="820"/>
      <c r="BZ655" s="820"/>
      <c r="CA655" s="820"/>
      <c r="CB655" s="820"/>
      <c r="CC655" s="820"/>
      <c r="CD655" s="826"/>
      <c r="CE655" s="826"/>
      <c r="CG655"/>
      <c r="CH655"/>
      <c r="CI655"/>
      <c r="CJ655"/>
      <c r="CK655"/>
      <c r="CL655"/>
    </row>
    <row r="656" spans="1:90" s="821" customFormat="1" outlineLevel="2">
      <c r="A656" s="1336"/>
      <c r="B656" s="870" t="s">
        <v>163</v>
      </c>
      <c r="C656" s="871"/>
      <c r="D656" s="871"/>
      <c r="E656" s="16">
        <f t="shared" ref="E656:J656" si="1231">E620/E336</f>
        <v>2.6416978776529338E-2</v>
      </c>
      <c r="F656" s="16">
        <f t="shared" si="1231"/>
        <v>1.1269809079583974E-2</v>
      </c>
      <c r="G656" s="16">
        <f t="shared" si="1231"/>
        <v>8.1517598659149784E-3</v>
      </c>
      <c r="H656" s="16">
        <f t="shared" si="1231"/>
        <v>5.8395884730460344E-3</v>
      </c>
      <c r="I656" s="16">
        <f t="shared" si="1231"/>
        <v>4.132762524346717E-3</v>
      </c>
      <c r="J656" s="1443">
        <f t="shared" si="1231"/>
        <v>4.0499643021867284E-3</v>
      </c>
      <c r="K656" s="688">
        <f>J656</f>
        <v>4.0499643021867284E-3</v>
      </c>
      <c r="L656" s="688">
        <f t="shared" si="1229"/>
        <v>4.0499643021867284E-3</v>
      </c>
      <c r="M656" s="688">
        <f t="shared" si="1229"/>
        <v>4.0499643021867284E-3</v>
      </c>
      <c r="N656" s="688">
        <f t="shared" si="1229"/>
        <v>4.0499643021867284E-3</v>
      </c>
      <c r="O656" s="688">
        <f t="shared" si="1229"/>
        <v>4.0499643021867284E-3</v>
      </c>
      <c r="P656" s="688">
        <f t="shared" si="1229"/>
        <v>4.0499643021867284E-3</v>
      </c>
      <c r="Q656" s="688">
        <f t="shared" si="1229"/>
        <v>4.0499643021867284E-3</v>
      </c>
      <c r="R656" s="688">
        <f t="shared" si="1229"/>
        <v>4.0499643021867284E-3</v>
      </c>
      <c r="S656" s="820"/>
      <c r="T656" s="871"/>
      <c r="U656" s="856"/>
      <c r="Y656" s="848"/>
      <c r="AC656" s="848"/>
      <c r="AG656" s="848"/>
      <c r="AK656" s="848"/>
      <c r="AO656" s="848"/>
      <c r="AS656" s="848"/>
      <c r="AW656" s="848"/>
      <c r="BA656" s="848"/>
      <c r="BF656" s="820"/>
      <c r="BG656" s="820"/>
      <c r="BH656" s="820"/>
      <c r="BI656" s="820"/>
      <c r="BJ656" s="820"/>
      <c r="BK656" s="820"/>
      <c r="BL656" s="820"/>
      <c r="BM656" s="820"/>
      <c r="BN656" s="820"/>
      <c r="BO656" s="820"/>
      <c r="BP656" s="820"/>
      <c r="BQ656" s="820"/>
      <c r="BR656" s="820"/>
      <c r="BS656" s="820"/>
      <c r="BT656" s="820"/>
      <c r="BU656" s="820"/>
      <c r="BV656" s="820"/>
      <c r="BW656" s="820"/>
      <c r="BX656" s="820"/>
      <c r="BY656" s="820"/>
      <c r="BZ656" s="820"/>
      <c r="CA656" s="820"/>
      <c r="CB656" s="820"/>
      <c r="CC656" s="820"/>
      <c r="CD656" s="826"/>
      <c r="CE656" s="826"/>
      <c r="CG656"/>
      <c r="CH656"/>
      <c r="CI656"/>
      <c r="CJ656"/>
      <c r="CK656"/>
      <c r="CL656"/>
    </row>
    <row r="657" spans="1:90" s="821" customFormat="1" outlineLevel="2">
      <c r="A657" s="1336"/>
      <c r="B657" s="870" t="s">
        <v>150</v>
      </c>
      <c r="C657" s="871"/>
      <c r="D657" s="871"/>
      <c r="E657" s="871"/>
      <c r="F657" s="7">
        <f>-(F621)/F360</f>
        <v>0.44131777625257379</v>
      </c>
      <c r="G657" s="7">
        <f>-(G621)/G360</f>
        <v>0.66833541927409257</v>
      </c>
      <c r="H657" s="7">
        <f>-(H621)/H360</f>
        <v>0.70028054862842892</v>
      </c>
      <c r="I657" s="7">
        <f>-(I621)/I360</f>
        <v>0.76588945437329858</v>
      </c>
      <c r="J657" s="1442">
        <f>-(J621)/J360</f>
        <v>0.73707897793263644</v>
      </c>
      <c r="K657" s="721">
        <v>0.6</v>
      </c>
      <c r="L657" s="721">
        <v>0.72</v>
      </c>
      <c r="M657" s="688">
        <f t="shared" ref="M657:R657" si="1232">L657-2%</f>
        <v>0.7</v>
      </c>
      <c r="N657" s="721">
        <f t="shared" si="1232"/>
        <v>0.67999999999999994</v>
      </c>
      <c r="O657" s="721">
        <f t="shared" si="1232"/>
        <v>0.65999999999999992</v>
      </c>
      <c r="P657" s="721">
        <f t="shared" si="1232"/>
        <v>0.6399999999999999</v>
      </c>
      <c r="Q657" s="721">
        <f t="shared" si="1232"/>
        <v>0.61999999999999988</v>
      </c>
      <c r="R657" s="721">
        <f t="shared" si="1232"/>
        <v>0.59999999999999987</v>
      </c>
      <c r="S657" s="820"/>
      <c r="T657" s="871"/>
      <c r="U657" s="856"/>
      <c r="Y657" s="848"/>
      <c r="AC657" s="848"/>
      <c r="AG657" s="848"/>
      <c r="AK657" s="848"/>
      <c r="AO657" s="848"/>
      <c r="AS657" s="848"/>
      <c r="AW657" s="848"/>
      <c r="BA657" s="848"/>
      <c r="BF657" s="820"/>
      <c r="BG657" s="820"/>
      <c r="BH657" s="820"/>
      <c r="BI657" s="820"/>
      <c r="BJ657" s="820"/>
      <c r="BK657" s="820"/>
      <c r="BL657" s="820"/>
      <c r="BM657" s="820"/>
      <c r="BN657" s="820"/>
      <c r="BO657" s="820"/>
      <c r="BP657" s="820"/>
      <c r="BQ657" s="820"/>
      <c r="BR657" s="820"/>
      <c r="BS657" s="820"/>
      <c r="BT657" s="820"/>
      <c r="BU657" s="820"/>
      <c r="BV657" s="820"/>
      <c r="BW657" s="820"/>
      <c r="BX657" s="820"/>
      <c r="BY657" s="820"/>
      <c r="BZ657" s="820"/>
      <c r="CA657" s="820"/>
      <c r="CB657" s="820"/>
      <c r="CC657" s="820"/>
      <c r="CD657" s="826"/>
      <c r="CE657" s="826"/>
      <c r="CG657"/>
      <c r="CH657"/>
      <c r="CI657"/>
      <c r="CJ657"/>
      <c r="CK657"/>
      <c r="CL657"/>
    </row>
    <row r="658" spans="1:90" s="821" customFormat="1" outlineLevel="2">
      <c r="A658" s="1336"/>
      <c r="B658" s="868" t="s">
        <v>691</v>
      </c>
      <c r="C658" s="871"/>
      <c r="D658" s="871"/>
      <c r="E658" s="871"/>
      <c r="F658" s="871"/>
      <c r="G658" s="871"/>
      <c r="H658" s="871"/>
      <c r="I658" s="871"/>
      <c r="J658" s="1444"/>
      <c r="K658" s="871"/>
      <c r="L658" s="871"/>
      <c r="M658" s="871"/>
      <c r="N658" s="871"/>
      <c r="O658" s="871"/>
      <c r="P658" s="871"/>
      <c r="Q658" s="871"/>
      <c r="R658" s="871"/>
      <c r="S658" s="820"/>
      <c r="T658" s="871"/>
      <c r="U658" s="856"/>
      <c r="Y658" s="848"/>
      <c r="AC658" s="848"/>
      <c r="AG658" s="848"/>
      <c r="AK658" s="848"/>
      <c r="AO658" s="848"/>
      <c r="AS658" s="848"/>
      <c r="AW658" s="848"/>
      <c r="BA658" s="848"/>
      <c r="BF658" s="820"/>
      <c r="BG658" s="820"/>
      <c r="BH658" s="820"/>
      <c r="BI658" s="820"/>
      <c r="BJ658" s="820"/>
      <c r="BK658" s="820"/>
      <c r="BL658" s="820"/>
      <c r="BM658" s="820"/>
      <c r="BN658" s="820"/>
      <c r="BO658" s="820"/>
      <c r="BP658" s="820"/>
      <c r="BQ658" s="820"/>
      <c r="BR658" s="820"/>
      <c r="BS658" s="820"/>
      <c r="BT658" s="820"/>
      <c r="BU658" s="820"/>
      <c r="BV658" s="820"/>
      <c r="BW658" s="820"/>
      <c r="BX658" s="820"/>
      <c r="BY658" s="820"/>
      <c r="BZ658" s="820"/>
      <c r="CA658" s="820"/>
      <c r="CB658" s="820"/>
      <c r="CC658" s="820"/>
      <c r="CD658" s="826"/>
      <c r="CE658" s="826"/>
      <c r="CG658"/>
      <c r="CH658"/>
      <c r="CI658"/>
      <c r="CJ658"/>
      <c r="CK658"/>
      <c r="CL658"/>
    </row>
    <row r="659" spans="1:90" s="821" customFormat="1" outlineLevel="2">
      <c r="A659" s="1336"/>
      <c r="B659" s="869" t="s">
        <v>143</v>
      </c>
      <c r="C659" s="822"/>
      <c r="D659" s="822"/>
      <c r="E659" s="846">
        <f t="shared" ref="E659:J659" si="1233">E594+E595+E596</f>
        <v>25056</v>
      </c>
      <c r="F659" s="846">
        <f t="shared" si="1233"/>
        <v>36373</v>
      </c>
      <c r="G659" s="846">
        <f t="shared" si="1233"/>
        <v>48553</v>
      </c>
      <c r="H659" s="846">
        <f t="shared" si="1233"/>
        <v>124638</v>
      </c>
      <c r="I659" s="846">
        <f t="shared" si="1233"/>
        <v>112864</v>
      </c>
      <c r="J659" s="1445">
        <f t="shared" si="1233"/>
        <v>149402</v>
      </c>
      <c r="K659" s="846">
        <f t="shared" ref="K659:R659" si="1234">K594+K595+K596</f>
        <v>229013.45246307721</v>
      </c>
      <c r="L659" s="846">
        <f t="shared" si="1234"/>
        <v>294456.7455422788</v>
      </c>
      <c r="M659" s="846">
        <f t="shared" si="1234"/>
        <v>398874.32238297065</v>
      </c>
      <c r="N659" s="846">
        <f t="shared" si="1234"/>
        <v>532182.02049687272</v>
      </c>
      <c r="O659" s="846">
        <f t="shared" si="1234"/>
        <v>721343.97211414343</v>
      </c>
      <c r="P659" s="846">
        <f t="shared" si="1234"/>
        <v>956089.95628309425</v>
      </c>
      <c r="Q659" s="846">
        <f t="shared" si="1234"/>
        <v>1217483.0715690041</v>
      </c>
      <c r="R659" s="846">
        <f t="shared" si="1234"/>
        <v>1516040.4124668466</v>
      </c>
      <c r="S659" s="820"/>
      <c r="T659" s="846"/>
      <c r="U659" s="847"/>
      <c r="Y659" s="848"/>
      <c r="AC659" s="848"/>
      <c r="AG659" s="848"/>
      <c r="AK659" s="848"/>
      <c r="AO659" s="848"/>
      <c r="AS659" s="848"/>
      <c r="AW659" s="848"/>
      <c r="BA659" s="848"/>
      <c r="BF659" s="820"/>
      <c r="BG659" s="820"/>
      <c r="BH659" s="820"/>
      <c r="BI659" s="820"/>
      <c r="BJ659" s="820"/>
      <c r="BK659" s="820"/>
      <c r="BL659" s="820"/>
      <c r="BM659" s="820"/>
      <c r="BN659" s="820"/>
      <c r="BO659" s="820"/>
      <c r="BP659" s="820"/>
      <c r="BQ659" s="820"/>
      <c r="BR659" s="820"/>
      <c r="BS659" s="820"/>
      <c r="BT659" s="820"/>
      <c r="BU659" s="820"/>
      <c r="BV659" s="820"/>
      <c r="BW659" s="820"/>
      <c r="BX659" s="820"/>
      <c r="BY659" s="820"/>
      <c r="BZ659" s="820"/>
      <c r="CA659" s="820"/>
      <c r="CB659" s="820"/>
      <c r="CC659" s="820"/>
      <c r="CD659" s="826"/>
      <c r="CE659" s="826"/>
      <c r="CG659"/>
      <c r="CH659"/>
      <c r="CI659"/>
      <c r="CJ659"/>
      <c r="CK659"/>
      <c r="CL659"/>
    </row>
    <row r="660" spans="1:90" s="821" customFormat="1" outlineLevel="2">
      <c r="A660" s="1336"/>
      <c r="B660" s="869" t="s">
        <v>156</v>
      </c>
      <c r="C660" s="822"/>
      <c r="D660" s="822"/>
      <c r="E660" s="846">
        <f>E623+E611+E612+E625</f>
        <v>1283</v>
      </c>
      <c r="F660" s="846">
        <f t="shared" ref="F660:R660" si="1235">F623+F611+F612+F625</f>
        <v>27910</v>
      </c>
      <c r="G660" s="846">
        <f t="shared" si="1235"/>
        <v>41075</v>
      </c>
      <c r="H660" s="846">
        <f t="shared" si="1235"/>
        <v>52593</v>
      </c>
      <c r="I660" s="846">
        <f t="shared" si="1235"/>
        <v>57566</v>
      </c>
      <c r="J660" s="1445">
        <f t="shared" si="1235"/>
        <v>91732</v>
      </c>
      <c r="K660" s="846">
        <f t="shared" si="1235"/>
        <v>137064.55385876412</v>
      </c>
      <c r="L660" s="846">
        <f t="shared" si="1235"/>
        <v>141229.40417637822</v>
      </c>
      <c r="M660" s="846">
        <f t="shared" si="1235"/>
        <v>146799.35252737644</v>
      </c>
      <c r="N660" s="846">
        <f t="shared" si="1235"/>
        <v>151627.18197174577</v>
      </c>
      <c r="O660" s="846">
        <f t="shared" si="1235"/>
        <v>157049.9947517791</v>
      </c>
      <c r="P660" s="846">
        <f t="shared" si="1235"/>
        <v>163957.29588109863</v>
      </c>
      <c r="Q660" s="846">
        <f t="shared" si="1235"/>
        <v>169860.39252196942</v>
      </c>
      <c r="R660" s="846">
        <f t="shared" si="1235"/>
        <v>176003.02793309663</v>
      </c>
      <c r="S660" s="820"/>
      <c r="T660" s="846"/>
      <c r="U660" s="847"/>
      <c r="Y660" s="848"/>
      <c r="AC660" s="848"/>
      <c r="AG660" s="848"/>
      <c r="AK660" s="848"/>
      <c r="AO660" s="848"/>
      <c r="AS660" s="848"/>
      <c r="AW660" s="848"/>
      <c r="BA660" s="848"/>
      <c r="BF660" s="820"/>
      <c r="BG660" s="820"/>
      <c r="BH660" s="820"/>
      <c r="BI660" s="820"/>
      <c r="BJ660" s="820"/>
      <c r="BK660" s="820"/>
      <c r="BL660" s="820"/>
      <c r="BM660" s="820"/>
      <c r="BN660" s="820"/>
      <c r="BO660" s="820"/>
      <c r="BP660" s="820"/>
      <c r="BQ660" s="820"/>
      <c r="BR660" s="820"/>
      <c r="BS660" s="820"/>
      <c r="BT660" s="820"/>
      <c r="BU660" s="820"/>
      <c r="BV660" s="820"/>
      <c r="BW660" s="820"/>
      <c r="BX660" s="820"/>
      <c r="BY660" s="820"/>
      <c r="BZ660" s="820"/>
      <c r="CA660" s="820"/>
      <c r="CB660" s="820"/>
      <c r="CC660" s="820"/>
      <c r="CD660" s="826"/>
      <c r="CE660" s="826"/>
      <c r="CG660"/>
      <c r="CH660"/>
      <c r="CI660"/>
      <c r="CJ660"/>
      <c r="CK660"/>
      <c r="CL660"/>
    </row>
    <row r="661" spans="1:90" s="821" customFormat="1" outlineLevel="2">
      <c r="A661" s="1336"/>
      <c r="B661" s="869" t="s">
        <v>157</v>
      </c>
      <c r="C661" s="822"/>
      <c r="D661" s="822"/>
      <c r="E661" s="846">
        <f t="shared" ref="E661:J661" si="1236">E641</f>
        <v>31488</v>
      </c>
      <c r="F661" s="846">
        <f t="shared" si="1236"/>
        <v>-24</v>
      </c>
      <c r="G661" s="846">
        <f t="shared" si="1236"/>
        <v>29338</v>
      </c>
      <c r="H661" s="846">
        <f t="shared" si="1236"/>
        <v>145439</v>
      </c>
      <c r="I661" s="846">
        <f t="shared" si="1236"/>
        <v>216987</v>
      </c>
      <c r="J661" s="1445">
        <f t="shared" si="1236"/>
        <v>278799</v>
      </c>
      <c r="K661" s="846">
        <f t="shared" ref="K661:R661" si="1237">K641</f>
        <v>362558.1263381039</v>
      </c>
      <c r="L661" s="846">
        <f t="shared" si="1237"/>
        <v>469069.0402227852</v>
      </c>
      <c r="M661" s="846">
        <f t="shared" si="1237"/>
        <v>603916.462318009</v>
      </c>
      <c r="N661" s="846">
        <f t="shared" si="1237"/>
        <v>769581.07942319906</v>
      </c>
      <c r="O661" s="846">
        <f t="shared" si="1237"/>
        <v>971313.56886830332</v>
      </c>
      <c r="P661" s="846">
        <f t="shared" si="1237"/>
        <v>1217437.0632851496</v>
      </c>
      <c r="Q661" s="846">
        <f t="shared" si="1237"/>
        <v>1502104.9661189602</v>
      </c>
      <c r="R661" s="846">
        <f t="shared" si="1237"/>
        <v>1826692.0675852443</v>
      </c>
      <c r="S661" s="820"/>
      <c r="T661" s="846"/>
      <c r="U661" s="847"/>
      <c r="Y661" s="848"/>
      <c r="AC661" s="848"/>
      <c r="AG661" s="848"/>
      <c r="AK661" s="848"/>
      <c r="AO661" s="848"/>
      <c r="AS661" s="848"/>
      <c r="AW661" s="848"/>
      <c r="BA661" s="848"/>
      <c r="BF661" s="820"/>
      <c r="BG661" s="820"/>
      <c r="BH661" s="820"/>
      <c r="BI661" s="820"/>
      <c r="BJ661" s="820"/>
      <c r="BK661" s="820"/>
      <c r="BL661" s="820"/>
      <c r="BM661" s="820"/>
      <c r="BN661" s="820"/>
      <c r="BO661" s="820"/>
      <c r="BP661" s="820"/>
      <c r="BQ661" s="820"/>
      <c r="BR661" s="820"/>
      <c r="BS661" s="820"/>
      <c r="BT661" s="820"/>
      <c r="BU661" s="820"/>
      <c r="BV661" s="820"/>
      <c r="BW661" s="820"/>
      <c r="BX661" s="820"/>
      <c r="BY661" s="820"/>
      <c r="BZ661" s="820"/>
      <c r="CA661" s="820"/>
      <c r="CB661" s="820"/>
      <c r="CC661" s="820"/>
      <c r="CD661" s="826"/>
      <c r="CE661" s="826"/>
      <c r="CG661"/>
      <c r="CH661"/>
      <c r="CI661"/>
      <c r="CJ661"/>
      <c r="CK661"/>
      <c r="CL661"/>
    </row>
    <row r="662" spans="1:90" s="821" customFormat="1" outlineLevel="2">
      <c r="A662" s="1336"/>
      <c r="B662" s="869" t="s">
        <v>158</v>
      </c>
      <c r="C662" s="822"/>
      <c r="D662" s="822"/>
      <c r="E662" s="846">
        <f t="shared" ref="E662:J662" si="1238">E660+E661</f>
        <v>32771</v>
      </c>
      <c r="F662" s="846">
        <f t="shared" si="1238"/>
        <v>27886</v>
      </c>
      <c r="G662" s="846">
        <f t="shared" si="1238"/>
        <v>70413</v>
      </c>
      <c r="H662" s="846">
        <f t="shared" si="1238"/>
        <v>198032</v>
      </c>
      <c r="I662" s="846">
        <f t="shared" si="1238"/>
        <v>274553</v>
      </c>
      <c r="J662" s="1445">
        <f t="shared" si="1238"/>
        <v>370531</v>
      </c>
      <c r="K662" s="846">
        <f t="shared" ref="K662:R662" si="1239">K660+K661</f>
        <v>499622.68019686802</v>
      </c>
      <c r="L662" s="846">
        <f t="shared" si="1239"/>
        <v>610298.44439916336</v>
      </c>
      <c r="M662" s="846">
        <f t="shared" si="1239"/>
        <v>750715.8148453855</v>
      </c>
      <c r="N662" s="846">
        <f t="shared" si="1239"/>
        <v>921208.26139494486</v>
      </c>
      <c r="O662" s="846">
        <f t="shared" si="1239"/>
        <v>1128363.5636200823</v>
      </c>
      <c r="P662" s="846">
        <f t="shared" si="1239"/>
        <v>1381394.3591662482</v>
      </c>
      <c r="Q662" s="846">
        <f t="shared" si="1239"/>
        <v>1671965.3586409297</v>
      </c>
      <c r="R662" s="846">
        <f t="shared" si="1239"/>
        <v>2002695.0955183408</v>
      </c>
      <c r="S662" s="820"/>
      <c r="T662" s="846"/>
      <c r="U662" s="847"/>
      <c r="Y662" s="848"/>
      <c r="AC662" s="848"/>
      <c r="AG662" s="848"/>
      <c r="AK662" s="848"/>
      <c r="AO662" s="848"/>
      <c r="AS662" s="848"/>
      <c r="AW662" s="848"/>
      <c r="BA662" s="848"/>
      <c r="BF662" s="820"/>
      <c r="BG662" s="820"/>
      <c r="BH662" s="820"/>
      <c r="BI662" s="820"/>
      <c r="BJ662" s="820"/>
      <c r="BK662" s="820"/>
      <c r="BL662" s="820"/>
      <c r="BM662" s="820"/>
      <c r="BN662" s="820"/>
      <c r="BO662" s="820"/>
      <c r="BP662" s="820"/>
      <c r="BQ662" s="820"/>
      <c r="BR662" s="820"/>
      <c r="BS662" s="820"/>
      <c r="BT662" s="820"/>
      <c r="BU662" s="820"/>
      <c r="BV662" s="820"/>
      <c r="BW662" s="820"/>
      <c r="BX662" s="820"/>
      <c r="BY662" s="820"/>
      <c r="BZ662" s="820"/>
      <c r="CA662" s="820"/>
      <c r="CB662" s="820"/>
      <c r="CC662" s="820"/>
      <c r="CD662" s="826"/>
      <c r="CE662" s="826"/>
      <c r="CG662"/>
      <c r="CH662"/>
      <c r="CI662"/>
      <c r="CJ662"/>
      <c r="CK662"/>
      <c r="CL662"/>
    </row>
    <row r="663" spans="1:90" s="821" customFormat="1" outlineLevel="2">
      <c r="A663" s="1336"/>
      <c r="B663" s="869" t="s">
        <v>175</v>
      </c>
      <c r="C663" s="822"/>
      <c r="D663" s="822"/>
      <c r="E663" s="846">
        <f t="shared" ref="E663:J663" si="1240">E659-E660</f>
        <v>23773</v>
      </c>
      <c r="F663" s="846">
        <f t="shared" si="1240"/>
        <v>8463</v>
      </c>
      <c r="G663" s="846">
        <f t="shared" si="1240"/>
        <v>7478</v>
      </c>
      <c r="H663" s="846">
        <f t="shared" si="1240"/>
        <v>72045</v>
      </c>
      <c r="I663" s="846">
        <f t="shared" si="1240"/>
        <v>55298</v>
      </c>
      <c r="J663" s="1445">
        <f t="shared" si="1240"/>
        <v>57670</v>
      </c>
      <c r="K663" s="846">
        <f t="shared" ref="K663:R663" si="1241">K659-K660</f>
        <v>91948.898604313086</v>
      </c>
      <c r="L663" s="846">
        <f t="shared" si="1241"/>
        <v>153227.34136590059</v>
      </c>
      <c r="M663" s="846">
        <f t="shared" si="1241"/>
        <v>252074.96985559422</v>
      </c>
      <c r="N663" s="846">
        <f t="shared" si="1241"/>
        <v>380554.83852512692</v>
      </c>
      <c r="O663" s="846">
        <f t="shared" si="1241"/>
        <v>564293.9773623643</v>
      </c>
      <c r="P663" s="846">
        <f t="shared" si="1241"/>
        <v>792132.66040199564</v>
      </c>
      <c r="Q663" s="846">
        <f t="shared" si="1241"/>
        <v>1047622.6790470347</v>
      </c>
      <c r="R663" s="846">
        <f t="shared" si="1241"/>
        <v>1340037.3845337499</v>
      </c>
      <c r="S663" s="820"/>
      <c r="T663" s="846"/>
      <c r="U663" s="847"/>
      <c r="Y663" s="848"/>
      <c r="AC663" s="848"/>
      <c r="AG663" s="848"/>
      <c r="AK663" s="848"/>
      <c r="AO663" s="848"/>
      <c r="AS663" s="848"/>
      <c r="AW663" s="848"/>
      <c r="BA663" s="848"/>
      <c r="BF663" s="820"/>
      <c r="BG663" s="820"/>
      <c r="BH663" s="820"/>
      <c r="BI663" s="820"/>
      <c r="BJ663" s="820"/>
      <c r="BK663" s="820"/>
      <c r="BL663" s="820"/>
      <c r="BM663" s="820"/>
      <c r="BN663" s="820"/>
      <c r="BO663" s="820"/>
      <c r="BP663" s="820"/>
      <c r="BQ663" s="820"/>
      <c r="BR663" s="820"/>
      <c r="BS663" s="820"/>
      <c r="BT663" s="820"/>
      <c r="BU663" s="820"/>
      <c r="BV663" s="820"/>
      <c r="BW663" s="820"/>
      <c r="BX663" s="820"/>
      <c r="BY663" s="820"/>
      <c r="BZ663" s="820"/>
      <c r="CA663" s="820"/>
      <c r="CB663" s="820"/>
      <c r="CC663" s="820"/>
      <c r="CD663" s="826"/>
      <c r="CE663" s="826"/>
      <c r="CG663"/>
      <c r="CH663"/>
      <c r="CI663"/>
      <c r="CJ663"/>
      <c r="CK663"/>
      <c r="CL663"/>
    </row>
    <row r="664" spans="1:90" s="821" customFormat="1" outlineLevel="2">
      <c r="A664" s="1336"/>
      <c r="B664" s="448" t="s">
        <v>358</v>
      </c>
      <c r="C664" s="872"/>
      <c r="D664" s="872"/>
      <c r="E664" s="873">
        <f>Model!E357</f>
        <v>-68</v>
      </c>
      <c r="F664" s="873">
        <f>Model!F357</f>
        <v>-1572</v>
      </c>
      <c r="G664" s="873">
        <f>Model!G357</f>
        <v>-2195</v>
      </c>
      <c r="H664" s="873">
        <f>Model!H357</f>
        <v>-2750</v>
      </c>
      <c r="I664" s="874">
        <f>Model!I357</f>
        <v>-1946</v>
      </c>
      <c r="J664" s="1446">
        <f>Model!J357</f>
        <v>-2671</v>
      </c>
      <c r="K664" s="874">
        <f>Model!K357</f>
        <v>-3775.1431386696081</v>
      </c>
      <c r="L664" s="874">
        <f>Model!L357</f>
        <v>-4870.1442656149911</v>
      </c>
      <c r="M664" s="874">
        <f>Model!M357</f>
        <v>-4536.4529180841355</v>
      </c>
      <c r="N664" s="874">
        <f>Model!N357</f>
        <v>-4924.0378192355165</v>
      </c>
      <c r="O664" s="874">
        <f>Model!O357</f>
        <v>-5093.1734159381604</v>
      </c>
      <c r="P664" s="874">
        <f>Model!P357</f>
        <v>-5296.6202954424825</v>
      </c>
      <c r="Q664" s="874">
        <f>Model!Q357</f>
        <v>-5507.9918586506228</v>
      </c>
      <c r="R664" s="874">
        <f>Model!R357</f>
        <v>-5706.7464375085892</v>
      </c>
      <c r="S664" s="820"/>
      <c r="T664" s="873"/>
      <c r="U664" s="875"/>
      <c r="Y664" s="848"/>
      <c r="AC664" s="848"/>
      <c r="AG664" s="848"/>
      <c r="AK664" s="848"/>
      <c r="AO664" s="848"/>
      <c r="AS664" s="848"/>
      <c r="AW664" s="848"/>
      <c r="BA664" s="848"/>
      <c r="BF664" s="820"/>
      <c r="BG664" s="820"/>
      <c r="BH664" s="820"/>
      <c r="BI664" s="820"/>
      <c r="BJ664" s="820"/>
      <c r="BK664" s="820"/>
      <c r="BL664" s="820"/>
      <c r="BM664" s="820"/>
      <c r="BN664" s="820"/>
      <c r="BO664" s="820"/>
      <c r="BP664" s="820"/>
      <c r="BQ664" s="820"/>
      <c r="BR664" s="820"/>
      <c r="BS664" s="820"/>
      <c r="BT664" s="820"/>
      <c r="BU664" s="820"/>
      <c r="BV664" s="820"/>
      <c r="BW664" s="820"/>
      <c r="BX664" s="820"/>
      <c r="BY664" s="820"/>
      <c r="BZ664" s="820"/>
      <c r="CA664" s="820"/>
      <c r="CB664" s="820"/>
      <c r="CC664" s="820"/>
      <c r="CD664" s="826"/>
      <c r="CE664" s="826"/>
      <c r="CG664"/>
      <c r="CH664"/>
      <c r="CI664"/>
      <c r="CJ664"/>
      <c r="CK664"/>
      <c r="CL664"/>
    </row>
    <row r="665" spans="1:90" s="821" customFormat="1" outlineLevel="2">
      <c r="A665" s="1336"/>
      <c r="B665" s="876" t="s">
        <v>292</v>
      </c>
      <c r="C665" s="871"/>
      <c r="D665" s="871"/>
      <c r="E665" s="877">
        <f t="shared" ref="E665:R665" si="1242">-E664/AVERAGE(D660:E660)</f>
        <v>5.3000779423226813E-2</v>
      </c>
      <c r="F665" s="877">
        <f t="shared" si="1242"/>
        <v>0.10769705066283013</v>
      </c>
      <c r="G665" s="877">
        <f t="shared" si="1242"/>
        <v>6.3637022541132127E-2</v>
      </c>
      <c r="H665" s="877">
        <f t="shared" si="1242"/>
        <v>5.8718025366186956E-2</v>
      </c>
      <c r="I665" s="877">
        <f t="shared" si="1242"/>
        <v>3.5330749189807463E-2</v>
      </c>
      <c r="J665" s="1447">
        <f t="shared" si="1242"/>
        <v>3.5780787418451684E-2</v>
      </c>
      <c r="K665" s="877">
        <f t="shared" si="1242"/>
        <v>3.3000000000000002E-2</v>
      </c>
      <c r="L665" s="877">
        <f t="shared" si="1242"/>
        <v>3.5000000000000003E-2</v>
      </c>
      <c r="M665" s="877">
        <f t="shared" si="1242"/>
        <v>3.15E-2</v>
      </c>
      <c r="N665" s="877">
        <f t="shared" si="1242"/>
        <v>3.3000000000000002E-2</v>
      </c>
      <c r="O665" s="877">
        <f t="shared" si="1242"/>
        <v>3.3000000000000002E-2</v>
      </c>
      <c r="P665" s="877">
        <f t="shared" si="1242"/>
        <v>3.3000000000000002E-2</v>
      </c>
      <c r="Q665" s="877">
        <f t="shared" si="1242"/>
        <v>3.3000000000000002E-2</v>
      </c>
      <c r="R665" s="877">
        <f t="shared" si="1242"/>
        <v>3.3000000000000002E-2</v>
      </c>
      <c r="S665" s="820"/>
      <c r="T665" s="877"/>
      <c r="U665" s="878"/>
      <c r="Y665" s="848"/>
      <c r="AC665" s="848"/>
      <c r="AG665" s="848"/>
      <c r="AK665" s="848"/>
      <c r="AO665" s="848"/>
      <c r="AS665" s="848"/>
      <c r="AW665" s="848"/>
      <c r="BA665" s="848"/>
      <c r="BF665" s="820"/>
      <c r="BG665" s="820"/>
      <c r="BH665" s="820"/>
      <c r="BI665" s="820"/>
      <c r="BJ665" s="820"/>
      <c r="BK665" s="820"/>
      <c r="BL665" s="820"/>
      <c r="BM665" s="820"/>
      <c r="BN665" s="820"/>
      <c r="BO665" s="820"/>
      <c r="BP665" s="820"/>
      <c r="BQ665" s="820"/>
      <c r="BR665" s="820"/>
      <c r="BS665" s="820"/>
      <c r="BT665" s="820"/>
      <c r="BU665" s="820"/>
      <c r="BV665" s="820"/>
      <c r="BW665" s="820"/>
      <c r="BX665" s="820"/>
      <c r="BY665" s="820"/>
      <c r="BZ665" s="820"/>
      <c r="CA665" s="820"/>
      <c r="CB665" s="820"/>
      <c r="CC665" s="820"/>
      <c r="CD665" s="826"/>
      <c r="CE665" s="826"/>
      <c r="CG665"/>
      <c r="CH665"/>
      <c r="CI665"/>
      <c r="CJ665"/>
      <c r="CK665"/>
      <c r="CL665"/>
    </row>
    <row r="666" spans="1:90" s="821" customFormat="1" outlineLevel="2">
      <c r="A666" s="1336"/>
      <c r="B666" s="876" t="s">
        <v>293</v>
      </c>
      <c r="C666" s="871"/>
      <c r="D666" s="871"/>
      <c r="E666" s="877">
        <f t="shared" ref="E666:R666" si="1243">-E664/E660</f>
        <v>5.3000779423226813E-2</v>
      </c>
      <c r="F666" s="877">
        <f t="shared" si="1243"/>
        <v>5.6323898244356858E-2</v>
      </c>
      <c r="G666" s="877">
        <f t="shared" si="1243"/>
        <v>5.3438831405964698E-2</v>
      </c>
      <c r="H666" s="877">
        <f t="shared" si="1243"/>
        <v>5.2288327343943113E-2</v>
      </c>
      <c r="I666" s="877">
        <f t="shared" si="1243"/>
        <v>3.3804676371469271E-2</v>
      </c>
      <c r="J666" s="1447">
        <f t="shared" si="1243"/>
        <v>2.9117429032398726E-2</v>
      </c>
      <c r="K666" s="877">
        <f t="shared" si="1243"/>
        <v>2.7542811269495988E-2</v>
      </c>
      <c r="L666" s="877">
        <f t="shared" si="1243"/>
        <v>3.4483925596207839E-2</v>
      </c>
      <c r="M666" s="877">
        <f t="shared" si="1243"/>
        <v>3.0902404131776657E-2</v>
      </c>
      <c r="N666" s="877">
        <f t="shared" si="1243"/>
        <v>3.2474637826831486E-2</v>
      </c>
      <c r="O666" s="877">
        <f t="shared" si="1243"/>
        <v>3.2430267979238273E-2</v>
      </c>
      <c r="P666" s="877">
        <f t="shared" si="1243"/>
        <v>3.2304877114365055E-2</v>
      </c>
      <c r="Q666" s="877">
        <f t="shared" si="1243"/>
        <v>3.2426581481837975E-2</v>
      </c>
      <c r="R666" s="877">
        <f t="shared" si="1243"/>
        <v>3.2424137837434669E-2</v>
      </c>
      <c r="S666" s="820"/>
      <c r="T666" s="877"/>
      <c r="U666" s="878"/>
      <c r="Y666" s="848"/>
      <c r="AC666" s="848"/>
      <c r="AG666" s="848"/>
      <c r="AK666" s="848"/>
      <c r="AO666" s="848"/>
      <c r="AS666" s="848"/>
      <c r="AW666" s="848"/>
      <c r="BA666" s="848"/>
      <c r="BF666" s="820"/>
      <c r="BG666" s="820"/>
      <c r="BH666" s="820"/>
      <c r="BI666" s="820"/>
      <c r="BJ666" s="820"/>
      <c r="BK666" s="820"/>
      <c r="BL666" s="820"/>
      <c r="BM666" s="820"/>
      <c r="BN666" s="820"/>
      <c r="BO666" s="820"/>
      <c r="BP666" s="820"/>
      <c r="BQ666" s="820"/>
      <c r="BR666" s="820"/>
      <c r="BS666" s="820"/>
      <c r="BT666" s="820"/>
      <c r="BU666" s="820"/>
      <c r="BV666" s="820"/>
      <c r="BW666" s="820"/>
      <c r="BX666" s="820"/>
      <c r="BY666" s="820"/>
      <c r="BZ666" s="820"/>
      <c r="CA666" s="820"/>
      <c r="CB666" s="820"/>
      <c r="CC666" s="820"/>
      <c r="CD666" s="826"/>
      <c r="CE666" s="826"/>
      <c r="CG666"/>
      <c r="CH666"/>
      <c r="CI666"/>
      <c r="CJ666"/>
      <c r="CK666"/>
      <c r="CL666"/>
    </row>
    <row r="667" spans="1:90" s="821" customFormat="1" outlineLevel="2">
      <c r="A667" s="1336"/>
      <c r="B667" s="876"/>
      <c r="C667" s="871"/>
      <c r="D667" s="871"/>
      <c r="E667" s="877"/>
      <c r="F667" s="877"/>
      <c r="G667" s="877"/>
      <c r="H667" s="877"/>
      <c r="I667" s="877"/>
      <c r="J667" s="1447"/>
      <c r="K667" s="877"/>
      <c r="L667" s="877"/>
      <c r="M667" s="877"/>
      <c r="N667" s="877"/>
      <c r="O667" s="877"/>
      <c r="P667" s="877"/>
      <c r="Q667" s="877"/>
      <c r="R667" s="877"/>
      <c r="S667" s="820"/>
      <c r="T667" s="877"/>
      <c r="U667" s="878"/>
      <c r="Y667" s="848"/>
      <c r="AC667" s="848"/>
      <c r="AG667" s="848"/>
      <c r="AK667" s="848"/>
      <c r="AO667" s="848"/>
      <c r="AS667" s="848"/>
      <c r="AW667" s="848"/>
      <c r="BA667" s="848"/>
      <c r="BF667" s="820"/>
      <c r="BG667" s="820"/>
      <c r="BH667" s="820"/>
      <c r="BI667" s="820"/>
      <c r="BJ667" s="820"/>
      <c r="BK667" s="820"/>
      <c r="BL667" s="820"/>
      <c r="BM667" s="820"/>
      <c r="BN667" s="820"/>
      <c r="BO667" s="820"/>
      <c r="BP667" s="820"/>
      <c r="BQ667" s="820"/>
      <c r="BR667" s="820"/>
      <c r="BS667" s="820"/>
      <c r="BT667" s="820"/>
      <c r="BU667" s="820"/>
      <c r="BV667" s="820"/>
      <c r="BW667" s="820"/>
      <c r="BX667" s="820"/>
      <c r="BY667" s="820"/>
      <c r="BZ667" s="820"/>
      <c r="CA667" s="820"/>
      <c r="CB667" s="820"/>
      <c r="CC667" s="820"/>
      <c r="CD667" s="826"/>
      <c r="CE667" s="826"/>
      <c r="CG667"/>
      <c r="CH667"/>
      <c r="CI667"/>
      <c r="CJ667"/>
      <c r="CK667"/>
      <c r="CL667"/>
    </row>
    <row r="668" spans="1:90" s="821" customFormat="1" outlineLevel="2">
      <c r="A668" s="1336"/>
      <c r="B668" s="869" t="s">
        <v>320</v>
      </c>
      <c r="C668" s="871"/>
      <c r="D668" s="871"/>
      <c r="E668" s="879">
        <f>E600/E618</f>
        <v>2.3741809207727003</v>
      </c>
      <c r="F668" s="879">
        <f t="shared" ref="F668:M668" si="1244">F600/F618</f>
        <v>1.7987914148780997</v>
      </c>
      <c r="G668" s="879">
        <f t="shared" si="1244"/>
        <v>1.8144928311577144</v>
      </c>
      <c r="H668" s="879">
        <f t="shared" si="1244"/>
        <v>3.5820982052833235</v>
      </c>
      <c r="I668" s="879">
        <f t="shared" si="1244"/>
        <v>2.5756644055419975</v>
      </c>
      <c r="J668" s="1448">
        <f t="shared" si="1244"/>
        <v>1.9464013394333002</v>
      </c>
      <c r="K668" s="879">
        <f t="shared" si="1244"/>
        <v>2.509552364394533</v>
      </c>
      <c r="L668" s="879">
        <f t="shared" si="1244"/>
        <v>2.4474779784790726</v>
      </c>
      <c r="M668" s="879">
        <f t="shared" si="1244"/>
        <v>2.5135985769014937</v>
      </c>
      <c r="N668" s="879"/>
      <c r="O668" s="879"/>
      <c r="P668" s="879"/>
      <c r="Q668" s="879"/>
      <c r="R668" s="879"/>
      <c r="S668" s="820"/>
      <c r="T668" s="877"/>
      <c r="U668" s="878"/>
      <c r="Y668" s="848"/>
      <c r="AC668" s="848"/>
      <c r="AG668" s="848"/>
      <c r="AK668" s="848"/>
      <c r="AO668" s="848"/>
      <c r="AS668" s="848"/>
      <c r="AW668" s="848"/>
      <c r="BA668" s="848"/>
      <c r="BF668" s="820"/>
      <c r="BG668" s="820"/>
      <c r="BH668" s="820"/>
      <c r="BI668" s="820"/>
      <c r="BJ668" s="820"/>
      <c r="BK668" s="820"/>
      <c r="BL668" s="820"/>
      <c r="BM668" s="820"/>
      <c r="BN668" s="820"/>
      <c r="BO668" s="820"/>
      <c r="BP668" s="820"/>
      <c r="BQ668" s="820"/>
      <c r="BR668" s="820"/>
      <c r="BS668" s="820"/>
      <c r="BT668" s="820"/>
      <c r="BU668" s="820"/>
      <c r="BV668" s="820"/>
      <c r="BW668" s="820"/>
      <c r="BX668" s="820"/>
      <c r="BY668" s="820"/>
      <c r="BZ668" s="820"/>
      <c r="CA668" s="820"/>
      <c r="CB668" s="820"/>
      <c r="CC668" s="820"/>
      <c r="CD668" s="826"/>
      <c r="CE668" s="826"/>
      <c r="CG668"/>
      <c r="CH668"/>
      <c r="CI668"/>
      <c r="CJ668"/>
      <c r="CK668"/>
      <c r="CL668"/>
    </row>
    <row r="669" spans="1:90" s="821" customFormat="1" outlineLevel="2">
      <c r="A669" s="1336"/>
      <c r="B669" s="869" t="s">
        <v>31</v>
      </c>
      <c r="C669" s="871"/>
      <c r="D669" s="871"/>
      <c r="E669" s="7">
        <f t="shared" ref="E669:M669" si="1245">-E663/E661</f>
        <v>-0.75498602642276424</v>
      </c>
      <c r="F669" s="7">
        <f t="shared" si="1245"/>
        <v>352.625</v>
      </c>
      <c r="G669" s="7">
        <f t="shared" si="1245"/>
        <v>-0.25489126729838435</v>
      </c>
      <c r="H669" s="7">
        <f t="shared" si="1245"/>
        <v>-0.49536231684761312</v>
      </c>
      <c r="I669" s="7">
        <f t="shared" si="1245"/>
        <v>-0.25484476028517838</v>
      </c>
      <c r="J669" s="1442">
        <f t="shared" si="1245"/>
        <v>-0.20685153103131645</v>
      </c>
      <c r="K669" s="7">
        <f t="shared" si="1245"/>
        <v>-0.25361146785761479</v>
      </c>
      <c r="L669" s="7">
        <f t="shared" si="1245"/>
        <v>-0.32666266205317024</v>
      </c>
      <c r="M669" s="7">
        <f t="shared" si="1245"/>
        <v>-0.41740039489577141</v>
      </c>
      <c r="N669" s="7">
        <f>N663/N661</f>
        <v>0.49449609495383218</v>
      </c>
      <c r="O669" s="7">
        <f>O663/O661</f>
        <v>0.58095963594931999</v>
      </c>
      <c r="P669" s="7">
        <f>P663/P661</f>
        <v>0.65065594295650364</v>
      </c>
      <c r="Q669" s="7">
        <f>Q663/Q661</f>
        <v>0.69743639937081969</v>
      </c>
      <c r="R669" s="7">
        <f>R663/R661</f>
        <v>0.73358690734623</v>
      </c>
      <c r="S669" s="820"/>
      <c r="T669" s="7"/>
      <c r="U669" s="665"/>
      <c r="Y669" s="848"/>
      <c r="AC669" s="848"/>
      <c r="AG669" s="848"/>
      <c r="AK669" s="848"/>
      <c r="AO669" s="848"/>
      <c r="AS669" s="848"/>
      <c r="AW669" s="848"/>
      <c r="BA669" s="848"/>
      <c r="BF669" s="820"/>
      <c r="BG669" s="820"/>
      <c r="BH669" s="820"/>
      <c r="BI669" s="820"/>
      <c r="BJ669" s="820"/>
      <c r="BK669" s="820"/>
      <c r="BL669" s="820"/>
      <c r="BM669" s="820"/>
      <c r="BN669" s="820"/>
      <c r="BO669" s="820"/>
      <c r="BP669" s="820"/>
      <c r="BQ669" s="820"/>
      <c r="BR669" s="820"/>
      <c r="BS669" s="820"/>
      <c r="BT669" s="820"/>
      <c r="BU669" s="820"/>
      <c r="BV669" s="820"/>
      <c r="BW669" s="820"/>
      <c r="BX669" s="820"/>
      <c r="BY669" s="820"/>
      <c r="BZ669" s="820"/>
      <c r="CA669" s="820"/>
      <c r="CB669" s="820"/>
      <c r="CC669" s="820"/>
      <c r="CD669" s="826"/>
      <c r="CE669" s="826"/>
      <c r="CG669"/>
      <c r="CH669"/>
      <c r="CI669"/>
      <c r="CJ669"/>
      <c r="CK669"/>
      <c r="CL669"/>
    </row>
    <row r="670" spans="1:90" s="821" customFormat="1" outlineLevel="2">
      <c r="A670" s="1336"/>
      <c r="B670" s="869" t="s">
        <v>32</v>
      </c>
      <c r="C670" s="871"/>
      <c r="D670" s="871"/>
      <c r="E670" s="880">
        <f>E660/E662</f>
        <v>3.9150468401940738E-2</v>
      </c>
      <c r="F670" s="880">
        <f t="shared" ref="F670:R670" si="1246">F660/F662</f>
        <v>1.0008606469196013</v>
      </c>
      <c r="G670" s="880">
        <f t="shared" si="1246"/>
        <v>0.58334398477553862</v>
      </c>
      <c r="H670" s="880">
        <f t="shared" si="1246"/>
        <v>0.26557829037731273</v>
      </c>
      <c r="I670" s="880">
        <f t="shared" si="1246"/>
        <v>0.20967172094276879</v>
      </c>
      <c r="J670" s="1449">
        <f t="shared" si="1246"/>
        <v>0.2475690293119874</v>
      </c>
      <c r="K670" s="880">
        <f t="shared" si="1246"/>
        <v>0.2743361326286391</v>
      </c>
      <c r="L670" s="880">
        <f t="shared" si="1246"/>
        <v>0.23141039514760367</v>
      </c>
      <c r="M670" s="880">
        <f t="shared" si="1246"/>
        <v>0.19554583721885579</v>
      </c>
      <c r="N670" s="880">
        <f t="shared" si="1246"/>
        <v>0.16459598586550173</v>
      </c>
      <c r="O670" s="880">
        <f t="shared" si="1246"/>
        <v>0.13918385865626684</v>
      </c>
      <c r="P670" s="880">
        <f t="shared" si="1246"/>
        <v>0.11868970999711942</v>
      </c>
      <c r="Q670" s="880">
        <f t="shared" si="1246"/>
        <v>0.10159324871422085</v>
      </c>
      <c r="R670" s="880">
        <f t="shared" si="1246"/>
        <v>8.7883087309175864E-2</v>
      </c>
      <c r="S670" s="820"/>
      <c r="T670" s="877"/>
      <c r="U670" s="878"/>
      <c r="Y670" s="848"/>
      <c r="AC670" s="848"/>
      <c r="AG670" s="848"/>
      <c r="AK670" s="848"/>
      <c r="AO670" s="848"/>
      <c r="AS670" s="848"/>
      <c r="AW670" s="848"/>
      <c r="BA670" s="848"/>
      <c r="BF670" s="820"/>
      <c r="BG670" s="820"/>
      <c r="BH670" s="820"/>
      <c r="BI670" s="820"/>
      <c r="BJ670" s="820"/>
      <c r="BK670" s="820"/>
      <c r="BL670" s="820"/>
      <c r="BM670" s="820"/>
      <c r="BN670" s="820"/>
      <c r="BO670" s="820"/>
      <c r="BP670" s="820"/>
      <c r="BQ670" s="820"/>
      <c r="BR670" s="820"/>
      <c r="BS670" s="820"/>
      <c r="BT670" s="820"/>
      <c r="BU670" s="820"/>
      <c r="BV670" s="820"/>
      <c r="BW670" s="820"/>
      <c r="BX670" s="820"/>
      <c r="BY670" s="820"/>
      <c r="BZ670" s="820"/>
      <c r="CA670" s="820"/>
      <c r="CB670" s="820"/>
      <c r="CC670" s="820"/>
      <c r="CD670" s="826"/>
      <c r="CE670" s="826"/>
      <c r="CG670"/>
      <c r="CH670"/>
      <c r="CI670"/>
      <c r="CJ670"/>
      <c r="CK670"/>
      <c r="CL670"/>
    </row>
    <row r="671" spans="1:90" s="821" customFormat="1" outlineLevel="2">
      <c r="A671" s="1336"/>
      <c r="B671" s="869" t="s">
        <v>781</v>
      </c>
      <c r="C671" s="871"/>
      <c r="D671" s="871"/>
      <c r="E671" s="880"/>
      <c r="F671" s="880"/>
      <c r="G671" s="880"/>
      <c r="H671" s="880"/>
      <c r="I671" s="880"/>
      <c r="J671" s="1449"/>
      <c r="K671" s="880"/>
      <c r="L671" s="880"/>
      <c r="M671" s="880"/>
      <c r="N671" s="880"/>
      <c r="O671" s="880"/>
      <c r="P671" s="880"/>
      <c r="Q671" s="880"/>
      <c r="R671" s="880"/>
      <c r="S671" s="820"/>
      <c r="T671" s="877"/>
      <c r="U671" s="878"/>
      <c r="Y671" s="848"/>
      <c r="AC671" s="848"/>
      <c r="AG671" s="848"/>
      <c r="AK671" s="848"/>
      <c r="AO671" s="848"/>
      <c r="AS671" s="848"/>
      <c r="AW671" s="848"/>
      <c r="BA671" s="848"/>
      <c r="BF671" s="820"/>
      <c r="BG671" s="820"/>
      <c r="BH671" s="820"/>
      <c r="BI671" s="820"/>
      <c r="BJ671" s="820"/>
      <c r="BK671" s="820"/>
      <c r="BL671" s="820"/>
      <c r="BM671" s="820"/>
      <c r="BN671" s="820"/>
      <c r="BO671" s="820"/>
      <c r="BP671" s="820"/>
      <c r="BQ671" s="820"/>
      <c r="BR671" s="820"/>
      <c r="BS671" s="820"/>
      <c r="BT671" s="820"/>
      <c r="BU671" s="820"/>
      <c r="BV671" s="820"/>
      <c r="BW671" s="820"/>
      <c r="BX671" s="820"/>
      <c r="BY671" s="820"/>
      <c r="BZ671" s="820"/>
      <c r="CA671" s="820"/>
      <c r="CB671" s="820"/>
      <c r="CC671" s="820"/>
      <c r="CD671" s="826"/>
      <c r="CE671" s="826"/>
      <c r="CG671"/>
      <c r="CH671"/>
      <c r="CI671"/>
      <c r="CJ671"/>
      <c r="CK671"/>
      <c r="CL671"/>
    </row>
    <row r="672" spans="1:90" s="821" customFormat="1" outlineLevel="2">
      <c r="A672" s="1336"/>
      <c r="B672" s="869"/>
      <c r="C672" s="871"/>
      <c r="D672" s="871"/>
      <c r="E672" s="877"/>
      <c r="F672" s="877"/>
      <c r="G672" s="877"/>
      <c r="H672" s="877"/>
      <c r="I672" s="877"/>
      <c r="J672" s="1447"/>
      <c r="K672" s="877"/>
      <c r="L672" s="877"/>
      <c r="M672" s="877"/>
      <c r="N672" s="877"/>
      <c r="O672" s="877"/>
      <c r="P672" s="877"/>
      <c r="Q672" s="877"/>
      <c r="R672" s="877"/>
      <c r="S672" s="820"/>
      <c r="T672" s="877"/>
      <c r="U672" s="878"/>
      <c r="Y672" s="848"/>
      <c r="AC672" s="848"/>
      <c r="AG672" s="848"/>
      <c r="AK672" s="848"/>
      <c r="AO672" s="848"/>
      <c r="AS672" s="848"/>
      <c r="AW672" s="848"/>
      <c r="BA672" s="848"/>
      <c r="BF672" s="820"/>
      <c r="BG672" s="820"/>
      <c r="BH672" s="820"/>
      <c r="BI672" s="820"/>
      <c r="BJ672" s="820"/>
      <c r="BK672" s="820"/>
      <c r="BL672" s="820"/>
      <c r="BM672" s="820"/>
      <c r="BN672" s="820"/>
      <c r="BO672" s="820"/>
      <c r="BP672" s="820"/>
      <c r="BQ672" s="820"/>
      <c r="BR672" s="820"/>
      <c r="BS672" s="820"/>
      <c r="BT672" s="820"/>
      <c r="BU672" s="820"/>
      <c r="BV672" s="820"/>
      <c r="BW672" s="820"/>
      <c r="BX672" s="820"/>
      <c r="BY672" s="820"/>
      <c r="BZ672" s="820"/>
      <c r="CA672" s="820"/>
      <c r="CB672" s="820"/>
      <c r="CC672" s="820"/>
      <c r="CD672" s="826"/>
      <c r="CE672" s="826"/>
      <c r="CG672"/>
      <c r="CH672"/>
      <c r="CI672"/>
      <c r="CJ672"/>
      <c r="CK672"/>
      <c r="CL672"/>
    </row>
    <row r="673" spans="1:90" s="820" customFormat="1" outlineLevel="1">
      <c r="A673" s="1336"/>
      <c r="B673" s="870"/>
      <c r="C673" s="856"/>
      <c r="D673" s="856"/>
      <c r="E673" s="878"/>
      <c r="F673" s="878"/>
      <c r="G673" s="878"/>
      <c r="H673" s="878"/>
      <c r="I673" s="878"/>
      <c r="J673" s="1450"/>
      <c r="K673" s="878"/>
      <c r="L673" s="878"/>
      <c r="M673" s="878"/>
      <c r="N673" s="878"/>
      <c r="O673" s="878"/>
      <c r="P673" s="878"/>
      <c r="Q673" s="878"/>
      <c r="R673" s="878"/>
      <c r="T673" s="878"/>
      <c r="U673" s="878"/>
      <c r="Y673" s="825"/>
      <c r="AC673" s="825"/>
      <c r="AG673" s="825"/>
      <c r="AK673" s="825"/>
      <c r="AO673" s="825"/>
      <c r="AS673" s="825"/>
      <c r="AW673" s="825"/>
      <c r="BA673" s="825"/>
      <c r="CD673" s="826"/>
      <c r="CE673" s="826"/>
      <c r="CG673"/>
      <c r="CH673"/>
      <c r="CI673"/>
      <c r="CJ673"/>
      <c r="CK673"/>
      <c r="CL673"/>
    </row>
    <row r="674" spans="1:90" s="881" customFormat="1" outlineLevel="1">
      <c r="A674" s="1353"/>
      <c r="B674" s="881" t="s">
        <v>264</v>
      </c>
      <c r="C674" s="882"/>
      <c r="D674" s="882"/>
      <c r="E674" s="883">
        <f t="shared" ref="E674:J674" si="1247">E602</f>
        <v>2463</v>
      </c>
      <c r="F674" s="883">
        <f t="shared" si="1247"/>
        <v>3808</v>
      </c>
      <c r="G674" s="883">
        <f t="shared" si="1247"/>
        <v>5581</v>
      </c>
      <c r="H674" s="883">
        <f t="shared" si="1247"/>
        <v>9139</v>
      </c>
      <c r="I674" s="883">
        <f t="shared" si="1247"/>
        <v>13629</v>
      </c>
      <c r="J674" s="1451">
        <f t="shared" si="1247"/>
        <v>20206</v>
      </c>
      <c r="K674" s="883">
        <f t="shared" ref="K674:R674" si="1248">J674+K675</f>
        <v>38933.370393982201</v>
      </c>
      <c r="L674" s="883">
        <f t="shared" si="1248"/>
        <v>73707.422436194378</v>
      </c>
      <c r="M674" s="883">
        <f t="shared" si="1248"/>
        <v>104389.60429301299</v>
      </c>
      <c r="N674" s="883">
        <f t="shared" si="1248"/>
        <v>128196.64074635725</v>
      </c>
      <c r="O674" s="883">
        <f t="shared" si="1248"/>
        <v>132825.47711515301</v>
      </c>
      <c r="P674" s="883">
        <f t="shared" si="1248"/>
        <v>146431.28918428405</v>
      </c>
      <c r="Q674" s="883">
        <f t="shared" si="1248"/>
        <v>166590.08093317552</v>
      </c>
      <c r="R674" s="883">
        <f t="shared" si="1248"/>
        <v>190194.09388209553</v>
      </c>
      <c r="S674" s="831"/>
      <c r="T674" s="882"/>
      <c r="U674" s="832"/>
      <c r="Y674" s="884"/>
      <c r="AC674" s="884"/>
      <c r="AG674" s="884"/>
      <c r="AK674" s="884"/>
      <c r="AO674" s="884"/>
      <c r="AS674" s="884"/>
      <c r="AW674" s="884"/>
      <c r="BA674" s="884"/>
      <c r="BF674" s="831"/>
      <c r="BG674" s="831"/>
      <c r="BH674" s="831"/>
      <c r="BI674" s="831"/>
      <c r="BJ674" s="831"/>
      <c r="BK674" s="831"/>
      <c r="BL674" s="831"/>
      <c r="BM674" s="831"/>
      <c r="BN674" s="831"/>
      <c r="BO674" s="831"/>
      <c r="BP674" s="831"/>
      <c r="BQ674" s="831"/>
      <c r="BR674" s="831"/>
      <c r="BS674" s="831"/>
      <c r="BT674" s="831"/>
      <c r="BU674" s="831"/>
      <c r="BV674" s="831"/>
      <c r="BW674" s="831"/>
      <c r="BX674" s="831"/>
      <c r="BY674" s="831"/>
      <c r="BZ674" s="831"/>
      <c r="CA674" s="831"/>
      <c r="CB674" s="831"/>
      <c r="CC674" s="831"/>
      <c r="CG674"/>
      <c r="CH674"/>
      <c r="CI674"/>
      <c r="CJ674"/>
      <c r="CK674"/>
      <c r="CL674"/>
    </row>
    <row r="675" spans="1:90" s="821" customFormat="1" outlineLevel="1">
      <c r="A675" s="1336"/>
      <c r="B675" s="885" t="s">
        <v>159</v>
      </c>
      <c r="C675" s="822"/>
      <c r="D675" s="822"/>
      <c r="E675" s="822">
        <f t="shared" ref="E675:R675" si="1249">E683-E697+E715</f>
        <v>1450</v>
      </c>
      <c r="F675" s="822">
        <f t="shared" si="1249"/>
        <v>1695</v>
      </c>
      <c r="G675" s="822">
        <f t="shared" si="1249"/>
        <v>3437</v>
      </c>
      <c r="H675" s="822">
        <f t="shared" si="1249"/>
        <v>5392</v>
      </c>
      <c r="I675" s="822">
        <f t="shared" si="1249"/>
        <v>7157</v>
      </c>
      <c r="J675" s="1430">
        <f t="shared" si="1249"/>
        <v>12335</v>
      </c>
      <c r="K675" s="822">
        <f t="shared" si="1249"/>
        <v>18727.370393982197</v>
      </c>
      <c r="L675" s="822">
        <f t="shared" si="1249"/>
        <v>34774.052042212184</v>
      </c>
      <c r="M675" s="822">
        <f t="shared" si="1249"/>
        <v>30682.181856818606</v>
      </c>
      <c r="N675" s="822">
        <f t="shared" si="1249"/>
        <v>23807.036453344263</v>
      </c>
      <c r="O675" s="822">
        <f t="shared" si="1249"/>
        <v>4628.8363687957535</v>
      </c>
      <c r="P675" s="822">
        <f t="shared" si="1249"/>
        <v>13605.812069131047</v>
      </c>
      <c r="Q675" s="822">
        <f t="shared" si="1249"/>
        <v>20158.791748891483</v>
      </c>
      <c r="R675" s="822">
        <f t="shared" si="1249"/>
        <v>23604.012948920004</v>
      </c>
      <c r="S675" s="820"/>
      <c r="T675" s="822"/>
      <c r="U675" s="835"/>
      <c r="Y675" s="848"/>
      <c r="AC675" s="848"/>
      <c r="AG675" s="848"/>
      <c r="AK675" s="848"/>
      <c r="AO675" s="848"/>
      <c r="AS675" s="848"/>
      <c r="AW675" s="848"/>
      <c r="BA675" s="848"/>
      <c r="BF675" s="820"/>
      <c r="BG675" s="820"/>
      <c r="BH675" s="820"/>
      <c r="BI675" s="820"/>
      <c r="BJ675" s="820"/>
      <c r="BK675" s="820"/>
      <c r="BL675" s="820"/>
      <c r="BM675" s="820"/>
      <c r="BN675" s="820"/>
      <c r="BO675" s="820"/>
      <c r="BP675" s="820"/>
      <c r="BQ675" s="820"/>
      <c r="BR675" s="820"/>
      <c r="BS675" s="820"/>
      <c r="BT675" s="820"/>
      <c r="BU675" s="820"/>
      <c r="BV675" s="820"/>
      <c r="BW675" s="820"/>
      <c r="BX675" s="820"/>
      <c r="BY675" s="820"/>
      <c r="BZ675" s="820"/>
      <c r="CA675" s="820"/>
      <c r="CB675" s="820"/>
      <c r="CC675" s="820"/>
      <c r="CD675" s="826"/>
      <c r="CE675" s="826"/>
      <c r="CG675"/>
      <c r="CH675"/>
      <c r="CI675"/>
      <c r="CJ675"/>
      <c r="CK675"/>
      <c r="CL675"/>
    </row>
    <row r="676" spans="1:90" s="821" customFormat="1" outlineLevel="1">
      <c r="A676" s="1336"/>
      <c r="C676" s="822"/>
      <c r="D676" s="822"/>
      <c r="E676" s="886"/>
      <c r="F676" s="822"/>
      <c r="G676" s="822"/>
      <c r="H676" s="887"/>
      <c r="I676" s="822"/>
      <c r="J676" s="1430"/>
      <c r="K676" s="822"/>
      <c r="L676" s="822"/>
      <c r="M676" s="822"/>
      <c r="N676" s="822"/>
      <c r="O676" s="822"/>
      <c r="P676" s="822"/>
      <c r="Q676" s="822"/>
      <c r="R676" s="822"/>
      <c r="S676" s="820"/>
      <c r="T676" s="822"/>
      <c r="U676" s="835"/>
      <c r="Y676" s="848"/>
      <c r="AC676" s="848"/>
      <c r="AG676" s="848"/>
      <c r="AK676" s="848"/>
      <c r="AO676" s="848"/>
      <c r="AS676" s="848"/>
      <c r="AW676" s="848"/>
      <c r="BA676" s="848"/>
      <c r="BF676" s="820"/>
      <c r="BG676" s="820"/>
      <c r="BH676" s="820"/>
      <c r="BI676" s="820"/>
      <c r="BJ676" s="820"/>
      <c r="BK676" s="820"/>
      <c r="BL676" s="820"/>
      <c r="BM676" s="820"/>
      <c r="BN676" s="820"/>
      <c r="BO676" s="820"/>
      <c r="BP676" s="820"/>
      <c r="BQ676" s="820"/>
      <c r="BR676" s="820"/>
      <c r="BS676" s="820"/>
      <c r="BT676" s="820"/>
      <c r="BU676" s="820"/>
      <c r="BV676" s="820"/>
      <c r="BW676" s="820"/>
      <c r="BX676" s="820"/>
      <c r="BY676" s="820"/>
      <c r="BZ676" s="820"/>
      <c r="CA676" s="820"/>
      <c r="CB676" s="820"/>
      <c r="CC676" s="820"/>
      <c r="CD676" s="826"/>
      <c r="CE676" s="826"/>
      <c r="CG676"/>
      <c r="CH676"/>
      <c r="CI676"/>
      <c r="CJ676"/>
      <c r="CK676"/>
      <c r="CL676"/>
    </row>
    <row r="677" spans="1:90" s="868" customFormat="1" outlineLevel="1">
      <c r="A677" s="1353"/>
      <c r="B677" s="868" t="s">
        <v>265</v>
      </c>
      <c r="C677" s="888"/>
      <c r="D677" s="888"/>
      <c r="E677" s="145">
        <f t="shared" ref="E677:J677" si="1250">SUM(E678:E681)</f>
        <v>4679</v>
      </c>
      <c r="F677" s="145">
        <f t="shared" si="1250"/>
        <v>6494</v>
      </c>
      <c r="G677" s="145">
        <f t="shared" si="1250"/>
        <v>9161</v>
      </c>
      <c r="H677" s="145">
        <f t="shared" si="1250"/>
        <v>14905</v>
      </c>
      <c r="I677" s="145">
        <f t="shared" si="1250"/>
        <v>21810</v>
      </c>
      <c r="J677" s="1436">
        <f t="shared" si="1250"/>
        <v>21810</v>
      </c>
      <c r="K677" s="889">
        <f t="shared" ref="K677:R677" si="1251">J677+K683</f>
        <v>49872.954445274598</v>
      </c>
      <c r="L677" s="889">
        <f t="shared" si="1251"/>
        <v>104833.17691738828</v>
      </c>
      <c r="M677" s="889">
        <f t="shared" si="1251"/>
        <v>167857.25882914523</v>
      </c>
      <c r="N677" s="889">
        <f t="shared" si="1251"/>
        <v>237305.9395711447</v>
      </c>
      <c r="O677" s="889">
        <f t="shared" si="1251"/>
        <v>293108.29442549223</v>
      </c>
      <c r="P677" s="889">
        <f t="shared" si="1251"/>
        <v>359147.53354464716</v>
      </c>
      <c r="Q677" s="889">
        <f t="shared" si="1251"/>
        <v>432921.7295079123</v>
      </c>
      <c r="R677" s="889">
        <f t="shared" si="1251"/>
        <v>510801.66755041183</v>
      </c>
      <c r="S677" s="831"/>
      <c r="T677" s="890"/>
      <c r="U677" s="891"/>
      <c r="Y677" s="892"/>
      <c r="AC677" s="892"/>
      <c r="AG677" s="892"/>
      <c r="AK677" s="892"/>
      <c r="AO677" s="892"/>
      <c r="AS677" s="892"/>
      <c r="AW677" s="892"/>
      <c r="BA677" s="892"/>
      <c r="BF677" s="831"/>
      <c r="BG677" s="831"/>
      <c r="BH677" s="831"/>
      <c r="BI677" s="831"/>
      <c r="BJ677" s="831"/>
      <c r="BK677" s="831"/>
      <c r="BL677" s="831"/>
      <c r="BM677" s="831"/>
      <c r="BN677" s="831"/>
      <c r="BO677" s="831"/>
      <c r="BP677" s="831"/>
      <c r="BQ677" s="831"/>
      <c r="BR677" s="831"/>
      <c r="BS677" s="831"/>
      <c r="BT677" s="831"/>
      <c r="BU677" s="831"/>
      <c r="BV677" s="831"/>
      <c r="BW677" s="831"/>
      <c r="BX677" s="831"/>
      <c r="BY677" s="831"/>
      <c r="BZ677" s="831"/>
      <c r="CA677" s="831"/>
      <c r="CB677" s="831"/>
      <c r="CC677" s="831"/>
      <c r="CD677" s="893"/>
      <c r="CE677" s="893"/>
      <c r="CG677"/>
      <c r="CH677"/>
      <c r="CI677"/>
      <c r="CJ677"/>
      <c r="CK677"/>
      <c r="CL677"/>
    </row>
    <row r="678" spans="1:90" s="821" customFormat="1" outlineLevel="1">
      <c r="A678" s="1336"/>
      <c r="B678" s="894" t="s">
        <v>260</v>
      </c>
      <c r="C678" s="822"/>
      <c r="D678" s="822"/>
      <c r="E678" s="844">
        <v>2899</v>
      </c>
      <c r="F678" s="844">
        <v>3640</v>
      </c>
      <c r="G678" s="844">
        <v>5675</v>
      </c>
      <c r="H678" s="844">
        <v>9829</v>
      </c>
      <c r="I678" s="895">
        <v>13289</v>
      </c>
      <c r="J678" s="1452">
        <v>13289</v>
      </c>
      <c r="K678" s="30"/>
      <c r="L678" s="30"/>
      <c r="M678" s="30"/>
      <c r="N678" s="30"/>
      <c r="O678" s="30"/>
      <c r="P678" s="30"/>
      <c r="Q678" s="30"/>
      <c r="R678" s="30"/>
      <c r="S678" s="820"/>
      <c r="T678" s="896"/>
      <c r="U678" s="897"/>
      <c r="Y678" s="848"/>
      <c r="AC678" s="848"/>
      <c r="AG678" s="848"/>
      <c r="AK678" s="848"/>
      <c r="AO678" s="848"/>
      <c r="AS678" s="848"/>
      <c r="AW678" s="848"/>
      <c r="BA678" s="848"/>
      <c r="BF678" s="820"/>
      <c r="BG678" s="820"/>
      <c r="BH678" s="820"/>
      <c r="BI678" s="820"/>
      <c r="BJ678" s="820"/>
      <c r="BK678" s="820"/>
      <c r="BL678" s="820"/>
      <c r="BM678" s="820"/>
      <c r="BN678" s="820"/>
      <c r="BO678" s="820"/>
      <c r="BP678" s="820"/>
      <c r="BQ678" s="820"/>
      <c r="BR678" s="820"/>
      <c r="BS678" s="820"/>
      <c r="BT678" s="820"/>
      <c r="BU678" s="820"/>
      <c r="BV678" s="820"/>
      <c r="BW678" s="820"/>
      <c r="BX678" s="820"/>
      <c r="BY678" s="820"/>
      <c r="BZ678" s="820"/>
      <c r="CA678" s="820"/>
      <c r="CB678" s="820"/>
      <c r="CC678" s="820"/>
      <c r="CD678" s="826"/>
      <c r="CE678" s="826"/>
      <c r="CG678"/>
      <c r="CH678"/>
      <c r="CI678"/>
      <c r="CJ678"/>
      <c r="CK678"/>
      <c r="CL678"/>
    </row>
    <row r="679" spans="1:90" s="821" customFormat="1" outlineLevel="1">
      <c r="A679" s="1336"/>
      <c r="B679" s="894" t="s">
        <v>261</v>
      </c>
      <c r="C679" s="822"/>
      <c r="D679" s="822"/>
      <c r="E679" s="844">
        <v>215</v>
      </c>
      <c r="F679" s="844">
        <v>242</v>
      </c>
      <c r="G679" s="844">
        <v>272</v>
      </c>
      <c r="H679" s="844">
        <v>430</v>
      </c>
      <c r="I679" s="895">
        <v>483</v>
      </c>
      <c r="J679" s="1452">
        <v>483</v>
      </c>
      <c r="K679" s="30"/>
      <c r="L679" s="30"/>
      <c r="M679" s="30"/>
      <c r="N679" s="30"/>
      <c r="O679" s="30"/>
      <c r="P679" s="30"/>
      <c r="Q679" s="30"/>
      <c r="R679" s="30"/>
      <c r="S679" s="820"/>
      <c r="T679" s="896"/>
      <c r="U679" s="897"/>
      <c r="Y679" s="848"/>
      <c r="AC679" s="848"/>
      <c r="AG679" s="848"/>
      <c r="AK679" s="848"/>
      <c r="AO679" s="848"/>
      <c r="AS679" s="848"/>
      <c r="AW679" s="848"/>
      <c r="BA679" s="848"/>
      <c r="BF679" s="820"/>
      <c r="BG679" s="820"/>
      <c r="BH679" s="820"/>
      <c r="BI679" s="820"/>
      <c r="BJ679" s="820"/>
      <c r="BK679" s="820"/>
      <c r="BL679" s="820"/>
      <c r="BM679" s="820"/>
      <c r="BN679" s="820"/>
      <c r="BO679" s="820"/>
      <c r="BP679" s="820"/>
      <c r="BQ679" s="820"/>
      <c r="BR679" s="820"/>
      <c r="BS679" s="820"/>
      <c r="BT679" s="820"/>
      <c r="BU679" s="820"/>
      <c r="BV679" s="820"/>
      <c r="BW679" s="820"/>
      <c r="BX679" s="820"/>
      <c r="BY679" s="820"/>
      <c r="BZ679" s="820"/>
      <c r="CA679" s="820"/>
      <c r="CB679" s="820"/>
      <c r="CC679" s="820"/>
      <c r="CD679" s="826"/>
      <c r="CE679" s="826"/>
      <c r="CG679"/>
      <c r="CH679"/>
      <c r="CI679"/>
      <c r="CJ679"/>
      <c r="CK679"/>
      <c r="CL679"/>
    </row>
    <row r="680" spans="1:90" s="821" customFormat="1" outlineLevel="1">
      <c r="A680" s="1336"/>
      <c r="B680" s="894" t="s">
        <v>262</v>
      </c>
      <c r="C680" s="822"/>
      <c r="D680" s="822"/>
      <c r="E680" s="844">
        <v>863</v>
      </c>
      <c r="F680" s="844">
        <v>892</v>
      </c>
      <c r="G680" s="844">
        <v>2434</v>
      </c>
      <c r="H680" s="844">
        <v>2828</v>
      </c>
      <c r="I680" s="895">
        <v>6155</v>
      </c>
      <c r="J680" s="1452">
        <v>6155</v>
      </c>
      <c r="K680" s="30"/>
      <c r="L680" s="30"/>
      <c r="M680" s="30"/>
      <c r="N680" s="30"/>
      <c r="O680" s="30"/>
      <c r="P680" s="30"/>
      <c r="Q680" s="30"/>
      <c r="R680" s="30"/>
      <c r="S680" s="820"/>
      <c r="T680" s="896"/>
      <c r="U680" s="897"/>
      <c r="Y680" s="848"/>
      <c r="AC680" s="848"/>
      <c r="AG680" s="848"/>
      <c r="AK680" s="848"/>
      <c r="AO680" s="848"/>
      <c r="AS680" s="848"/>
      <c r="AW680" s="848"/>
      <c r="BA680" s="848"/>
      <c r="BF680" s="820"/>
      <c r="BG680" s="820"/>
      <c r="BH680" s="820"/>
      <c r="BI680" s="820"/>
      <c r="BJ680" s="820"/>
      <c r="BK680" s="820"/>
      <c r="BL680" s="820"/>
      <c r="BM680" s="820"/>
      <c r="BN680" s="820"/>
      <c r="BO680" s="820"/>
      <c r="BP680" s="820"/>
      <c r="BQ680" s="820"/>
      <c r="BR680" s="820"/>
      <c r="BS680" s="820"/>
      <c r="BT680" s="820"/>
      <c r="BU680" s="820"/>
      <c r="BV680" s="820"/>
      <c r="BW680" s="820"/>
      <c r="BX680" s="820"/>
      <c r="BY680" s="820"/>
      <c r="BZ680" s="820"/>
      <c r="CA680" s="820"/>
      <c r="CB680" s="820"/>
      <c r="CC680" s="820"/>
      <c r="CD680" s="826"/>
      <c r="CE680" s="826"/>
      <c r="CG680"/>
      <c r="CH680"/>
      <c r="CI680"/>
      <c r="CJ680"/>
      <c r="CK680"/>
      <c r="CL680"/>
    </row>
    <row r="681" spans="1:90" s="821" customFormat="1" outlineLevel="1">
      <c r="A681" s="1336"/>
      <c r="B681" s="894" t="s">
        <v>263</v>
      </c>
      <c r="C681" s="822"/>
      <c r="D681" s="822"/>
      <c r="E681" s="844">
        <v>702</v>
      </c>
      <c r="F681" s="844">
        <v>1720</v>
      </c>
      <c r="G681" s="844">
        <v>780</v>
      </c>
      <c r="H681" s="844">
        <v>1818</v>
      </c>
      <c r="I681" s="895">
        <v>1883</v>
      </c>
      <c r="J681" s="1452">
        <v>1883</v>
      </c>
      <c r="K681" s="30"/>
      <c r="L681" s="30"/>
      <c r="M681" s="30"/>
      <c r="N681" s="30"/>
      <c r="O681" s="30"/>
      <c r="P681" s="30"/>
      <c r="Q681" s="30"/>
      <c r="R681" s="30"/>
      <c r="S681" s="820"/>
      <c r="T681" s="896"/>
      <c r="U681" s="897"/>
      <c r="Y681" s="848"/>
      <c r="AC681" s="848"/>
      <c r="AG681" s="848"/>
      <c r="AK681" s="848"/>
      <c r="AO681" s="848"/>
      <c r="AS681" s="848"/>
      <c r="AW681" s="848"/>
      <c r="BA681" s="848"/>
      <c r="BF681" s="820"/>
      <c r="BG681" s="820"/>
      <c r="BH681" s="820"/>
      <c r="BI681" s="820"/>
      <c r="BJ681" s="820"/>
      <c r="BK681" s="820"/>
      <c r="BL681" s="820"/>
      <c r="BM681" s="820"/>
      <c r="BN681" s="820"/>
      <c r="BO681" s="820"/>
      <c r="BP681" s="820"/>
      <c r="BQ681" s="820"/>
      <c r="BR681" s="820"/>
      <c r="BS681" s="820"/>
      <c r="BT681" s="820"/>
      <c r="BU681" s="820"/>
      <c r="BV681" s="820"/>
      <c r="BW681" s="820"/>
      <c r="BX681" s="820"/>
      <c r="BY681" s="820"/>
      <c r="BZ681" s="820"/>
      <c r="CA681" s="820"/>
      <c r="CB681" s="820"/>
      <c r="CC681" s="820"/>
      <c r="CD681" s="826"/>
      <c r="CE681" s="826"/>
      <c r="CG681"/>
      <c r="CH681"/>
      <c r="CI681"/>
      <c r="CJ681"/>
      <c r="CK681"/>
      <c r="CL681"/>
    </row>
    <row r="682" spans="1:90" s="821" customFormat="1" outlineLevel="1">
      <c r="A682" s="1336"/>
      <c r="C682" s="822"/>
      <c r="D682" s="822"/>
      <c r="E682" s="886"/>
      <c r="F682" s="822"/>
      <c r="G682" s="7"/>
      <c r="H682" s="887"/>
      <c r="I682" s="898"/>
      <c r="J682" s="1453"/>
      <c r="K682" s="898"/>
      <c r="L682" s="898"/>
      <c r="M682" s="898"/>
      <c r="N682" s="898"/>
      <c r="O682" s="898"/>
      <c r="P682" s="898"/>
      <c r="Q682" s="898"/>
      <c r="R682" s="898"/>
      <c r="S682" s="820"/>
      <c r="T682" s="822"/>
      <c r="U682" s="835"/>
      <c r="Y682" s="848"/>
      <c r="AC682" s="848"/>
      <c r="AG682" s="848"/>
      <c r="AK682" s="848"/>
      <c r="AO682" s="848"/>
      <c r="AP682" s="1231"/>
      <c r="AQ682" s="1231"/>
      <c r="AR682" s="1231"/>
      <c r="AS682" s="1232"/>
      <c r="AW682" s="848"/>
      <c r="BA682" s="848"/>
      <c r="BF682" s="820"/>
      <c r="BG682" s="820"/>
      <c r="BH682" s="820"/>
      <c r="BI682" s="820"/>
      <c r="BJ682" s="820"/>
      <c r="BK682" s="820"/>
      <c r="BL682" s="820"/>
      <c r="BM682" s="820"/>
      <c r="BN682" s="820"/>
      <c r="BO682" s="820"/>
      <c r="BP682" s="820"/>
      <c r="BQ682" s="820"/>
      <c r="BR682" s="820"/>
      <c r="BS682" s="820"/>
      <c r="BT682" s="820"/>
      <c r="BU682" s="820"/>
      <c r="BV682" s="820"/>
      <c r="BW682" s="820"/>
      <c r="BX682" s="820"/>
      <c r="BY682" s="820"/>
      <c r="BZ682" s="820"/>
      <c r="CA682" s="820"/>
      <c r="CB682" s="820"/>
      <c r="CC682" s="820"/>
      <c r="CD682" s="826"/>
      <c r="CE682" s="826"/>
      <c r="CG682"/>
      <c r="CH682"/>
      <c r="CI682"/>
      <c r="CJ682"/>
      <c r="CK682"/>
      <c r="CL682"/>
    </row>
    <row r="683" spans="1:90" s="821" customFormat="1" outlineLevel="1">
      <c r="A683" s="1336"/>
      <c r="B683" s="899" t="s">
        <v>176</v>
      </c>
      <c r="C683" s="822"/>
      <c r="D683" s="822"/>
      <c r="E683" s="845">
        <f>-(Model!E792+Model!E793)</f>
        <v>2168</v>
      </c>
      <c r="F683" s="845">
        <f>-(Model!F792+Model!F793)</f>
        <v>2503</v>
      </c>
      <c r="G683" s="845">
        <f>-(Model!G792+Model!G793)</f>
        <v>4776</v>
      </c>
      <c r="H683" s="845">
        <f>-(Model!H792+Model!H793)</f>
        <v>7705</v>
      </c>
      <c r="I683" s="845">
        <f>-(Model!I792+Model!I793)</f>
        <v>10845</v>
      </c>
      <c r="J683" s="1435">
        <f>-(Model!J792+Model!J793)</f>
        <v>17546</v>
      </c>
      <c r="K683" s="846">
        <f t="shared" ref="K683:R683" si="1252">K687+K689</f>
        <v>28062.954445274598</v>
      </c>
      <c r="L683" s="846">
        <f t="shared" si="1252"/>
        <v>54960.222472113688</v>
      </c>
      <c r="M683" s="846">
        <f t="shared" si="1252"/>
        <v>63024.081911756934</v>
      </c>
      <c r="N683" s="846">
        <f t="shared" si="1252"/>
        <v>69448.680741999473</v>
      </c>
      <c r="O683" s="846">
        <f t="shared" si="1252"/>
        <v>55802.354854347519</v>
      </c>
      <c r="P683" s="846">
        <f t="shared" si="1252"/>
        <v>66039.239119154896</v>
      </c>
      <c r="Q683" s="846">
        <f t="shared" si="1252"/>
        <v>73774.195963265171</v>
      </c>
      <c r="R683" s="846">
        <f t="shared" si="1252"/>
        <v>77879.938042499532</v>
      </c>
      <c r="S683" s="820"/>
      <c r="T683" s="822"/>
      <c r="U683" s="835"/>
      <c r="Y683" s="848"/>
      <c r="AC683" s="848"/>
      <c r="AG683" s="848"/>
      <c r="AK683" s="848"/>
      <c r="AL683" s="1230">
        <f>4703-AM683</f>
        <v>1307</v>
      </c>
      <c r="AM683" s="1230">
        <v>3396</v>
      </c>
      <c r="AN683" s="1230">
        <v>1513</v>
      </c>
      <c r="AO683" s="1229">
        <v>1489</v>
      </c>
      <c r="AP683" s="1230">
        <v>1787</v>
      </c>
      <c r="AQ683" s="1230">
        <v>3177</v>
      </c>
      <c r="AR683" s="1230">
        <v>4896</v>
      </c>
      <c r="AS683" s="1229">
        <v>985</v>
      </c>
      <c r="AT683" s="1230">
        <v>3259</v>
      </c>
      <c r="AU683" s="1230">
        <v>3579</v>
      </c>
      <c r="AV683" s="1230">
        <v>7301</v>
      </c>
      <c r="AW683" s="1229">
        <v>3407</v>
      </c>
      <c r="AX683" s="1230">
        <v>3589</v>
      </c>
      <c r="AY683" s="1230">
        <v>8673</v>
      </c>
      <c r="AZ683" s="1230">
        <v>10422</v>
      </c>
      <c r="BA683" s="848"/>
      <c r="BF683" s="820"/>
      <c r="BG683" s="820"/>
      <c r="BH683" s="820"/>
      <c r="BI683" s="820"/>
      <c r="BJ683" s="820"/>
      <c r="BK683" s="489">
        <f>F683*0.25+G683*0.75</f>
        <v>4207.75</v>
      </c>
      <c r="BL683" s="489">
        <f t="shared" ref="BL683:BV683" si="1253">G683*0.25+H683*0.75</f>
        <v>6972.75</v>
      </c>
      <c r="BM683" s="489">
        <f t="shared" si="1253"/>
        <v>10060</v>
      </c>
      <c r="BN683" s="489">
        <f t="shared" si="1253"/>
        <v>15870.75</v>
      </c>
      <c r="BO683" s="489">
        <f t="shared" si="1253"/>
        <v>25433.715833955946</v>
      </c>
      <c r="BP683" s="489">
        <f t="shared" si="1253"/>
        <v>48235.905465403921</v>
      </c>
      <c r="BQ683" s="489">
        <f t="shared" si="1253"/>
        <v>61008.117051846115</v>
      </c>
      <c r="BR683" s="489">
        <f t="shared" si="1253"/>
        <v>67842.531034438842</v>
      </c>
      <c r="BS683" s="489">
        <f t="shared" si="1253"/>
        <v>59213.936326260504</v>
      </c>
      <c r="BT683" s="489">
        <f t="shared" si="1253"/>
        <v>63480.018052953048</v>
      </c>
      <c r="BU683" s="489">
        <f t="shared" si="1253"/>
        <v>71840.456752237602</v>
      </c>
      <c r="BV683" s="489">
        <f t="shared" si="1253"/>
        <v>76853.502522690949</v>
      </c>
      <c r="BW683" s="820"/>
      <c r="BX683" s="820"/>
      <c r="BY683" s="820"/>
      <c r="BZ683" s="820"/>
      <c r="CA683" s="820"/>
      <c r="CB683" s="820"/>
      <c r="CC683" s="820"/>
      <c r="CD683" s="826"/>
      <c r="CE683" s="826"/>
      <c r="CG683"/>
      <c r="CH683"/>
      <c r="CI683"/>
      <c r="CJ683"/>
      <c r="CK683"/>
      <c r="CL683"/>
    </row>
    <row r="684" spans="1:90" s="821" customFormat="1" outlineLevel="1">
      <c r="A684" s="1336"/>
      <c r="B684" s="885" t="s">
        <v>177</v>
      </c>
      <c r="C684" s="871"/>
      <c r="D684" s="880"/>
      <c r="E684" s="880"/>
      <c r="F684" s="880">
        <f t="shared" ref="F684:R684" si="1254">F683/E683-1</f>
        <v>0.15452029520295207</v>
      </c>
      <c r="G684" s="880">
        <f t="shared" si="1254"/>
        <v>0.90811026767878555</v>
      </c>
      <c r="H684" s="880">
        <f t="shared" si="1254"/>
        <v>0.6132747068676716</v>
      </c>
      <c r="I684" s="880">
        <f t="shared" si="1254"/>
        <v>0.40752757949383511</v>
      </c>
      <c r="J684" s="1449">
        <f t="shared" si="1254"/>
        <v>0.6178884278469341</v>
      </c>
      <c r="K684" s="880">
        <f t="shared" si="1254"/>
        <v>0.59939327740080928</v>
      </c>
      <c r="L684" s="880">
        <f t="shared" si="1254"/>
        <v>0.95846173571251359</v>
      </c>
      <c r="M684" s="880">
        <f t="shared" si="1254"/>
        <v>0.14672173941316879</v>
      </c>
      <c r="N684" s="880">
        <f t="shared" si="1254"/>
        <v>0.10193879284489915</v>
      </c>
      <c r="O684" s="880">
        <f t="shared" si="1254"/>
        <v>-0.19649510605317033</v>
      </c>
      <c r="P684" s="880">
        <f t="shared" si="1254"/>
        <v>0.18344896539809419</v>
      </c>
      <c r="Q684" s="880">
        <f t="shared" si="1254"/>
        <v>0.11712668024769424</v>
      </c>
      <c r="R684" s="880">
        <f t="shared" si="1254"/>
        <v>5.5652820415403204E-2</v>
      </c>
      <c r="S684" s="820"/>
      <c r="T684" s="880"/>
      <c r="U684" s="900"/>
      <c r="Y684" s="848"/>
      <c r="AC684" s="848"/>
      <c r="AG684" s="848"/>
      <c r="AK684" s="848"/>
      <c r="AO684" s="848"/>
      <c r="AS684" s="848"/>
      <c r="AW684" s="848"/>
      <c r="BA684" s="848"/>
      <c r="BF684" s="820"/>
      <c r="BG684" s="820"/>
      <c r="BH684" s="820"/>
      <c r="BI684" s="820"/>
      <c r="BJ684" s="820"/>
      <c r="BK684" s="820"/>
      <c r="BL684" s="820"/>
      <c r="BM684" s="820"/>
      <c r="BN684" s="820"/>
      <c r="BO684" s="820"/>
      <c r="BP684" s="820"/>
      <c r="BQ684" s="820"/>
      <c r="BR684" s="820"/>
      <c r="BS684" s="820"/>
      <c r="BT684" s="820"/>
      <c r="BU684" s="820"/>
      <c r="BV684" s="820"/>
      <c r="BW684" s="820"/>
      <c r="BX684" s="820"/>
      <c r="BY684" s="820"/>
      <c r="BZ684" s="820"/>
      <c r="CA684" s="820"/>
      <c r="CB684" s="820"/>
      <c r="CC684" s="820"/>
      <c r="CD684" s="826"/>
      <c r="CE684" s="826"/>
      <c r="CG684"/>
      <c r="CH684"/>
      <c r="CI684"/>
      <c r="CJ684"/>
      <c r="CK684"/>
      <c r="CL684"/>
    </row>
    <row r="685" spans="1:90" s="821" customFormat="1" outlineLevel="1">
      <c r="A685" s="1336"/>
      <c r="B685" s="885" t="s">
        <v>178</v>
      </c>
      <c r="C685" s="871"/>
      <c r="D685" s="880"/>
      <c r="E685" s="880">
        <f t="shared" ref="E685:R685" si="1255">E683/E336</f>
        <v>0.10826466916354557</v>
      </c>
      <c r="F685" s="880">
        <f t="shared" si="1255"/>
        <v>7.2514992612335946E-2</v>
      </c>
      <c r="G685" s="880">
        <f t="shared" si="1255"/>
        <v>9.0964497943013867E-2</v>
      </c>
      <c r="H685" s="880">
        <f t="shared" si="1255"/>
        <v>0.10111017794341505</v>
      </c>
      <c r="I685" s="880">
        <f t="shared" si="1255"/>
        <v>0.10722442482425873</v>
      </c>
      <c r="J685" s="1449">
        <f t="shared" si="1255"/>
        <v>0.11085908525143265</v>
      </c>
      <c r="K685" s="880">
        <f t="shared" si="1255"/>
        <v>0.11299999999999999</v>
      </c>
      <c r="L685" s="880">
        <f t="shared" si="1255"/>
        <v>0.16250000000000001</v>
      </c>
      <c r="M685" s="880">
        <f t="shared" si="1255"/>
        <v>0.14324999999999999</v>
      </c>
      <c r="N685" s="880">
        <f t="shared" si="1255"/>
        <v>0.12923750000000001</v>
      </c>
      <c r="O685" s="880">
        <f t="shared" si="1255"/>
        <v>8.6275625000000009E-2</v>
      </c>
      <c r="P685" s="880">
        <f t="shared" si="1255"/>
        <v>8.4001843750000013E-2</v>
      </c>
      <c r="Q685" s="880">
        <f t="shared" si="1255"/>
        <v>8.1493751562500008E-2</v>
      </c>
      <c r="R685" s="880">
        <f t="shared" si="1255"/>
        <v>7.5669063984374993E-2</v>
      </c>
      <c r="S685" s="820"/>
      <c r="T685" s="880"/>
      <c r="U685" s="900"/>
      <c r="Y685" s="848"/>
      <c r="AC685" s="848"/>
      <c r="AG685" s="848"/>
      <c r="AK685" s="848"/>
      <c r="AO685" s="848"/>
      <c r="AS685" s="848"/>
      <c r="AW685" s="848"/>
      <c r="BA685" s="848"/>
      <c r="BF685" s="820"/>
      <c r="BG685" s="820"/>
      <c r="BH685" s="820"/>
      <c r="BI685" s="820"/>
      <c r="BJ685" s="820"/>
      <c r="BK685" s="820"/>
      <c r="BL685" s="820"/>
      <c r="BM685" s="820"/>
      <c r="BN685" s="820"/>
      <c r="BO685" s="820"/>
      <c r="BP685" s="820"/>
      <c r="BQ685" s="820"/>
      <c r="BR685" s="820"/>
      <c r="BS685" s="820"/>
      <c r="BT685" s="820"/>
      <c r="BU685" s="820"/>
      <c r="BV685" s="820"/>
      <c r="BW685" s="820"/>
      <c r="BX685" s="820"/>
      <c r="BY685" s="820"/>
      <c r="BZ685" s="820"/>
      <c r="CA685" s="820"/>
      <c r="CB685" s="820"/>
      <c r="CC685" s="820"/>
      <c r="CD685" s="826"/>
      <c r="CE685" s="826"/>
      <c r="CG685"/>
      <c r="CH685"/>
      <c r="CI685"/>
      <c r="CJ685"/>
      <c r="CK685"/>
      <c r="CL685"/>
    </row>
    <row r="686" spans="1:90" s="821" customFormat="1" outlineLevel="1">
      <c r="A686" s="1336"/>
      <c r="B686" s="901" t="s">
        <v>692</v>
      </c>
      <c r="C686" s="871"/>
      <c r="D686" s="880"/>
      <c r="E686" s="880"/>
      <c r="F686" s="880"/>
      <c r="G686" s="880"/>
      <c r="H686" s="880"/>
      <c r="I686" s="880"/>
      <c r="J686" s="1449"/>
      <c r="K686" s="880"/>
      <c r="L686" s="905">
        <v>27947.184011713092</v>
      </c>
      <c r="M686" s="905">
        <v>34346.415287206197</v>
      </c>
      <c r="N686" s="905">
        <v>39521.806141272049</v>
      </c>
      <c r="O686" s="905">
        <v>44580.003080565562</v>
      </c>
      <c r="P686" s="905">
        <v>53234.82277253284</v>
      </c>
      <c r="Q686" s="905">
        <v>60691.351323583374</v>
      </c>
      <c r="R686" s="905">
        <v>68283.982230840629</v>
      </c>
      <c r="S686" s="820"/>
      <c r="T686" s="880"/>
      <c r="U686" s="900"/>
      <c r="Y686" s="848"/>
      <c r="AC686" s="848"/>
      <c r="AG686" s="848"/>
      <c r="AK686" s="848"/>
      <c r="AO686" s="848"/>
      <c r="AS686" s="848"/>
      <c r="AW686" s="848"/>
      <c r="BA686" s="848"/>
      <c r="BF686" s="820"/>
      <c r="BG686" s="820"/>
      <c r="BH686" s="820"/>
      <c r="BI686" s="820"/>
      <c r="BJ686" s="820"/>
      <c r="BK686" s="820"/>
      <c r="BL686" s="820"/>
      <c r="BM686" s="820"/>
      <c r="BN686" s="820"/>
      <c r="BO686" s="820"/>
      <c r="BP686" s="820"/>
      <c r="BQ686" s="820"/>
      <c r="BR686" s="820"/>
      <c r="BS686" s="820"/>
      <c r="BT686" s="820"/>
      <c r="BU686" s="820"/>
      <c r="BV686" s="820"/>
      <c r="BW686" s="820"/>
      <c r="BX686" s="820"/>
      <c r="BY686" s="820"/>
      <c r="BZ686" s="820"/>
      <c r="CA686" s="820"/>
      <c r="CB686" s="820"/>
      <c r="CC686" s="820"/>
      <c r="CD686" s="826"/>
      <c r="CE686" s="826"/>
      <c r="CG686"/>
      <c r="CH686"/>
      <c r="CI686"/>
      <c r="CJ686"/>
      <c r="CK686"/>
      <c r="CL686"/>
    </row>
    <row r="687" spans="1:90" s="821" customFormat="1" outlineLevel="1">
      <c r="A687" s="1336"/>
      <c r="B687" s="885" t="s">
        <v>374</v>
      </c>
      <c r="C687" s="871"/>
      <c r="D687" s="880"/>
      <c r="E687" s="902">
        <f>-Model!E792</f>
        <v>1419</v>
      </c>
      <c r="F687" s="902">
        <f>-Model!F792</f>
        <v>1457</v>
      </c>
      <c r="G687" s="902">
        <f>-Model!G792</f>
        <v>1491</v>
      </c>
      <c r="H687" s="902">
        <f>-Model!H792</f>
        <v>2935</v>
      </c>
      <c r="I687" s="902">
        <f>-Model!I792</f>
        <v>5407</v>
      </c>
      <c r="J687" s="1454">
        <f>-Model!J792</f>
        <v>5326</v>
      </c>
      <c r="K687" s="30">
        <f t="shared" ref="K687:R687" si="1256">K688*K336</f>
        <v>6208.618240105</v>
      </c>
      <c r="L687" s="30">
        <f t="shared" si="1256"/>
        <v>7609.8769576772802</v>
      </c>
      <c r="M687" s="30">
        <f t="shared" si="1256"/>
        <v>8909.1634116096211</v>
      </c>
      <c r="N687" s="30">
        <f t="shared" si="1256"/>
        <v>10337.703807131948</v>
      </c>
      <c r="O687" s="30">
        <f t="shared" si="1256"/>
        <v>11820.521861591671</v>
      </c>
      <c r="P687" s="30">
        <f t="shared" si="1256"/>
        <v>13649.259346830169</v>
      </c>
      <c r="Q687" s="30">
        <f t="shared" si="1256"/>
        <v>14931.368805718503</v>
      </c>
      <c r="R687" s="30">
        <f t="shared" si="1256"/>
        <v>16126.877590808688</v>
      </c>
      <c r="S687" s="820"/>
      <c r="T687" s="30"/>
      <c r="U687" s="653"/>
      <c r="Y687" s="848"/>
      <c r="AC687" s="848"/>
      <c r="AG687" s="848"/>
      <c r="AK687" s="848"/>
      <c r="AO687" s="848"/>
      <c r="AS687" s="848"/>
      <c r="AW687" s="848"/>
      <c r="BA687" s="848"/>
      <c r="BF687" s="820"/>
      <c r="BG687" s="820"/>
      <c r="BH687" s="820"/>
      <c r="BI687" s="820"/>
      <c r="BJ687" s="820"/>
      <c r="BK687" s="820"/>
      <c r="BL687" s="820"/>
      <c r="BM687" s="820"/>
      <c r="BN687" s="820"/>
      <c r="BO687" s="820"/>
      <c r="BP687" s="820"/>
      <c r="BQ687" s="820"/>
      <c r="BR687" s="820"/>
      <c r="BS687" s="820"/>
      <c r="BT687" s="820"/>
      <c r="BU687" s="820"/>
      <c r="BV687" s="820"/>
      <c r="BW687" s="820"/>
      <c r="BX687" s="820"/>
      <c r="BY687" s="820"/>
      <c r="BZ687" s="820"/>
      <c r="CA687" s="820"/>
      <c r="CB687" s="820"/>
      <c r="CC687" s="820"/>
      <c r="CD687" s="826"/>
      <c r="CE687" s="826"/>
      <c r="CG687"/>
      <c r="CH687"/>
      <c r="CI687"/>
      <c r="CJ687"/>
      <c r="CK687"/>
      <c r="CL687"/>
    </row>
    <row r="688" spans="1:90" s="821" customFormat="1" outlineLevel="1">
      <c r="A688" s="1336"/>
      <c r="B688" s="903" t="s">
        <v>178</v>
      </c>
      <c r="C688" s="871"/>
      <c r="D688" s="880"/>
      <c r="E688" s="880">
        <f t="shared" ref="E688:J688" si="1257">E687/E336</f>
        <v>7.0861423220973788E-2</v>
      </c>
      <c r="F688" s="880">
        <f t="shared" si="1257"/>
        <v>4.2211084393197554E-2</v>
      </c>
      <c r="G688" s="880">
        <f t="shared" si="1257"/>
        <v>2.839783635532531E-2</v>
      </c>
      <c r="H688" s="880">
        <f t="shared" si="1257"/>
        <v>3.8515038580651938E-2</v>
      </c>
      <c r="I688" s="880">
        <f t="shared" si="1257"/>
        <v>5.3458964041011241E-2</v>
      </c>
      <c r="J688" s="1449">
        <f t="shared" si="1257"/>
        <v>3.3650717431273812E-2</v>
      </c>
      <c r="K688" s="904">
        <v>2.5000000000000001E-2</v>
      </c>
      <c r="L688" s="904">
        <f>K688*0.9</f>
        <v>2.2500000000000003E-2</v>
      </c>
      <c r="M688" s="904">
        <f>L688*0.9</f>
        <v>2.0250000000000004E-2</v>
      </c>
      <c r="N688" s="904">
        <f>M688*0.95</f>
        <v>1.9237500000000005E-2</v>
      </c>
      <c r="O688" s="904">
        <f>N688*0.95</f>
        <v>1.8275625000000004E-2</v>
      </c>
      <c r="P688" s="904">
        <f>O688*0.95</f>
        <v>1.7361843750000001E-2</v>
      </c>
      <c r="Q688" s="904">
        <f>P688*0.95</f>
        <v>1.6493751562499999E-2</v>
      </c>
      <c r="R688" s="904">
        <f>Q688*0.95</f>
        <v>1.5669063984374999E-2</v>
      </c>
      <c r="S688" s="9"/>
      <c r="T688" s="880"/>
      <c r="U688" s="900"/>
      <c r="Y688" s="848"/>
      <c r="AC688" s="848"/>
      <c r="AG688" s="848"/>
      <c r="AK688" s="848"/>
      <c r="AO688" s="848"/>
      <c r="AS688" s="848"/>
      <c r="AW688" s="848"/>
      <c r="BA688" s="848"/>
      <c r="BF688" s="820"/>
      <c r="BG688" s="820"/>
      <c r="BH688" s="820"/>
      <c r="BI688" s="820"/>
      <c r="BJ688" s="820"/>
      <c r="BK688" s="820"/>
      <c r="BL688" s="820"/>
      <c r="BM688" s="820"/>
      <c r="BN688" s="820"/>
      <c r="BO688" s="820"/>
      <c r="BP688" s="820"/>
      <c r="BQ688" s="820"/>
      <c r="BR688" s="820"/>
      <c r="BS688" s="820"/>
      <c r="BT688" s="820"/>
      <c r="BU688" s="820"/>
      <c r="BV688" s="820"/>
      <c r="BW688" s="820"/>
      <c r="BX688" s="820"/>
      <c r="BY688" s="820"/>
      <c r="BZ688" s="820"/>
      <c r="CA688" s="820"/>
      <c r="CB688" s="820"/>
      <c r="CC688" s="820"/>
      <c r="CD688" s="826"/>
      <c r="CE688" s="826"/>
      <c r="CG688"/>
      <c r="CH688"/>
      <c r="CI688"/>
      <c r="CJ688"/>
      <c r="CK688"/>
      <c r="CL688"/>
    </row>
    <row r="689" spans="1:90" s="821" customFormat="1" outlineLevel="1">
      <c r="A689" s="1336"/>
      <c r="B689" s="885" t="s">
        <v>375</v>
      </c>
      <c r="C689" s="871"/>
      <c r="D689" s="880"/>
      <c r="E689" s="902">
        <f>-Model!E793</f>
        <v>749</v>
      </c>
      <c r="F689" s="902">
        <f>-Model!F793</f>
        <v>1046</v>
      </c>
      <c r="G689" s="902">
        <f>-Model!G793</f>
        <v>3285</v>
      </c>
      <c r="H689" s="902">
        <f>-Model!H793</f>
        <v>4770</v>
      </c>
      <c r="I689" s="902">
        <f>-Model!I793</f>
        <v>5438</v>
      </c>
      <c r="J689" s="1454">
        <f>-Model!J793</f>
        <v>12220</v>
      </c>
      <c r="K689" s="30">
        <f t="shared" ref="K689:R689" si="1258">K690*K336</f>
        <v>21854.336205169599</v>
      </c>
      <c r="L689" s="30">
        <f t="shared" si="1258"/>
        <v>47350.345514436405</v>
      </c>
      <c r="M689" s="30">
        <f t="shared" si="1258"/>
        <v>54114.918500147316</v>
      </c>
      <c r="N689" s="30">
        <f t="shared" si="1258"/>
        <v>59110.976934867518</v>
      </c>
      <c r="O689" s="30">
        <f t="shared" si="1258"/>
        <v>43981.832992755844</v>
      </c>
      <c r="P689" s="30">
        <f t="shared" si="1258"/>
        <v>52389.979772324725</v>
      </c>
      <c r="Q689" s="30">
        <f t="shared" si="1258"/>
        <v>58842.827157546664</v>
      </c>
      <c r="R689" s="30">
        <f t="shared" si="1258"/>
        <v>61753.06045169085</v>
      </c>
      <c r="S689" s="820"/>
      <c r="T689" s="30"/>
      <c r="U689" s="653"/>
      <c r="Y689" s="848"/>
      <c r="AC689" s="848"/>
      <c r="AG689" s="848"/>
      <c r="AK689" s="848"/>
      <c r="AO689" s="848"/>
      <c r="AS689" s="848"/>
      <c r="AW689" s="848"/>
      <c r="BA689" s="848"/>
      <c r="BF689" s="820"/>
      <c r="BG689" s="820"/>
      <c r="BH689" s="820"/>
      <c r="BI689" s="820"/>
      <c r="BJ689" s="820"/>
      <c r="BK689" s="820"/>
      <c r="BL689" s="820"/>
      <c r="BM689" s="820"/>
      <c r="BN689" s="820"/>
      <c r="BO689" s="820"/>
      <c r="BP689" s="820"/>
      <c r="BQ689" s="820"/>
      <c r="BR689" s="820"/>
      <c r="BS689" s="820"/>
      <c r="BT689" s="820"/>
      <c r="BU689" s="820"/>
      <c r="BV689" s="820"/>
      <c r="BW689" s="820"/>
      <c r="BX689" s="820"/>
      <c r="BY689" s="820"/>
      <c r="BZ689" s="820"/>
      <c r="CA689" s="820"/>
      <c r="CB689" s="820"/>
      <c r="CC689" s="820"/>
      <c r="CD689" s="826"/>
      <c r="CE689" s="826"/>
      <c r="CG689"/>
      <c r="CH689"/>
      <c r="CI689"/>
      <c r="CJ689"/>
      <c r="CK689"/>
      <c r="CL689"/>
    </row>
    <row r="690" spans="1:90" s="821" customFormat="1" outlineLevel="1">
      <c r="A690" s="1336"/>
      <c r="B690" s="903" t="s">
        <v>178</v>
      </c>
      <c r="C690" s="871"/>
      <c r="D690" s="880"/>
      <c r="E690" s="880">
        <f t="shared" ref="E690:J690" si="1259">E689/E336</f>
        <v>3.7403245942571786E-2</v>
      </c>
      <c r="F690" s="880">
        <f t="shared" si="1259"/>
        <v>3.0303908219138396E-2</v>
      </c>
      <c r="G690" s="880">
        <f t="shared" si="1259"/>
        <v>6.256666158768856E-2</v>
      </c>
      <c r="H690" s="880">
        <f t="shared" si="1259"/>
        <v>6.2595139362763105E-2</v>
      </c>
      <c r="I690" s="880">
        <f t="shared" si="1259"/>
        <v>5.3765460783247482E-2</v>
      </c>
      <c r="J690" s="1449">
        <f t="shared" si="1259"/>
        <v>7.7208367820158844E-2</v>
      </c>
      <c r="K690" s="904">
        <v>8.7999999999999995E-2</v>
      </c>
      <c r="L690" s="904">
        <v>0.14000000000000001</v>
      </c>
      <c r="M690" s="904">
        <v>0.123</v>
      </c>
      <c r="N690" s="904">
        <v>0.11</v>
      </c>
      <c r="O690" s="904">
        <v>6.8000000000000005E-2</v>
      </c>
      <c r="P690" s="904">
        <f>O690*0.98</f>
        <v>6.6640000000000005E-2</v>
      </c>
      <c r="Q690" s="904">
        <v>6.5000000000000002E-2</v>
      </c>
      <c r="R690" s="904">
        <v>0.06</v>
      </c>
      <c r="S690" s="820"/>
      <c r="T690" s="880"/>
      <c r="U690" s="900"/>
      <c r="Y690" s="848"/>
      <c r="AC690" s="848"/>
      <c r="AG690" s="848"/>
      <c r="AK690" s="848"/>
      <c r="AO690" s="848"/>
      <c r="AS690" s="848"/>
      <c r="AW690" s="848"/>
      <c r="BA690" s="848"/>
      <c r="BF690" s="820"/>
      <c r="BG690" s="820"/>
      <c r="BH690" s="820"/>
      <c r="BI690" s="820"/>
      <c r="BJ690" s="820"/>
      <c r="BK690" s="820"/>
      <c r="BL690" s="820"/>
      <c r="BM690" s="820"/>
      <c r="BN690" s="820"/>
      <c r="BO690" s="820"/>
      <c r="BP690" s="820"/>
      <c r="BQ690" s="820"/>
      <c r="BR690" s="820"/>
      <c r="BS690" s="820"/>
      <c r="BT690" s="820"/>
      <c r="BU690" s="820"/>
      <c r="BV690" s="820"/>
      <c r="BW690" s="820"/>
      <c r="BX690" s="820"/>
      <c r="BY690" s="820"/>
      <c r="BZ690" s="820"/>
      <c r="CA690" s="820"/>
      <c r="CB690" s="820"/>
      <c r="CC690" s="820"/>
      <c r="CD690" s="826"/>
      <c r="CE690" s="826"/>
      <c r="CG690"/>
      <c r="CH690"/>
      <c r="CI690"/>
      <c r="CJ690"/>
      <c r="CK690"/>
      <c r="CL690"/>
    </row>
    <row r="691" spans="1:90" s="821" customFormat="1" outlineLevel="1">
      <c r="A691" s="1336"/>
      <c r="B691" s="901" t="s">
        <v>693</v>
      </c>
      <c r="C691" s="871"/>
      <c r="D691" s="822"/>
      <c r="E691" s="871"/>
      <c r="F691" s="905"/>
      <c r="G691" s="871"/>
      <c r="H691" s="871"/>
      <c r="I691" s="871"/>
      <c r="J691" s="1444"/>
      <c r="K691" s="871"/>
      <c r="L691" s="871"/>
      <c r="M691" s="871"/>
      <c r="N691" s="871"/>
      <c r="O691" s="871"/>
      <c r="P691" s="871"/>
      <c r="Q691" s="871"/>
      <c r="R691" s="871"/>
      <c r="S691" s="820"/>
      <c r="T691" s="871"/>
      <c r="U691" s="856"/>
      <c r="Y691" s="848"/>
      <c r="AC691" s="848"/>
      <c r="AG691" s="848"/>
      <c r="AK691" s="848"/>
      <c r="AO691" s="848"/>
      <c r="AS691" s="848"/>
      <c r="AW691" s="848"/>
      <c r="BA691" s="848"/>
      <c r="BF691" s="820"/>
      <c r="BG691" s="820"/>
      <c r="BH691" s="820"/>
      <c r="BI691" s="820"/>
      <c r="BJ691" s="820"/>
      <c r="BK691" s="820"/>
      <c r="BL691" s="820"/>
      <c r="BM691" s="820"/>
      <c r="BN691" s="820"/>
      <c r="BO691" s="820"/>
      <c r="BP691" s="820"/>
      <c r="BQ691" s="820"/>
      <c r="BR691" s="820"/>
      <c r="BS691" s="820"/>
      <c r="BT691" s="820"/>
      <c r="BU691" s="820"/>
      <c r="BV691" s="820"/>
      <c r="BW691" s="820"/>
      <c r="BX691" s="820"/>
      <c r="BY691" s="820"/>
      <c r="BZ691" s="820"/>
      <c r="CA691" s="820"/>
      <c r="CB691" s="820"/>
      <c r="CC691" s="820"/>
      <c r="CD691" s="826"/>
      <c r="CE691" s="826"/>
      <c r="CG691"/>
      <c r="CH691"/>
      <c r="CI691"/>
      <c r="CJ691"/>
      <c r="CK691"/>
      <c r="CL691"/>
    </row>
    <row r="692" spans="1:90" s="821" customFormat="1" outlineLevel="1">
      <c r="A692" s="1336"/>
      <c r="B692" s="885" t="s">
        <v>300</v>
      </c>
      <c r="C692" s="871"/>
      <c r="D692" s="822"/>
      <c r="E692" s="871"/>
      <c r="F692" s="905"/>
      <c r="G692" s="30">
        <f t="shared" ref="G692:R692" si="1260">G683-G693</f>
        <v>1888.2800000000002</v>
      </c>
      <c r="H692" s="30">
        <f t="shared" si="1260"/>
        <v>3513.7799999999997</v>
      </c>
      <c r="I692" s="30">
        <f t="shared" si="1260"/>
        <v>5433.8495000000003</v>
      </c>
      <c r="J692" s="1455">
        <f t="shared" si="1260"/>
        <v>9315.8040000000001</v>
      </c>
      <c r="K692" s="30">
        <f t="shared" si="1260"/>
        <v>15149.028505856199</v>
      </c>
      <c r="L692" s="30">
        <f t="shared" si="1260"/>
        <v>37372.951281037313</v>
      </c>
      <c r="M692" s="30">
        <f t="shared" si="1260"/>
        <v>40146.230188117421</v>
      </c>
      <c r="N692" s="30">
        <f t="shared" si="1260"/>
        <v>41505.30982733483</v>
      </c>
      <c r="O692" s="30">
        <f t="shared" si="1260"/>
        <v>22169.188448122462</v>
      </c>
      <c r="P692" s="30">
        <f t="shared" si="1260"/>
        <v>25158.702682166819</v>
      </c>
      <c r="Q692" s="30">
        <f t="shared" si="1260"/>
        <v>26699.934237227841</v>
      </c>
      <c r="R692" s="30">
        <f t="shared" si="1260"/>
        <v>24360.618984367458</v>
      </c>
      <c r="S692" s="820"/>
      <c r="T692" s="906"/>
      <c r="U692" s="907"/>
      <c r="Y692" s="848"/>
      <c r="AC692" s="848"/>
      <c r="AG692" s="848"/>
      <c r="AK692" s="848"/>
      <c r="AO692" s="848"/>
      <c r="AS692" s="848"/>
      <c r="AW692" s="848"/>
      <c r="BA692" s="848"/>
      <c r="BF692" s="820"/>
      <c r="BG692" s="820"/>
      <c r="BH692" s="820"/>
      <c r="BI692" s="820"/>
      <c r="BJ692" s="820"/>
      <c r="BK692" s="820"/>
      <c r="BL692" s="820"/>
      <c r="BM692" s="820"/>
      <c r="BN692" s="820"/>
      <c r="BO692" s="820"/>
      <c r="BP692" s="820"/>
      <c r="BQ692" s="820"/>
      <c r="BR692" s="820"/>
      <c r="BS692" s="820"/>
      <c r="BT692" s="820"/>
      <c r="BU692" s="820"/>
      <c r="BV692" s="820"/>
      <c r="BW692" s="820"/>
      <c r="BX692" s="820"/>
      <c r="BY692" s="820"/>
      <c r="BZ692" s="820"/>
      <c r="CA692" s="820"/>
      <c r="CB692" s="820"/>
      <c r="CC692" s="820"/>
      <c r="CD692" s="826"/>
      <c r="CE692" s="826"/>
      <c r="CG692"/>
      <c r="CH692"/>
      <c r="CI692"/>
      <c r="CJ692"/>
      <c r="CK692"/>
      <c r="CL692"/>
    </row>
    <row r="693" spans="1:90" s="821" customFormat="1" outlineLevel="1">
      <c r="A693" s="1336"/>
      <c r="B693" s="885" t="s">
        <v>301</v>
      </c>
      <c r="C693" s="871"/>
      <c r="D693" s="822"/>
      <c r="E693" s="871"/>
      <c r="F693" s="905"/>
      <c r="G693" s="30">
        <f t="shared" ref="G693:R693" si="1261">G694*G336</f>
        <v>2887.72</v>
      </c>
      <c r="H693" s="30">
        <f t="shared" si="1261"/>
        <v>4191.22</v>
      </c>
      <c r="I693" s="30">
        <f t="shared" si="1261"/>
        <v>5411.1504999999997</v>
      </c>
      <c r="J693" s="1455">
        <f t="shared" si="1261"/>
        <v>8230.1959999999999</v>
      </c>
      <c r="K693" s="30">
        <f t="shared" si="1261"/>
        <v>12913.925939418399</v>
      </c>
      <c r="L693" s="30">
        <f t="shared" si="1261"/>
        <v>17587.271191076376</v>
      </c>
      <c r="M693" s="30">
        <f t="shared" si="1261"/>
        <v>22877.851723639516</v>
      </c>
      <c r="N693" s="30">
        <f t="shared" si="1261"/>
        <v>27943.370914664643</v>
      </c>
      <c r="O693" s="30">
        <f t="shared" si="1261"/>
        <v>33633.166406225057</v>
      </c>
      <c r="P693" s="30">
        <f t="shared" si="1261"/>
        <v>40880.536436988077</v>
      </c>
      <c r="Q693" s="30">
        <f t="shared" si="1261"/>
        <v>47074.26172603733</v>
      </c>
      <c r="R693" s="30">
        <f t="shared" si="1261"/>
        <v>53519.319058132074</v>
      </c>
      <c r="S693" s="820"/>
      <c r="T693" s="249"/>
      <c r="U693" s="907"/>
      <c r="V693" s="820"/>
      <c r="Y693" s="848"/>
      <c r="AC693" s="848"/>
      <c r="AG693" s="848"/>
      <c r="AK693" s="848"/>
      <c r="AO693" s="848"/>
      <c r="AS693" s="848"/>
      <c r="AW693" s="848"/>
      <c r="BA693" s="848"/>
      <c r="BF693" s="820"/>
      <c r="BG693" s="820"/>
      <c r="BH693" s="820"/>
      <c r="BI693" s="820"/>
      <c r="BJ693" s="820"/>
      <c r="BK693" s="820"/>
      <c r="BL693" s="820"/>
      <c r="BM693" s="820"/>
      <c r="BN693" s="820"/>
      <c r="BO693" s="820"/>
      <c r="BP693" s="820"/>
      <c r="BQ693" s="820"/>
      <c r="BR693" s="820"/>
      <c r="BS693" s="820"/>
      <c r="BT693" s="820"/>
      <c r="BU693" s="820"/>
      <c r="BV693" s="820"/>
      <c r="BW693" s="820"/>
      <c r="BX693" s="820"/>
      <c r="BY693" s="820"/>
      <c r="BZ693" s="820"/>
      <c r="CA693" s="820"/>
      <c r="CB693" s="820"/>
      <c r="CC693" s="820"/>
      <c r="CD693" s="826"/>
      <c r="CE693" s="826"/>
      <c r="CG693"/>
      <c r="CH693"/>
      <c r="CI693"/>
      <c r="CJ693"/>
      <c r="CK693"/>
      <c r="CL693"/>
    </row>
    <row r="694" spans="1:90" s="821" customFormat="1" outlineLevel="1">
      <c r="A694" s="1336"/>
      <c r="B694" s="903" t="s">
        <v>302</v>
      </c>
      <c r="C694" s="871"/>
      <c r="D694" s="822"/>
      <c r="E694" s="871"/>
      <c r="F694" s="905"/>
      <c r="G694" s="908">
        <v>5.5E-2</v>
      </c>
      <c r="H694" s="908">
        <v>5.5E-2</v>
      </c>
      <c r="I694" s="909">
        <f>H694-0.0015</f>
        <v>5.3499999999999999E-2</v>
      </c>
      <c r="J694" s="1456">
        <f>I694-0.0015</f>
        <v>5.1999999999999998E-2</v>
      </c>
      <c r="K694" s="909">
        <f t="shared" ref="K694:R694" si="1262">J694</f>
        <v>5.1999999999999998E-2</v>
      </c>
      <c r="L694" s="909">
        <f t="shared" si="1262"/>
        <v>5.1999999999999998E-2</v>
      </c>
      <c r="M694" s="909">
        <f t="shared" si="1262"/>
        <v>5.1999999999999998E-2</v>
      </c>
      <c r="N694" s="909">
        <f t="shared" si="1262"/>
        <v>5.1999999999999998E-2</v>
      </c>
      <c r="O694" s="909">
        <f t="shared" si="1262"/>
        <v>5.1999999999999998E-2</v>
      </c>
      <c r="P694" s="909">
        <f t="shared" si="1262"/>
        <v>5.1999999999999998E-2</v>
      </c>
      <c r="Q694" s="909">
        <f t="shared" si="1262"/>
        <v>5.1999999999999998E-2</v>
      </c>
      <c r="R694" s="909">
        <f t="shared" si="1262"/>
        <v>5.1999999999999998E-2</v>
      </c>
      <c r="S694" s="820"/>
      <c r="T694" s="910"/>
      <c r="U694" s="910"/>
      <c r="V694" s="820"/>
      <c r="Y694" s="848"/>
      <c r="AC694" s="848"/>
      <c r="AG694" s="848"/>
      <c r="AK694" s="848"/>
      <c r="AO694" s="848"/>
      <c r="AS694" s="848"/>
      <c r="AW694" s="848"/>
      <c r="BA694" s="848"/>
      <c r="BF694" s="820"/>
      <c r="BG694" s="820"/>
      <c r="BH694" s="820"/>
      <c r="BI694" s="820"/>
      <c r="BJ694" s="820"/>
      <c r="BK694" s="820"/>
      <c r="BL694" s="820"/>
      <c r="BM694" s="820"/>
      <c r="BN694" s="820"/>
      <c r="BO694" s="820"/>
      <c r="BP694" s="820"/>
      <c r="BQ694" s="820"/>
      <c r="BR694" s="820"/>
      <c r="BS694" s="820"/>
      <c r="BT694" s="820"/>
      <c r="BU694" s="820"/>
      <c r="BV694" s="820"/>
      <c r="BW694" s="820"/>
      <c r="BX694" s="820"/>
      <c r="BY694" s="820"/>
      <c r="BZ694" s="820"/>
      <c r="CA694" s="820"/>
      <c r="CB694" s="820"/>
      <c r="CC694" s="820"/>
      <c r="CD694" s="826"/>
      <c r="CE694" s="826"/>
      <c r="CG694"/>
      <c r="CH694"/>
      <c r="CI694"/>
      <c r="CJ694"/>
      <c r="CK694"/>
      <c r="CL694"/>
    </row>
    <row r="695" spans="1:90" s="821" customFormat="1" outlineLevel="1">
      <c r="A695" s="1336"/>
      <c r="B695" s="911"/>
      <c r="C695" s="871"/>
      <c r="D695" s="822"/>
      <c r="E695" s="871"/>
      <c r="F695" s="905"/>
      <c r="G695" s="871"/>
      <c r="H695" s="871"/>
      <c r="I695" s="871"/>
      <c r="J695" s="1444"/>
      <c r="K695" s="871"/>
      <c r="L695" s="871"/>
      <c r="M695" s="871"/>
      <c r="N695" s="871"/>
      <c r="O695" s="871"/>
      <c r="P695" s="871"/>
      <c r="Q695" s="871"/>
      <c r="R695" s="871"/>
      <c r="S695" s="820"/>
      <c r="T695" s="856"/>
      <c r="U695" s="856"/>
      <c r="V695" s="820"/>
      <c r="Y695" s="848"/>
      <c r="AC695" s="848"/>
      <c r="AG695" s="848"/>
      <c r="AK695" s="848"/>
      <c r="AO695" s="848"/>
      <c r="AS695" s="848"/>
      <c r="AW695" s="848"/>
      <c r="BA695" s="848"/>
      <c r="BF695" s="820"/>
      <c r="BG695" s="820"/>
      <c r="BH695" s="820"/>
      <c r="BI695" s="820"/>
      <c r="BJ695" s="820"/>
      <c r="BK695" s="820"/>
      <c r="BL695" s="820"/>
      <c r="BM695" s="820"/>
      <c r="BN695" s="820"/>
      <c r="BO695" s="820"/>
      <c r="BP695" s="820"/>
      <c r="BQ695" s="820"/>
      <c r="BR695" s="820"/>
      <c r="BS695" s="820"/>
      <c r="BT695" s="820"/>
      <c r="BU695" s="820"/>
      <c r="BV695" s="820"/>
      <c r="BW695" s="820"/>
      <c r="BX695" s="820"/>
      <c r="BY695" s="820"/>
      <c r="BZ695" s="820"/>
      <c r="CA695" s="820"/>
      <c r="CB695" s="820"/>
      <c r="CC695" s="820"/>
      <c r="CD695" s="826"/>
      <c r="CE695" s="826"/>
      <c r="CG695"/>
      <c r="CH695"/>
      <c r="CI695"/>
      <c r="CJ695"/>
      <c r="CK695"/>
      <c r="CL695"/>
    </row>
    <row r="696" spans="1:90" s="868" customFormat="1" outlineLevel="1">
      <c r="A696" s="1353"/>
      <c r="B696" s="899" t="s">
        <v>179</v>
      </c>
      <c r="C696" s="888"/>
      <c r="D696" s="888"/>
      <c r="E696" s="912">
        <v>2216</v>
      </c>
      <c r="F696" s="912">
        <v>2686</v>
      </c>
      <c r="G696" s="912">
        <v>3580</v>
      </c>
      <c r="H696" s="913">
        <v>5766</v>
      </c>
      <c r="I696" s="914">
        <v>8181</v>
      </c>
      <c r="J696" s="1457">
        <v>12261</v>
      </c>
      <c r="K696" s="850">
        <f t="shared" ref="K696:R696" si="1263">K697+J696</f>
        <v>21562.584051292401</v>
      </c>
      <c r="L696" s="850">
        <f t="shared" si="1263"/>
        <v>41714.754481193901</v>
      </c>
      <c r="M696" s="850">
        <f t="shared" si="1263"/>
        <v>74022.654536132235</v>
      </c>
      <c r="N696" s="850">
        <f t="shared" si="1263"/>
        <v>119630.29882478745</v>
      </c>
      <c r="O696" s="850">
        <f t="shared" si="1263"/>
        <v>170769.81731033922</v>
      </c>
      <c r="P696" s="850">
        <f t="shared" si="1263"/>
        <v>223169.24436036305</v>
      </c>
      <c r="Q696" s="850">
        <f t="shared" si="1263"/>
        <v>276750.64857473673</v>
      </c>
      <c r="R696" s="850">
        <f t="shared" si="1263"/>
        <v>330992.57366831624</v>
      </c>
      <c r="S696" s="831"/>
      <c r="T696" s="842"/>
      <c r="U696" s="842"/>
      <c r="V696" s="831"/>
      <c r="Y696" s="892"/>
      <c r="AC696" s="892"/>
      <c r="AG696" s="892"/>
      <c r="AK696" s="892"/>
      <c r="AO696" s="892"/>
      <c r="AS696" s="892"/>
      <c r="AW696" s="892"/>
      <c r="BA696" s="892"/>
      <c r="BF696" s="831"/>
      <c r="BG696" s="831"/>
      <c r="BH696" s="831"/>
      <c r="BI696" s="831"/>
      <c r="BJ696" s="831"/>
      <c r="BK696" s="831"/>
      <c r="BL696" s="831"/>
      <c r="BM696" s="831"/>
      <c r="BN696" s="831"/>
      <c r="BO696" s="831"/>
      <c r="BP696" s="831"/>
      <c r="BQ696" s="831"/>
      <c r="BR696" s="831"/>
      <c r="BS696" s="831"/>
      <c r="BT696" s="831"/>
      <c r="BU696" s="831"/>
      <c r="BV696" s="831"/>
      <c r="BW696" s="831"/>
      <c r="BX696" s="831"/>
      <c r="BY696" s="831"/>
      <c r="BZ696" s="831"/>
      <c r="CA696" s="831"/>
      <c r="CB696" s="831"/>
      <c r="CC696" s="831"/>
      <c r="CD696" s="893"/>
      <c r="CE696" s="893"/>
      <c r="CG696"/>
      <c r="CH696"/>
      <c r="CI696"/>
      <c r="CJ696"/>
      <c r="CK696"/>
      <c r="CL696"/>
    </row>
    <row r="697" spans="1:90" s="821" customFormat="1" outlineLevel="1">
      <c r="A697" s="1336"/>
      <c r="B697" s="885" t="s">
        <v>180</v>
      </c>
      <c r="C697" s="822"/>
      <c r="D697" s="822"/>
      <c r="E697" s="674">
        <v>715</v>
      </c>
      <c r="F697" s="674">
        <v>805</v>
      </c>
      <c r="G697" s="674">
        <v>1339</v>
      </c>
      <c r="H697" s="674">
        <v>2326</v>
      </c>
      <c r="I697" s="915">
        <v>3699</v>
      </c>
      <c r="J697" s="1458">
        <v>5177</v>
      </c>
      <c r="K697" s="916">
        <f t="shared" ref="K697:R697" si="1264">K701</f>
        <v>9301.5840512924005</v>
      </c>
      <c r="L697" s="916">
        <f t="shared" si="1264"/>
        <v>20152.170429901504</v>
      </c>
      <c r="M697" s="916">
        <f t="shared" si="1264"/>
        <v>32307.900054938327</v>
      </c>
      <c r="N697" s="916">
        <f t="shared" si="1264"/>
        <v>45607.64428865521</v>
      </c>
      <c r="O697" s="916">
        <f t="shared" si="1264"/>
        <v>51139.518485551765</v>
      </c>
      <c r="P697" s="916">
        <f t="shared" si="1264"/>
        <v>52399.427050023849</v>
      </c>
      <c r="Q697" s="916">
        <f t="shared" si="1264"/>
        <v>53581.404214373688</v>
      </c>
      <c r="R697" s="916">
        <f t="shared" si="1264"/>
        <v>54241.925093579528</v>
      </c>
      <c r="S697" s="820"/>
      <c r="T697" s="917"/>
      <c r="U697" s="917"/>
      <c r="V697" s="820"/>
      <c r="Y697" s="848"/>
      <c r="AC697" s="848"/>
      <c r="AG697" s="848"/>
      <c r="AK697" s="848"/>
      <c r="AO697" s="848"/>
      <c r="AS697" s="848"/>
      <c r="AW697" s="848"/>
      <c r="BA697" s="848"/>
      <c r="BF697" s="820"/>
      <c r="BG697" s="820"/>
      <c r="BH697" s="820"/>
      <c r="BI697" s="820"/>
      <c r="BJ697" s="820"/>
      <c r="BK697" s="820"/>
      <c r="BL697" s="820"/>
      <c r="BM697" s="820"/>
      <c r="BN697" s="820"/>
      <c r="BO697" s="820"/>
      <c r="BP697" s="820"/>
      <c r="BQ697" s="820"/>
      <c r="BR697" s="820"/>
      <c r="BS697" s="820"/>
      <c r="BT697" s="820"/>
      <c r="BU697" s="820"/>
      <c r="BV697" s="820"/>
      <c r="BW697" s="820"/>
      <c r="BX697" s="820"/>
      <c r="BY697" s="820"/>
      <c r="BZ697" s="820"/>
      <c r="CA697" s="820"/>
      <c r="CB697" s="820"/>
      <c r="CC697" s="820"/>
      <c r="CD697" s="826"/>
      <c r="CE697" s="826"/>
      <c r="CG697"/>
      <c r="CH697"/>
      <c r="CI697"/>
      <c r="CJ697"/>
      <c r="CK697"/>
      <c r="CL697"/>
    </row>
    <row r="698" spans="1:90" s="821" customFormat="1" outlineLevel="1">
      <c r="A698" s="1336"/>
      <c r="B698" s="885" t="s">
        <v>258</v>
      </c>
      <c r="C698" s="871"/>
      <c r="D698" s="880"/>
      <c r="E698" s="880">
        <f t="shared" ref="E698:R698" si="1265">E697/E683</f>
        <v>0.32979704797047971</v>
      </c>
      <c r="F698" s="880">
        <f t="shared" si="1265"/>
        <v>0.32161406312425089</v>
      </c>
      <c r="G698" s="880">
        <f t="shared" si="1265"/>
        <v>0.28036013400335008</v>
      </c>
      <c r="H698" s="880">
        <f t="shared" si="1265"/>
        <v>0.30188189487345879</v>
      </c>
      <c r="I698" s="880">
        <f t="shared" si="1265"/>
        <v>0.34107883817427387</v>
      </c>
      <c r="J698" s="1449">
        <f t="shared" si="1265"/>
        <v>0.29505300353356889</v>
      </c>
      <c r="K698" s="880">
        <f t="shared" si="1265"/>
        <v>0.331454197719323</v>
      </c>
      <c r="L698" s="880">
        <f t="shared" si="1265"/>
        <v>0.36666828341400054</v>
      </c>
      <c r="M698" s="880">
        <f t="shared" si="1265"/>
        <v>0.51262785708126901</v>
      </c>
      <c r="N698" s="880">
        <f t="shared" si="1265"/>
        <v>0.6567100166824873</v>
      </c>
      <c r="O698" s="880">
        <f t="shared" si="1265"/>
        <v>0.91644015058205963</v>
      </c>
      <c r="P698" s="880">
        <f t="shared" si="1265"/>
        <v>0.79345897604118865</v>
      </c>
      <c r="Q698" s="880">
        <f t="shared" si="1265"/>
        <v>0.72628923317651339</v>
      </c>
      <c r="R698" s="880">
        <f t="shared" si="1265"/>
        <v>0.69648135908864484</v>
      </c>
      <c r="S698" s="820"/>
      <c r="T698" s="900"/>
      <c r="U698" s="900"/>
      <c r="V698" s="820"/>
      <c r="Y698" s="848"/>
      <c r="AC698" s="848"/>
      <c r="AG698" s="848"/>
      <c r="AK698" s="848"/>
      <c r="AO698" s="848"/>
      <c r="AS698" s="848"/>
      <c r="AW698" s="848"/>
      <c r="BA698" s="848"/>
      <c r="BF698" s="820"/>
      <c r="BG698" s="820"/>
      <c r="BH698" s="820"/>
      <c r="BI698" s="820"/>
      <c r="BJ698" s="820"/>
      <c r="BK698" s="820"/>
      <c r="BL698" s="820"/>
      <c r="BM698" s="820"/>
      <c r="BN698" s="820"/>
      <c r="BO698" s="820"/>
      <c r="BP698" s="820"/>
      <c r="BQ698" s="820"/>
      <c r="BR698" s="820"/>
      <c r="BS698" s="820"/>
      <c r="BT698" s="820"/>
      <c r="BU698" s="820"/>
      <c r="BV698" s="820"/>
      <c r="BW698" s="820"/>
      <c r="BX698" s="820"/>
      <c r="BY698" s="820"/>
      <c r="BZ698" s="820"/>
      <c r="CA698" s="820"/>
      <c r="CB698" s="820"/>
      <c r="CC698" s="820"/>
      <c r="CD698" s="826"/>
      <c r="CE698" s="826"/>
      <c r="CG698"/>
      <c r="CH698"/>
      <c r="CI698"/>
      <c r="CJ698"/>
      <c r="CK698"/>
      <c r="CL698"/>
    </row>
    <row r="699" spans="1:90" s="821" customFormat="1" outlineLevel="1">
      <c r="A699" s="1336"/>
      <c r="B699" s="885" t="s">
        <v>694</v>
      </c>
      <c r="C699" s="871"/>
      <c r="D699" s="880"/>
      <c r="E699" s="880"/>
      <c r="F699" s="880"/>
      <c r="G699" s="880"/>
      <c r="H699" s="918">
        <f>1/4</f>
        <v>0.25</v>
      </c>
      <c r="I699" s="918">
        <f t="shared" ref="I699:R699" si="1266">H699</f>
        <v>0.25</v>
      </c>
      <c r="J699" s="1459">
        <f t="shared" si="1266"/>
        <v>0.25</v>
      </c>
      <c r="K699" s="919">
        <f t="shared" si="1266"/>
        <v>0.25</v>
      </c>
      <c r="L699" s="919">
        <f t="shared" si="1266"/>
        <v>0.25</v>
      </c>
      <c r="M699" s="919">
        <f t="shared" si="1266"/>
        <v>0.25</v>
      </c>
      <c r="N699" s="919">
        <f t="shared" si="1266"/>
        <v>0.25</v>
      </c>
      <c r="O699" s="919">
        <f t="shared" si="1266"/>
        <v>0.25</v>
      </c>
      <c r="P699" s="919">
        <f t="shared" si="1266"/>
        <v>0.25</v>
      </c>
      <c r="Q699" s="919">
        <f t="shared" si="1266"/>
        <v>0.25</v>
      </c>
      <c r="R699" s="919">
        <f t="shared" si="1266"/>
        <v>0.25</v>
      </c>
      <c r="S699" s="820"/>
      <c r="T699" s="900"/>
      <c r="U699" s="900"/>
      <c r="V699" s="820"/>
      <c r="Y699" s="848"/>
      <c r="AC699" s="848"/>
      <c r="AG699" s="848"/>
      <c r="AK699" s="848"/>
      <c r="AO699" s="848"/>
      <c r="AS699" s="848"/>
      <c r="AW699" s="848"/>
      <c r="BA699" s="848"/>
      <c r="BF699" s="820"/>
      <c r="BG699" s="820"/>
      <c r="BH699" s="820"/>
      <c r="BI699" s="820"/>
      <c r="BJ699" s="820"/>
      <c r="BK699" s="820"/>
      <c r="BL699" s="820"/>
      <c r="BM699" s="820"/>
      <c r="BN699" s="820"/>
      <c r="BO699" s="820"/>
      <c r="BP699" s="820"/>
      <c r="BQ699" s="820"/>
      <c r="BR699" s="820"/>
      <c r="BS699" s="820"/>
      <c r="BT699" s="820"/>
      <c r="BU699" s="820"/>
      <c r="BV699" s="820"/>
      <c r="BW699" s="820"/>
      <c r="BX699" s="820"/>
      <c r="BY699" s="820"/>
      <c r="BZ699" s="820"/>
      <c r="CA699" s="820"/>
      <c r="CB699" s="820"/>
      <c r="CC699" s="820"/>
      <c r="CD699" s="826"/>
      <c r="CE699" s="826"/>
      <c r="CG699"/>
      <c r="CH699"/>
      <c r="CI699"/>
      <c r="CJ699"/>
      <c r="CK699"/>
      <c r="CL699"/>
    </row>
    <row r="700" spans="1:90" s="820" customFormat="1" outlineLevel="1">
      <c r="A700" s="1336"/>
      <c r="B700" s="920"/>
      <c r="C700" s="856"/>
      <c r="D700" s="900"/>
      <c r="E700" s="900"/>
      <c r="F700" s="900"/>
      <c r="G700" s="900"/>
      <c r="H700" s="900"/>
      <c r="I700" s="900"/>
      <c r="J700" s="1460"/>
      <c r="K700" s="900"/>
      <c r="L700" s="900"/>
      <c r="M700" s="900"/>
      <c r="N700" s="900"/>
      <c r="O700" s="900"/>
      <c r="P700" s="900"/>
      <c r="Q700" s="900"/>
      <c r="R700" s="900"/>
      <c r="T700" s="900"/>
      <c r="U700" s="900"/>
      <c r="Y700" s="825"/>
      <c r="AC700" s="825"/>
      <c r="AG700" s="825"/>
      <c r="AK700" s="825"/>
      <c r="AO700" s="825"/>
      <c r="AS700" s="825"/>
      <c r="AW700" s="825"/>
      <c r="BA700" s="825"/>
      <c r="CD700" s="826"/>
      <c r="CE700" s="826"/>
      <c r="CG700"/>
      <c r="CH700"/>
      <c r="CI700"/>
      <c r="CJ700"/>
      <c r="CK700"/>
      <c r="CL700"/>
    </row>
    <row r="701" spans="1:90" s="820" customFormat="1" outlineLevel="1">
      <c r="A701" s="1336"/>
      <c r="B701" s="885" t="s">
        <v>695</v>
      </c>
      <c r="C701" s="856"/>
      <c r="D701" s="900"/>
      <c r="E701" s="900"/>
      <c r="F701" s="900"/>
      <c r="G701" s="900"/>
      <c r="H701" s="307">
        <f>H697</f>
        <v>2326</v>
      </c>
      <c r="I701" s="307">
        <f>I697</f>
        <v>3699</v>
      </c>
      <c r="J701" s="493">
        <f>J697</f>
        <v>5177</v>
      </c>
      <c r="K701" s="454">
        <f t="shared" ref="K701:R701" si="1267">SUM(K702:K713)</f>
        <v>9301.5840512924005</v>
      </c>
      <c r="L701" s="454">
        <f t="shared" si="1267"/>
        <v>20152.170429901504</v>
      </c>
      <c r="M701" s="454">
        <f t="shared" si="1267"/>
        <v>32307.900054938327</v>
      </c>
      <c r="N701" s="454">
        <f t="shared" si="1267"/>
        <v>45607.64428865521</v>
      </c>
      <c r="O701" s="454">
        <f t="shared" si="1267"/>
        <v>51139.518485551765</v>
      </c>
      <c r="P701" s="454">
        <f t="shared" si="1267"/>
        <v>52399.427050023849</v>
      </c>
      <c r="Q701" s="454">
        <f t="shared" si="1267"/>
        <v>53581.404214373688</v>
      </c>
      <c r="R701" s="454">
        <f t="shared" si="1267"/>
        <v>54241.925093579528</v>
      </c>
      <c r="T701" s="454"/>
      <c r="U701" s="653"/>
      <c r="Y701" s="825"/>
      <c r="AC701" s="825"/>
      <c r="AG701" s="825"/>
      <c r="AK701" s="825"/>
      <c r="AO701" s="825"/>
      <c r="AS701" s="825"/>
      <c r="AW701" s="825"/>
      <c r="BA701" s="825"/>
      <c r="CD701" s="826"/>
      <c r="CE701" s="826"/>
      <c r="CG701"/>
      <c r="CH701"/>
      <c r="CI701"/>
      <c r="CJ701"/>
      <c r="CK701"/>
      <c r="CL701"/>
    </row>
    <row r="702" spans="1:90" s="820" customFormat="1" outlineLevel="1">
      <c r="A702" s="1336"/>
      <c r="B702" s="920" t="s">
        <v>257</v>
      </c>
      <c r="C702" s="856"/>
      <c r="D702" s="900"/>
      <c r="E702" s="900"/>
      <c r="F702" s="900"/>
      <c r="G702" s="900"/>
      <c r="H702" s="921">
        <f>G697</f>
        <v>1339</v>
      </c>
      <c r="I702" s="921">
        <f>H702</f>
        <v>1339</v>
      </c>
      <c r="J702" s="1461">
        <f>I702</f>
        <v>1339</v>
      </c>
      <c r="K702" s="900"/>
      <c r="L702" s="900"/>
      <c r="M702" s="900"/>
      <c r="N702" s="900"/>
      <c r="O702" s="900"/>
      <c r="P702" s="900"/>
      <c r="Q702" s="900"/>
      <c r="R702" s="900"/>
      <c r="T702" s="900"/>
      <c r="U702" s="900"/>
      <c r="Y702" s="825"/>
      <c r="AC702" s="825"/>
      <c r="AG702" s="825"/>
      <c r="AK702" s="825"/>
      <c r="AO702" s="825"/>
      <c r="AS702" s="825"/>
      <c r="AW702" s="825"/>
      <c r="BA702" s="825"/>
      <c r="CD702" s="826"/>
      <c r="CE702" s="826"/>
      <c r="CG702"/>
      <c r="CH702"/>
      <c r="CI702"/>
      <c r="CJ702"/>
      <c r="CK702"/>
      <c r="CL702"/>
    </row>
    <row r="703" spans="1:90" s="820" customFormat="1" outlineLevel="1">
      <c r="A703" s="1336"/>
      <c r="B703" s="922" t="s">
        <v>348</v>
      </c>
      <c r="C703" s="856"/>
      <c r="D703" s="900"/>
      <c r="E703" s="900"/>
      <c r="F703" s="900"/>
      <c r="G703" s="900"/>
      <c r="H703" s="454">
        <f>H701-H702</f>
        <v>987</v>
      </c>
      <c r="I703" s="921">
        <f>H703</f>
        <v>987</v>
      </c>
      <c r="J703" s="1461">
        <f>I703</f>
        <v>987</v>
      </c>
      <c r="K703" s="921">
        <f>J703</f>
        <v>987</v>
      </c>
      <c r="L703" s="900"/>
      <c r="M703" s="900"/>
      <c r="N703" s="900"/>
      <c r="O703" s="900"/>
      <c r="P703" s="900"/>
      <c r="Q703" s="900"/>
      <c r="R703" s="900"/>
      <c r="T703" s="900"/>
      <c r="U703" s="900"/>
      <c r="Y703" s="825"/>
      <c r="AC703" s="825"/>
      <c r="AG703" s="825"/>
      <c r="AK703" s="825"/>
      <c r="AO703" s="825"/>
      <c r="AS703" s="825"/>
      <c r="AW703" s="825"/>
      <c r="BA703" s="825"/>
      <c r="CD703" s="826"/>
      <c r="CE703" s="826"/>
      <c r="CG703"/>
      <c r="CH703"/>
      <c r="CI703"/>
      <c r="CJ703"/>
      <c r="CK703"/>
      <c r="CL703"/>
    </row>
    <row r="704" spans="1:90" s="820" customFormat="1" outlineLevel="1">
      <c r="A704" s="1336"/>
      <c r="B704" s="922" t="s">
        <v>349</v>
      </c>
      <c r="C704" s="856"/>
      <c r="D704" s="900"/>
      <c r="E704" s="900"/>
      <c r="F704" s="900"/>
      <c r="G704" s="900"/>
      <c r="H704" s="921"/>
      <c r="I704" s="454">
        <f>I701-I702-I703</f>
        <v>1373</v>
      </c>
      <c r="J704" s="725">
        <f>I704</f>
        <v>1373</v>
      </c>
      <c r="K704" s="921">
        <f>J704</f>
        <v>1373</v>
      </c>
      <c r="L704" s="921">
        <f>K704</f>
        <v>1373</v>
      </c>
      <c r="M704" s="900"/>
      <c r="N704" s="921"/>
      <c r="O704" s="921"/>
      <c r="P704" s="921"/>
      <c r="Q704" s="921"/>
      <c r="R704" s="921"/>
      <c r="T704" s="900"/>
      <c r="U704" s="900"/>
      <c r="Y704" s="825"/>
      <c r="AC704" s="825"/>
      <c r="AG704" s="825"/>
      <c r="AK704" s="825"/>
      <c r="AO704" s="825"/>
      <c r="AS704" s="825"/>
      <c r="AW704" s="825"/>
      <c r="BA704" s="825"/>
      <c r="CD704" s="826"/>
      <c r="CE704" s="826"/>
      <c r="CG704"/>
      <c r="CH704"/>
      <c r="CI704"/>
      <c r="CJ704"/>
      <c r="CK704"/>
      <c r="CL704"/>
    </row>
    <row r="705" spans="1:90" s="820" customFormat="1" outlineLevel="1">
      <c r="A705" s="1336"/>
      <c r="B705" s="922" t="s">
        <v>246</v>
      </c>
      <c r="C705" s="856"/>
      <c r="D705" s="900"/>
      <c r="E705" s="900"/>
      <c r="F705" s="900"/>
      <c r="G705" s="900"/>
      <c r="H705" s="921"/>
      <c r="I705" s="921"/>
      <c r="J705" s="725">
        <f>J701-J703-J704-J702</f>
        <v>1478</v>
      </c>
      <c r="K705" s="921">
        <f>J705</f>
        <v>1478</v>
      </c>
      <c r="L705" s="921">
        <f>K705</f>
        <v>1478</v>
      </c>
      <c r="M705" s="921">
        <f>L705</f>
        <v>1478</v>
      </c>
      <c r="N705" s="921"/>
      <c r="O705" s="921"/>
      <c r="P705" s="921"/>
      <c r="Q705" s="921"/>
      <c r="R705" s="921"/>
      <c r="T705" s="900"/>
      <c r="U705" s="900"/>
      <c r="Y705" s="825"/>
      <c r="AC705" s="825"/>
      <c r="AG705" s="825"/>
      <c r="AK705" s="825"/>
      <c r="AO705" s="825"/>
      <c r="AS705" s="825"/>
      <c r="AW705" s="825"/>
      <c r="BA705" s="825"/>
      <c r="CD705" s="826"/>
      <c r="CE705" s="826"/>
      <c r="CG705"/>
      <c r="CH705"/>
      <c r="CI705"/>
      <c r="CJ705"/>
      <c r="CK705"/>
      <c r="CL705"/>
    </row>
    <row r="706" spans="1:90" s="820" customFormat="1" outlineLevel="1">
      <c r="A706" s="1336"/>
      <c r="B706" s="922" t="s">
        <v>247</v>
      </c>
      <c r="C706" s="856"/>
      <c r="D706" s="900"/>
      <c r="E706" s="900"/>
      <c r="F706" s="900"/>
      <c r="G706" s="900"/>
      <c r="H706" s="900"/>
      <c r="I706" s="900"/>
      <c r="J706" s="1460"/>
      <c r="K706" s="454">
        <f>K$699*K$689</f>
        <v>5463.5840512923996</v>
      </c>
      <c r="L706" s="921">
        <f>K706</f>
        <v>5463.5840512923996</v>
      </c>
      <c r="M706" s="921">
        <f>L706</f>
        <v>5463.5840512923996</v>
      </c>
      <c r="N706" s="921">
        <f>M706</f>
        <v>5463.5840512923996</v>
      </c>
      <c r="O706" s="921"/>
      <c r="P706" s="921"/>
      <c r="Q706" s="921"/>
      <c r="R706" s="921"/>
      <c r="T706" s="900"/>
      <c r="U706" s="900"/>
      <c r="Y706" s="825"/>
      <c r="AC706" s="825"/>
      <c r="AG706" s="825"/>
      <c r="AK706" s="825"/>
      <c r="AO706" s="825"/>
      <c r="AS706" s="825"/>
      <c r="AW706" s="825"/>
      <c r="BA706" s="825"/>
      <c r="CD706" s="826"/>
      <c r="CE706" s="826"/>
      <c r="CG706"/>
      <c r="CH706"/>
      <c r="CI706"/>
      <c r="CJ706"/>
      <c r="CK706"/>
      <c r="CL706"/>
    </row>
    <row r="707" spans="1:90" s="820" customFormat="1" outlineLevel="1">
      <c r="A707" s="1336"/>
      <c r="B707" s="922" t="s">
        <v>248</v>
      </c>
      <c r="C707" s="856"/>
      <c r="D707" s="900"/>
      <c r="E707" s="900"/>
      <c r="F707" s="900"/>
      <c r="G707" s="900"/>
      <c r="H707" s="900"/>
      <c r="I707" s="900"/>
      <c r="J707" s="1460"/>
      <c r="K707" s="900"/>
      <c r="L707" s="454">
        <f>L$699*L$689</f>
        <v>11837.586378609101</v>
      </c>
      <c r="M707" s="921">
        <f>L707</f>
        <v>11837.586378609101</v>
      </c>
      <c r="N707" s="454">
        <f>M707</f>
        <v>11837.586378609101</v>
      </c>
      <c r="O707" s="454">
        <f>N707</f>
        <v>11837.586378609101</v>
      </c>
      <c r="P707" s="454"/>
      <c r="Q707" s="454"/>
      <c r="R707" s="454"/>
      <c r="T707" s="900"/>
      <c r="U707" s="900"/>
      <c r="Y707" s="825"/>
      <c r="AC707" s="825"/>
      <c r="AG707" s="825"/>
      <c r="AK707" s="825"/>
      <c r="AO707" s="825"/>
      <c r="AS707" s="825"/>
      <c r="AW707" s="825"/>
      <c r="BA707" s="825"/>
      <c r="CD707" s="826"/>
      <c r="CE707" s="826"/>
      <c r="CG707"/>
      <c r="CH707"/>
      <c r="CI707"/>
      <c r="CJ707"/>
      <c r="CK707"/>
      <c r="CL707"/>
    </row>
    <row r="708" spans="1:90" s="820" customFormat="1" outlineLevel="1">
      <c r="A708" s="1336"/>
      <c r="B708" s="922" t="s">
        <v>249</v>
      </c>
      <c r="C708" s="856"/>
      <c r="D708" s="900"/>
      <c r="E708" s="900"/>
      <c r="F708" s="900"/>
      <c r="G708" s="900"/>
      <c r="H708" s="900"/>
      <c r="I708" s="900"/>
      <c r="J708" s="1460"/>
      <c r="K708" s="900"/>
      <c r="L708" s="900"/>
      <c r="M708" s="454">
        <f>M$699*M$689</f>
        <v>13528.729625036829</v>
      </c>
      <c r="N708" s="900">
        <f>M708</f>
        <v>13528.729625036829</v>
      </c>
      <c r="O708" s="900">
        <f>N708</f>
        <v>13528.729625036829</v>
      </c>
      <c r="P708" s="900">
        <f>O708</f>
        <v>13528.729625036829</v>
      </c>
      <c r="Q708" s="900"/>
      <c r="R708" s="900"/>
      <c r="T708" s="900"/>
      <c r="U708" s="900"/>
      <c r="Y708" s="825"/>
      <c r="AC708" s="825"/>
      <c r="AG708" s="825"/>
      <c r="AK708" s="825"/>
      <c r="AO708" s="825"/>
      <c r="AS708" s="825"/>
      <c r="AW708" s="825"/>
      <c r="BA708" s="825"/>
      <c r="CD708" s="826"/>
      <c r="CE708" s="826"/>
      <c r="CG708"/>
      <c r="CH708"/>
      <c r="CI708"/>
      <c r="CJ708"/>
      <c r="CK708"/>
      <c r="CL708"/>
    </row>
    <row r="709" spans="1:90" s="820" customFormat="1" outlineLevel="1">
      <c r="A709" s="1336"/>
      <c r="B709" s="922" t="s">
        <v>250</v>
      </c>
      <c r="C709" s="856"/>
      <c r="D709" s="900"/>
      <c r="E709" s="900"/>
      <c r="F709" s="900"/>
      <c r="G709" s="900"/>
      <c r="H709" s="900"/>
      <c r="I709" s="900"/>
      <c r="J709" s="1460"/>
      <c r="K709" s="900"/>
      <c r="L709" s="900"/>
      <c r="M709" s="900"/>
      <c r="N709" s="900">
        <f>N$699*N$689</f>
        <v>14777.74423371688</v>
      </c>
      <c r="O709" s="900">
        <f>N709</f>
        <v>14777.74423371688</v>
      </c>
      <c r="P709" s="900">
        <f>O709</f>
        <v>14777.74423371688</v>
      </c>
      <c r="Q709" s="900">
        <f>P709</f>
        <v>14777.74423371688</v>
      </c>
      <c r="R709" s="900"/>
      <c r="T709" s="900"/>
      <c r="U709" s="900"/>
      <c r="Y709" s="825"/>
      <c r="AC709" s="825"/>
      <c r="AG709" s="825"/>
      <c r="AK709" s="825"/>
      <c r="AO709" s="825"/>
      <c r="AS709" s="825"/>
      <c r="AW709" s="825"/>
      <c r="BA709" s="825"/>
      <c r="CD709" s="826"/>
      <c r="CE709" s="826"/>
      <c r="CG709"/>
      <c r="CH709"/>
      <c r="CI709"/>
      <c r="CJ709"/>
      <c r="CK709"/>
      <c r="CL709"/>
    </row>
    <row r="710" spans="1:90" s="820" customFormat="1" outlineLevel="1">
      <c r="A710" s="1336"/>
      <c r="B710" s="922" t="s">
        <v>251</v>
      </c>
      <c r="C710" s="856"/>
      <c r="D710" s="900"/>
      <c r="E710" s="900"/>
      <c r="F710" s="900"/>
      <c r="G710" s="900"/>
      <c r="H710" s="900"/>
      <c r="I710" s="900"/>
      <c r="J710" s="1460"/>
      <c r="K710" s="900"/>
      <c r="L710" s="900"/>
      <c r="M710" s="900"/>
      <c r="N710" s="900"/>
      <c r="O710" s="900">
        <f>O$699*O$689</f>
        <v>10995.458248188961</v>
      </c>
      <c r="P710" s="900">
        <f>O710</f>
        <v>10995.458248188961</v>
      </c>
      <c r="Q710" s="900">
        <f>P710</f>
        <v>10995.458248188961</v>
      </c>
      <c r="R710" s="900">
        <f>Q710</f>
        <v>10995.458248188961</v>
      </c>
      <c r="T710" s="921"/>
      <c r="U710" s="921"/>
      <c r="Y710" s="825"/>
      <c r="AC710" s="825"/>
      <c r="AG710" s="825"/>
      <c r="AK710" s="825"/>
      <c r="AO710" s="825"/>
      <c r="AS710" s="825"/>
      <c r="AW710" s="825"/>
      <c r="BA710" s="825"/>
      <c r="CD710" s="826"/>
      <c r="CE710" s="826"/>
      <c r="CG710"/>
      <c r="CH710"/>
      <c r="CI710"/>
      <c r="CJ710"/>
      <c r="CK710"/>
      <c r="CL710"/>
    </row>
    <row r="711" spans="1:90" s="820" customFormat="1" outlineLevel="1">
      <c r="A711" s="1336"/>
      <c r="B711" s="922" t="s">
        <v>252</v>
      </c>
      <c r="C711" s="856"/>
      <c r="D711" s="900"/>
      <c r="E711" s="900"/>
      <c r="F711" s="900"/>
      <c r="G711" s="900"/>
      <c r="H711" s="900"/>
      <c r="I711" s="900"/>
      <c r="J711" s="1460"/>
      <c r="K711" s="900"/>
      <c r="L711" s="900"/>
      <c r="M711" s="900"/>
      <c r="N711" s="900"/>
      <c r="O711" s="900"/>
      <c r="P711" s="900">
        <f>P$699*P$689</f>
        <v>13097.494943081181</v>
      </c>
      <c r="Q711" s="900">
        <f>P711</f>
        <v>13097.494943081181</v>
      </c>
      <c r="R711" s="900">
        <f>Q711</f>
        <v>13097.494943081181</v>
      </c>
      <c r="S711" s="921"/>
      <c r="T711" s="921"/>
      <c r="U711" s="921"/>
      <c r="Y711" s="825"/>
      <c r="AC711" s="825"/>
      <c r="AG711" s="825"/>
      <c r="AK711" s="825"/>
      <c r="AO711" s="825"/>
      <c r="AS711" s="825"/>
      <c r="AW711" s="825"/>
      <c r="BA711" s="825"/>
      <c r="CD711" s="826"/>
      <c r="CE711" s="826"/>
      <c r="CG711"/>
      <c r="CH711"/>
      <c r="CI711"/>
      <c r="CJ711"/>
      <c r="CK711"/>
      <c r="CL711"/>
    </row>
    <row r="712" spans="1:90" s="820" customFormat="1" outlineLevel="1">
      <c r="A712" s="1336"/>
      <c r="B712" s="922" t="s">
        <v>253</v>
      </c>
      <c r="C712" s="856"/>
      <c r="D712" s="900"/>
      <c r="E712" s="900"/>
      <c r="F712" s="900"/>
      <c r="G712" s="900"/>
      <c r="H712" s="900"/>
      <c r="I712" s="900"/>
      <c r="J712" s="1460"/>
      <c r="K712" s="900"/>
      <c r="L712" s="900"/>
      <c r="M712" s="900"/>
      <c r="N712" s="900"/>
      <c r="O712" s="900"/>
      <c r="P712" s="900"/>
      <c r="Q712" s="900">
        <f>Q$699*Q$689</f>
        <v>14710.706789386666</v>
      </c>
      <c r="R712" s="900">
        <f>Q712</f>
        <v>14710.706789386666</v>
      </c>
      <c r="S712" s="921"/>
      <c r="T712" s="921"/>
      <c r="U712" s="921"/>
      <c r="V712" s="921"/>
      <c r="W712" s="921"/>
      <c r="Y712" s="825"/>
      <c r="AC712" s="825"/>
      <c r="AG712" s="825"/>
      <c r="AK712" s="825"/>
      <c r="AO712" s="825"/>
      <c r="AS712" s="825"/>
      <c r="AW712" s="825"/>
      <c r="BA712" s="825"/>
      <c r="CD712" s="826"/>
      <c r="CE712" s="826"/>
      <c r="CG712"/>
      <c r="CH712"/>
      <c r="CI712"/>
      <c r="CJ712"/>
      <c r="CK712"/>
      <c r="CL712"/>
    </row>
    <row r="713" spans="1:90" s="820" customFormat="1" outlineLevel="1">
      <c r="A713" s="1336"/>
      <c r="B713" s="922" t="s">
        <v>254</v>
      </c>
      <c r="C713" s="856"/>
      <c r="D713" s="900"/>
      <c r="E713" s="900"/>
      <c r="F713" s="900"/>
      <c r="G713" s="900"/>
      <c r="H713" s="900"/>
      <c r="I713" s="900"/>
      <c r="J713" s="1460"/>
      <c r="K713" s="900"/>
      <c r="L713" s="900"/>
      <c r="M713" s="900"/>
      <c r="N713" s="900"/>
      <c r="O713" s="900"/>
      <c r="P713" s="900"/>
      <c r="Q713" s="900"/>
      <c r="R713" s="900">
        <f>R$699*R$689</f>
        <v>15438.265112922712</v>
      </c>
      <c r="T713" s="454"/>
      <c r="U713" s="653"/>
      <c r="Y713" s="825"/>
      <c r="AC713" s="825"/>
      <c r="AG713" s="825"/>
      <c r="AK713" s="825"/>
      <c r="AO713" s="825"/>
      <c r="AS713" s="825"/>
      <c r="AW713" s="825"/>
      <c r="BA713" s="825"/>
      <c r="CD713" s="826"/>
      <c r="CE713" s="826"/>
      <c r="CG713"/>
      <c r="CH713"/>
      <c r="CI713"/>
      <c r="CJ713"/>
      <c r="CK713"/>
      <c r="CL713"/>
    </row>
    <row r="714" spans="1:90" s="820" customFormat="1" outlineLevel="1">
      <c r="A714" s="1336"/>
      <c r="B714" s="923"/>
      <c r="C714" s="856"/>
      <c r="D714" s="835"/>
      <c r="E714" s="856"/>
      <c r="F714" s="856"/>
      <c r="G714" s="856"/>
      <c r="H714" s="856"/>
      <c r="I714" s="856"/>
      <c r="J714" s="1439"/>
      <c r="K714" s="856"/>
      <c r="L714" s="856"/>
      <c r="M714" s="856"/>
      <c r="N714" s="856"/>
      <c r="O714" s="856"/>
      <c r="P714" s="856"/>
      <c r="Q714" s="856"/>
      <c r="R714" s="856"/>
      <c r="T714" s="856"/>
      <c r="U714" s="856"/>
      <c r="Y714" s="825"/>
      <c r="AC714" s="825"/>
      <c r="AG714" s="825"/>
      <c r="AK714" s="825"/>
      <c r="AO714" s="825"/>
      <c r="AS714" s="825"/>
      <c r="AW714" s="825"/>
      <c r="BA714" s="825"/>
      <c r="CD714" s="826"/>
      <c r="CE714" s="826"/>
      <c r="CG714"/>
      <c r="CH714"/>
      <c r="CI714"/>
      <c r="CJ714"/>
      <c r="CK714"/>
      <c r="CL714"/>
    </row>
    <row r="715" spans="1:90" s="868" customFormat="1" outlineLevel="1">
      <c r="A715" s="1353"/>
      <c r="B715" s="899" t="s">
        <v>181</v>
      </c>
      <c r="C715" s="924"/>
      <c r="D715" s="888"/>
      <c r="E715" s="145">
        <f>-Model!E770</f>
        <v>-3</v>
      </c>
      <c r="F715" s="145">
        <f>-Model!F770</f>
        <v>-3</v>
      </c>
      <c r="G715" s="145">
        <f>-Model!G770</f>
        <v>0</v>
      </c>
      <c r="H715" s="145">
        <f>-Model!H770</f>
        <v>13</v>
      </c>
      <c r="I715" s="145">
        <f>-Model!I770</f>
        <v>11</v>
      </c>
      <c r="J715" s="1436">
        <f>-Model!J770</f>
        <v>-34</v>
      </c>
      <c r="K715" s="925">
        <f>J715</f>
        <v>-34</v>
      </c>
      <c r="L715" s="925">
        <f t="shared" ref="L715:R715" si="1268">K715</f>
        <v>-34</v>
      </c>
      <c r="M715" s="925">
        <f t="shared" si="1268"/>
        <v>-34</v>
      </c>
      <c r="N715" s="925">
        <f t="shared" si="1268"/>
        <v>-34</v>
      </c>
      <c r="O715" s="925">
        <f t="shared" si="1268"/>
        <v>-34</v>
      </c>
      <c r="P715" s="925">
        <f t="shared" si="1268"/>
        <v>-34</v>
      </c>
      <c r="Q715" s="925">
        <f t="shared" si="1268"/>
        <v>-34</v>
      </c>
      <c r="R715" s="925">
        <f t="shared" si="1268"/>
        <v>-34</v>
      </c>
      <c r="S715" s="831"/>
      <c r="T715" s="701"/>
      <c r="U715" s="926"/>
      <c r="V715" s="831"/>
      <c r="Y715" s="892"/>
      <c r="AC715" s="892"/>
      <c r="AG715" s="892"/>
      <c r="AK715" s="892"/>
      <c r="AO715" s="892"/>
      <c r="AS715" s="892"/>
      <c r="AW715" s="892"/>
      <c r="BA715" s="892"/>
      <c r="BF715" s="831"/>
      <c r="BG715" s="831"/>
      <c r="BH715" s="831"/>
      <c r="BI715" s="831"/>
      <c r="BJ715" s="831"/>
      <c r="BK715" s="831"/>
      <c r="BL715" s="831"/>
      <c r="BM715" s="831"/>
      <c r="BN715" s="831"/>
      <c r="BO715" s="831"/>
      <c r="BP715" s="831"/>
      <c r="BQ715" s="831"/>
      <c r="BR715" s="831"/>
      <c r="BS715" s="831"/>
      <c r="BT715" s="831"/>
      <c r="BU715" s="831"/>
      <c r="BV715" s="831"/>
      <c r="BW715" s="831"/>
      <c r="BX715" s="831"/>
      <c r="BY715" s="831"/>
      <c r="BZ715" s="831"/>
      <c r="CA715" s="831"/>
      <c r="CB715" s="831"/>
      <c r="CC715" s="831"/>
      <c r="CD715" s="893"/>
      <c r="CE715" s="893"/>
      <c r="CG715"/>
      <c r="CH715"/>
      <c r="CI715"/>
      <c r="CJ715"/>
      <c r="CK715"/>
      <c r="CL715"/>
    </row>
    <row r="716" spans="1:90" s="821" customFormat="1" outlineLevel="1">
      <c r="A716" s="1336"/>
      <c r="B716" s="869"/>
      <c r="C716" s="871"/>
      <c r="D716" s="822"/>
      <c r="E716" s="822"/>
      <c r="F716" s="822"/>
      <c r="G716" s="822"/>
      <c r="H716" s="822"/>
      <c r="I716" s="822"/>
      <c r="J716" s="1430"/>
      <c r="K716" s="822"/>
      <c r="L716" s="822"/>
      <c r="M716" s="822"/>
      <c r="N716" s="822"/>
      <c r="O716" s="822"/>
      <c r="P716" s="822"/>
      <c r="Q716" s="822"/>
      <c r="R716" s="822"/>
      <c r="S716" s="820"/>
      <c r="T716" s="822"/>
      <c r="U716" s="835"/>
      <c r="Y716" s="848"/>
      <c r="AC716" s="848"/>
      <c r="AG716" s="848"/>
      <c r="AK716" s="848"/>
      <c r="AO716" s="848"/>
      <c r="AS716" s="848"/>
      <c r="AW716" s="848"/>
      <c r="BA716" s="848"/>
      <c r="BF716" s="820"/>
      <c r="BG716" s="820"/>
      <c r="BH716" s="820"/>
      <c r="BI716" s="820"/>
      <c r="BJ716" s="820"/>
      <c r="BK716" s="820"/>
      <c r="BL716" s="820"/>
      <c r="BM716" s="820"/>
      <c r="BN716" s="820"/>
      <c r="BO716" s="820"/>
      <c r="BP716" s="820"/>
      <c r="BQ716" s="820"/>
      <c r="BR716" s="820"/>
      <c r="BS716" s="820"/>
      <c r="BT716" s="820"/>
      <c r="BU716" s="820"/>
      <c r="BV716" s="820"/>
      <c r="BW716" s="820"/>
      <c r="BX716" s="820"/>
      <c r="BY716" s="820"/>
      <c r="BZ716" s="820"/>
      <c r="CA716" s="820"/>
      <c r="CB716" s="820"/>
      <c r="CC716" s="820"/>
      <c r="CD716" s="826"/>
      <c r="CE716" s="826"/>
      <c r="CG716"/>
      <c r="CH716"/>
      <c r="CI716"/>
      <c r="CJ716"/>
      <c r="CK716"/>
      <c r="CL716"/>
    </row>
    <row r="717" spans="1:90" s="881" customFormat="1" outlineLevel="1">
      <c r="A717" s="1353"/>
      <c r="B717" s="881" t="s">
        <v>685</v>
      </c>
      <c r="C717" s="882"/>
      <c r="D717" s="882"/>
      <c r="E717" s="883">
        <f t="shared" ref="E717:J717" si="1269">E607</f>
        <v>355</v>
      </c>
      <c r="F717" s="883">
        <f t="shared" si="1269"/>
        <v>334</v>
      </c>
      <c r="G717" s="883">
        <f t="shared" si="1269"/>
        <v>1906</v>
      </c>
      <c r="H717" s="883">
        <f t="shared" si="1269"/>
        <v>6575</v>
      </c>
      <c r="I717" s="883">
        <f t="shared" si="1269"/>
        <v>5370</v>
      </c>
      <c r="J717" s="1451">
        <f t="shared" si="1269"/>
        <v>14108</v>
      </c>
      <c r="K717" s="883">
        <f t="shared" ref="K717:R717" si="1270">K719-K729</f>
        <v>14015.576843352086</v>
      </c>
      <c r="L717" s="883">
        <f t="shared" si="1270"/>
        <v>12212.422860527095</v>
      </c>
      <c r="M717" s="883">
        <f t="shared" si="1270"/>
        <v>8341.2303819958543</v>
      </c>
      <c r="N717" s="883">
        <f t="shared" si="1270"/>
        <v>5880.9994077583688</v>
      </c>
      <c r="O717" s="883">
        <f t="shared" si="1270"/>
        <v>4634.153094462541</v>
      </c>
      <c r="P717" s="883">
        <f t="shared" si="1270"/>
        <v>3993.9991116375459</v>
      </c>
      <c r="Q717" s="883">
        <f t="shared" si="1270"/>
        <v>3353.8451288125507</v>
      </c>
      <c r="R717" s="883">
        <f t="shared" si="1270"/>
        <v>2713.6911459875555</v>
      </c>
      <c r="S717" s="831"/>
      <c r="T717" s="882"/>
      <c r="U717" s="832"/>
      <c r="Y717" s="884"/>
      <c r="AC717" s="884"/>
      <c r="AG717" s="884"/>
      <c r="AK717" s="884"/>
      <c r="AO717" s="884"/>
      <c r="AS717" s="884"/>
      <c r="AW717" s="884"/>
      <c r="BA717" s="884"/>
      <c r="BF717" s="831"/>
      <c r="BG717" s="831"/>
      <c r="BH717" s="831"/>
      <c r="BI717" s="831"/>
      <c r="BJ717" s="831"/>
      <c r="BK717" s="831"/>
      <c r="BL717" s="831"/>
      <c r="BM717" s="831"/>
      <c r="BN717" s="831"/>
      <c r="BO717" s="831"/>
      <c r="BP717" s="831"/>
      <c r="BQ717" s="831"/>
      <c r="BR717" s="831"/>
      <c r="BS717" s="831"/>
      <c r="BT717" s="831"/>
      <c r="BU717" s="831"/>
      <c r="BV717" s="831"/>
      <c r="BW717" s="831"/>
      <c r="BX717" s="831"/>
      <c r="BY717" s="831"/>
      <c r="BZ717" s="831"/>
      <c r="CA717" s="831"/>
      <c r="CB717" s="831"/>
      <c r="CC717" s="831"/>
      <c r="CG717"/>
      <c r="CH717"/>
      <c r="CI717"/>
      <c r="CJ717"/>
      <c r="CK717"/>
      <c r="CL717"/>
    </row>
    <row r="718" spans="1:90" s="821" customFormat="1" outlineLevel="1">
      <c r="A718" s="1336"/>
      <c r="B718" s="885"/>
      <c r="C718" s="871"/>
      <c r="D718" s="822"/>
      <c r="E718" s="880"/>
      <c r="F718" s="880"/>
      <c r="G718" s="880"/>
      <c r="H718" s="905"/>
      <c r="I718" s="880"/>
      <c r="J718" s="1449"/>
      <c r="K718" s="880"/>
      <c r="L718" s="880"/>
      <c r="M718" s="880"/>
      <c r="N718" s="880"/>
      <c r="O718" s="880"/>
      <c r="P718" s="880"/>
      <c r="Q718" s="880"/>
      <c r="R718" s="880"/>
      <c r="S718" s="820"/>
      <c r="T718" s="880"/>
      <c r="U718" s="900"/>
      <c r="Y718" s="848"/>
      <c r="AC718" s="848"/>
      <c r="AG718" s="848"/>
      <c r="AK718" s="848"/>
      <c r="AO718" s="848"/>
      <c r="AS718" s="848"/>
      <c r="AW718" s="848"/>
      <c r="BA718" s="848"/>
      <c r="BF718" s="820"/>
      <c r="BG718" s="820"/>
      <c r="BH718" s="820"/>
      <c r="BI718" s="820"/>
      <c r="BJ718" s="820"/>
      <c r="BK718" s="820"/>
      <c r="BL718" s="820"/>
      <c r="BM718" s="820"/>
      <c r="BN718" s="820"/>
      <c r="BO718" s="820"/>
      <c r="BP718" s="820"/>
      <c r="BQ718" s="820"/>
      <c r="BR718" s="820"/>
      <c r="BS718" s="820"/>
      <c r="BT718" s="820"/>
      <c r="BU718" s="820"/>
      <c r="BV718" s="820"/>
      <c r="BW718" s="820"/>
      <c r="BX718" s="820"/>
      <c r="BY718" s="820"/>
      <c r="BZ718" s="820"/>
      <c r="CA718" s="820"/>
      <c r="CB718" s="820"/>
      <c r="CC718" s="820"/>
      <c r="CD718" s="826"/>
      <c r="CE718" s="826"/>
      <c r="CG718"/>
      <c r="CH718"/>
      <c r="CI718"/>
      <c r="CJ718"/>
      <c r="CK718"/>
      <c r="CL718"/>
    </row>
    <row r="719" spans="1:90" s="928" customFormat="1" outlineLevel="1">
      <c r="A719" s="1351"/>
      <c r="B719" s="927" t="s">
        <v>295</v>
      </c>
      <c r="C719" s="30"/>
      <c r="D719" s="30"/>
      <c r="E719" s="30">
        <f>SUM(E720:E723)</f>
        <v>1125</v>
      </c>
      <c r="F719" s="30">
        <f>SUM(F720:F723)</f>
        <v>1231</v>
      </c>
      <c r="G719" s="30">
        <f>SUM(G720:G723)</f>
        <v>3123</v>
      </c>
      <c r="H719" s="30">
        <f>SUM(H720:H724)</f>
        <v>10118</v>
      </c>
      <c r="I719" s="30">
        <f>SUM(I720:I724)</f>
        <v>12179</v>
      </c>
      <c r="J719" s="1455">
        <f>SUM(J720:J724)</f>
        <v>29064</v>
      </c>
      <c r="K719" s="30">
        <f>J719+K725+K726+K727+K724</f>
        <v>36064</v>
      </c>
      <c r="L719" s="30">
        <f t="shared" ref="L719:R719" si="1271">K719+L725+L726+L727+L724</f>
        <v>41064</v>
      </c>
      <c r="M719" s="30">
        <f t="shared" si="1271"/>
        <v>44064</v>
      </c>
      <c r="N719" s="30">
        <f t="shared" si="1271"/>
        <v>47064</v>
      </c>
      <c r="O719" s="30">
        <f t="shared" si="1271"/>
        <v>50064</v>
      </c>
      <c r="P719" s="30">
        <f t="shared" si="1271"/>
        <v>53064</v>
      </c>
      <c r="Q719" s="30">
        <f t="shared" si="1271"/>
        <v>56064</v>
      </c>
      <c r="R719" s="30">
        <f t="shared" si="1271"/>
        <v>59064</v>
      </c>
      <c r="S719" s="489"/>
      <c r="T719" s="30"/>
      <c r="U719" s="653"/>
      <c r="Y719" s="929"/>
      <c r="AC719" s="929"/>
      <c r="AG719" s="929"/>
      <c r="AK719" s="929"/>
      <c r="AO719" s="929"/>
      <c r="AS719" s="929"/>
      <c r="AW719" s="929"/>
      <c r="BA719" s="929"/>
      <c r="BF719" s="489"/>
      <c r="BG719" s="489"/>
      <c r="BH719" s="489"/>
      <c r="BI719" s="489"/>
      <c r="BJ719" s="489"/>
      <c r="BK719" s="489"/>
      <c r="BL719" s="489"/>
      <c r="BM719" s="489"/>
      <c r="BN719" s="489"/>
      <c r="BO719" s="489"/>
      <c r="BP719" s="489"/>
      <c r="BQ719" s="489"/>
      <c r="BR719" s="489"/>
      <c r="BS719" s="489"/>
      <c r="BT719" s="489"/>
      <c r="BU719" s="489"/>
      <c r="BV719" s="489"/>
      <c r="BW719" s="489"/>
      <c r="BX719" s="489"/>
      <c r="BY719" s="489"/>
      <c r="BZ719" s="489"/>
      <c r="CA719" s="489"/>
      <c r="CB719" s="489"/>
      <c r="CC719" s="489"/>
      <c r="CD719" s="827"/>
      <c r="CE719" s="827"/>
      <c r="CG719"/>
      <c r="CH719"/>
      <c r="CI719"/>
      <c r="CJ719"/>
      <c r="CK719"/>
      <c r="CL719"/>
    </row>
    <row r="720" spans="1:90" s="928" customFormat="1" outlineLevel="1">
      <c r="A720" s="1351"/>
      <c r="B720" s="930" t="s">
        <v>267</v>
      </c>
      <c r="C720" s="30"/>
      <c r="D720" s="30"/>
      <c r="E720" s="844">
        <v>240</v>
      </c>
      <c r="F720" s="844">
        <v>242</v>
      </c>
      <c r="G720" s="844">
        <v>264</v>
      </c>
      <c r="H720" s="844">
        <v>855</v>
      </c>
      <c r="I720" s="844">
        <v>1234</v>
      </c>
      <c r="J720" s="1462">
        <v>4169</v>
      </c>
      <c r="K720" s="30"/>
      <c r="L720" s="30"/>
      <c r="M720" s="30"/>
      <c r="N720" s="30"/>
      <c r="O720" s="30"/>
      <c r="P720" s="30"/>
      <c r="Q720" s="30"/>
      <c r="R720" s="30"/>
      <c r="S720" s="489"/>
      <c r="T720" s="30"/>
      <c r="U720" s="653"/>
      <c r="Y720" s="929"/>
      <c r="AC720" s="929"/>
      <c r="AG720" s="929"/>
      <c r="AK720" s="929"/>
      <c r="AO720" s="929"/>
      <c r="AS720" s="929"/>
      <c r="AW720" s="929"/>
      <c r="BA720" s="929"/>
      <c r="BF720" s="489"/>
      <c r="BG720" s="489"/>
      <c r="BH720" s="489"/>
      <c r="BI720" s="489"/>
      <c r="BJ720" s="489"/>
      <c r="BK720" s="489"/>
      <c r="BL720" s="489"/>
      <c r="BM720" s="489"/>
      <c r="BN720" s="489"/>
      <c r="BO720" s="489"/>
      <c r="BP720" s="489"/>
      <c r="BQ720" s="489"/>
      <c r="BR720" s="489"/>
      <c r="BS720" s="489"/>
      <c r="BT720" s="489"/>
      <c r="BU720" s="489"/>
      <c r="BV720" s="489"/>
      <c r="BW720" s="489"/>
      <c r="BX720" s="489"/>
      <c r="BY720" s="489"/>
      <c r="BZ720" s="489"/>
      <c r="CA720" s="489"/>
      <c r="CB720" s="489"/>
      <c r="CC720" s="489"/>
      <c r="CD720" s="827"/>
      <c r="CE720" s="827"/>
      <c r="CG720"/>
      <c r="CH720"/>
      <c r="CI720"/>
      <c r="CJ720"/>
      <c r="CK720"/>
      <c r="CL720"/>
    </row>
    <row r="721" spans="1:90" s="928" customFormat="1" outlineLevel="1">
      <c r="A721" s="1351"/>
      <c r="B721" s="930" t="s">
        <v>268</v>
      </c>
      <c r="C721" s="30"/>
      <c r="D721" s="30"/>
      <c r="E721" s="844">
        <v>608</v>
      </c>
      <c r="F721" s="844">
        <v>630</v>
      </c>
      <c r="G721" s="844">
        <v>768</v>
      </c>
      <c r="H721" s="844">
        <v>2007</v>
      </c>
      <c r="I721" s="844">
        <v>2222</v>
      </c>
      <c r="J721" s="1462">
        <v>8100</v>
      </c>
      <c r="K721" s="30"/>
      <c r="L721" s="30"/>
      <c r="M721" s="30"/>
      <c r="N721" s="30"/>
      <c r="O721" s="30"/>
      <c r="P721" s="30"/>
      <c r="Q721" s="30"/>
      <c r="R721" s="30"/>
      <c r="S721" s="489"/>
      <c r="T721" s="30"/>
      <c r="U721" s="653"/>
      <c r="Y721" s="929"/>
      <c r="AC721" s="929"/>
      <c r="AG721" s="929"/>
      <c r="AK721" s="929"/>
      <c r="AO721" s="929"/>
      <c r="AS721" s="929"/>
      <c r="AW721" s="929"/>
      <c r="BA721" s="929"/>
      <c r="BF721" s="489"/>
      <c r="BG721" s="489"/>
      <c r="BH721" s="489"/>
      <c r="BI721" s="489"/>
      <c r="BJ721" s="489"/>
      <c r="BK721" s="489"/>
      <c r="BL721" s="489"/>
      <c r="BM721" s="489"/>
      <c r="BN721" s="489"/>
      <c r="BO721" s="489"/>
      <c r="BP721" s="489"/>
      <c r="BQ721" s="489"/>
      <c r="BR721" s="489"/>
      <c r="BS721" s="489"/>
      <c r="BT721" s="489"/>
      <c r="BU721" s="489"/>
      <c r="BV721" s="489"/>
      <c r="BW721" s="489"/>
      <c r="BX721" s="489"/>
      <c r="BY721" s="489"/>
      <c r="BZ721" s="489"/>
      <c r="CA721" s="489"/>
      <c r="CB721" s="489"/>
      <c r="CC721" s="489"/>
      <c r="CD721" s="827"/>
      <c r="CE721" s="827"/>
      <c r="CG721"/>
      <c r="CH721"/>
      <c r="CI721"/>
      <c r="CJ721"/>
      <c r="CK721"/>
      <c r="CL721"/>
    </row>
    <row r="722" spans="1:90" s="928" customFormat="1" outlineLevel="1">
      <c r="A722" s="1351"/>
      <c r="B722" s="930" t="s">
        <v>269</v>
      </c>
      <c r="C722" s="30"/>
      <c r="D722" s="30"/>
      <c r="E722" s="844">
        <v>257</v>
      </c>
      <c r="F722" s="844">
        <v>319</v>
      </c>
      <c r="G722" s="844">
        <v>1041</v>
      </c>
      <c r="H722" s="844">
        <v>3331</v>
      </c>
      <c r="I722" s="844">
        <v>3652</v>
      </c>
      <c r="J722" s="1462">
        <v>4793</v>
      </c>
      <c r="K722" s="30"/>
      <c r="L722" s="30"/>
      <c r="M722" s="30"/>
      <c r="N722" s="30"/>
      <c r="O722" s="30"/>
      <c r="P722" s="30"/>
      <c r="Q722" s="30"/>
      <c r="R722" s="30"/>
      <c r="S722" s="489"/>
      <c r="T722" s="30"/>
      <c r="U722" s="653"/>
      <c r="Y722" s="929"/>
      <c r="AC722" s="929"/>
      <c r="AG722" s="929"/>
      <c r="AK722" s="929"/>
      <c r="AO722" s="929"/>
      <c r="AS722" s="929"/>
      <c r="AW722" s="929"/>
      <c r="BA722" s="929"/>
      <c r="BF722" s="489"/>
      <c r="BG722" s="489"/>
      <c r="BH722" s="489"/>
      <c r="BI722" s="489"/>
      <c r="BJ722" s="489"/>
      <c r="BK722" s="489"/>
      <c r="BL722" s="489"/>
      <c r="BM722" s="489"/>
      <c r="BN722" s="489"/>
      <c r="BO722" s="489"/>
      <c r="BP722" s="489"/>
      <c r="BQ722" s="489"/>
      <c r="BR722" s="489"/>
      <c r="BS722" s="489"/>
      <c r="BT722" s="489"/>
      <c r="BU722" s="489"/>
      <c r="BV722" s="489"/>
      <c r="BW722" s="489"/>
      <c r="BX722" s="489"/>
      <c r="BY722" s="489"/>
      <c r="BZ722" s="489"/>
      <c r="CA722" s="489"/>
      <c r="CB722" s="489"/>
      <c r="CC722" s="489"/>
      <c r="CD722" s="827"/>
      <c r="CE722" s="827"/>
      <c r="CG722"/>
      <c r="CH722"/>
      <c r="CI722"/>
      <c r="CJ722"/>
      <c r="CK722"/>
      <c r="CL722"/>
    </row>
    <row r="723" spans="1:90" s="928" customFormat="1" outlineLevel="1">
      <c r="A723" s="1351"/>
      <c r="B723" s="930" t="s">
        <v>270</v>
      </c>
      <c r="C723" s="30"/>
      <c r="D723" s="30"/>
      <c r="E723" s="844">
        <v>20</v>
      </c>
      <c r="F723" s="844">
        <v>40</v>
      </c>
      <c r="G723" s="844">
        <v>1050</v>
      </c>
      <c r="H723" s="844">
        <v>3630</v>
      </c>
      <c r="I723" s="844">
        <v>4284</v>
      </c>
      <c r="J723" s="1462">
        <v>5915</v>
      </c>
      <c r="K723" s="30"/>
      <c r="L723" s="30"/>
      <c r="M723" s="30"/>
      <c r="N723" s="30"/>
      <c r="O723" s="30"/>
      <c r="P723" s="30"/>
      <c r="Q723" s="30"/>
      <c r="R723" s="30"/>
      <c r="S723" s="489"/>
      <c r="T723" s="454"/>
      <c r="U723" s="653"/>
      <c r="Y723" s="929"/>
      <c r="AC723" s="929"/>
      <c r="AG723" s="929"/>
      <c r="AK723" s="929"/>
      <c r="AO723" s="929"/>
      <c r="AS723" s="929"/>
      <c r="AW723" s="929"/>
      <c r="BA723" s="929"/>
      <c r="BF723" s="489"/>
      <c r="BG723" s="489"/>
      <c r="BH723" s="489"/>
      <c r="BI723" s="489"/>
      <c r="BJ723" s="489"/>
      <c r="BK723" s="489"/>
      <c r="BL723" s="489"/>
      <c r="BM723" s="489"/>
      <c r="BN723" s="489"/>
      <c r="BO723" s="489"/>
      <c r="BP723" s="489"/>
      <c r="BQ723" s="489"/>
      <c r="BR723" s="489"/>
      <c r="BS723" s="489"/>
      <c r="BT723" s="489"/>
      <c r="BU723" s="489"/>
      <c r="BV723" s="489"/>
      <c r="BW723" s="489"/>
      <c r="BX723" s="489"/>
      <c r="BY723" s="489"/>
      <c r="BZ723" s="489"/>
      <c r="CA723" s="489"/>
      <c r="CB723" s="489"/>
      <c r="CC723" s="489"/>
      <c r="CD723" s="827"/>
      <c r="CE723" s="827"/>
      <c r="CG723"/>
      <c r="CH723"/>
      <c r="CI723"/>
      <c r="CJ723"/>
      <c r="CK723"/>
      <c r="CL723"/>
    </row>
    <row r="724" spans="1:90" s="928" customFormat="1" outlineLevel="1">
      <c r="A724" s="1351"/>
      <c r="B724" s="930" t="s">
        <v>560</v>
      </c>
      <c r="C724" s="30"/>
      <c r="D724" s="30"/>
      <c r="E724" s="30"/>
      <c r="F724" s="844"/>
      <c r="G724" s="844"/>
      <c r="H724" s="844">
        <v>295</v>
      </c>
      <c r="I724" s="844">
        <v>787</v>
      </c>
      <c r="J724" s="1462">
        <v>6087</v>
      </c>
      <c r="K724" s="454"/>
      <c r="L724" s="454"/>
      <c r="M724" s="454"/>
      <c r="N724" s="454"/>
      <c r="O724" s="454"/>
      <c r="P724" s="454"/>
      <c r="Q724" s="454"/>
      <c r="R724" s="454"/>
      <c r="S724" s="489"/>
      <c r="T724" s="454"/>
      <c r="U724" s="653"/>
      <c r="Y724" s="929"/>
      <c r="AC724" s="929"/>
      <c r="AG724" s="929"/>
      <c r="AK724" s="929"/>
      <c r="AO724" s="929"/>
      <c r="AS724" s="929"/>
      <c r="AW724" s="929"/>
      <c r="BA724" s="929"/>
      <c r="BF724" s="489"/>
      <c r="BG724" s="489"/>
      <c r="BH724" s="489"/>
      <c r="BI724" s="489"/>
      <c r="BJ724" s="489"/>
      <c r="BK724" s="489"/>
      <c r="BL724" s="489"/>
      <c r="BM724" s="489"/>
      <c r="BN724" s="489"/>
      <c r="BO724" s="489"/>
      <c r="BP724" s="489"/>
      <c r="BQ724" s="489"/>
      <c r="BR724" s="489"/>
      <c r="BS724" s="489"/>
      <c r="BT724" s="489"/>
      <c r="BU724" s="489"/>
      <c r="BV724" s="489"/>
      <c r="BW724" s="489"/>
      <c r="BX724" s="489"/>
      <c r="BY724" s="489"/>
      <c r="BZ724" s="489"/>
      <c r="CA724" s="489"/>
      <c r="CB724" s="489"/>
      <c r="CC724" s="489"/>
      <c r="CD724" s="827"/>
      <c r="CE724" s="827"/>
      <c r="CG724"/>
      <c r="CH724"/>
      <c r="CI724"/>
      <c r="CJ724"/>
      <c r="CK724"/>
      <c r="CL724"/>
    </row>
    <row r="725" spans="1:90" s="928" customFormat="1" outlineLevel="1">
      <c r="A725" s="1351"/>
      <c r="B725" s="930" t="s">
        <v>299</v>
      </c>
      <c r="C725" s="30"/>
      <c r="D725" s="30"/>
      <c r="E725" s="30"/>
      <c r="F725" s="30"/>
      <c r="G725" s="30"/>
      <c r="H725" s="454"/>
      <c r="I725" s="454"/>
      <c r="J725" s="725"/>
      <c r="K725" s="730">
        <v>7000</v>
      </c>
      <c r="L725" s="730">
        <v>5000</v>
      </c>
      <c r="M725" s="730">
        <v>3000</v>
      </c>
      <c r="N725" s="730">
        <v>3000</v>
      </c>
      <c r="O725" s="730">
        <v>3000</v>
      </c>
      <c r="P725" s="730">
        <v>3000</v>
      </c>
      <c r="Q725" s="730">
        <v>3000</v>
      </c>
      <c r="R725" s="730">
        <v>3000</v>
      </c>
      <c r="S725" s="489"/>
      <c r="T725" s="454"/>
      <c r="U725" s="653"/>
      <c r="Y725" s="929"/>
      <c r="AC725" s="929"/>
      <c r="AG725" s="929"/>
      <c r="AK725" s="929"/>
      <c r="AO725" s="929"/>
      <c r="AS725" s="929"/>
      <c r="AW725" s="929"/>
      <c r="BA725" s="929"/>
      <c r="BF725" s="489"/>
      <c r="BG725" s="489"/>
      <c r="BH725" s="489"/>
      <c r="BI725" s="489"/>
      <c r="BJ725" s="489"/>
      <c r="BK725" s="489"/>
      <c r="BL725" s="489"/>
      <c r="BM725" s="489"/>
      <c r="BN725" s="489"/>
      <c r="BO725" s="489"/>
      <c r="BP725" s="489"/>
      <c r="BQ725" s="489"/>
      <c r="BR725" s="489"/>
      <c r="BS725" s="489"/>
      <c r="BT725" s="489"/>
      <c r="BU725" s="489"/>
      <c r="BV725" s="489"/>
      <c r="BW725" s="489"/>
      <c r="BX725" s="489"/>
      <c r="BY725" s="489"/>
      <c r="BZ725" s="489"/>
      <c r="CA725" s="489"/>
      <c r="CB725" s="489"/>
      <c r="CC725" s="489"/>
      <c r="CD725" s="827"/>
      <c r="CE725" s="827"/>
      <c r="CG725"/>
      <c r="CH725"/>
      <c r="CI725"/>
      <c r="CJ725"/>
      <c r="CK725"/>
      <c r="CL725"/>
    </row>
    <row r="726" spans="1:90" s="928" customFormat="1" outlineLevel="1">
      <c r="A726" s="1351"/>
      <c r="B726" s="930" t="s">
        <v>565</v>
      </c>
      <c r="C726" s="30"/>
      <c r="D726" s="30"/>
      <c r="E726" s="30"/>
      <c r="F726" s="30"/>
      <c r="G726" s="30"/>
      <c r="H726" s="454"/>
      <c r="I726" s="454"/>
      <c r="J726" s="725"/>
      <c r="K726" s="454"/>
      <c r="L726" s="454"/>
      <c r="M726" s="454"/>
      <c r="N726" s="454"/>
      <c r="O726" s="454"/>
      <c r="P726" s="454"/>
      <c r="Q726" s="454"/>
      <c r="R726" s="454"/>
      <c r="S726" s="489"/>
      <c r="T726" s="454"/>
      <c r="U726" s="653"/>
      <c r="Y726" s="929"/>
      <c r="AC726" s="929"/>
      <c r="AG726" s="929"/>
      <c r="AK726" s="929"/>
      <c r="AO726" s="929"/>
      <c r="AS726" s="929"/>
      <c r="AW726" s="929"/>
      <c r="BA726" s="929"/>
      <c r="BF726" s="489"/>
      <c r="BG726" s="489"/>
      <c r="BH726" s="489"/>
      <c r="BI726" s="489"/>
      <c r="BJ726" s="489"/>
      <c r="BK726" s="489"/>
      <c r="BL726" s="489"/>
      <c r="BM726" s="489"/>
      <c r="BN726" s="489"/>
      <c r="BO726" s="489"/>
      <c r="BP726" s="489"/>
      <c r="BQ726" s="489"/>
      <c r="BR726" s="489"/>
      <c r="BS726" s="489"/>
      <c r="BT726" s="489"/>
      <c r="BU726" s="489"/>
      <c r="BV726" s="489"/>
      <c r="BW726" s="489"/>
      <c r="BX726" s="489"/>
      <c r="BY726" s="489"/>
      <c r="BZ726" s="489"/>
      <c r="CA726" s="489"/>
      <c r="CB726" s="489"/>
      <c r="CC726" s="489"/>
      <c r="CD726" s="827"/>
      <c r="CE726" s="827"/>
      <c r="CG726"/>
      <c r="CH726"/>
      <c r="CI726"/>
      <c r="CJ726"/>
      <c r="CK726"/>
      <c r="CL726"/>
    </row>
    <row r="727" spans="1:90" s="928" customFormat="1" outlineLevel="1">
      <c r="A727" s="1351"/>
      <c r="B727" s="930" t="s">
        <v>271</v>
      </c>
      <c r="C727" s="30"/>
      <c r="D727" s="30"/>
      <c r="E727" s="30"/>
      <c r="F727" s="30"/>
      <c r="G727" s="30"/>
      <c r="H727" s="454">
        <f>6251+60</f>
        <v>6311</v>
      </c>
      <c r="I727" s="674">
        <v>46377</v>
      </c>
      <c r="J727" s="725"/>
      <c r="K727" s="454"/>
      <c r="L727" s="454"/>
      <c r="M727" s="454"/>
      <c r="N727" s="454"/>
      <c r="O727" s="454"/>
      <c r="P727" s="454"/>
      <c r="Q727" s="454"/>
      <c r="R727" s="454"/>
      <c r="S727" s="489"/>
      <c r="T727" s="454"/>
      <c r="U727" s="653"/>
      <c r="Y727" s="929"/>
      <c r="AC727" s="929"/>
      <c r="AG727" s="929"/>
      <c r="AK727" s="929"/>
      <c r="AO727" s="929"/>
      <c r="AS727" s="929"/>
      <c r="AW727" s="929"/>
      <c r="BA727" s="929"/>
      <c r="BF727" s="489"/>
      <c r="BG727" s="489"/>
      <c r="BH727" s="489"/>
      <c r="BI727" s="489"/>
      <c r="BJ727" s="489"/>
      <c r="BK727" s="489"/>
      <c r="BL727" s="489"/>
      <c r="BM727" s="489"/>
      <c r="BN727" s="489"/>
      <c r="BO727" s="489"/>
      <c r="BP727" s="489"/>
      <c r="BQ727" s="489"/>
      <c r="BR727" s="489"/>
      <c r="BS727" s="489"/>
      <c r="BT727" s="489"/>
      <c r="BU727" s="489"/>
      <c r="BV727" s="489"/>
      <c r="BW727" s="489"/>
      <c r="BX727" s="489"/>
      <c r="BY727" s="489"/>
      <c r="BZ727" s="489"/>
      <c r="CA727" s="489"/>
      <c r="CB727" s="489"/>
      <c r="CC727" s="489"/>
      <c r="CD727" s="827"/>
      <c r="CE727" s="827"/>
      <c r="CG727"/>
      <c r="CH727"/>
      <c r="CI727"/>
      <c r="CJ727"/>
      <c r="CK727"/>
      <c r="CL727"/>
    </row>
    <row r="728" spans="1:90" s="928" customFormat="1" outlineLevel="1">
      <c r="A728" s="1351"/>
      <c r="B728" s="930"/>
      <c r="C728" s="30"/>
      <c r="D728" s="30"/>
      <c r="E728" s="30"/>
      <c r="F728" s="30"/>
      <c r="G728" s="30"/>
      <c r="H728" s="30"/>
      <c r="I728" s="30"/>
      <c r="J728" s="1455"/>
      <c r="K728" s="30"/>
      <c r="L728" s="30"/>
      <c r="M728" s="30"/>
      <c r="N728" s="30"/>
      <c r="O728" s="30"/>
      <c r="P728" s="30"/>
      <c r="Q728" s="30"/>
      <c r="R728" s="30"/>
      <c r="S728" s="489"/>
      <c r="T728" s="454"/>
      <c r="U728" s="653"/>
      <c r="Y728" s="929"/>
      <c r="AC728" s="929"/>
      <c r="AG728" s="929"/>
      <c r="AK728" s="929"/>
      <c r="AO728" s="929"/>
      <c r="AS728" s="929"/>
      <c r="AW728" s="929"/>
      <c r="BA728" s="929"/>
      <c r="BF728" s="489"/>
      <c r="BG728" s="489"/>
      <c r="BH728" s="489"/>
      <c r="BI728" s="489"/>
      <c r="BJ728" s="489"/>
      <c r="BK728" s="489"/>
      <c r="BL728" s="489"/>
      <c r="BM728" s="489"/>
      <c r="BN728" s="489"/>
      <c r="BO728" s="489"/>
      <c r="BP728" s="489"/>
      <c r="BQ728" s="489"/>
      <c r="BR728" s="489"/>
      <c r="BS728" s="489"/>
      <c r="BT728" s="489"/>
      <c r="BU728" s="489"/>
      <c r="BV728" s="489"/>
      <c r="BW728" s="489"/>
      <c r="BX728" s="489"/>
      <c r="BY728" s="489"/>
      <c r="BZ728" s="489"/>
      <c r="CA728" s="489"/>
      <c r="CB728" s="489"/>
      <c r="CC728" s="489"/>
      <c r="CD728" s="827"/>
      <c r="CE728" s="827"/>
      <c r="CG728"/>
      <c r="CH728"/>
      <c r="CI728"/>
      <c r="CJ728"/>
      <c r="CK728"/>
      <c r="CL728"/>
    </row>
    <row r="729" spans="1:90" s="928" customFormat="1" outlineLevel="1">
      <c r="A729" s="1351"/>
      <c r="B729" s="931" t="s">
        <v>296</v>
      </c>
      <c r="C729" s="30"/>
      <c r="D729" s="30"/>
      <c r="E729" s="844">
        <v>770</v>
      </c>
      <c r="F729" s="844">
        <v>897</v>
      </c>
      <c r="G729" s="844">
        <v>1217</v>
      </c>
      <c r="H729" s="674">
        <v>3543</v>
      </c>
      <c r="I729" s="844">
        <v>6809</v>
      </c>
      <c r="J729" s="1462">
        <v>14988</v>
      </c>
      <c r="K729" s="30">
        <f t="shared" ref="K729:R729" si="1272">J729+K730</f>
        <v>22048.423156647914</v>
      </c>
      <c r="L729" s="30">
        <f t="shared" si="1272"/>
        <v>28851.577139472905</v>
      </c>
      <c r="M729" s="30">
        <f t="shared" si="1272"/>
        <v>35722.769618004146</v>
      </c>
      <c r="N729" s="30">
        <f t="shared" si="1272"/>
        <v>41183.000592241631</v>
      </c>
      <c r="O729" s="30">
        <f t="shared" si="1272"/>
        <v>45429.846905537459</v>
      </c>
      <c r="P729" s="30">
        <f t="shared" si="1272"/>
        <v>49070.000888362454</v>
      </c>
      <c r="Q729" s="30">
        <f t="shared" si="1272"/>
        <v>52710.154871187449</v>
      </c>
      <c r="R729" s="30">
        <f t="shared" si="1272"/>
        <v>56350.308854012444</v>
      </c>
      <c r="S729" s="489"/>
      <c r="T729" s="454"/>
      <c r="U729" s="653"/>
      <c r="Y729" s="929"/>
      <c r="AC729" s="929"/>
      <c r="AG729" s="929"/>
      <c r="AK729" s="929"/>
      <c r="AO729" s="929"/>
      <c r="AS729" s="929"/>
      <c r="AW729" s="929"/>
      <c r="BA729" s="929"/>
      <c r="BF729" s="489"/>
      <c r="BG729" s="489"/>
      <c r="BH729" s="489"/>
      <c r="BI729" s="489"/>
      <c r="BJ729" s="489"/>
      <c r="BK729" s="489"/>
      <c r="BL729" s="489"/>
      <c r="BM729" s="489"/>
      <c r="BN729" s="489"/>
      <c r="BO729" s="489"/>
      <c r="BP729" s="489"/>
      <c r="BQ729" s="489"/>
      <c r="BR729" s="489"/>
      <c r="BS729" s="489"/>
      <c r="BT729" s="489"/>
      <c r="BU729" s="489"/>
      <c r="BV729" s="489"/>
      <c r="BW729" s="489"/>
      <c r="BX729" s="489"/>
      <c r="BY729" s="489"/>
      <c r="BZ729" s="489"/>
      <c r="CA729" s="489"/>
      <c r="CB729" s="489"/>
      <c r="CC729" s="489"/>
      <c r="CD729" s="827"/>
      <c r="CE729" s="827"/>
      <c r="CG729"/>
      <c r="CH729"/>
      <c r="CI729"/>
      <c r="CJ729"/>
      <c r="CK729"/>
      <c r="CL729"/>
    </row>
    <row r="730" spans="1:90" s="928" customFormat="1" outlineLevel="1">
      <c r="A730" s="1351"/>
      <c r="B730" s="930" t="s">
        <v>297</v>
      </c>
      <c r="C730" s="30"/>
      <c r="D730" s="30"/>
      <c r="E730" s="902">
        <f t="shared" ref="E730:J730" si="1273">-E351</f>
        <v>155</v>
      </c>
      <c r="F730" s="902">
        <f t="shared" si="1273"/>
        <v>130</v>
      </c>
      <c r="G730" s="902">
        <f t="shared" si="1273"/>
        <v>315</v>
      </c>
      <c r="H730" s="902">
        <f t="shared" si="1273"/>
        <v>2089</v>
      </c>
      <c r="I730" s="902">
        <f t="shared" si="1273"/>
        <v>2931</v>
      </c>
      <c r="J730" s="1454">
        <f t="shared" si="1273"/>
        <v>5122</v>
      </c>
      <c r="K730" s="454">
        <f t="shared" ref="K730:R730" si="1274">K735</f>
        <v>7060.423156647912</v>
      </c>
      <c r="L730" s="454">
        <f t="shared" si="1274"/>
        <v>6803.1539828249925</v>
      </c>
      <c r="M730" s="454">
        <f t="shared" si="1274"/>
        <v>6871.1924785312403</v>
      </c>
      <c r="N730" s="454">
        <f t="shared" si="1274"/>
        <v>5460.2309742374891</v>
      </c>
      <c r="O730" s="454">
        <f t="shared" si="1274"/>
        <v>4246.846313295825</v>
      </c>
      <c r="P730" s="454">
        <f t="shared" si="1274"/>
        <v>3640.1539828249929</v>
      </c>
      <c r="Q730" s="454">
        <f t="shared" si="1274"/>
        <v>3640.1539828249929</v>
      </c>
      <c r="R730" s="454">
        <f t="shared" si="1274"/>
        <v>3640.1539828249929</v>
      </c>
      <c r="S730" s="489"/>
      <c r="T730" s="454"/>
      <c r="U730" s="653"/>
      <c r="Y730" s="929"/>
      <c r="AC730" s="929"/>
      <c r="AG730" s="929"/>
      <c r="AK730" s="929"/>
      <c r="AO730" s="929"/>
      <c r="AS730" s="929"/>
      <c r="AW730" s="929"/>
      <c r="BA730" s="929"/>
      <c r="BF730" s="489"/>
      <c r="BG730" s="489"/>
      <c r="BH730" s="489"/>
      <c r="BI730" s="489"/>
      <c r="BJ730" s="489"/>
      <c r="BK730" s="489"/>
      <c r="BL730" s="489"/>
      <c r="BM730" s="489"/>
      <c r="BN730" s="489"/>
      <c r="BO730" s="489"/>
      <c r="BP730" s="489"/>
      <c r="BQ730" s="489"/>
      <c r="BR730" s="489"/>
      <c r="BS730" s="489"/>
      <c r="BT730" s="489"/>
      <c r="BU730" s="489"/>
      <c r="BV730" s="489"/>
      <c r="BW730" s="489"/>
      <c r="BX730" s="489"/>
      <c r="BY730" s="489"/>
      <c r="BZ730" s="489"/>
      <c r="CA730" s="489"/>
      <c r="CB730" s="489"/>
      <c r="CC730" s="489"/>
      <c r="CD730" s="827"/>
      <c r="CE730" s="827"/>
      <c r="CG730"/>
      <c r="CH730"/>
      <c r="CI730"/>
      <c r="CJ730"/>
      <c r="CK730"/>
      <c r="CL730"/>
    </row>
    <row r="731" spans="1:90" s="928" customFormat="1" outlineLevel="1">
      <c r="A731" s="1351"/>
      <c r="B731" s="930" t="s">
        <v>298</v>
      </c>
      <c r="C731" s="30"/>
      <c r="D731" s="30"/>
      <c r="E731" s="16">
        <f t="shared" ref="E731:R731" si="1275">E730/E719</f>
        <v>0.13777777777777778</v>
      </c>
      <c r="F731" s="16">
        <f t="shared" si="1275"/>
        <v>0.10560519902518278</v>
      </c>
      <c r="G731" s="16">
        <f t="shared" si="1275"/>
        <v>0.10086455331412104</v>
      </c>
      <c r="H731" s="16">
        <f t="shared" si="1275"/>
        <v>0.20646372800948803</v>
      </c>
      <c r="I731" s="16">
        <f t="shared" si="1275"/>
        <v>0.24066015272189836</v>
      </c>
      <c r="J731" s="1443">
        <f t="shared" si="1275"/>
        <v>0.1762317643820534</v>
      </c>
      <c r="K731" s="16">
        <f t="shared" si="1275"/>
        <v>0.19577482133562313</v>
      </c>
      <c r="L731" s="16">
        <f t="shared" si="1275"/>
        <v>0.16567197503470174</v>
      </c>
      <c r="M731" s="16">
        <f t="shared" si="1275"/>
        <v>0.15593664847792393</v>
      </c>
      <c r="N731" s="16">
        <f t="shared" si="1275"/>
        <v>0.11601714631645184</v>
      </c>
      <c r="O731" s="16">
        <f t="shared" si="1275"/>
        <v>8.482834598305819E-2</v>
      </c>
      <c r="P731" s="16">
        <f t="shared" si="1275"/>
        <v>6.859931371221531E-2</v>
      </c>
      <c r="Q731" s="16">
        <f t="shared" si="1275"/>
        <v>6.4928545641142144E-2</v>
      </c>
      <c r="R731" s="16">
        <f t="shared" si="1275"/>
        <v>6.1630671522839513E-2</v>
      </c>
      <c r="S731" s="489"/>
      <c r="T731" s="450"/>
      <c r="U731" s="932"/>
      <c r="Y731" s="929"/>
      <c r="AC731" s="929"/>
      <c r="AG731" s="929"/>
      <c r="AK731" s="929"/>
      <c r="AO731" s="929"/>
      <c r="AS731" s="929"/>
      <c r="AW731" s="929"/>
      <c r="BA731" s="929"/>
      <c r="BF731" s="489"/>
      <c r="BG731" s="489"/>
      <c r="BH731" s="489"/>
      <c r="BI731" s="489"/>
      <c r="BJ731" s="489"/>
      <c r="BK731" s="489"/>
      <c r="BL731" s="489"/>
      <c r="BM731" s="489"/>
      <c r="BN731" s="489"/>
      <c r="BO731" s="489"/>
      <c r="BP731" s="489"/>
      <c r="BQ731" s="489"/>
      <c r="BR731" s="489"/>
      <c r="BS731" s="489"/>
      <c r="BT731" s="489"/>
      <c r="BU731" s="489"/>
      <c r="BV731" s="489"/>
      <c r="BW731" s="489"/>
      <c r="BX731" s="489"/>
      <c r="BY731" s="489"/>
      <c r="BZ731" s="489"/>
      <c r="CA731" s="489"/>
      <c r="CB731" s="489"/>
      <c r="CC731" s="489"/>
      <c r="CD731" s="827"/>
      <c r="CE731" s="827"/>
      <c r="CG731"/>
      <c r="CH731"/>
      <c r="CI731"/>
      <c r="CJ731"/>
      <c r="CK731"/>
      <c r="CL731"/>
    </row>
    <row r="732" spans="1:90" s="307" customFormat="1" outlineLevel="1">
      <c r="A732" s="1351"/>
      <c r="B732" s="933" t="s">
        <v>255</v>
      </c>
      <c r="E732" s="934"/>
      <c r="F732" s="934"/>
      <c r="G732" s="934">
        <f>G730/(G719-F719)</f>
        <v>0.16649048625792812</v>
      </c>
      <c r="H732" s="934">
        <f>H730/(H719-G719)</f>
        <v>0.29864188706218725</v>
      </c>
      <c r="I732" s="934">
        <f>I730/(I719-H719)</f>
        <v>1.4221251819505094</v>
      </c>
      <c r="J732" s="1463">
        <f>J730/(J719-I719)</f>
        <v>0.30334616523541608</v>
      </c>
      <c r="K732" s="333">
        <f>J732</f>
        <v>0.30334616523541608</v>
      </c>
      <c r="L732" s="333">
        <f t="shared" ref="L732:R732" si="1276">K732</f>
        <v>0.30334616523541608</v>
      </c>
      <c r="M732" s="333">
        <f t="shared" si="1276"/>
        <v>0.30334616523541608</v>
      </c>
      <c r="N732" s="333">
        <f t="shared" si="1276"/>
        <v>0.30334616523541608</v>
      </c>
      <c r="O732" s="333">
        <f t="shared" si="1276"/>
        <v>0.30334616523541608</v>
      </c>
      <c r="P732" s="333">
        <f t="shared" si="1276"/>
        <v>0.30334616523541608</v>
      </c>
      <c r="Q732" s="333">
        <f t="shared" si="1276"/>
        <v>0.30334616523541608</v>
      </c>
      <c r="R732" s="333">
        <f t="shared" si="1276"/>
        <v>0.30334616523541608</v>
      </c>
      <c r="T732" s="934"/>
      <c r="U732" s="935"/>
      <c r="Y732" s="493"/>
      <c r="AC732" s="493"/>
      <c r="AG732" s="493"/>
      <c r="AK732" s="493"/>
      <c r="AO732" s="493"/>
      <c r="AS732" s="493"/>
      <c r="AW732" s="493"/>
      <c r="BA732" s="493"/>
      <c r="CD732" s="827"/>
      <c r="CE732" s="827"/>
      <c r="CG732"/>
      <c r="CH732"/>
      <c r="CI732"/>
      <c r="CJ732"/>
      <c r="CK732"/>
      <c r="CL732"/>
    </row>
    <row r="733" spans="1:90" s="821" customFormat="1" outlineLevel="1">
      <c r="A733" s="1336"/>
      <c r="B733" s="885"/>
      <c r="C733" s="871"/>
      <c r="D733" s="822"/>
      <c r="E733" s="880"/>
      <c r="F733" s="880"/>
      <c r="G733" s="880"/>
      <c r="H733" s="880"/>
      <c r="I733" s="880"/>
      <c r="J733" s="1449"/>
      <c r="K733" s="880"/>
      <c r="L733" s="880"/>
      <c r="M733" s="880"/>
      <c r="N733" s="880"/>
      <c r="O733" s="880"/>
      <c r="P733" s="880"/>
      <c r="Q733" s="880"/>
      <c r="R733" s="880"/>
      <c r="S733" s="820"/>
      <c r="T733" s="880"/>
      <c r="U733" s="900"/>
      <c r="Y733" s="848"/>
      <c r="AC733" s="848"/>
      <c r="AG733" s="848"/>
      <c r="AK733" s="848"/>
      <c r="AO733" s="848"/>
      <c r="AS733" s="848"/>
      <c r="AW733" s="848"/>
      <c r="BA733" s="848"/>
      <c r="BF733" s="820"/>
      <c r="BG733" s="820"/>
      <c r="BH733" s="820"/>
      <c r="BI733" s="820"/>
      <c r="BJ733" s="820"/>
      <c r="BK733" s="820"/>
      <c r="BL733" s="820"/>
      <c r="BM733" s="820"/>
      <c r="BN733" s="820"/>
      <c r="BO733" s="820"/>
      <c r="BP733" s="820"/>
      <c r="BQ733" s="820"/>
      <c r="BR733" s="820"/>
      <c r="BS733" s="820"/>
      <c r="BT733" s="820"/>
      <c r="BU733" s="820"/>
      <c r="BV733" s="820"/>
      <c r="BW733" s="820"/>
      <c r="BX733" s="820"/>
      <c r="BY733" s="820"/>
      <c r="BZ733" s="820"/>
      <c r="CA733" s="820"/>
      <c r="CB733" s="820"/>
      <c r="CC733" s="820"/>
      <c r="CD733" s="826"/>
      <c r="CE733" s="826"/>
      <c r="CG733"/>
      <c r="CH733"/>
      <c r="CI733"/>
      <c r="CJ733"/>
      <c r="CK733"/>
      <c r="CL733"/>
    </row>
    <row r="734" spans="1:90" s="821" customFormat="1" outlineLevel="1">
      <c r="A734" s="1336"/>
      <c r="C734" s="871"/>
      <c r="D734" s="822"/>
      <c r="E734" s="880"/>
      <c r="F734" s="880"/>
      <c r="G734" s="880"/>
      <c r="H734" s="880"/>
      <c r="I734" s="880"/>
      <c r="J734" s="1449"/>
      <c r="K734" s="880"/>
      <c r="L734" s="880"/>
      <c r="M734" s="880"/>
      <c r="N734" s="880"/>
      <c r="O734" s="880"/>
      <c r="P734" s="880"/>
      <c r="Q734" s="880"/>
      <c r="R734" s="880"/>
      <c r="S734" s="820"/>
      <c r="T734" s="880"/>
      <c r="U734" s="900"/>
      <c r="Y734" s="848"/>
      <c r="AC734" s="848"/>
      <c r="AG734" s="848"/>
      <c r="AK734" s="848"/>
      <c r="AO734" s="848"/>
      <c r="AS734" s="848"/>
      <c r="AW734" s="848"/>
      <c r="BA734" s="848"/>
      <c r="BF734" s="820"/>
      <c r="BG734" s="820"/>
      <c r="BH734" s="820"/>
      <c r="BI734" s="820"/>
      <c r="BJ734" s="820"/>
      <c r="BK734" s="820"/>
      <c r="BL734" s="820"/>
      <c r="BM734" s="820"/>
      <c r="BN734" s="820"/>
      <c r="BO734" s="820"/>
      <c r="BP734" s="820"/>
      <c r="BQ734" s="820"/>
      <c r="BR734" s="820"/>
      <c r="BS734" s="820"/>
      <c r="BT734" s="820"/>
      <c r="BU734" s="820"/>
      <c r="BV734" s="820"/>
      <c r="BW734" s="820"/>
      <c r="BX734" s="820"/>
      <c r="BY734" s="820"/>
      <c r="BZ734" s="820"/>
      <c r="CA734" s="820"/>
      <c r="CB734" s="820"/>
      <c r="CC734" s="820"/>
      <c r="CD734" s="826"/>
      <c r="CE734" s="826"/>
      <c r="CG734"/>
      <c r="CH734"/>
      <c r="CI734"/>
      <c r="CJ734"/>
      <c r="CK734"/>
      <c r="CL734"/>
    </row>
    <row r="735" spans="1:90" s="821" customFormat="1" outlineLevel="1">
      <c r="A735" s="1336"/>
      <c r="B735" s="885" t="s">
        <v>256</v>
      </c>
      <c r="C735" s="871"/>
      <c r="D735" s="822"/>
      <c r="E735" s="905"/>
      <c r="F735" s="905"/>
      <c r="G735" s="936">
        <f>G730</f>
        <v>315</v>
      </c>
      <c r="H735" s="936">
        <f>H730</f>
        <v>2089</v>
      </c>
      <c r="I735" s="936">
        <f>I730</f>
        <v>2931</v>
      </c>
      <c r="J735" s="1464">
        <f>J730</f>
        <v>5122</v>
      </c>
      <c r="K735" s="905">
        <f t="shared" ref="K735:R735" si="1277">SUM(K736:K748)</f>
        <v>7060.423156647912</v>
      </c>
      <c r="L735" s="905">
        <f t="shared" si="1277"/>
        <v>6803.1539828249925</v>
      </c>
      <c r="M735" s="905">
        <f t="shared" si="1277"/>
        <v>6871.1924785312403</v>
      </c>
      <c r="N735" s="905">
        <f t="shared" si="1277"/>
        <v>5460.2309742374891</v>
      </c>
      <c r="O735" s="905">
        <f t="shared" si="1277"/>
        <v>4246.846313295825</v>
      </c>
      <c r="P735" s="905">
        <f t="shared" si="1277"/>
        <v>3640.1539828249929</v>
      </c>
      <c r="Q735" s="905">
        <f t="shared" si="1277"/>
        <v>3640.1539828249929</v>
      </c>
      <c r="R735" s="905">
        <f t="shared" si="1277"/>
        <v>3640.1539828249929</v>
      </c>
      <c r="S735" s="820"/>
      <c r="T735" s="905"/>
      <c r="U735" s="921"/>
      <c r="Y735" s="848"/>
      <c r="AC735" s="848"/>
      <c r="AG735" s="848"/>
      <c r="AK735" s="848"/>
      <c r="AO735" s="848"/>
      <c r="AS735" s="848"/>
      <c r="AW735" s="848"/>
      <c r="BA735" s="848"/>
      <c r="BF735" s="820"/>
      <c r="BG735" s="820"/>
      <c r="BH735" s="820"/>
      <c r="BI735" s="820"/>
      <c r="BJ735" s="820"/>
      <c r="BK735" s="820"/>
      <c r="BL735" s="820"/>
      <c r="BM735" s="820"/>
      <c r="BN735" s="820"/>
      <c r="BO735" s="820"/>
      <c r="BP735" s="820"/>
      <c r="BQ735" s="820"/>
      <c r="BR735" s="820"/>
      <c r="BS735" s="820"/>
      <c r="BT735" s="820"/>
      <c r="BU735" s="820"/>
      <c r="BV735" s="820"/>
      <c r="BW735" s="820"/>
      <c r="BX735" s="820"/>
      <c r="BY735" s="820"/>
      <c r="BZ735" s="820"/>
      <c r="CA735" s="820"/>
      <c r="CB735" s="820"/>
      <c r="CC735" s="820"/>
      <c r="CD735" s="826"/>
      <c r="CE735" s="826"/>
      <c r="CG735"/>
      <c r="CH735"/>
      <c r="CI735"/>
      <c r="CJ735"/>
      <c r="CK735"/>
      <c r="CL735"/>
    </row>
    <row r="736" spans="1:90" s="821" customFormat="1" outlineLevel="1">
      <c r="A736" s="1336"/>
      <c r="B736" s="885" t="s">
        <v>257</v>
      </c>
      <c r="C736" s="871"/>
      <c r="D736" s="822"/>
      <c r="E736" s="880"/>
      <c r="F736" s="905"/>
      <c r="G736" s="905">
        <f>F730</f>
        <v>130</v>
      </c>
      <c r="H736" s="905">
        <f>G736</f>
        <v>130</v>
      </c>
      <c r="I736" s="905">
        <f>H736</f>
        <v>130</v>
      </c>
      <c r="J736" s="1465"/>
      <c r="K736" s="905"/>
      <c r="L736" s="905"/>
      <c r="M736" s="905"/>
      <c r="N736" s="905"/>
      <c r="O736" s="905"/>
      <c r="P736" s="905"/>
      <c r="Q736" s="905"/>
      <c r="R736" s="905"/>
      <c r="S736" s="820"/>
      <c r="T736" s="880"/>
      <c r="U736" s="900"/>
      <c r="Y736" s="848"/>
      <c r="AC736" s="848"/>
      <c r="AG736" s="848"/>
      <c r="AK736" s="848"/>
      <c r="AO736" s="848"/>
      <c r="AS736" s="848"/>
      <c r="AW736" s="848"/>
      <c r="BA736" s="848"/>
      <c r="BF736" s="820"/>
      <c r="BG736" s="820"/>
      <c r="BH736" s="820"/>
      <c r="BI736" s="820"/>
      <c r="BJ736" s="820"/>
      <c r="BK736" s="820"/>
      <c r="BL736" s="820"/>
      <c r="BM736" s="820"/>
      <c r="BN736" s="820"/>
      <c r="BO736" s="820"/>
      <c r="BP736" s="820"/>
      <c r="BQ736" s="820"/>
      <c r="BR736" s="820"/>
      <c r="BS736" s="820"/>
      <c r="BT736" s="820"/>
      <c r="BU736" s="820"/>
      <c r="BV736" s="820"/>
      <c r="BW736" s="820"/>
      <c r="BX736" s="820"/>
      <c r="BY736" s="820"/>
      <c r="BZ736" s="820"/>
      <c r="CA736" s="820"/>
      <c r="CB736" s="820"/>
      <c r="CC736" s="820"/>
      <c r="CD736" s="826"/>
      <c r="CE736" s="826"/>
      <c r="CG736"/>
      <c r="CH736"/>
      <c r="CI736"/>
      <c r="CJ736"/>
      <c r="CK736"/>
      <c r="CL736"/>
    </row>
    <row r="737" spans="1:90" s="821" customFormat="1" outlineLevel="1">
      <c r="A737" s="1336"/>
      <c r="B737" s="885" t="s">
        <v>347</v>
      </c>
      <c r="C737" s="871"/>
      <c r="D737" s="822"/>
      <c r="E737" s="880"/>
      <c r="F737" s="905"/>
      <c r="G737" s="905">
        <f>G735-G736</f>
        <v>185</v>
      </c>
      <c r="H737" s="905">
        <f>G737</f>
        <v>185</v>
      </c>
      <c r="I737" s="905">
        <f>H737</f>
        <v>185</v>
      </c>
      <c r="J737" s="1465">
        <f>I737</f>
        <v>185</v>
      </c>
      <c r="K737" s="905"/>
      <c r="L737" s="905"/>
      <c r="M737" s="905"/>
      <c r="N737" s="905"/>
      <c r="O737" s="905"/>
      <c r="P737" s="905"/>
      <c r="Q737" s="905"/>
      <c r="R737" s="905"/>
      <c r="S737" s="820"/>
      <c r="T737" s="880"/>
      <c r="U737" s="900"/>
      <c r="Y737" s="848"/>
      <c r="AC737" s="848"/>
      <c r="AG737" s="848"/>
      <c r="AK737" s="848"/>
      <c r="AO737" s="848"/>
      <c r="AS737" s="848"/>
      <c r="AW737" s="848"/>
      <c r="BA737" s="848"/>
      <c r="BF737" s="820"/>
      <c r="BG737" s="820"/>
      <c r="BH737" s="820"/>
      <c r="BI737" s="820"/>
      <c r="BJ737" s="820"/>
      <c r="BK737" s="820"/>
      <c r="BL737" s="820"/>
      <c r="BM737" s="820"/>
      <c r="BN737" s="820"/>
      <c r="BO737" s="820"/>
      <c r="BP737" s="820"/>
      <c r="BQ737" s="820"/>
      <c r="BR737" s="820"/>
      <c r="BS737" s="820"/>
      <c r="BT737" s="820"/>
      <c r="BU737" s="820"/>
      <c r="BV737" s="820"/>
      <c r="BW737" s="820"/>
      <c r="BX737" s="820"/>
      <c r="BY737" s="820"/>
      <c r="BZ737" s="820"/>
      <c r="CA737" s="820"/>
      <c r="CB737" s="820"/>
      <c r="CC737" s="820"/>
      <c r="CD737" s="826"/>
      <c r="CE737" s="826"/>
      <c r="CG737"/>
      <c r="CH737"/>
      <c r="CI737"/>
      <c r="CJ737"/>
      <c r="CK737"/>
      <c r="CL737"/>
    </row>
    <row r="738" spans="1:90" s="821" customFormat="1" outlineLevel="1">
      <c r="A738" s="1336"/>
      <c r="B738" s="937" t="s">
        <v>348</v>
      </c>
      <c r="C738" s="871"/>
      <c r="D738" s="822"/>
      <c r="E738" s="880"/>
      <c r="F738" s="880"/>
      <c r="G738" s="880"/>
      <c r="H738" s="30">
        <f>H735-H736-H737</f>
        <v>1774</v>
      </c>
      <c r="I738" s="30">
        <f>H738</f>
        <v>1774</v>
      </c>
      <c r="J738" s="1455">
        <f>I738</f>
        <v>1774</v>
      </c>
      <c r="K738" s="30">
        <f>J738</f>
        <v>1774</v>
      </c>
      <c r="L738" s="30"/>
      <c r="M738" s="30"/>
      <c r="N738" s="30"/>
      <c r="O738" s="30"/>
      <c r="P738" s="30"/>
      <c r="Q738" s="30"/>
      <c r="R738" s="30"/>
      <c r="S738" s="820"/>
      <c r="T738" s="880"/>
      <c r="U738" s="900"/>
      <c r="Y738" s="848"/>
      <c r="AC738" s="848"/>
      <c r="AG738" s="848"/>
      <c r="AK738" s="848"/>
      <c r="AO738" s="848"/>
      <c r="AS738" s="848"/>
      <c r="AW738" s="848"/>
      <c r="BA738" s="848"/>
      <c r="BF738" s="820"/>
      <c r="BG738" s="820"/>
      <c r="BH738" s="820"/>
      <c r="BI738" s="820"/>
      <c r="BJ738" s="820"/>
      <c r="BK738" s="820"/>
      <c r="BL738" s="820"/>
      <c r="BM738" s="820"/>
      <c r="BN738" s="820"/>
      <c r="BO738" s="820"/>
      <c r="BP738" s="820"/>
      <c r="BQ738" s="820"/>
      <c r="BR738" s="820"/>
      <c r="BS738" s="820"/>
      <c r="BT738" s="820"/>
      <c r="BU738" s="820"/>
      <c r="BV738" s="820"/>
      <c r="BW738" s="820"/>
      <c r="BX738" s="820"/>
      <c r="BY738" s="820"/>
      <c r="BZ738" s="820"/>
      <c r="CA738" s="820"/>
      <c r="CB738" s="820"/>
      <c r="CC738" s="820"/>
      <c r="CD738" s="826"/>
      <c r="CE738" s="826"/>
      <c r="CG738"/>
      <c r="CH738"/>
      <c r="CI738"/>
      <c r="CJ738"/>
      <c r="CK738"/>
      <c r="CL738"/>
    </row>
    <row r="739" spans="1:90" s="821" customFormat="1" outlineLevel="1">
      <c r="A739" s="1336"/>
      <c r="B739" s="937" t="s">
        <v>349</v>
      </c>
      <c r="C739" s="871"/>
      <c r="D739" s="822"/>
      <c r="E739" s="880"/>
      <c r="F739" s="880"/>
      <c r="G739" s="880"/>
      <c r="H739" s="880"/>
      <c r="I739" s="30">
        <f>I735-I736-I737-I738</f>
        <v>842</v>
      </c>
      <c r="J739" s="1455">
        <f>I739</f>
        <v>842</v>
      </c>
      <c r="K739" s="30">
        <f>J739</f>
        <v>842</v>
      </c>
      <c r="L739" s="30">
        <f>K739</f>
        <v>842</v>
      </c>
      <c r="M739" s="30"/>
      <c r="N739" s="30"/>
      <c r="O739" s="30"/>
      <c r="P739" s="30"/>
      <c r="Q739" s="30"/>
      <c r="R739" s="30"/>
      <c r="S739" s="820"/>
      <c r="T739" s="30"/>
      <c r="U739" s="653"/>
      <c r="Y739" s="848"/>
      <c r="AC739" s="848"/>
      <c r="AG739" s="848"/>
      <c r="AK739" s="848"/>
      <c r="AO739" s="848"/>
      <c r="AS739" s="848"/>
      <c r="AW739" s="848"/>
      <c r="BA739" s="848"/>
      <c r="BF739" s="820"/>
      <c r="BG739" s="820"/>
      <c r="BH739" s="820"/>
      <c r="BI739" s="820"/>
      <c r="BJ739" s="820"/>
      <c r="BK739" s="820"/>
      <c r="BL739" s="820"/>
      <c r="BM739" s="820"/>
      <c r="BN739" s="820"/>
      <c r="BO739" s="820"/>
      <c r="BP739" s="820"/>
      <c r="BQ739" s="820"/>
      <c r="BR739" s="820"/>
      <c r="BS739" s="820"/>
      <c r="BT739" s="820"/>
      <c r="BU739" s="820"/>
      <c r="BV739" s="820"/>
      <c r="BW739" s="820"/>
      <c r="BX739" s="820"/>
      <c r="BY739" s="820"/>
      <c r="BZ739" s="820"/>
      <c r="CA739" s="820"/>
      <c r="CB739" s="820"/>
      <c r="CC739" s="820"/>
      <c r="CD739" s="826"/>
      <c r="CE739" s="826"/>
      <c r="CG739"/>
      <c r="CH739"/>
      <c r="CI739"/>
      <c r="CJ739"/>
      <c r="CK739"/>
      <c r="CL739"/>
    </row>
    <row r="740" spans="1:90" s="821" customFormat="1" outlineLevel="1">
      <c r="A740" s="1336"/>
      <c r="B740" s="937" t="s">
        <v>246</v>
      </c>
      <c r="C740" s="871"/>
      <c r="D740" s="822"/>
      <c r="E740" s="880"/>
      <c r="F740" s="880"/>
      <c r="G740" s="880"/>
      <c r="H740" s="880"/>
      <c r="I740" s="880"/>
      <c r="J740" s="1455">
        <f>J735-J736-J737-J738-J739</f>
        <v>2321</v>
      </c>
      <c r="K740" s="30">
        <f>J740</f>
        <v>2321</v>
      </c>
      <c r="L740" s="30">
        <f>K740</f>
        <v>2321</v>
      </c>
      <c r="M740" s="30">
        <f>L740</f>
        <v>2321</v>
      </c>
      <c r="N740" s="30"/>
      <c r="O740" s="30"/>
      <c r="P740" s="30"/>
      <c r="Q740" s="30"/>
      <c r="R740" s="30"/>
      <c r="S740" s="820"/>
      <c r="T740" s="30"/>
      <c r="U740" s="653"/>
      <c r="Y740" s="848"/>
      <c r="AC740" s="848"/>
      <c r="AG740" s="848"/>
      <c r="AK740" s="848"/>
      <c r="AO740" s="848"/>
      <c r="AS740" s="848"/>
      <c r="AW740" s="848"/>
      <c r="BA740" s="848"/>
      <c r="BF740" s="820"/>
      <c r="BG740" s="820"/>
      <c r="BH740" s="820"/>
      <c r="BI740" s="820"/>
      <c r="BJ740" s="820"/>
      <c r="BK740" s="820"/>
      <c r="BL740" s="820"/>
      <c r="BM740" s="820"/>
      <c r="BN740" s="820"/>
      <c r="BO740" s="820"/>
      <c r="BP740" s="820"/>
      <c r="BQ740" s="820"/>
      <c r="BR740" s="820"/>
      <c r="BS740" s="820"/>
      <c r="BT740" s="820"/>
      <c r="BU740" s="820"/>
      <c r="BV740" s="820"/>
      <c r="BW740" s="820"/>
      <c r="BX740" s="820"/>
      <c r="BY740" s="820"/>
      <c r="BZ740" s="820"/>
      <c r="CA740" s="820"/>
      <c r="CB740" s="820"/>
      <c r="CC740" s="820"/>
      <c r="CD740" s="826"/>
      <c r="CE740" s="826"/>
      <c r="CG740"/>
      <c r="CH740"/>
      <c r="CI740"/>
      <c r="CJ740"/>
      <c r="CK740"/>
      <c r="CL740"/>
    </row>
    <row r="741" spans="1:90" s="821" customFormat="1" outlineLevel="1">
      <c r="A741" s="1336"/>
      <c r="B741" s="937" t="s">
        <v>247</v>
      </c>
      <c r="C741" s="871"/>
      <c r="D741" s="822"/>
      <c r="E741" s="880"/>
      <c r="F741" s="880"/>
      <c r="G741" s="880"/>
      <c r="H741" s="880"/>
      <c r="I741" s="880"/>
      <c r="J741" s="1449"/>
      <c r="K741" s="30">
        <f>(K$726+K$725)*K$732</f>
        <v>2123.4231566479125</v>
      </c>
      <c r="L741" s="30">
        <f>K741</f>
        <v>2123.4231566479125</v>
      </c>
      <c r="M741" s="30">
        <f>L741</f>
        <v>2123.4231566479125</v>
      </c>
      <c r="N741" s="30">
        <f>M741</f>
        <v>2123.4231566479125</v>
      </c>
      <c r="O741" s="30"/>
      <c r="P741" s="30"/>
      <c r="Q741" s="30"/>
      <c r="R741" s="30"/>
      <c r="S741" s="820"/>
      <c r="T741" s="30"/>
      <c r="U741" s="653"/>
      <c r="Y741" s="848"/>
      <c r="AC741" s="848"/>
      <c r="AG741" s="848"/>
      <c r="AK741" s="848"/>
      <c r="AO741" s="848"/>
      <c r="AS741" s="848"/>
      <c r="AW741" s="848"/>
      <c r="BA741" s="848"/>
      <c r="BF741" s="820"/>
      <c r="BG741" s="820"/>
      <c r="BH741" s="820"/>
      <c r="BI741" s="820"/>
      <c r="BJ741" s="820"/>
      <c r="BK741" s="820"/>
      <c r="BL741" s="820"/>
      <c r="BM741" s="820"/>
      <c r="BN741" s="820"/>
      <c r="BO741" s="820"/>
      <c r="BP741" s="820"/>
      <c r="BQ741" s="820"/>
      <c r="BR741" s="820"/>
      <c r="BS741" s="820"/>
      <c r="BT741" s="820"/>
      <c r="BU741" s="820"/>
      <c r="BV741" s="820"/>
      <c r="BW741" s="820"/>
      <c r="BX741" s="820"/>
      <c r="BY741" s="820"/>
      <c r="BZ741" s="820"/>
      <c r="CA741" s="820"/>
      <c r="CB741" s="820"/>
      <c r="CC741" s="820"/>
      <c r="CD741" s="826"/>
      <c r="CE741" s="826"/>
      <c r="CG741"/>
      <c r="CH741"/>
      <c r="CI741"/>
      <c r="CJ741"/>
      <c r="CK741"/>
      <c r="CL741"/>
    </row>
    <row r="742" spans="1:90" s="821" customFormat="1" outlineLevel="1">
      <c r="A742" s="1336"/>
      <c r="B742" s="937" t="s">
        <v>248</v>
      </c>
      <c r="C742" s="871"/>
      <c r="D742" s="822"/>
      <c r="E742" s="880"/>
      <c r="F742" s="880"/>
      <c r="G742" s="880"/>
      <c r="H742" s="880"/>
      <c r="I742" s="880"/>
      <c r="J742" s="1449"/>
      <c r="K742" s="880"/>
      <c r="L742" s="30">
        <f>(L$726+L$725)*L$732</f>
        <v>1516.7308261770804</v>
      </c>
      <c r="M742" s="30">
        <f>L742</f>
        <v>1516.7308261770804</v>
      </c>
      <c r="N742" s="30">
        <f>M742</f>
        <v>1516.7308261770804</v>
      </c>
      <c r="O742" s="30">
        <f>N742</f>
        <v>1516.7308261770804</v>
      </c>
      <c r="P742" s="30"/>
      <c r="Q742" s="30"/>
      <c r="R742" s="30"/>
      <c r="S742" s="820"/>
      <c r="T742" s="30"/>
      <c r="U742" s="653"/>
      <c r="Y742" s="848"/>
      <c r="AC742" s="848"/>
      <c r="AG742" s="848"/>
      <c r="AK742" s="848"/>
      <c r="AO742" s="848"/>
      <c r="AS742" s="848"/>
      <c r="AW742" s="848"/>
      <c r="BA742" s="848"/>
      <c r="BF742" s="820"/>
      <c r="BG742" s="820"/>
      <c r="BH742" s="820"/>
      <c r="BI742" s="820"/>
      <c r="BJ742" s="820"/>
      <c r="BK742" s="820"/>
      <c r="BL742" s="820"/>
      <c r="BM742" s="820"/>
      <c r="BN742" s="820"/>
      <c r="BO742" s="820"/>
      <c r="BP742" s="820"/>
      <c r="BQ742" s="820"/>
      <c r="BR742" s="820"/>
      <c r="BS742" s="820"/>
      <c r="BT742" s="820"/>
      <c r="BU742" s="820"/>
      <c r="BV742" s="820"/>
      <c r="BW742" s="820"/>
      <c r="BX742" s="820"/>
      <c r="BY742" s="820"/>
      <c r="BZ742" s="820"/>
      <c r="CA742" s="820"/>
      <c r="CB742" s="820"/>
      <c r="CC742" s="820"/>
      <c r="CD742" s="826"/>
      <c r="CE742" s="826"/>
      <c r="CG742"/>
      <c r="CH742"/>
      <c r="CI742"/>
      <c r="CJ742"/>
      <c r="CK742"/>
      <c r="CL742"/>
    </row>
    <row r="743" spans="1:90" s="821" customFormat="1" outlineLevel="1">
      <c r="A743" s="1336"/>
      <c r="B743" s="937" t="s">
        <v>249</v>
      </c>
      <c r="C743" s="871"/>
      <c r="D743" s="822"/>
      <c r="E743" s="880"/>
      <c r="F743" s="880"/>
      <c r="G743" s="880"/>
      <c r="H743" s="880"/>
      <c r="I743" s="880"/>
      <c r="J743" s="1449"/>
      <c r="K743" s="880"/>
      <c r="L743" s="880"/>
      <c r="M743" s="30">
        <f>(M$726+M$725)*M$732</f>
        <v>910.03849570624823</v>
      </c>
      <c r="N743" s="880">
        <f>M743</f>
        <v>910.03849570624823</v>
      </c>
      <c r="O743" s="880">
        <f>N743</f>
        <v>910.03849570624823</v>
      </c>
      <c r="P743" s="880">
        <f>O743</f>
        <v>910.03849570624823</v>
      </c>
      <c r="Q743" s="880"/>
      <c r="R743" s="880"/>
      <c r="S743" s="820"/>
      <c r="T743" s="30"/>
      <c r="U743" s="653"/>
      <c r="Y743" s="848"/>
      <c r="AC743" s="848"/>
      <c r="AG743" s="848"/>
      <c r="AK743" s="848"/>
      <c r="AO743" s="848"/>
      <c r="AS743" s="848"/>
      <c r="AW743" s="848"/>
      <c r="BA743" s="848"/>
      <c r="BF743" s="820"/>
      <c r="BG743" s="820"/>
      <c r="BH743" s="820"/>
      <c r="BI743" s="820"/>
      <c r="BJ743" s="820"/>
      <c r="BK743" s="820"/>
      <c r="BL743" s="820"/>
      <c r="BM743" s="820"/>
      <c r="BN743" s="820"/>
      <c r="BO743" s="820"/>
      <c r="BP743" s="820"/>
      <c r="BQ743" s="820"/>
      <c r="BR743" s="820"/>
      <c r="BS743" s="820"/>
      <c r="BT743" s="820"/>
      <c r="BU743" s="820"/>
      <c r="BV743" s="820"/>
      <c r="BW743" s="820"/>
      <c r="BX743" s="820"/>
      <c r="BY743" s="820"/>
      <c r="BZ743" s="820"/>
      <c r="CA743" s="820"/>
      <c r="CB743" s="820"/>
      <c r="CC743" s="820"/>
      <c r="CD743" s="826"/>
      <c r="CE743" s="826"/>
      <c r="CG743"/>
      <c r="CH743"/>
      <c r="CI743"/>
      <c r="CJ743"/>
      <c r="CK743"/>
      <c r="CL743"/>
    </row>
    <row r="744" spans="1:90" s="821" customFormat="1" outlineLevel="1">
      <c r="A744" s="1336"/>
      <c r="B744" s="937" t="s">
        <v>250</v>
      </c>
      <c r="C744" s="871"/>
      <c r="D744" s="822"/>
      <c r="E744" s="880"/>
      <c r="F744" s="880"/>
      <c r="G744" s="880"/>
      <c r="H744" s="880"/>
      <c r="I744" s="880"/>
      <c r="J744" s="1449"/>
      <c r="K744" s="880"/>
      <c r="L744" s="880"/>
      <c r="M744" s="880"/>
      <c r="N744" s="880">
        <f>(N$726+N$725)*N$732</f>
        <v>910.03849570624823</v>
      </c>
      <c r="O744" s="880">
        <f>N744</f>
        <v>910.03849570624823</v>
      </c>
      <c r="P744" s="880">
        <f>O744</f>
        <v>910.03849570624823</v>
      </c>
      <c r="Q744" s="880">
        <f>P744</f>
        <v>910.03849570624823</v>
      </c>
      <c r="R744" s="880"/>
      <c r="S744" s="820"/>
      <c r="T744" s="30"/>
      <c r="U744" s="653"/>
      <c r="Y744" s="848"/>
      <c r="AC744" s="848"/>
      <c r="AG744" s="848"/>
      <c r="AK744" s="848"/>
      <c r="AO744" s="848"/>
      <c r="AS744" s="848"/>
      <c r="AW744" s="848"/>
      <c r="BA744" s="848"/>
      <c r="BF744" s="820"/>
      <c r="BG744" s="820"/>
      <c r="BH744" s="820"/>
      <c r="BI744" s="820"/>
      <c r="BJ744" s="820"/>
      <c r="BK744" s="820"/>
      <c r="BL744" s="820"/>
      <c r="BM744" s="820"/>
      <c r="BN744" s="820"/>
      <c r="BO744" s="820"/>
      <c r="BP744" s="820"/>
      <c r="BQ744" s="820"/>
      <c r="BR744" s="820"/>
      <c r="BS744" s="820"/>
      <c r="BT744" s="820"/>
      <c r="BU744" s="820"/>
      <c r="BV744" s="820"/>
      <c r="BW744" s="820"/>
      <c r="BX744" s="820"/>
      <c r="BY744" s="820"/>
      <c r="BZ744" s="820"/>
      <c r="CA744" s="820"/>
      <c r="CB744" s="820"/>
      <c r="CC744" s="820"/>
      <c r="CD744" s="826"/>
      <c r="CE744" s="826"/>
      <c r="CG744"/>
      <c r="CH744"/>
      <c r="CI744"/>
      <c r="CJ744"/>
      <c r="CK744"/>
      <c r="CL744"/>
    </row>
    <row r="745" spans="1:90" s="821" customFormat="1" outlineLevel="1">
      <c r="A745" s="1336"/>
      <c r="B745" s="937" t="s">
        <v>251</v>
      </c>
      <c r="C745" s="871"/>
      <c r="D745" s="822"/>
      <c r="E745" s="880"/>
      <c r="F745" s="880"/>
      <c r="G745" s="880"/>
      <c r="H745" s="880"/>
      <c r="I745" s="880"/>
      <c r="J745" s="1449"/>
      <c r="K745" s="880"/>
      <c r="L745" s="880"/>
      <c r="M745" s="880"/>
      <c r="N745" s="880"/>
      <c r="O745" s="880">
        <f>(O$726+O$725)*O$732</f>
        <v>910.03849570624823</v>
      </c>
      <c r="P745" s="880">
        <f>O745</f>
        <v>910.03849570624823</v>
      </c>
      <c r="Q745" s="880">
        <f>P745</f>
        <v>910.03849570624823</v>
      </c>
      <c r="R745" s="880">
        <f>Q745</f>
        <v>910.03849570624823</v>
      </c>
      <c r="S745" s="454"/>
      <c r="T745" s="30"/>
      <c r="U745" s="653"/>
      <c r="Y745" s="848"/>
      <c r="AC745" s="848"/>
      <c r="AG745" s="848"/>
      <c r="AK745" s="848"/>
      <c r="AO745" s="848"/>
      <c r="AS745" s="848"/>
      <c r="AW745" s="848"/>
      <c r="BA745" s="848"/>
      <c r="BF745" s="820"/>
      <c r="BG745" s="820"/>
      <c r="BH745" s="820"/>
      <c r="BI745" s="820"/>
      <c r="BJ745" s="820"/>
      <c r="BK745" s="820"/>
      <c r="BL745" s="820"/>
      <c r="BM745" s="820"/>
      <c r="BN745" s="820"/>
      <c r="BO745" s="820"/>
      <c r="BP745" s="820"/>
      <c r="BQ745" s="820"/>
      <c r="BR745" s="820"/>
      <c r="BS745" s="820"/>
      <c r="BT745" s="820"/>
      <c r="BU745" s="820"/>
      <c r="BV745" s="820"/>
      <c r="BW745" s="820"/>
      <c r="BX745" s="820"/>
      <c r="BY745" s="820"/>
      <c r="BZ745" s="820"/>
      <c r="CA745" s="820"/>
      <c r="CB745" s="820"/>
      <c r="CC745" s="820"/>
      <c r="CD745" s="826"/>
      <c r="CE745" s="826"/>
      <c r="CG745"/>
      <c r="CH745"/>
      <c r="CI745"/>
      <c r="CJ745"/>
      <c r="CK745"/>
      <c r="CL745"/>
    </row>
    <row r="746" spans="1:90" s="821" customFormat="1" outlineLevel="1">
      <c r="A746" s="1336"/>
      <c r="B746" s="937" t="s">
        <v>252</v>
      </c>
      <c r="C746" s="871"/>
      <c r="D746" s="822"/>
      <c r="E746" s="880"/>
      <c r="F746" s="880"/>
      <c r="G746" s="880"/>
      <c r="H746" s="880"/>
      <c r="I746" s="880"/>
      <c r="J746" s="1449"/>
      <c r="K746" s="880"/>
      <c r="L746" s="880"/>
      <c r="M746" s="880"/>
      <c r="N746" s="880"/>
      <c r="O746" s="880"/>
      <c r="P746" s="880">
        <f>(P$726+P$725)*P$732</f>
        <v>910.03849570624823</v>
      </c>
      <c r="Q746" s="880">
        <f>P746</f>
        <v>910.03849570624823</v>
      </c>
      <c r="R746" s="880">
        <f>Q746</f>
        <v>910.03849570624823</v>
      </c>
      <c r="S746" s="454"/>
      <c r="T746" s="30"/>
      <c r="U746" s="653"/>
      <c r="Y746" s="848"/>
      <c r="AC746" s="848"/>
      <c r="AG746" s="848"/>
      <c r="AK746" s="848"/>
      <c r="AO746" s="848"/>
      <c r="AS746" s="848"/>
      <c r="AW746" s="848"/>
      <c r="BA746" s="848"/>
      <c r="BF746" s="820"/>
      <c r="BG746" s="820"/>
      <c r="BH746" s="820"/>
      <c r="BI746" s="820"/>
      <c r="BJ746" s="820"/>
      <c r="BK746" s="820"/>
      <c r="BL746" s="820"/>
      <c r="BM746" s="820"/>
      <c r="BN746" s="820"/>
      <c r="BO746" s="820"/>
      <c r="BP746" s="820"/>
      <c r="BQ746" s="820"/>
      <c r="BR746" s="820"/>
      <c r="BS746" s="820"/>
      <c r="BT746" s="820"/>
      <c r="BU746" s="820"/>
      <c r="BV746" s="820"/>
      <c r="BW746" s="820"/>
      <c r="BX746" s="820"/>
      <c r="BY746" s="820"/>
      <c r="BZ746" s="820"/>
      <c r="CA746" s="820"/>
      <c r="CB746" s="820"/>
      <c r="CC746" s="820"/>
      <c r="CD746" s="826"/>
      <c r="CE746" s="826"/>
      <c r="CG746"/>
      <c r="CH746"/>
      <c r="CI746"/>
      <c r="CJ746"/>
      <c r="CK746"/>
      <c r="CL746"/>
    </row>
    <row r="747" spans="1:90" s="821" customFormat="1" outlineLevel="1">
      <c r="A747" s="1336"/>
      <c r="B747" s="937" t="s">
        <v>253</v>
      </c>
      <c r="C747" s="871"/>
      <c r="D747" s="822"/>
      <c r="E747" s="880"/>
      <c r="F747" s="880"/>
      <c r="G747" s="880"/>
      <c r="H747" s="880"/>
      <c r="I747" s="880"/>
      <c r="J747" s="1449"/>
      <c r="K747" s="880"/>
      <c r="L747" s="880"/>
      <c r="M747" s="880"/>
      <c r="N747" s="880"/>
      <c r="O747" s="880"/>
      <c r="P747" s="880"/>
      <c r="Q747" s="880">
        <f>(Q$726+Q$725)*Q$732</f>
        <v>910.03849570624823</v>
      </c>
      <c r="R747" s="880">
        <f>Q747</f>
        <v>910.03849570624823</v>
      </c>
      <c r="S747" s="454"/>
      <c r="T747" s="30"/>
      <c r="U747" s="653"/>
      <c r="Y747" s="848"/>
      <c r="AC747" s="848"/>
      <c r="AG747" s="848"/>
      <c r="AK747" s="848"/>
      <c r="AO747" s="848"/>
      <c r="AS747" s="848"/>
      <c r="AW747" s="848"/>
      <c r="BA747" s="848"/>
      <c r="BF747" s="820"/>
      <c r="BG747" s="820"/>
      <c r="BH747" s="820"/>
      <c r="BI747" s="820"/>
      <c r="BJ747" s="820"/>
      <c r="BK747" s="820"/>
      <c r="BL747" s="820"/>
      <c r="BM747" s="820"/>
      <c r="BN747" s="820"/>
      <c r="BO747" s="820"/>
      <c r="BP747" s="820"/>
      <c r="BQ747" s="820"/>
      <c r="BR747" s="820"/>
      <c r="BS747" s="820"/>
      <c r="BT747" s="820"/>
      <c r="BU747" s="820"/>
      <c r="BV747" s="820"/>
      <c r="BW747" s="820"/>
      <c r="BX747" s="820"/>
      <c r="BY747" s="820"/>
      <c r="BZ747" s="820"/>
      <c r="CA747" s="820"/>
      <c r="CB747" s="820"/>
      <c r="CC747" s="820"/>
      <c r="CD747" s="826"/>
      <c r="CE747" s="826"/>
      <c r="CG747"/>
      <c r="CH747"/>
      <c r="CI747"/>
      <c r="CJ747"/>
      <c r="CK747"/>
      <c r="CL747"/>
    </row>
    <row r="748" spans="1:90" s="821" customFormat="1" outlineLevel="1">
      <c r="A748" s="1336"/>
      <c r="B748" s="937" t="s">
        <v>254</v>
      </c>
      <c r="C748" s="871"/>
      <c r="D748" s="822"/>
      <c r="E748" s="880"/>
      <c r="F748" s="880"/>
      <c r="G748" s="880"/>
      <c r="H748" s="880"/>
      <c r="I748" s="880"/>
      <c r="J748" s="1449"/>
      <c r="K748" s="880"/>
      <c r="L748" s="880"/>
      <c r="M748" s="880"/>
      <c r="N748" s="880"/>
      <c r="O748" s="880"/>
      <c r="P748" s="880"/>
      <c r="Q748" s="880"/>
      <c r="R748" s="880">
        <f>(R$726+R$725)*R$732</f>
        <v>910.03849570624823</v>
      </c>
      <c r="S748" s="454"/>
      <c r="T748" s="30"/>
      <c r="U748" s="653"/>
      <c r="Y748" s="848"/>
      <c r="AC748" s="848"/>
      <c r="AG748" s="848"/>
      <c r="AK748" s="848"/>
      <c r="AO748" s="848"/>
      <c r="AS748" s="848"/>
      <c r="AW748" s="848"/>
      <c r="BA748" s="848"/>
      <c r="BF748" s="820"/>
      <c r="BG748" s="820"/>
      <c r="BH748" s="820"/>
      <c r="BI748" s="820"/>
      <c r="BJ748" s="820"/>
      <c r="BK748" s="820"/>
      <c r="BL748" s="820"/>
      <c r="BM748" s="820"/>
      <c r="BN748" s="820"/>
      <c r="BO748" s="820"/>
      <c r="BP748" s="820"/>
      <c r="BQ748" s="820"/>
      <c r="BR748" s="820"/>
      <c r="BS748" s="820"/>
      <c r="BT748" s="820"/>
      <c r="BU748" s="820"/>
      <c r="BV748" s="820"/>
      <c r="BW748" s="820"/>
      <c r="BX748" s="820"/>
      <c r="BY748" s="820"/>
      <c r="BZ748" s="820"/>
      <c r="CA748" s="820"/>
      <c r="CB748" s="820"/>
      <c r="CC748" s="820"/>
      <c r="CD748" s="826"/>
      <c r="CE748" s="826"/>
      <c r="CG748"/>
      <c r="CH748"/>
      <c r="CI748"/>
      <c r="CJ748"/>
      <c r="CK748"/>
      <c r="CL748"/>
    </row>
    <row r="749" spans="1:90" s="821" customFormat="1" outlineLevel="1">
      <c r="A749" s="1336"/>
      <c r="B749" s="885"/>
      <c r="C749" s="871"/>
      <c r="D749" s="822"/>
      <c r="E749" s="880"/>
      <c r="F749" s="880"/>
      <c r="G749" s="880"/>
      <c r="H749" s="880"/>
      <c r="I749" s="880"/>
      <c r="J749" s="1449"/>
      <c r="K749" s="880"/>
      <c r="L749" s="880"/>
      <c r="M749" s="880"/>
      <c r="N749" s="880"/>
      <c r="O749" s="880"/>
      <c r="P749" s="880"/>
      <c r="Q749" s="880"/>
      <c r="R749" s="880"/>
      <c r="S749" s="820"/>
      <c r="T749" s="880"/>
      <c r="U749" s="900"/>
      <c r="Y749" s="848"/>
      <c r="AC749" s="848"/>
      <c r="AG749" s="848"/>
      <c r="AK749" s="848"/>
      <c r="AO749" s="848"/>
      <c r="AS749" s="848"/>
      <c r="AW749" s="848"/>
      <c r="BA749" s="848"/>
      <c r="BF749" s="820"/>
      <c r="BG749" s="820"/>
      <c r="BH749" s="820"/>
      <c r="BI749" s="820"/>
      <c r="BJ749" s="820"/>
      <c r="BK749" s="820"/>
      <c r="BL749" s="820"/>
      <c r="BM749" s="820"/>
      <c r="BN749" s="820"/>
      <c r="BO749" s="820"/>
      <c r="BP749" s="820"/>
      <c r="BQ749" s="820"/>
      <c r="BR749" s="820"/>
      <c r="BS749" s="820"/>
      <c r="BT749" s="820"/>
      <c r="BU749" s="820"/>
      <c r="BV749" s="820"/>
      <c r="BW749" s="820"/>
      <c r="BX749" s="820"/>
      <c r="BY749" s="820"/>
      <c r="BZ749" s="820"/>
      <c r="CA749" s="820"/>
      <c r="CB749" s="820"/>
      <c r="CC749" s="820"/>
      <c r="CD749" s="826"/>
      <c r="CE749" s="826"/>
      <c r="CG749"/>
      <c r="CH749"/>
      <c r="CI749"/>
      <c r="CJ749"/>
      <c r="CK749"/>
      <c r="CL749"/>
    </row>
    <row r="750" spans="1:90" s="881" customFormat="1" outlineLevel="1">
      <c r="A750" s="1353"/>
      <c r="B750" s="881" t="s">
        <v>147</v>
      </c>
      <c r="C750" s="883">
        <f t="shared" ref="C750:J750" si="1278">C608</f>
        <v>0</v>
      </c>
      <c r="D750" s="883">
        <f t="shared" si="1278"/>
        <v>0</v>
      </c>
      <c r="E750" s="883">
        <f t="shared" si="1278"/>
        <v>11436</v>
      </c>
      <c r="F750" s="883">
        <f t="shared" si="1278"/>
        <v>11294</v>
      </c>
      <c r="G750" s="883">
        <f t="shared" si="1278"/>
        <v>11793</v>
      </c>
      <c r="H750" s="883">
        <f t="shared" si="1278"/>
        <v>41933</v>
      </c>
      <c r="I750" s="883">
        <f t="shared" si="1278"/>
        <v>81645</v>
      </c>
      <c r="J750" s="1451">
        <f t="shared" si="1278"/>
        <v>125420</v>
      </c>
      <c r="K750" s="883">
        <f t="shared" ref="K750:R750" si="1279">J750+K751</f>
        <v>125420</v>
      </c>
      <c r="L750" s="883">
        <f t="shared" si="1279"/>
        <v>125420</v>
      </c>
      <c r="M750" s="883">
        <f t="shared" si="1279"/>
        <v>125420</v>
      </c>
      <c r="N750" s="883">
        <f t="shared" si="1279"/>
        <v>125420</v>
      </c>
      <c r="O750" s="883">
        <f t="shared" si="1279"/>
        <v>125420</v>
      </c>
      <c r="P750" s="883">
        <f t="shared" si="1279"/>
        <v>125420</v>
      </c>
      <c r="Q750" s="883">
        <f t="shared" si="1279"/>
        <v>125420</v>
      </c>
      <c r="R750" s="883">
        <f t="shared" si="1279"/>
        <v>125420</v>
      </c>
      <c r="S750" s="831"/>
      <c r="T750" s="882"/>
      <c r="U750" s="832"/>
      <c r="Y750" s="884"/>
      <c r="AC750" s="884"/>
      <c r="AG750" s="884"/>
      <c r="AK750" s="884"/>
      <c r="AO750" s="884"/>
      <c r="AS750" s="884"/>
      <c r="AW750" s="884"/>
      <c r="BA750" s="884"/>
      <c r="BF750" s="831"/>
      <c r="BG750" s="831"/>
      <c r="BH750" s="831"/>
      <c r="BI750" s="831"/>
      <c r="BJ750" s="831"/>
      <c r="BK750" s="831"/>
      <c r="BL750" s="831"/>
      <c r="BM750" s="831"/>
      <c r="BN750" s="831"/>
      <c r="BO750" s="831"/>
      <c r="BP750" s="831"/>
      <c r="BQ750" s="831"/>
      <c r="BR750" s="831"/>
      <c r="BS750" s="831"/>
      <c r="BT750" s="831"/>
      <c r="BU750" s="831"/>
      <c r="BV750" s="831"/>
      <c r="BW750" s="831"/>
      <c r="BX750" s="831"/>
      <c r="BY750" s="831"/>
      <c r="BZ750" s="831"/>
      <c r="CA750" s="831"/>
      <c r="CB750" s="831"/>
      <c r="CC750" s="831"/>
      <c r="CG750"/>
      <c r="CH750"/>
      <c r="CI750"/>
      <c r="CJ750"/>
      <c r="CK750"/>
      <c r="CL750"/>
    </row>
    <row r="751" spans="1:90" s="821" customFormat="1" outlineLevel="1">
      <c r="A751" s="1336"/>
      <c r="B751" s="885" t="s">
        <v>177</v>
      </c>
      <c r="C751" s="871"/>
      <c r="D751" s="822"/>
      <c r="E751" s="30"/>
      <c r="F751" s="7">
        <f>F750/E750-1</f>
        <v>-1.2416928996152543E-2</v>
      </c>
      <c r="G751" s="7">
        <f>G750/F750-1</f>
        <v>4.4182751903665718E-2</v>
      </c>
      <c r="H751" s="7">
        <f>H750/G750-1</f>
        <v>2.5557534130416348</v>
      </c>
      <c r="I751" s="7">
        <f>I750/H750-1</f>
        <v>0.94703455512364965</v>
      </c>
      <c r="J751" s="1442">
        <f>J750/I750-1</f>
        <v>0.53616265539837094</v>
      </c>
      <c r="K751" s="938">
        <v>0</v>
      </c>
      <c r="L751" s="938">
        <f>K751</f>
        <v>0</v>
      </c>
      <c r="M751" s="938">
        <f t="shared" ref="M751:R751" si="1280">L751</f>
        <v>0</v>
      </c>
      <c r="N751" s="938">
        <f t="shared" si="1280"/>
        <v>0</v>
      </c>
      <c r="O751" s="938">
        <f t="shared" si="1280"/>
        <v>0</v>
      </c>
      <c r="P751" s="938">
        <f t="shared" si="1280"/>
        <v>0</v>
      </c>
      <c r="Q751" s="938">
        <f t="shared" si="1280"/>
        <v>0</v>
      </c>
      <c r="R751" s="938">
        <f t="shared" si="1280"/>
        <v>0</v>
      </c>
      <c r="S751" s="820"/>
      <c r="T751" s="939"/>
      <c r="U751" s="940"/>
      <c r="Y751" s="848"/>
      <c r="AC751" s="848"/>
      <c r="AG751" s="848"/>
      <c r="AK751" s="848"/>
      <c r="AO751" s="848"/>
      <c r="AS751" s="848"/>
      <c r="AW751" s="848"/>
      <c r="BA751" s="848"/>
      <c r="BF751" s="820"/>
      <c r="BG751" s="820"/>
      <c r="BH751" s="820"/>
      <c r="BI751" s="820"/>
      <c r="BJ751" s="820"/>
      <c r="BK751" s="820"/>
      <c r="BL751" s="820"/>
      <c r="BM751" s="820"/>
      <c r="BN751" s="820"/>
      <c r="BO751" s="820"/>
      <c r="BP751" s="820"/>
      <c r="BQ751" s="820"/>
      <c r="BR751" s="820"/>
      <c r="BS751" s="820"/>
      <c r="BT751" s="820"/>
      <c r="BU751" s="820"/>
      <c r="BV751" s="820"/>
      <c r="BW751" s="820"/>
      <c r="BX751" s="820"/>
      <c r="BY751" s="820"/>
      <c r="BZ751" s="820"/>
      <c r="CA751" s="820"/>
      <c r="CB751" s="820"/>
      <c r="CC751" s="820"/>
      <c r="CD751" s="826"/>
      <c r="CE751" s="826"/>
      <c r="CG751"/>
      <c r="CH751"/>
      <c r="CI751"/>
      <c r="CJ751"/>
      <c r="CK751"/>
      <c r="CL751"/>
    </row>
    <row r="752" spans="1:90" s="821" customFormat="1" outlineLevel="1">
      <c r="A752" s="1336"/>
      <c r="C752" s="871"/>
      <c r="D752" s="822"/>
      <c r="E752" s="880"/>
      <c r="F752" s="880"/>
      <c r="G752" s="880"/>
      <c r="H752" s="880"/>
      <c r="I752" s="880"/>
      <c r="J752" s="1449"/>
      <c r="K752" s="880"/>
      <c r="L752" s="880"/>
      <c r="M752" s="880"/>
      <c r="N752" s="880"/>
      <c r="O752" s="880"/>
      <c r="P752" s="880"/>
      <c r="Q752" s="880"/>
      <c r="R752" s="880"/>
      <c r="S752" s="900"/>
      <c r="T752" s="880"/>
      <c r="U752" s="900"/>
      <c r="V752" s="900"/>
      <c r="W752" s="900"/>
      <c r="X752" s="820"/>
      <c r="Y752" s="825"/>
      <c r="Z752" s="820"/>
      <c r="AA752" s="820"/>
      <c r="AB752" s="820"/>
      <c r="AC752" s="848"/>
      <c r="AD752" s="820"/>
      <c r="AE752" s="820"/>
      <c r="AF752" s="820"/>
      <c r="AG752" s="825"/>
      <c r="AH752" s="820"/>
      <c r="AI752" s="820"/>
      <c r="AJ752" s="820"/>
      <c r="AK752" s="848"/>
      <c r="AO752" s="848"/>
      <c r="AS752" s="848"/>
      <c r="AW752" s="848"/>
      <c r="BA752" s="848"/>
      <c r="BF752" s="820"/>
      <c r="BG752" s="820"/>
      <c r="BH752" s="820"/>
      <c r="BI752" s="820"/>
      <c r="BJ752" s="820"/>
      <c r="BK752" s="820"/>
      <c r="BL752" s="820"/>
      <c r="BM752" s="820"/>
      <c r="BN752" s="820"/>
      <c r="BO752" s="820"/>
      <c r="BP752" s="820"/>
      <c r="BQ752" s="820"/>
      <c r="BR752" s="820"/>
      <c r="BS752" s="820"/>
      <c r="BT752" s="820"/>
      <c r="BU752" s="820"/>
      <c r="BV752" s="820"/>
      <c r="BW752" s="820"/>
      <c r="BX752" s="820"/>
      <c r="BY752" s="820"/>
      <c r="BZ752" s="820"/>
      <c r="CA752" s="820"/>
      <c r="CB752" s="820"/>
      <c r="CC752" s="820"/>
      <c r="CD752" s="826"/>
      <c r="CE752" s="826"/>
      <c r="CG752"/>
      <c r="CH752"/>
      <c r="CI752"/>
      <c r="CJ752"/>
      <c r="CK752"/>
      <c r="CL752"/>
    </row>
    <row r="753" spans="1:90" s="226" customFormat="1" outlineLevel="1">
      <c r="A753" s="1349"/>
      <c r="B753" s="226" t="s">
        <v>95</v>
      </c>
      <c r="C753" s="654">
        <f>Model!C352</f>
        <v>-1308</v>
      </c>
      <c r="D753" s="654">
        <f>Model!D352</f>
        <v>0</v>
      </c>
      <c r="E753" s="654">
        <f>Model!E352</f>
        <v>-135</v>
      </c>
      <c r="F753" s="654">
        <f>Model!F352</f>
        <v>-175</v>
      </c>
      <c r="G753" s="654">
        <f>Model!G352</f>
        <v>-44</v>
      </c>
      <c r="H753" s="654">
        <f>Model!H352</f>
        <v>-175</v>
      </c>
      <c r="I753" s="654">
        <f>Model!I352</f>
        <v>-455</v>
      </c>
      <c r="J753" s="655">
        <f>Model!J352</f>
        <v>0</v>
      </c>
      <c r="K753" s="440">
        <f t="shared" ref="K753:R753" si="1281">-K754*(K750+K717)</f>
        <v>0</v>
      </c>
      <c r="L753" s="440">
        <f t="shared" si="1281"/>
        <v>0</v>
      </c>
      <c r="M753" s="440">
        <f t="shared" si="1281"/>
        <v>0</v>
      </c>
      <c r="N753" s="440">
        <f t="shared" si="1281"/>
        <v>0</v>
      </c>
      <c r="O753" s="440">
        <f t="shared" si="1281"/>
        <v>0</v>
      </c>
      <c r="P753" s="440">
        <f t="shared" si="1281"/>
        <v>0</v>
      </c>
      <c r="Q753" s="440">
        <f t="shared" si="1281"/>
        <v>0</v>
      </c>
      <c r="R753" s="440">
        <f t="shared" si="1281"/>
        <v>0</v>
      </c>
      <c r="V753" s="941"/>
      <c r="W753" s="941"/>
      <c r="Y753" s="293"/>
      <c r="AC753" s="942"/>
      <c r="AD753" s="369"/>
      <c r="AE753" s="369"/>
      <c r="AF753" s="369"/>
      <c r="AG753" s="370"/>
      <c r="AH753" s="369"/>
      <c r="AI753" s="369"/>
      <c r="AJ753" s="369"/>
      <c r="AK753" s="943"/>
      <c r="AL753" s="944"/>
      <c r="AM753" s="944"/>
      <c r="AN753" s="369"/>
      <c r="AO753" s="370"/>
      <c r="AP753" s="945"/>
      <c r="AQ753" s="945"/>
      <c r="AR753" s="446"/>
      <c r="AS753" s="447"/>
      <c r="AT753" s="446"/>
      <c r="AU753" s="290"/>
      <c r="AV753" s="290"/>
      <c r="AW753" s="447"/>
      <c r="AX753" s="440"/>
      <c r="AY753" s="314"/>
      <c r="AZ753" s="314"/>
      <c r="BA753" s="409"/>
      <c r="BB753" s="440"/>
      <c r="BC753" s="314"/>
      <c r="BD753" s="314"/>
      <c r="BE753" s="314"/>
      <c r="BF753" s="290"/>
      <c r="BG753" s="302"/>
      <c r="BZ753" s="941"/>
      <c r="CA753" s="941"/>
      <c r="CB753" s="941"/>
      <c r="CC753" s="941"/>
      <c r="CD753" s="947">
        <v>-135</v>
      </c>
      <c r="CE753" s="946"/>
      <c r="CG753"/>
      <c r="CH753"/>
      <c r="CI753"/>
      <c r="CJ753"/>
      <c r="CK753"/>
      <c r="CL753"/>
    </row>
    <row r="754" spans="1:90" outlineLevel="1">
      <c r="B754" s="374" t="s">
        <v>686</v>
      </c>
      <c r="C754" s="948"/>
      <c r="D754" s="948"/>
      <c r="E754" s="948">
        <f t="shared" ref="E754:J754" si="1282">-E753/(E750+E717)</f>
        <v>1.1449410567381902E-2</v>
      </c>
      <c r="F754" s="948">
        <f t="shared" si="1282"/>
        <v>1.5049879600963193E-2</v>
      </c>
      <c r="G754" s="948">
        <f t="shared" si="1282"/>
        <v>3.2119132783414847E-3</v>
      </c>
      <c r="H754" s="948">
        <f t="shared" si="1282"/>
        <v>3.6076523460047828E-3</v>
      </c>
      <c r="I754" s="948">
        <f t="shared" si="1282"/>
        <v>5.2289835085904731E-3</v>
      </c>
      <c r="J754" s="1466">
        <f t="shared" si="1282"/>
        <v>0</v>
      </c>
      <c r="K754" s="938">
        <v>0</v>
      </c>
      <c r="L754" s="938">
        <f>K754</f>
        <v>0</v>
      </c>
      <c r="M754" s="938">
        <f t="shared" ref="M754:R754" si="1283">L754</f>
        <v>0</v>
      </c>
      <c r="N754" s="938">
        <f t="shared" si="1283"/>
        <v>0</v>
      </c>
      <c r="O754" s="938">
        <f t="shared" si="1283"/>
        <v>0</v>
      </c>
      <c r="P754" s="938">
        <f t="shared" si="1283"/>
        <v>0</v>
      </c>
      <c r="Q754" s="938">
        <f t="shared" si="1283"/>
        <v>0</v>
      </c>
      <c r="R754" s="938">
        <f t="shared" si="1283"/>
        <v>0</v>
      </c>
      <c r="V754" s="224"/>
      <c r="W754" s="224"/>
      <c r="X754" s="141"/>
      <c r="Y754" s="398"/>
      <c r="Z754" s="141"/>
      <c r="AA754" s="141"/>
      <c r="AB754" s="141"/>
      <c r="AC754" s="949"/>
      <c r="AD754" s="950"/>
      <c r="AE754" s="950"/>
      <c r="AF754" s="950"/>
      <c r="AG754" s="951"/>
      <c r="AH754" s="723"/>
      <c r="AI754" s="723"/>
      <c r="AJ754" s="723"/>
      <c r="AK754" s="952"/>
      <c r="AL754" s="224"/>
      <c r="AM754" s="224"/>
      <c r="AN754" s="224"/>
      <c r="AO754" s="429"/>
      <c r="AP754" s="224"/>
      <c r="AQ754" s="224"/>
      <c r="AR754" s="224"/>
      <c r="AS754" s="429"/>
      <c r="AT754" s="224"/>
      <c r="AU754" s="224"/>
      <c r="AV754" s="224"/>
      <c r="AW754" s="429"/>
      <c r="AX754" s="570"/>
      <c r="AY754" s="570"/>
      <c r="AZ754" s="570"/>
      <c r="BA754" s="1538"/>
      <c r="BB754" s="570"/>
      <c r="BC754" s="570"/>
      <c r="BD754" s="570"/>
      <c r="BE754" s="570"/>
      <c r="BF754" s="224"/>
      <c r="BG754" s="15"/>
      <c r="BZ754" s="224"/>
      <c r="CA754" s="224"/>
      <c r="CB754" s="224"/>
      <c r="CC754" s="224"/>
      <c r="CD754" s="953"/>
      <c r="CE754" s="953"/>
    </row>
    <row r="755" spans="1:90" outlineLevel="1">
      <c r="B755" s="374"/>
      <c r="C755" s="954"/>
      <c r="D755" s="954"/>
      <c r="E755" s="954"/>
      <c r="F755" s="362"/>
      <c r="G755" s="362"/>
      <c r="H755" s="362"/>
      <c r="I755" s="955"/>
      <c r="J755" s="1467"/>
      <c r="K755" s="956"/>
      <c r="L755" s="956"/>
      <c r="M755" s="956"/>
      <c r="N755" s="956"/>
      <c r="O755" s="956"/>
      <c r="P755" s="956"/>
      <c r="Q755" s="956"/>
      <c r="R755" s="956"/>
      <c r="V755" s="224"/>
      <c r="W755" s="224"/>
      <c r="X755" s="141"/>
      <c r="Y755" s="398"/>
      <c r="Z755" s="141"/>
      <c r="AA755" s="141"/>
      <c r="AB755" s="141"/>
      <c r="AC755" s="949"/>
      <c r="AD755" s="950"/>
      <c r="AE755" s="950"/>
      <c r="AF755" s="950"/>
      <c r="AG755" s="951"/>
      <c r="AH755" s="723"/>
      <c r="AI755" s="723"/>
      <c r="AJ755" s="723"/>
      <c r="AK755" s="952"/>
      <c r="AL755" s="224"/>
      <c r="AM755" s="224"/>
      <c r="AN755" s="224"/>
      <c r="AO755" s="429"/>
      <c r="AP755" s="224"/>
      <c r="AQ755" s="224"/>
      <c r="AR755" s="224"/>
      <c r="AS755" s="429"/>
      <c r="AT755" s="224"/>
      <c r="AU755" s="224"/>
      <c r="AV755" s="224"/>
      <c r="AW755" s="429"/>
      <c r="AX755" s="570"/>
      <c r="AY755" s="570"/>
      <c r="AZ755" s="570"/>
      <c r="BA755" s="1538"/>
      <c r="BB755" s="570"/>
      <c r="BC755" s="570"/>
      <c r="BD755" s="570"/>
      <c r="BE755" s="570"/>
      <c r="BF755" s="224"/>
      <c r="BG755" s="15"/>
      <c r="BZ755" s="224"/>
      <c r="CA755" s="224"/>
      <c r="CB755" s="224"/>
      <c r="CC755" s="224"/>
      <c r="CD755" s="953"/>
      <c r="CE755" s="953"/>
    </row>
    <row r="756" spans="1:90" s="821" customFormat="1">
      <c r="A756" s="1336"/>
      <c r="B756" s="957"/>
      <c r="C756" s="871"/>
      <c r="D756" s="822"/>
      <c r="E756" s="822"/>
      <c r="F756" s="822"/>
      <c r="G756" s="822"/>
      <c r="H756" s="822"/>
      <c r="I756" s="822"/>
      <c r="J756" s="1430"/>
      <c r="K756" s="822"/>
      <c r="L756" s="822"/>
      <c r="M756" s="822"/>
      <c r="N756" s="822"/>
      <c r="O756" s="822"/>
      <c r="P756" s="822"/>
      <c r="Q756" s="822"/>
      <c r="R756" s="822"/>
      <c r="S756" s="820"/>
      <c r="T756" s="822"/>
      <c r="U756" s="835"/>
      <c r="Y756" s="848"/>
      <c r="AC756" s="848"/>
      <c r="AG756" s="848"/>
      <c r="AK756" s="848"/>
      <c r="AO756" s="848"/>
      <c r="AS756" s="848"/>
      <c r="AW756" s="848"/>
      <c r="BA756" s="848"/>
      <c r="BF756" s="820"/>
      <c r="BG756" s="820"/>
      <c r="BH756" s="820"/>
      <c r="BI756" s="820"/>
      <c r="BJ756" s="820"/>
      <c r="BK756" s="820"/>
      <c r="BL756" s="820"/>
      <c r="BM756" s="820"/>
      <c r="BN756" s="820"/>
      <c r="BO756" s="820"/>
      <c r="BP756" s="820"/>
      <c r="BQ756" s="820"/>
      <c r="BR756" s="820"/>
      <c r="BS756" s="820"/>
      <c r="BT756" s="820"/>
      <c r="BU756" s="820"/>
      <c r="BV756" s="820"/>
      <c r="BW756" s="820"/>
      <c r="BX756" s="820"/>
      <c r="BY756" s="820"/>
      <c r="BZ756" s="820"/>
      <c r="CA756" s="820"/>
      <c r="CB756" s="820"/>
      <c r="CC756" s="820"/>
      <c r="CD756" s="826"/>
      <c r="CE756" s="826"/>
      <c r="CG756"/>
      <c r="CH756"/>
      <c r="CI756"/>
      <c r="CJ756"/>
      <c r="CK756"/>
      <c r="CL756"/>
    </row>
    <row r="757" spans="1:90" s="960" customFormat="1">
      <c r="A757" s="1353"/>
      <c r="B757" s="616" t="s">
        <v>771</v>
      </c>
      <c r="C757" s="617"/>
      <c r="D757" s="617"/>
      <c r="E757" s="617"/>
      <c r="F757" s="617"/>
      <c r="G757" s="617"/>
      <c r="H757" s="617"/>
      <c r="I757" s="617"/>
      <c r="J757" s="1409"/>
      <c r="K757" s="1383"/>
      <c r="L757" s="617"/>
      <c r="M757" s="617"/>
      <c r="N757" s="617"/>
      <c r="O757" s="617"/>
      <c r="P757" s="617"/>
      <c r="Q757" s="617"/>
      <c r="R757" s="617"/>
      <c r="S757" s="958"/>
      <c r="T757" s="815"/>
      <c r="U757" s="959"/>
      <c r="Y757" s="961"/>
      <c r="AC757" s="961"/>
      <c r="AG757" s="961"/>
      <c r="AK757" s="961"/>
      <c r="AO757" s="961"/>
      <c r="AP757" s="815"/>
      <c r="AQ757" s="815"/>
      <c r="AR757" s="815"/>
      <c r="AS757" s="1489"/>
      <c r="AT757" s="815"/>
      <c r="AU757" s="815"/>
      <c r="AV757" s="815"/>
      <c r="AW757" s="1489"/>
      <c r="AX757" s="815"/>
      <c r="AY757" s="815"/>
      <c r="AZ757" s="815"/>
      <c r="BA757" s="1489"/>
      <c r="BB757" s="815"/>
      <c r="BC757" s="815"/>
      <c r="BD757" s="815"/>
      <c r="BE757" s="815"/>
      <c r="BF757" s="958"/>
      <c r="BG757" s="958"/>
      <c r="BH757" s="958"/>
      <c r="BI757" s="958"/>
      <c r="BJ757" s="958"/>
      <c r="BK757" s="958"/>
      <c r="BL757" s="958"/>
      <c r="BM757" s="958"/>
      <c r="BN757" s="958"/>
      <c r="BO757" s="958"/>
      <c r="BP757" s="958"/>
      <c r="BQ757" s="958"/>
      <c r="BR757" s="958"/>
      <c r="BS757" s="958"/>
      <c r="BT757" s="958"/>
      <c r="BU757" s="958"/>
      <c r="BV757" s="958"/>
      <c r="BW757" s="958"/>
      <c r="BX757" s="958"/>
      <c r="BY757" s="958"/>
      <c r="BZ757" s="958"/>
      <c r="CA757" s="958"/>
      <c r="CB757" s="958"/>
      <c r="CC757" s="958"/>
      <c r="CG757"/>
      <c r="CH757"/>
      <c r="CI757"/>
      <c r="CJ757"/>
      <c r="CK757"/>
      <c r="CL757"/>
    </row>
    <row r="758" spans="1:90" s="821" customFormat="1" ht="12.75" customHeight="1" outlineLevel="1">
      <c r="A758" s="1336"/>
      <c r="B758" s="821" t="s">
        <v>182</v>
      </c>
      <c r="C758" s="820"/>
      <c r="D758" s="820"/>
      <c r="E758" s="962">
        <f>Model!E370</f>
        <v>4665</v>
      </c>
      <c r="F758" s="962">
        <f>Model!F370</f>
        <v>8649</v>
      </c>
      <c r="G758" s="962">
        <f>Model!G370</f>
        <v>23403</v>
      </c>
      <c r="H758" s="962">
        <f>Model!H370</f>
        <v>24320</v>
      </c>
      <c r="I758" s="962">
        <f>Model!I370</f>
        <v>71289</v>
      </c>
      <c r="J758" s="1468">
        <f>Model!J370</f>
        <v>41226</v>
      </c>
      <c r="K758" s="962">
        <f>Model!K370</f>
        <v>62649.824321746899</v>
      </c>
      <c r="L758" s="963">
        <f>Model!L370</f>
        <v>82835.741127463058</v>
      </c>
      <c r="M758" s="963">
        <f>Model!M370</f>
        <v>105370.19006668827</v>
      </c>
      <c r="N758" s="963">
        <f>Model!N370</f>
        <v>133422.2660498078</v>
      </c>
      <c r="O758" s="963">
        <f>Model!O370</f>
        <v>169392.90636219553</v>
      </c>
      <c r="P758" s="963">
        <f>Model!P370</f>
        <v>209959.94295335677</v>
      </c>
      <c r="Q758" s="963">
        <f>Model!Q370</f>
        <v>243025.28669154688</v>
      </c>
      <c r="R758" s="963">
        <f>Model!R370</f>
        <v>277243.08845332108</v>
      </c>
      <c r="S758" s="489"/>
      <c r="T758" s="964"/>
      <c r="U758" s="965"/>
      <c r="Y758" s="848"/>
      <c r="AC758" s="848"/>
      <c r="AG758" s="848"/>
      <c r="AK758" s="848"/>
      <c r="AO758" s="848"/>
      <c r="AS758" s="848"/>
      <c r="AW758" s="848"/>
      <c r="BA758" s="848"/>
      <c r="BF758" s="820"/>
      <c r="BG758" s="820"/>
      <c r="BH758" s="820"/>
      <c r="BI758" s="820"/>
      <c r="BJ758" s="820"/>
      <c r="BK758" s="820"/>
      <c r="BL758" s="820"/>
      <c r="BM758" s="820"/>
      <c r="BN758" s="820"/>
      <c r="BO758" s="820"/>
      <c r="BP758" s="820"/>
      <c r="BQ758" s="820"/>
      <c r="BR758" s="820"/>
      <c r="BS758" s="820"/>
      <c r="BT758" s="820"/>
      <c r="BU758" s="820"/>
      <c r="BV758" s="820"/>
      <c r="BW758" s="820"/>
      <c r="BX758" s="820"/>
      <c r="BY758" s="820"/>
      <c r="BZ758" s="820"/>
      <c r="CA758" s="820"/>
      <c r="CB758" s="820"/>
      <c r="CC758" s="820"/>
      <c r="CG758"/>
      <c r="CH758"/>
      <c r="CI758"/>
      <c r="CJ758"/>
      <c r="CK758"/>
      <c r="CL758"/>
    </row>
    <row r="759" spans="1:90" s="821" customFormat="1" ht="12.75" customHeight="1" outlineLevel="1">
      <c r="A759" s="1336"/>
      <c r="C759" s="820"/>
      <c r="D759" s="820"/>
      <c r="E759" s="964"/>
      <c r="F759" s="965"/>
      <c r="G759" s="965"/>
      <c r="H759" s="963"/>
      <c r="I759" s="963"/>
      <c r="J759" s="1445"/>
      <c r="K759" s="846"/>
      <c r="L759" s="846"/>
      <c r="M759" s="846"/>
      <c r="N759" s="846"/>
      <c r="O759" s="846"/>
      <c r="P759" s="846"/>
      <c r="Q759" s="846"/>
      <c r="R759" s="846"/>
      <c r="S759" s="489"/>
      <c r="T759" s="964"/>
      <c r="U759" s="965"/>
      <c r="Y759" s="848"/>
      <c r="AC759" s="848"/>
      <c r="AG759" s="848"/>
      <c r="AK759" s="848"/>
      <c r="AO759" s="848"/>
      <c r="AS759" s="848"/>
      <c r="AW759" s="848"/>
      <c r="BA759" s="848"/>
      <c r="BF759" s="820"/>
      <c r="BG759" s="820"/>
      <c r="BH759" s="820"/>
      <c r="BI759" s="820"/>
      <c r="BJ759" s="820"/>
      <c r="BK759" s="820"/>
      <c r="BL759" s="820"/>
      <c r="BM759" s="820"/>
      <c r="BN759" s="820"/>
      <c r="BO759" s="820"/>
      <c r="BP759" s="820"/>
      <c r="BQ759" s="820"/>
      <c r="BR759" s="820"/>
      <c r="BS759" s="820"/>
      <c r="BT759" s="820"/>
      <c r="BU759" s="820"/>
      <c r="BV759" s="820"/>
      <c r="BW759" s="820"/>
      <c r="BX759" s="820"/>
      <c r="BY759" s="820"/>
      <c r="BZ759" s="820"/>
      <c r="CA759" s="820"/>
      <c r="CB759" s="820"/>
      <c r="CC759" s="820"/>
      <c r="CG759"/>
      <c r="CH759"/>
      <c r="CI759"/>
      <c r="CJ759"/>
      <c r="CK759"/>
      <c r="CL759"/>
    </row>
    <row r="760" spans="1:90" s="821" customFormat="1" ht="12.75" customHeight="1" outlineLevel="1">
      <c r="A760" s="1336"/>
      <c r="B760" s="820" t="s">
        <v>183</v>
      </c>
      <c r="C760" s="820"/>
      <c r="D760" s="820"/>
      <c r="E760" s="964"/>
      <c r="F760" s="965"/>
      <c r="G760" s="965"/>
      <c r="H760" s="963"/>
      <c r="I760" s="963"/>
      <c r="J760" s="1445"/>
      <c r="K760" s="846"/>
      <c r="L760" s="846"/>
      <c r="M760" s="846"/>
      <c r="N760" s="846"/>
      <c r="O760" s="846"/>
      <c r="P760" s="846"/>
      <c r="Q760" s="846"/>
      <c r="R760" s="846"/>
      <c r="S760" s="489"/>
      <c r="T760" s="964"/>
      <c r="U760" s="965"/>
      <c r="Y760" s="848"/>
      <c r="AC760" s="848"/>
      <c r="AG760" s="848"/>
      <c r="AK760" s="848"/>
      <c r="AO760" s="848"/>
      <c r="AS760" s="848"/>
      <c r="AW760" s="848"/>
      <c r="BA760" s="848"/>
      <c r="BF760" s="820"/>
      <c r="BG760" s="820"/>
      <c r="BH760" s="820"/>
      <c r="BI760" s="820"/>
      <c r="BJ760" s="820"/>
      <c r="BK760" s="820"/>
      <c r="BL760" s="820"/>
      <c r="BM760" s="820"/>
      <c r="BN760" s="820"/>
      <c r="BO760" s="820"/>
      <c r="BP760" s="820"/>
      <c r="BQ760" s="820"/>
      <c r="BR760" s="820"/>
      <c r="BS760" s="820"/>
      <c r="BT760" s="820"/>
      <c r="BU760" s="820"/>
      <c r="BV760" s="820"/>
      <c r="BW760" s="820"/>
      <c r="BX760" s="820"/>
      <c r="BY760" s="820"/>
      <c r="BZ760" s="820"/>
      <c r="CA760" s="820"/>
      <c r="CB760" s="820"/>
      <c r="CC760" s="820"/>
      <c r="CG760"/>
      <c r="CH760"/>
      <c r="CI760"/>
      <c r="CJ760"/>
      <c r="CK760"/>
      <c r="CL760"/>
    </row>
    <row r="761" spans="1:90" s="821" customFormat="1" ht="12.75" customHeight="1" outlineLevel="1">
      <c r="A761" s="1336"/>
      <c r="B761" s="870" t="s">
        <v>208</v>
      </c>
      <c r="C761" s="820"/>
      <c r="D761" s="820"/>
      <c r="E761" s="964">
        <v>-24</v>
      </c>
      <c r="F761" s="965">
        <v>-68</v>
      </c>
      <c r="G761" s="965">
        <v>3</v>
      </c>
      <c r="H761" s="966">
        <v>-128</v>
      </c>
      <c r="I761" s="966">
        <v>-3089</v>
      </c>
      <c r="J761" s="1469">
        <v>-536</v>
      </c>
      <c r="K761" s="963"/>
      <c r="L761" s="963"/>
      <c r="M761" s="963"/>
      <c r="N761" s="963"/>
      <c r="O761" s="963"/>
      <c r="P761" s="963"/>
      <c r="Q761" s="963"/>
      <c r="R761" s="963"/>
      <c r="S761" s="489"/>
      <c r="T761" s="964"/>
      <c r="U761" s="965"/>
      <c r="Y761" s="848"/>
      <c r="AC761" s="848"/>
      <c r="AG761" s="848"/>
      <c r="AK761" s="848"/>
      <c r="AO761" s="848"/>
      <c r="AS761" s="848"/>
      <c r="AW761" s="848"/>
      <c r="BA761" s="848"/>
      <c r="BF761" s="820"/>
      <c r="BG761" s="820"/>
      <c r="BH761" s="820"/>
      <c r="BI761" s="820"/>
      <c r="BJ761" s="820"/>
      <c r="BK761" s="820"/>
      <c r="BL761" s="820"/>
      <c r="BM761" s="820"/>
      <c r="BN761" s="820"/>
      <c r="BO761" s="820"/>
      <c r="BP761" s="820"/>
      <c r="BQ761" s="820"/>
      <c r="BR761" s="820"/>
      <c r="BS761" s="820"/>
      <c r="BT761" s="820"/>
      <c r="BU761" s="820"/>
      <c r="BV761" s="820"/>
      <c r="BW761" s="820"/>
      <c r="BX761" s="820"/>
      <c r="BY761" s="820"/>
      <c r="BZ761" s="820"/>
      <c r="CA761" s="820"/>
      <c r="CB761" s="820"/>
      <c r="CC761" s="820"/>
      <c r="CG761"/>
      <c r="CH761"/>
      <c r="CI761"/>
      <c r="CJ761"/>
      <c r="CK761"/>
      <c r="CL761"/>
    </row>
    <row r="762" spans="1:90" s="821" customFormat="1" ht="12.75" customHeight="1" outlineLevel="1">
      <c r="A762" s="1336"/>
      <c r="B762" s="870" t="s">
        <v>209</v>
      </c>
      <c r="C762" s="820"/>
      <c r="D762" s="820"/>
      <c r="E762" s="964">
        <v>138</v>
      </c>
      <c r="F762" s="965">
        <v>-80</v>
      </c>
      <c r="G762" s="965">
        <v>-90</v>
      </c>
      <c r="H762" s="966">
        <v>-178</v>
      </c>
      <c r="I762" s="966">
        <v>-906</v>
      </c>
      <c r="J762" s="1469">
        <v>-5488</v>
      </c>
      <c r="K762" s="963"/>
      <c r="L762" s="963"/>
      <c r="M762" s="963"/>
      <c r="N762" s="963"/>
      <c r="O762" s="963"/>
      <c r="P762" s="963"/>
      <c r="Q762" s="963"/>
      <c r="R762" s="963"/>
      <c r="S762" s="489"/>
      <c r="T762" s="964"/>
      <c r="U762" s="965"/>
      <c r="Y762" s="848"/>
      <c r="AC762" s="848"/>
      <c r="AG762" s="848"/>
      <c r="AK762" s="848"/>
      <c r="AO762" s="848"/>
      <c r="AS762" s="848"/>
      <c r="AW762" s="848"/>
      <c r="BA762" s="848"/>
      <c r="BF762" s="820"/>
      <c r="BG762" s="820"/>
      <c r="BH762" s="820"/>
      <c r="BI762" s="820"/>
      <c r="BJ762" s="820"/>
      <c r="BK762" s="820"/>
      <c r="BL762" s="820"/>
      <c r="BM762" s="820"/>
      <c r="BN762" s="820"/>
      <c r="BO762" s="820"/>
      <c r="BP762" s="820"/>
      <c r="BQ762" s="820"/>
      <c r="BR762" s="820"/>
      <c r="BS762" s="820"/>
      <c r="BT762" s="820"/>
      <c r="BU762" s="820"/>
      <c r="BV762" s="820"/>
      <c r="BW762" s="820"/>
      <c r="BX762" s="820"/>
      <c r="BY762" s="820"/>
      <c r="BZ762" s="820"/>
      <c r="CA762" s="820"/>
      <c r="CB762" s="820"/>
      <c r="CC762" s="820"/>
      <c r="CG762"/>
      <c r="CH762"/>
      <c r="CI762"/>
      <c r="CJ762"/>
      <c r="CK762"/>
      <c r="CL762"/>
    </row>
    <row r="763" spans="1:90" s="821" customFormat="1" ht="12.75" customHeight="1" outlineLevel="1">
      <c r="A763" s="1336"/>
      <c r="B763" s="870" t="s">
        <v>210</v>
      </c>
      <c r="C763" s="820"/>
      <c r="D763" s="820"/>
      <c r="E763" s="964">
        <v>264</v>
      </c>
      <c r="F763" s="965">
        <v>245</v>
      </c>
      <c r="G763" s="965">
        <v>21</v>
      </c>
      <c r="H763" s="966">
        <v>521</v>
      </c>
      <c r="I763" s="967">
        <f>84+1864</f>
        <v>1948</v>
      </c>
      <c r="J763" s="1469">
        <f>-759+2298</f>
        <v>1539</v>
      </c>
      <c r="K763" s="963">
        <f t="shared" ref="K763:R763" si="1284">K624-J624</f>
        <v>0</v>
      </c>
      <c r="L763" s="963">
        <f t="shared" si="1284"/>
        <v>0</v>
      </c>
      <c r="M763" s="963">
        <f t="shared" si="1284"/>
        <v>0</v>
      </c>
      <c r="N763" s="963">
        <f t="shared" si="1284"/>
        <v>0</v>
      </c>
      <c r="O763" s="963">
        <f t="shared" si="1284"/>
        <v>0</v>
      </c>
      <c r="P763" s="963">
        <f t="shared" si="1284"/>
        <v>0</v>
      </c>
      <c r="Q763" s="963">
        <f t="shared" si="1284"/>
        <v>0</v>
      </c>
      <c r="R763" s="963">
        <f t="shared" si="1284"/>
        <v>0</v>
      </c>
      <c r="S763" s="489"/>
      <c r="T763" s="964"/>
      <c r="U763" s="965"/>
      <c r="Y763" s="848"/>
      <c r="AC763" s="848"/>
      <c r="AG763" s="848"/>
      <c r="AK763" s="848"/>
      <c r="AO763" s="848"/>
      <c r="AS763" s="848"/>
      <c r="AW763" s="848"/>
      <c r="BA763" s="848"/>
      <c r="BF763" s="820"/>
      <c r="BG763" s="820"/>
      <c r="BH763" s="820"/>
      <c r="BI763" s="820"/>
      <c r="BJ763" s="820"/>
      <c r="BK763" s="820"/>
      <c r="BL763" s="820"/>
      <c r="BM763" s="820"/>
      <c r="BN763" s="820"/>
      <c r="BO763" s="820"/>
      <c r="BP763" s="820"/>
      <c r="BQ763" s="820"/>
      <c r="BR763" s="820"/>
      <c r="BS763" s="820"/>
      <c r="BT763" s="820"/>
      <c r="BU763" s="820"/>
      <c r="BV763" s="820"/>
      <c r="BW763" s="820"/>
      <c r="BX763" s="820"/>
      <c r="BY763" s="820"/>
      <c r="BZ763" s="820"/>
      <c r="CA763" s="820"/>
      <c r="CB763" s="820"/>
      <c r="CC763" s="820"/>
      <c r="CG763"/>
      <c r="CH763"/>
      <c r="CI763"/>
      <c r="CJ763"/>
      <c r="CK763"/>
      <c r="CL763"/>
    </row>
    <row r="764" spans="1:90" s="821" customFormat="1" ht="12.75" customHeight="1" outlineLevel="1">
      <c r="A764" s="1336"/>
      <c r="B764" s="870" t="s">
        <v>211</v>
      </c>
      <c r="C764" s="820"/>
      <c r="D764" s="820"/>
      <c r="E764" s="964">
        <v>3</v>
      </c>
      <c r="F764" s="965">
        <v>-8</v>
      </c>
      <c r="G764" s="965">
        <v>-387</v>
      </c>
      <c r="H764" s="966">
        <v>-307</v>
      </c>
      <c r="I764" s="966">
        <v>-26913</v>
      </c>
      <c r="J764" s="1469">
        <v>35</v>
      </c>
      <c r="K764" s="846"/>
      <c r="L764" s="846"/>
      <c r="M764" s="846"/>
      <c r="N764" s="846"/>
      <c r="O764" s="846"/>
      <c r="P764" s="846"/>
      <c r="Q764" s="846"/>
      <c r="R764" s="846"/>
      <c r="S764" s="489"/>
      <c r="T764" s="964"/>
      <c r="U764" s="965"/>
      <c r="Y764" s="848"/>
      <c r="AC764" s="848"/>
      <c r="AG764" s="848"/>
      <c r="AK764" s="848"/>
      <c r="AO764" s="848"/>
      <c r="AS764" s="848"/>
      <c r="AW764" s="848"/>
      <c r="BA764" s="848"/>
      <c r="BF764" s="820"/>
      <c r="BG764" s="820"/>
      <c r="BH764" s="820"/>
      <c r="BI764" s="820"/>
      <c r="BJ764" s="820"/>
      <c r="BK764" s="820"/>
      <c r="BL764" s="820"/>
      <c r="BM764" s="820"/>
      <c r="BN764" s="820"/>
      <c r="BO764" s="820"/>
      <c r="BP764" s="820"/>
      <c r="BQ764" s="820"/>
      <c r="BR764" s="820"/>
      <c r="BS764" s="820"/>
      <c r="BT764" s="820"/>
      <c r="BU764" s="820"/>
      <c r="BV764" s="820"/>
      <c r="BW764" s="820"/>
      <c r="BX764" s="820"/>
      <c r="BY764" s="820"/>
      <c r="BZ764" s="820"/>
      <c r="CA764" s="820"/>
      <c r="CB764" s="820"/>
      <c r="CC764" s="820"/>
      <c r="CG764"/>
      <c r="CH764"/>
      <c r="CI764"/>
      <c r="CJ764"/>
      <c r="CK764"/>
      <c r="CL764"/>
    </row>
    <row r="765" spans="1:90" s="821" customFormat="1" ht="12.75" customHeight="1" outlineLevel="1">
      <c r="A765" s="1336"/>
      <c r="B765" s="870" t="s">
        <v>212</v>
      </c>
      <c r="C765" s="820"/>
      <c r="D765" s="963"/>
      <c r="E765" s="963">
        <f>Model!E697</f>
        <v>715</v>
      </c>
      <c r="F765" s="963">
        <f>Model!F697</f>
        <v>805</v>
      </c>
      <c r="G765" s="963">
        <f>Model!G697</f>
        <v>1339</v>
      </c>
      <c r="H765" s="968">
        <v>2326</v>
      </c>
      <c r="I765" s="968">
        <v>3770</v>
      </c>
      <c r="J765" s="1469">
        <v>5284</v>
      </c>
      <c r="K765" s="963">
        <f>Model!K697</f>
        <v>9301.5840512924005</v>
      </c>
      <c r="L765" s="963">
        <f>Model!L697</f>
        <v>20152.170429901504</v>
      </c>
      <c r="M765" s="963">
        <f>Model!M697</f>
        <v>32307.900054938327</v>
      </c>
      <c r="N765" s="963">
        <f>Model!N697</f>
        <v>45607.64428865521</v>
      </c>
      <c r="O765" s="963">
        <f>Model!O697</f>
        <v>51139.518485551765</v>
      </c>
      <c r="P765" s="963">
        <f>Model!P697</f>
        <v>52399.427050023849</v>
      </c>
      <c r="Q765" s="963">
        <f>Model!Q697</f>
        <v>53581.404214373688</v>
      </c>
      <c r="R765" s="963">
        <f>Model!R697</f>
        <v>54241.925093579528</v>
      </c>
      <c r="S765" s="489"/>
      <c r="T765" s="964"/>
      <c r="U765" s="965"/>
      <c r="Y765" s="848"/>
      <c r="AC765" s="848"/>
      <c r="AG765" s="848"/>
      <c r="AK765" s="848"/>
      <c r="AO765" s="848"/>
      <c r="AS765" s="848"/>
      <c r="AW765" s="848"/>
      <c r="BA765" s="848"/>
      <c r="BF765" s="820"/>
      <c r="BG765" s="820"/>
      <c r="BH765" s="820"/>
      <c r="BI765" s="820"/>
      <c r="BJ765" s="820"/>
      <c r="BK765" s="820"/>
      <c r="BL765" s="820"/>
      <c r="BM765" s="820"/>
      <c r="BN765" s="820"/>
      <c r="BO765" s="820"/>
      <c r="BP765" s="820"/>
      <c r="BQ765" s="820"/>
      <c r="BR765" s="820"/>
      <c r="BS765" s="820"/>
      <c r="BT765" s="820"/>
      <c r="BU765" s="820"/>
      <c r="BV765" s="820"/>
      <c r="BW765" s="820"/>
      <c r="BX765" s="820"/>
      <c r="BY765" s="820"/>
      <c r="BZ765" s="820"/>
      <c r="CA765" s="820"/>
      <c r="CB765" s="820"/>
      <c r="CC765" s="820"/>
      <c r="CG765"/>
      <c r="CH765"/>
      <c r="CI765"/>
      <c r="CJ765"/>
      <c r="CK765"/>
      <c r="CL765"/>
    </row>
    <row r="766" spans="1:90" s="821" customFormat="1" ht="12.75" customHeight="1" outlineLevel="1">
      <c r="A766" s="1336"/>
      <c r="B766" s="870" t="s">
        <v>94</v>
      </c>
      <c r="C766" s="820"/>
      <c r="D766" s="820"/>
      <c r="E766" s="963">
        <f>-Model!E351</f>
        <v>155</v>
      </c>
      <c r="F766" s="963">
        <f>-Model!F351</f>
        <v>130</v>
      </c>
      <c r="G766" s="963">
        <f>-Model!G351</f>
        <v>315</v>
      </c>
      <c r="H766" s="969">
        <v>2173</v>
      </c>
      <c r="I766" s="968">
        <v>3278</v>
      </c>
      <c r="J766" s="1469">
        <v>9008</v>
      </c>
      <c r="K766" s="963">
        <f>-Model!K351</f>
        <v>7060.423156647912</v>
      </c>
      <c r="L766" s="963">
        <f>-Model!L351</f>
        <v>6803.1539828249925</v>
      </c>
      <c r="M766" s="963">
        <f>-Model!M351</f>
        <v>6871.1924785312403</v>
      </c>
      <c r="N766" s="963">
        <f>-Model!N351</f>
        <v>5460.2309742374891</v>
      </c>
      <c r="O766" s="963">
        <f>-Model!O351</f>
        <v>4246.846313295825</v>
      </c>
      <c r="P766" s="963">
        <f>-Model!P351</f>
        <v>3640.1539828249929</v>
      </c>
      <c r="Q766" s="963">
        <f>-Model!Q351</f>
        <v>3640.1539828249929</v>
      </c>
      <c r="R766" s="963">
        <f>-Model!R351</f>
        <v>3640.1539828249929</v>
      </c>
      <c r="S766" s="489"/>
      <c r="T766" s="964"/>
      <c r="U766" s="965"/>
      <c r="Y766" s="848"/>
      <c r="AC766" s="848"/>
      <c r="AG766" s="848"/>
      <c r="AK766" s="848"/>
      <c r="AO766" s="848"/>
      <c r="AS766" s="848"/>
      <c r="AW766" s="848"/>
      <c r="BA766" s="848"/>
      <c r="BF766" s="820"/>
      <c r="BG766" s="820"/>
      <c r="BH766" s="820"/>
      <c r="BI766" s="820"/>
      <c r="BJ766" s="820"/>
      <c r="BK766" s="820"/>
      <c r="BL766" s="820"/>
      <c r="BM766" s="820"/>
      <c r="BN766" s="820"/>
      <c r="BO766" s="820"/>
      <c r="BP766" s="820"/>
      <c r="BQ766" s="820"/>
      <c r="BR766" s="820"/>
      <c r="BS766" s="820"/>
      <c r="BT766" s="820"/>
      <c r="BU766" s="820"/>
      <c r="BV766" s="820"/>
      <c r="BW766" s="820"/>
      <c r="BX766" s="820"/>
      <c r="BY766" s="820"/>
      <c r="BZ766" s="820"/>
      <c r="CA766" s="820"/>
      <c r="CB766" s="820"/>
      <c r="CC766" s="820"/>
      <c r="CG766"/>
      <c r="CH766"/>
      <c r="CI766"/>
      <c r="CJ766"/>
      <c r="CK766"/>
      <c r="CL766"/>
    </row>
    <row r="767" spans="1:90" s="820" customFormat="1" ht="12.75" customHeight="1" outlineLevel="1">
      <c r="A767" s="1336"/>
      <c r="B767" s="870" t="s">
        <v>161</v>
      </c>
      <c r="E767" s="970">
        <f>-Model!E474</f>
        <v>1254</v>
      </c>
      <c r="F767" s="970">
        <f>-Model!F474</f>
        <v>1259</v>
      </c>
      <c r="G767" s="970">
        <f>-Model!G474</f>
        <v>2844</v>
      </c>
      <c r="H767" s="970">
        <f>-Model!H474</f>
        <v>13028</v>
      </c>
      <c r="I767" s="970">
        <f>-Model!I474</f>
        <v>16082</v>
      </c>
      <c r="J767" s="1470">
        <f>-Model!J474</f>
        <v>15995</v>
      </c>
      <c r="K767" s="970">
        <f>-Model!K474</f>
        <v>18874.199449919201</v>
      </c>
      <c r="L767" s="970">
        <f>-Model!L474</f>
        <v>20293.005220472744</v>
      </c>
      <c r="M767" s="970">
        <f>-Model!M474</f>
        <v>23757.769097625653</v>
      </c>
      <c r="N767" s="970">
        <f>-Model!N474</f>
        <v>26868.625879485237</v>
      </c>
      <c r="O767" s="970">
        <f>-Model!O474</f>
        <v>25871.666466326966</v>
      </c>
      <c r="P767" s="970">
        <f>-Model!P474</f>
        <v>28301.909840991742</v>
      </c>
      <c r="Q767" s="970">
        <f>-Model!Q474</f>
        <v>32589.873502641229</v>
      </c>
      <c r="R767" s="970">
        <f>-Model!R474</f>
        <v>37051.836271014508</v>
      </c>
      <c r="S767" s="489"/>
      <c r="T767" s="970"/>
      <c r="U767" s="970"/>
      <c r="Y767" s="825"/>
      <c r="AC767" s="825"/>
      <c r="AG767" s="825"/>
      <c r="AK767" s="825"/>
      <c r="AO767" s="825"/>
      <c r="AS767" s="825"/>
      <c r="AW767" s="825"/>
      <c r="BA767" s="825"/>
      <c r="CG767"/>
      <c r="CH767"/>
      <c r="CI767"/>
      <c r="CJ767"/>
      <c r="CK767"/>
      <c r="CL767"/>
    </row>
    <row r="768" spans="1:90" s="821" customFormat="1" ht="12.75" customHeight="1" outlineLevel="1">
      <c r="A768" s="1336"/>
      <c r="B768" s="870" t="s">
        <v>213</v>
      </c>
      <c r="C768" s="820"/>
      <c r="D768" s="820"/>
      <c r="E768" s="964">
        <v>0</v>
      </c>
      <c r="F768" s="965">
        <v>0</v>
      </c>
      <c r="G768" s="965">
        <v>1269</v>
      </c>
      <c r="H768" s="968">
        <v>0</v>
      </c>
      <c r="I768" s="963"/>
      <c r="J768" s="1445"/>
      <c r="K768" s="846"/>
      <c r="L768" s="846"/>
      <c r="M768" s="846"/>
      <c r="N768" s="846"/>
      <c r="O768" s="846"/>
      <c r="P768" s="846"/>
      <c r="Q768" s="846"/>
      <c r="R768" s="846"/>
      <c r="S768" s="489"/>
      <c r="T768" s="964"/>
      <c r="U768" s="965"/>
      <c r="Y768" s="848"/>
      <c r="AC768" s="848"/>
      <c r="AG768" s="848"/>
      <c r="AK768" s="848"/>
      <c r="AO768" s="848"/>
      <c r="AS768" s="848"/>
      <c r="AW768" s="848"/>
      <c r="BA768" s="848"/>
      <c r="BF768" s="820"/>
      <c r="BG768" s="820"/>
      <c r="BH768" s="820"/>
      <c r="BI768" s="820"/>
      <c r="BJ768" s="820"/>
      <c r="BK768" s="820"/>
      <c r="BL768" s="820"/>
      <c r="BM768" s="820"/>
      <c r="BN768" s="820"/>
      <c r="BO768" s="820"/>
      <c r="BP768" s="820"/>
      <c r="BQ768" s="820"/>
      <c r="BR768" s="820"/>
      <c r="BS768" s="820"/>
      <c r="BT768" s="820"/>
      <c r="BU768" s="820"/>
      <c r="BV768" s="820"/>
      <c r="BW768" s="820"/>
      <c r="BX768" s="820"/>
      <c r="BY768" s="820"/>
      <c r="BZ768" s="820"/>
      <c r="CA768" s="820"/>
      <c r="CB768" s="820"/>
      <c r="CC768" s="820"/>
      <c r="CG768"/>
      <c r="CH768"/>
      <c r="CI768"/>
      <c r="CJ768"/>
      <c r="CK768"/>
      <c r="CL768"/>
    </row>
    <row r="769" spans="1:90" s="821" customFormat="1" ht="12.75" customHeight="1" outlineLevel="1">
      <c r="A769" s="1336"/>
      <c r="B769" s="870" t="s">
        <v>95</v>
      </c>
      <c r="C769" s="820"/>
      <c r="D769" s="820"/>
      <c r="E769" s="963">
        <f>-Model!E352</f>
        <v>135</v>
      </c>
      <c r="F769" s="963">
        <f>-Model!F352</f>
        <v>175</v>
      </c>
      <c r="G769" s="963">
        <f>-Model!G352</f>
        <v>44</v>
      </c>
      <c r="H769" s="968">
        <v>175</v>
      </c>
      <c r="I769" s="968">
        <v>455</v>
      </c>
      <c r="J769" s="1471">
        <v>857</v>
      </c>
      <c r="K769" s="963">
        <f>-Model!K352</f>
        <v>0</v>
      </c>
      <c r="L769" s="963">
        <f>-Model!L352</f>
        <v>0</v>
      </c>
      <c r="M769" s="963">
        <f>-Model!M352</f>
        <v>0</v>
      </c>
      <c r="N769" s="963">
        <f>-Model!N352</f>
        <v>0</v>
      </c>
      <c r="O769" s="963">
        <f>-Model!O352</f>
        <v>0</v>
      </c>
      <c r="P769" s="963">
        <f>-Model!P352</f>
        <v>0</v>
      </c>
      <c r="Q769" s="963">
        <f>-Model!Q352</f>
        <v>0</v>
      </c>
      <c r="R769" s="963">
        <f>-Model!R352</f>
        <v>0</v>
      </c>
      <c r="S769" s="489"/>
      <c r="T769" s="964"/>
      <c r="U769" s="965"/>
      <c r="Y769" s="848"/>
      <c r="AC769" s="848"/>
      <c r="AG769" s="848"/>
      <c r="AK769" s="848"/>
      <c r="AO769" s="848"/>
      <c r="AS769" s="848"/>
      <c r="AW769" s="848"/>
      <c r="BA769" s="848"/>
      <c r="BF769" s="820"/>
      <c r="BG769" s="820"/>
      <c r="BH769" s="820"/>
      <c r="BI769" s="820"/>
      <c r="BJ769" s="820"/>
      <c r="BK769" s="820"/>
      <c r="BL769" s="820"/>
      <c r="BM769" s="820"/>
      <c r="BN769" s="820"/>
      <c r="BO769" s="820"/>
      <c r="BP769" s="820"/>
      <c r="BQ769" s="820"/>
      <c r="BR769" s="820"/>
      <c r="BS769" s="820"/>
      <c r="BT769" s="820"/>
      <c r="BU769" s="820"/>
      <c r="BV769" s="820"/>
      <c r="BW769" s="820"/>
      <c r="BX769" s="820"/>
      <c r="BY769" s="820"/>
      <c r="BZ769" s="820"/>
      <c r="CA769" s="820"/>
      <c r="CB769" s="820"/>
      <c r="CC769" s="820"/>
      <c r="CG769"/>
      <c r="CH769"/>
      <c r="CI769"/>
      <c r="CJ769"/>
      <c r="CK769"/>
      <c r="CL769"/>
    </row>
    <row r="770" spans="1:90" s="821" customFormat="1" ht="12.75" customHeight="1" outlineLevel="1">
      <c r="A770" s="1336"/>
      <c r="B770" s="870" t="s">
        <v>214</v>
      </c>
      <c r="C770" s="820"/>
      <c r="D770" s="820"/>
      <c r="E770" s="964">
        <v>3</v>
      </c>
      <c r="F770" s="965">
        <v>3</v>
      </c>
      <c r="G770" s="965">
        <v>0</v>
      </c>
      <c r="H770" s="966">
        <v>-13</v>
      </c>
      <c r="I770" s="966">
        <v>-11</v>
      </c>
      <c r="J770" s="1471">
        <v>34</v>
      </c>
      <c r="K770" s="963">
        <f>-Model!K715</f>
        <v>34</v>
      </c>
      <c r="L770" s="963">
        <f>-Model!L715</f>
        <v>34</v>
      </c>
      <c r="M770" s="963">
        <f>-Model!M715</f>
        <v>34</v>
      </c>
      <c r="N770" s="963">
        <f>-Model!N715</f>
        <v>34</v>
      </c>
      <c r="O770" s="963">
        <f>-Model!O715</f>
        <v>34</v>
      </c>
      <c r="P770" s="963">
        <f>-Model!P715</f>
        <v>34</v>
      </c>
      <c r="Q770" s="963">
        <f>-Model!Q715</f>
        <v>34</v>
      </c>
      <c r="R770" s="963">
        <f>-Model!R715</f>
        <v>34</v>
      </c>
      <c r="S770" s="489"/>
      <c r="T770" s="964"/>
      <c r="U770" s="965"/>
      <c r="Y770" s="848"/>
      <c r="AC770" s="848"/>
      <c r="AG770" s="848"/>
      <c r="AK770" s="848"/>
      <c r="AO770" s="848"/>
      <c r="AS770" s="848"/>
      <c r="AW770" s="848"/>
      <c r="BA770" s="848"/>
      <c r="BF770" s="820"/>
      <c r="BG770" s="820"/>
      <c r="BH770" s="820"/>
      <c r="BI770" s="820"/>
      <c r="BJ770" s="820"/>
      <c r="BK770" s="820"/>
      <c r="BL770" s="820"/>
      <c r="BM770" s="820"/>
      <c r="BN770" s="820"/>
      <c r="BO770" s="820"/>
      <c r="BP770" s="820"/>
      <c r="BQ770" s="820"/>
      <c r="BR770" s="820"/>
      <c r="BS770" s="820"/>
      <c r="BT770" s="820"/>
      <c r="BU770" s="820"/>
      <c r="BV770" s="820"/>
      <c r="BW770" s="820"/>
      <c r="BX770" s="820"/>
      <c r="BY770" s="820"/>
      <c r="BZ770" s="820"/>
      <c r="CA770" s="820"/>
      <c r="CB770" s="820"/>
      <c r="CC770" s="820"/>
      <c r="CG770"/>
      <c r="CH770"/>
      <c r="CI770"/>
      <c r="CJ770"/>
      <c r="CK770"/>
      <c r="CL770"/>
    </row>
    <row r="771" spans="1:90" s="820" customFormat="1" ht="12.75" customHeight="1" outlineLevel="1">
      <c r="A771" s="1336"/>
      <c r="B771" s="870" t="s">
        <v>103</v>
      </c>
      <c r="E771" s="971">
        <f>-Model!E369</f>
        <v>25</v>
      </c>
      <c r="F771" s="971">
        <f>-Model!F369</f>
        <v>6</v>
      </c>
      <c r="G771" s="971">
        <f>-Model!G369</f>
        <v>203</v>
      </c>
      <c r="H771" s="971">
        <f>-Model!H369</f>
        <v>1590</v>
      </c>
      <c r="I771" s="971">
        <f>-Model!I369</f>
        <v>1730</v>
      </c>
      <c r="J771" s="1472">
        <f>-Model!J369</f>
        <v>5027</v>
      </c>
      <c r="K771" s="971">
        <f>-Model!K369</f>
        <v>22178</v>
      </c>
      <c r="L771" s="971">
        <f>-Model!L369</f>
        <v>436.59999999999991</v>
      </c>
      <c r="M771" s="971">
        <f>-Model!M369</f>
        <v>-149.74000000000024</v>
      </c>
      <c r="N771" s="971">
        <f>-Model!N369</f>
        <v>-665.7140000000004</v>
      </c>
      <c r="O771" s="971">
        <f>-Model!O369</f>
        <v>-1413.1854000000008</v>
      </c>
      <c r="P771" s="971">
        <f>-Model!P369</f>
        <v>-2295.3039400000016</v>
      </c>
      <c r="Q771" s="971">
        <f>-Model!Q369</f>
        <v>-2915.5343340000018</v>
      </c>
      <c r="R771" s="971">
        <f>-Model!R369</f>
        <v>-3477.6877674000025</v>
      </c>
      <c r="S771" s="489"/>
      <c r="T771" s="965"/>
      <c r="U771" s="965"/>
      <c r="Y771" s="825"/>
      <c r="AC771" s="825"/>
      <c r="AG771" s="825"/>
      <c r="AK771" s="825"/>
      <c r="AO771" s="825"/>
      <c r="AS771" s="825"/>
      <c r="AW771" s="825"/>
      <c r="BA771" s="825"/>
      <c r="CG771"/>
      <c r="CH771"/>
      <c r="CI771"/>
      <c r="CJ771"/>
      <c r="CK771"/>
      <c r="CL771"/>
    </row>
    <row r="772" spans="1:90" s="821" customFormat="1" ht="12.75" customHeight="1" outlineLevel="1">
      <c r="A772" s="1336"/>
      <c r="B772" s="870" t="s">
        <v>215</v>
      </c>
      <c r="C772" s="820"/>
      <c r="D772" s="820"/>
      <c r="E772" s="964">
        <v>150</v>
      </c>
      <c r="F772" s="965">
        <v>104</v>
      </c>
      <c r="G772" s="965">
        <v>1466</v>
      </c>
      <c r="H772" s="966">
        <v>1659</v>
      </c>
      <c r="I772" s="972">
        <f>1226-1120</f>
        <v>106</v>
      </c>
      <c r="J772" s="1471">
        <f>281-1369</f>
        <v>-1088</v>
      </c>
      <c r="K772" s="963">
        <f t="shared" ref="K772:R772" si="1285">K621-J621</f>
        <v>-459.39150608606906</v>
      </c>
      <c r="L772" s="963">
        <f t="shared" si="1285"/>
        <v>5294.4129090294227</v>
      </c>
      <c r="M772" s="963">
        <f t="shared" si="1285"/>
        <v>7011.6181564551025</v>
      </c>
      <c r="N772" s="963">
        <f t="shared" si="1285"/>
        <v>4964.4575063027696</v>
      </c>
      <c r="O772" s="963">
        <f t="shared" si="1285"/>
        <v>6150.9050668458985</v>
      </c>
      <c r="P772" s="963">
        <f t="shared" si="1285"/>
        <v>6583.0041827335444</v>
      </c>
      <c r="Q772" s="963">
        <f t="shared" si="1285"/>
        <v>4768.0724979481383</v>
      </c>
      <c r="R772" s="963">
        <f t="shared" si="1285"/>
        <v>4597.3696213908042</v>
      </c>
      <c r="S772" s="489"/>
      <c r="T772" s="964"/>
      <c r="U772" s="965"/>
      <c r="Y772" s="848"/>
      <c r="AC772" s="848"/>
      <c r="AG772" s="848"/>
      <c r="AK772" s="848"/>
      <c r="AO772" s="848"/>
      <c r="AS772" s="848"/>
      <c r="AW772" s="848"/>
      <c r="BA772" s="848"/>
      <c r="BF772" s="820"/>
      <c r="BG772" s="820"/>
      <c r="BH772" s="820"/>
      <c r="BI772" s="820"/>
      <c r="BJ772" s="820"/>
      <c r="BK772" s="820"/>
      <c r="BL772" s="820"/>
      <c r="BM772" s="820"/>
      <c r="BN772" s="820"/>
      <c r="BO772" s="820"/>
      <c r="BP772" s="820"/>
      <c r="BQ772" s="820"/>
      <c r="BR772" s="820"/>
      <c r="BS772" s="820"/>
      <c r="BT772" s="820"/>
      <c r="BU772" s="820"/>
      <c r="BV772" s="820"/>
      <c r="BW772" s="820"/>
      <c r="BX772" s="820"/>
      <c r="BY772" s="820"/>
      <c r="BZ772" s="820"/>
      <c r="CA772" s="820"/>
      <c r="CB772" s="820"/>
      <c r="CC772" s="820"/>
      <c r="CG772"/>
      <c r="CH772"/>
      <c r="CI772"/>
      <c r="CJ772"/>
      <c r="CK772"/>
      <c r="CL772"/>
    </row>
    <row r="773" spans="1:90" s="820" customFormat="1" ht="12.75" customHeight="1" outlineLevel="1">
      <c r="A773" s="1336"/>
      <c r="B773" s="870" t="s">
        <v>11</v>
      </c>
      <c r="E773" s="965"/>
      <c r="F773" s="965"/>
      <c r="G773" s="965"/>
      <c r="H773" s="972">
        <v>-6535</v>
      </c>
      <c r="I773" s="972">
        <v>-18603</v>
      </c>
      <c r="J773" s="1469">
        <v>-770</v>
      </c>
      <c r="K773" s="971"/>
      <c r="L773" s="971"/>
      <c r="M773" s="971"/>
      <c r="N773" s="971"/>
      <c r="O773" s="971"/>
      <c r="P773" s="971"/>
      <c r="Q773" s="971"/>
      <c r="R773" s="971"/>
      <c r="S773" s="489"/>
      <c r="T773" s="965"/>
      <c r="U773" s="965"/>
      <c r="Y773" s="825"/>
      <c r="AC773" s="825"/>
      <c r="AG773" s="825"/>
      <c r="AK773" s="825"/>
      <c r="AO773" s="825"/>
      <c r="AS773" s="825"/>
      <c r="AW773" s="825"/>
      <c r="BA773" s="825"/>
      <c r="CG773"/>
      <c r="CH773"/>
      <c r="CI773"/>
      <c r="CJ773"/>
      <c r="CK773"/>
      <c r="CL773"/>
    </row>
    <row r="774" spans="1:90" s="821" customFormat="1" ht="12.75" customHeight="1" outlineLevel="1">
      <c r="A774" s="1336"/>
      <c r="B774" s="869" t="s">
        <v>216</v>
      </c>
      <c r="C774" s="820"/>
      <c r="D774" s="820"/>
      <c r="E774" s="964">
        <v>4</v>
      </c>
      <c r="F774" s="965">
        <v>120</v>
      </c>
      <c r="G774" s="965">
        <v>442</v>
      </c>
      <c r="H774" s="966">
        <v>861</v>
      </c>
      <c r="I774" s="968">
        <v>483</v>
      </c>
      <c r="J774" s="1471">
        <v>1680</v>
      </c>
      <c r="K774" s="846"/>
      <c r="L774" s="846"/>
      <c r="M774" s="846"/>
      <c r="N774" s="846"/>
      <c r="O774" s="846"/>
      <c r="P774" s="846"/>
      <c r="Q774" s="846"/>
      <c r="R774" s="846"/>
      <c r="S774" s="489"/>
      <c r="T774" s="964"/>
      <c r="U774" s="965"/>
      <c r="Y774" s="848"/>
      <c r="AC774" s="848"/>
      <c r="AG774" s="848"/>
      <c r="AK774" s="848"/>
      <c r="AO774" s="848"/>
      <c r="AS774" s="848"/>
      <c r="AW774" s="848"/>
      <c r="BA774" s="848"/>
      <c r="BF774" s="820"/>
      <c r="BG774" s="820"/>
      <c r="BH774" s="820"/>
      <c r="BI774" s="820"/>
      <c r="BJ774" s="820"/>
      <c r="BK774" s="820"/>
      <c r="BL774" s="820"/>
      <c r="BM774" s="820"/>
      <c r="BN774" s="820"/>
      <c r="BO774" s="820"/>
      <c r="BP774" s="820"/>
      <c r="BQ774" s="820"/>
      <c r="BR774" s="820"/>
      <c r="BS774" s="820"/>
      <c r="BT774" s="820"/>
      <c r="BU774" s="820"/>
      <c r="BV774" s="820"/>
      <c r="BW774" s="820"/>
      <c r="BX774" s="820"/>
      <c r="BY774" s="820"/>
      <c r="BZ774" s="820"/>
      <c r="CA774" s="820"/>
      <c r="CB774" s="820"/>
      <c r="CC774" s="820"/>
      <c r="CG774"/>
      <c r="CH774"/>
      <c r="CI774"/>
      <c r="CJ774"/>
      <c r="CK774"/>
      <c r="CL774"/>
    </row>
    <row r="775" spans="1:90" s="820" customFormat="1" ht="12.75" customHeight="1" outlineLevel="1">
      <c r="A775" s="1336"/>
      <c r="B775" s="870" t="s">
        <v>460</v>
      </c>
      <c r="E775" s="965"/>
      <c r="F775" s="965"/>
      <c r="G775" s="965"/>
      <c r="H775" s="972">
        <v>166</v>
      </c>
      <c r="I775" s="972">
        <v>264</v>
      </c>
      <c r="J775" s="1469">
        <v>264</v>
      </c>
      <c r="K775" s="847"/>
      <c r="L775" s="847"/>
      <c r="M775" s="847"/>
      <c r="N775" s="847"/>
      <c r="O775" s="847"/>
      <c r="P775" s="847"/>
      <c r="Q775" s="847"/>
      <c r="R775" s="847"/>
      <c r="S775" s="489"/>
      <c r="T775" s="965"/>
      <c r="U775" s="965"/>
      <c r="Y775" s="825"/>
      <c r="AC775" s="825"/>
      <c r="AG775" s="825"/>
      <c r="AK775" s="825"/>
      <c r="AO775" s="825"/>
      <c r="AS775" s="825"/>
      <c r="AW775" s="825"/>
      <c r="BA775" s="825"/>
      <c r="CG775"/>
      <c r="CH775"/>
      <c r="CI775"/>
      <c r="CJ775"/>
      <c r="CK775"/>
      <c r="CL775"/>
    </row>
    <row r="776" spans="1:90" s="821" customFormat="1" ht="12.75" customHeight="1" outlineLevel="1">
      <c r="A776" s="1336"/>
      <c r="B776" s="821" t="s">
        <v>696</v>
      </c>
      <c r="C776" s="820"/>
      <c r="D776" s="820"/>
      <c r="E776" s="964"/>
      <c r="F776" s="965"/>
      <c r="G776" s="965"/>
      <c r="H776" s="963"/>
      <c r="I776" s="963"/>
      <c r="J776" s="1445"/>
      <c r="K776" s="846"/>
      <c r="L776" s="846"/>
      <c r="M776" s="846"/>
      <c r="N776" s="846"/>
      <c r="O776" s="846"/>
      <c r="P776" s="846"/>
      <c r="Q776" s="846"/>
      <c r="R776" s="846"/>
      <c r="S776" s="489"/>
      <c r="T776" s="964"/>
      <c r="U776" s="965"/>
      <c r="Y776" s="848"/>
      <c r="AC776" s="848"/>
      <c r="AG776" s="848"/>
      <c r="AK776" s="848"/>
      <c r="AO776" s="848"/>
      <c r="AS776" s="848"/>
      <c r="AW776" s="848"/>
      <c r="BA776" s="848"/>
      <c r="BF776" s="820"/>
      <c r="BG776" s="820"/>
      <c r="BH776" s="820"/>
      <c r="BI776" s="820"/>
      <c r="BJ776" s="820"/>
      <c r="BK776" s="820"/>
      <c r="BL776" s="820"/>
      <c r="BM776" s="820"/>
      <c r="BN776" s="820"/>
      <c r="BO776" s="820"/>
      <c r="BP776" s="820"/>
      <c r="BQ776" s="820"/>
      <c r="BR776" s="820"/>
      <c r="BS776" s="820"/>
      <c r="BT776" s="820"/>
      <c r="BU776" s="820"/>
      <c r="BV776" s="820"/>
      <c r="BW776" s="820"/>
      <c r="BX776" s="820"/>
      <c r="BY776" s="820"/>
      <c r="BZ776" s="820"/>
      <c r="CA776" s="820"/>
      <c r="CB776" s="820"/>
      <c r="CC776" s="820"/>
      <c r="CG776"/>
      <c r="CH776"/>
      <c r="CI776"/>
      <c r="CJ776"/>
      <c r="CK776"/>
      <c r="CL776"/>
    </row>
    <row r="777" spans="1:90" s="821" customFormat="1" ht="12.75" customHeight="1" outlineLevel="1">
      <c r="A777" s="1336"/>
      <c r="B777" s="869" t="s">
        <v>190</v>
      </c>
      <c r="C777" s="820"/>
      <c r="D777" s="820"/>
      <c r="E777" s="964">
        <v>-113</v>
      </c>
      <c r="F777" s="965">
        <v>-974</v>
      </c>
      <c r="G777" s="965">
        <v>-1329</v>
      </c>
      <c r="H777" s="967">
        <v>-851</v>
      </c>
      <c r="I777" s="968">
        <v>0</v>
      </c>
      <c r="J777" s="1473">
        <v>-2528</v>
      </c>
      <c r="K777" s="963"/>
      <c r="L777" s="963"/>
      <c r="M777" s="963"/>
      <c r="N777" s="963"/>
      <c r="O777" s="963"/>
      <c r="P777" s="963"/>
      <c r="Q777" s="963"/>
      <c r="R777" s="963"/>
      <c r="S777" s="489"/>
      <c r="T777" s="964"/>
      <c r="U777" s="965"/>
      <c r="Y777" s="848"/>
      <c r="AC777" s="848"/>
      <c r="AG777" s="848"/>
      <c r="AK777" s="848"/>
      <c r="AO777" s="848"/>
      <c r="AS777" s="848"/>
      <c r="AW777" s="848"/>
      <c r="BA777" s="848"/>
      <c r="BF777" s="820"/>
      <c r="BG777" s="820"/>
      <c r="BH777" s="820"/>
      <c r="BI777" s="820"/>
      <c r="BJ777" s="820"/>
      <c r="BK777" s="820"/>
      <c r="BL777" s="820"/>
      <c r="BM777" s="820"/>
      <c r="BN777" s="820"/>
      <c r="BO777" s="820"/>
      <c r="BP777" s="820"/>
      <c r="BQ777" s="820"/>
      <c r="BR777" s="820"/>
      <c r="BS777" s="820"/>
      <c r="BT777" s="820"/>
      <c r="BU777" s="820"/>
      <c r="BV777" s="820"/>
      <c r="BW777" s="820"/>
      <c r="BX777" s="820"/>
      <c r="BY777" s="820"/>
      <c r="BZ777" s="820"/>
      <c r="CA777" s="820"/>
      <c r="CB777" s="820"/>
      <c r="CC777" s="820"/>
      <c r="CG777"/>
      <c r="CH777"/>
      <c r="CI777"/>
      <c r="CJ777"/>
      <c r="CK777"/>
      <c r="CL777"/>
    </row>
    <row r="778" spans="1:90" s="821" customFormat="1" ht="12.75" customHeight="1" outlineLevel="1">
      <c r="A778" s="1336"/>
      <c r="B778" s="869" t="s">
        <v>217</v>
      </c>
      <c r="C778" s="820"/>
      <c r="D778" s="820"/>
      <c r="E778" s="964">
        <v>-226</v>
      </c>
      <c r="F778" s="965">
        <v>-2828</v>
      </c>
      <c r="G778" s="965">
        <v>-9175</v>
      </c>
      <c r="H778" s="972"/>
      <c r="I778" s="973"/>
      <c r="J778" s="1474">
        <v>0</v>
      </c>
      <c r="K778" s="963">
        <f t="shared" ref="K778:R778" si="1286">K597-J597</f>
        <v>0</v>
      </c>
      <c r="L778" s="963">
        <f t="shared" si="1286"/>
        <v>0</v>
      </c>
      <c r="M778" s="963">
        <f t="shared" si="1286"/>
        <v>0</v>
      </c>
      <c r="N778" s="963">
        <f t="shared" si="1286"/>
        <v>0</v>
      </c>
      <c r="O778" s="963">
        <f t="shared" si="1286"/>
        <v>0</v>
      </c>
      <c r="P778" s="963">
        <f t="shared" si="1286"/>
        <v>0</v>
      </c>
      <c r="Q778" s="963">
        <f t="shared" si="1286"/>
        <v>0</v>
      </c>
      <c r="R778" s="963">
        <f t="shared" si="1286"/>
        <v>0</v>
      </c>
      <c r="S778" s="489"/>
      <c r="T778" s="964"/>
      <c r="U778" s="965"/>
      <c r="Y778" s="848"/>
      <c r="AC778" s="848"/>
      <c r="AG778" s="848"/>
      <c r="AK778" s="848"/>
      <c r="AO778" s="848"/>
      <c r="AS778" s="848"/>
      <c r="AW778" s="848"/>
      <c r="BA778" s="848"/>
      <c r="BF778" s="820"/>
      <c r="BG778" s="820"/>
      <c r="BH778" s="820"/>
      <c r="BI778" s="820"/>
      <c r="BJ778" s="820"/>
      <c r="BK778" s="820"/>
      <c r="BL778" s="820"/>
      <c r="BM778" s="820"/>
      <c r="BN778" s="820"/>
      <c r="BO778" s="820"/>
      <c r="BP778" s="820"/>
      <c r="BQ778" s="820"/>
      <c r="BR778" s="820"/>
      <c r="BS778" s="820"/>
      <c r="BT778" s="820"/>
      <c r="BU778" s="820"/>
      <c r="BV778" s="820"/>
      <c r="BW778" s="820"/>
      <c r="BX778" s="820"/>
      <c r="BY778" s="820"/>
      <c r="BZ778" s="820"/>
      <c r="CA778" s="820"/>
      <c r="CB778" s="820"/>
      <c r="CC778" s="820"/>
      <c r="CG778"/>
      <c r="CH778"/>
      <c r="CI778"/>
      <c r="CJ778"/>
      <c r="CK778"/>
      <c r="CL778"/>
    </row>
    <row r="779" spans="1:90" s="821" customFormat="1" ht="12.75" customHeight="1" outlineLevel="1">
      <c r="A779" s="1336"/>
      <c r="B779" s="869" t="s">
        <v>194</v>
      </c>
      <c r="C779" s="820"/>
      <c r="D779" s="820"/>
      <c r="E779" s="964">
        <v>-240</v>
      </c>
      <c r="F779" s="965">
        <v>-354</v>
      </c>
      <c r="G779" s="965">
        <v>-3567</v>
      </c>
      <c r="H779" s="968">
        <v>-14138</v>
      </c>
      <c r="I779" s="968">
        <v>-4504</v>
      </c>
      <c r="J779" s="1471">
        <v>-8237</v>
      </c>
      <c r="K779" s="963">
        <f t="shared" ref="K779:R779" si="1287">-(K599-J599)-(K605-J605)</f>
        <v>-18770.985780746152</v>
      </c>
      <c r="L779" s="963">
        <f t="shared" si="1287"/>
        <v>-15437.038465504245</v>
      </c>
      <c r="M779" s="963">
        <f t="shared" si="1287"/>
        <v>-20107.824508359969</v>
      </c>
      <c r="N779" s="963">
        <f t="shared" si="1287"/>
        <v>-18024.005753264686</v>
      </c>
      <c r="O779" s="963">
        <f t="shared" si="1287"/>
        <v>-19615.001456534312</v>
      </c>
      <c r="P779" s="963">
        <f t="shared" si="1287"/>
        <v>-24564.618491590823</v>
      </c>
      <c r="Q779" s="963">
        <f t="shared" si="1287"/>
        <v>-19537.451843984745</v>
      </c>
      <c r="R779" s="963">
        <f t="shared" si="1287"/>
        <v>-19458.193814273218</v>
      </c>
      <c r="S779" s="489"/>
      <c r="T779" s="964"/>
      <c r="U779" s="965"/>
      <c r="Y779" s="848"/>
      <c r="AC779" s="848"/>
      <c r="AG779" s="848"/>
      <c r="AK779" s="848"/>
      <c r="AO779" s="848"/>
      <c r="AS779" s="848"/>
      <c r="AW779" s="848"/>
      <c r="BA779" s="848"/>
      <c r="BF779" s="820"/>
      <c r="BG779" s="820"/>
      <c r="BH779" s="820"/>
      <c r="BI779" s="820"/>
      <c r="BJ779" s="820"/>
      <c r="BK779" s="820"/>
      <c r="BL779" s="820"/>
      <c r="BM779" s="820"/>
      <c r="BN779" s="820"/>
      <c r="BO779" s="820"/>
      <c r="BP779" s="820"/>
      <c r="BQ779" s="820"/>
      <c r="BR779" s="820"/>
      <c r="BS779" s="820"/>
      <c r="BT779" s="820"/>
      <c r="BU779" s="820"/>
      <c r="BV779" s="820"/>
      <c r="BW779" s="820"/>
      <c r="BX779" s="820"/>
      <c r="BY779" s="820"/>
      <c r="BZ779" s="820"/>
      <c r="CA779" s="820"/>
      <c r="CB779" s="820"/>
      <c r="CC779" s="820"/>
      <c r="CG779"/>
      <c r="CH779"/>
      <c r="CI779"/>
      <c r="CJ779"/>
      <c r="CK779"/>
      <c r="CL779"/>
    </row>
    <row r="780" spans="1:90" s="821" customFormat="1" ht="12.75" customHeight="1" outlineLevel="1">
      <c r="A780" s="1336"/>
      <c r="B780" s="869" t="s">
        <v>162</v>
      </c>
      <c r="C780" s="820"/>
      <c r="D780" s="820"/>
      <c r="E780" s="964">
        <v>230</v>
      </c>
      <c r="F780" s="965">
        <v>-116</v>
      </c>
      <c r="G780" s="965">
        <v>1008</v>
      </c>
      <c r="H780" s="966">
        <v>1410</v>
      </c>
      <c r="I780" s="966">
        <v>1237</v>
      </c>
      <c r="J780" s="1475">
        <v>4698</v>
      </c>
      <c r="K780" s="963">
        <f t="shared" ref="K780:R781" si="1288">K613-J613</f>
        <v>-469.81171188353983</v>
      </c>
      <c r="L780" s="963">
        <f t="shared" si="1288"/>
        <v>902.50857567125695</v>
      </c>
      <c r="M780" s="963">
        <f t="shared" si="1288"/>
        <v>2352.5621577686588</v>
      </c>
      <c r="N780" s="963">
        <f t="shared" si="1288"/>
        <v>1207.6005612578429</v>
      </c>
      <c r="O780" s="963">
        <f t="shared" si="1288"/>
        <v>1404.251250075873</v>
      </c>
      <c r="P780" s="963">
        <f t="shared" si="1288"/>
        <v>2722.0787221247192</v>
      </c>
      <c r="Q780" s="963">
        <f t="shared" si="1288"/>
        <v>2225.4840631719635</v>
      </c>
      <c r="R780" s="963">
        <f t="shared" si="1288"/>
        <v>2308.5174089530228</v>
      </c>
      <c r="S780" s="489"/>
      <c r="T780" s="964"/>
      <c r="U780" s="965"/>
      <c r="Y780" s="848"/>
      <c r="AC780" s="848"/>
      <c r="AG780" s="848"/>
      <c r="AK780" s="848"/>
      <c r="AO780" s="848"/>
      <c r="AS780" s="848"/>
      <c r="AW780" s="848"/>
      <c r="BA780" s="848"/>
      <c r="BF780" s="820"/>
      <c r="BG780" s="820"/>
      <c r="BH780" s="820"/>
      <c r="BI780" s="820"/>
      <c r="BJ780" s="820"/>
      <c r="BK780" s="820"/>
      <c r="BL780" s="820"/>
      <c r="BM780" s="820"/>
      <c r="BN780" s="820"/>
      <c r="BO780" s="820"/>
      <c r="BP780" s="820"/>
      <c r="BQ780" s="820"/>
      <c r="BR780" s="820"/>
      <c r="BS780" s="820"/>
      <c r="BT780" s="820"/>
      <c r="BU780" s="820"/>
      <c r="BV780" s="820"/>
      <c r="BW780" s="820"/>
      <c r="BX780" s="820"/>
      <c r="BY780" s="820"/>
      <c r="BZ780" s="820"/>
      <c r="CA780" s="820"/>
      <c r="CB780" s="820"/>
      <c r="CC780" s="820"/>
      <c r="CG780"/>
      <c r="CH780"/>
      <c r="CI780"/>
      <c r="CJ780"/>
      <c r="CK780"/>
      <c r="CL780"/>
    </row>
    <row r="781" spans="1:90" s="821" customFormat="1" ht="12.75" customHeight="1" outlineLevel="1">
      <c r="A781" s="1336"/>
      <c r="B781" s="869" t="s">
        <v>198</v>
      </c>
      <c r="C781" s="820"/>
      <c r="D781" s="820"/>
      <c r="E781" s="964">
        <v>94</v>
      </c>
      <c r="F781" s="965">
        <v>976</v>
      </c>
      <c r="G781" s="965">
        <v>1344</v>
      </c>
      <c r="H781" s="966">
        <v>837</v>
      </c>
      <c r="I781" s="966">
        <v>0</v>
      </c>
      <c r="J781" s="1475">
        <v>2528</v>
      </c>
      <c r="K781" s="963">
        <f t="shared" si="1288"/>
        <v>1604.2624139180225</v>
      </c>
      <c r="L781" s="963">
        <f t="shared" si="1288"/>
        <v>1354.838418469687</v>
      </c>
      <c r="M781" s="963">
        <f t="shared" si="1288"/>
        <v>1811.9210630233147</v>
      </c>
      <c r="N781" s="963">
        <f t="shared" si="1288"/>
        <v>1570.5075357420883</v>
      </c>
      <c r="O781" s="963">
        <f t="shared" si="1288"/>
        <v>1764.0574162978519</v>
      </c>
      <c r="P781" s="963">
        <f t="shared" si="1288"/>
        <v>2246.9659709889038</v>
      </c>
      <c r="Q781" s="963">
        <f t="shared" si="1288"/>
        <v>1920.2952104105334</v>
      </c>
      <c r="R781" s="963">
        <f t="shared" si="1288"/>
        <v>1998.2178976398554</v>
      </c>
      <c r="S781" s="489"/>
      <c r="T781" s="964"/>
      <c r="U781" s="965"/>
      <c r="Y781" s="848"/>
      <c r="AC781" s="848"/>
      <c r="AG781" s="848"/>
      <c r="AK781" s="848"/>
      <c r="AO781" s="848"/>
      <c r="AS781" s="848"/>
      <c r="AW781" s="848"/>
      <c r="BA781" s="848"/>
      <c r="BF781" s="820"/>
      <c r="BG781" s="820"/>
      <c r="BH781" s="820"/>
      <c r="BI781" s="820"/>
      <c r="BJ781" s="820"/>
      <c r="BK781" s="820"/>
      <c r="BL781" s="820"/>
      <c r="BM781" s="820"/>
      <c r="BN781" s="820"/>
      <c r="BO781" s="820"/>
      <c r="BP781" s="820"/>
      <c r="BQ781" s="820"/>
      <c r="BR781" s="820"/>
      <c r="BS781" s="820"/>
      <c r="BT781" s="820"/>
      <c r="BU781" s="820"/>
      <c r="BV781" s="820"/>
      <c r="BW781" s="820"/>
      <c r="BX781" s="820"/>
      <c r="BY781" s="820"/>
      <c r="BZ781" s="820"/>
      <c r="CA781" s="820"/>
      <c r="CB781" s="820"/>
      <c r="CC781" s="820"/>
      <c r="CG781"/>
      <c r="CH781"/>
      <c r="CI781"/>
      <c r="CJ781"/>
      <c r="CK781"/>
      <c r="CL781"/>
    </row>
    <row r="782" spans="1:90" s="821" customFormat="1" ht="12.75" customHeight="1" outlineLevel="1">
      <c r="A782" s="1336"/>
      <c r="B782" s="869" t="s">
        <v>199</v>
      </c>
      <c r="C782" s="820"/>
      <c r="D782" s="820"/>
      <c r="E782" s="964">
        <v>1332</v>
      </c>
      <c r="F782" s="965">
        <v>3657</v>
      </c>
      <c r="G782" s="965">
        <v>3992</v>
      </c>
      <c r="H782" s="968">
        <v>10494</v>
      </c>
      <c r="I782" s="968">
        <v>7757</v>
      </c>
      <c r="J782" s="1475">
        <v>5312</v>
      </c>
      <c r="K782" s="963">
        <f t="shared" ref="K782:R782" si="1289">(K615-J615)</f>
        <v>15173.36160361462</v>
      </c>
      <c r="L782" s="963">
        <f t="shared" si="1289"/>
        <v>18812.659278276355</v>
      </c>
      <c r="M782" s="963">
        <f t="shared" si="1289"/>
        <v>24215.683000428427</v>
      </c>
      <c r="N782" s="963">
        <f t="shared" si="1289"/>
        <v>18895.811985827488</v>
      </c>
      <c r="O782" s="963">
        <f t="shared" si="1289"/>
        <v>19963.960514859078</v>
      </c>
      <c r="P782" s="963">
        <f t="shared" si="1289"/>
        <v>31082.855081937887</v>
      </c>
      <c r="Q782" s="963">
        <f t="shared" si="1289"/>
        <v>26563.934883918526</v>
      </c>
      <c r="R782" s="963">
        <f t="shared" si="1289"/>
        <v>27641.859350072482</v>
      </c>
      <c r="S782" s="489"/>
      <c r="T782" s="964"/>
      <c r="U782" s="965"/>
      <c r="Y782" s="848"/>
      <c r="AC782" s="848"/>
      <c r="AG782" s="848"/>
      <c r="AK782" s="848"/>
      <c r="AO782" s="848"/>
      <c r="AS782" s="848"/>
      <c r="AW782" s="848"/>
      <c r="BA782" s="848"/>
      <c r="BF782" s="820"/>
      <c r="BG782" s="820"/>
      <c r="BH782" s="820"/>
      <c r="BI782" s="820"/>
      <c r="BJ782" s="820"/>
      <c r="BK782" s="820"/>
      <c r="BL782" s="820"/>
      <c r="BM782" s="820"/>
      <c r="BN782" s="820"/>
      <c r="BO782" s="820"/>
      <c r="BP782" s="820"/>
      <c r="BQ782" s="820"/>
      <c r="BR782" s="820"/>
      <c r="BS782" s="820"/>
      <c r="BT782" s="820"/>
      <c r="BU782" s="820"/>
      <c r="BV782" s="820"/>
      <c r="BW782" s="820"/>
      <c r="BX782" s="820"/>
      <c r="BY782" s="820"/>
      <c r="BZ782" s="820"/>
      <c r="CA782" s="820"/>
      <c r="CB782" s="820"/>
      <c r="CC782" s="820"/>
      <c r="CG782"/>
      <c r="CH782"/>
      <c r="CI782"/>
      <c r="CJ782"/>
      <c r="CK782"/>
      <c r="CL782"/>
    </row>
    <row r="783" spans="1:90" s="821" customFormat="1" ht="12.75" customHeight="1" outlineLevel="1">
      <c r="A783" s="1336"/>
      <c r="B783" s="869" t="s">
        <v>200</v>
      </c>
      <c r="C783" s="820"/>
      <c r="D783" s="820"/>
      <c r="E783" s="964">
        <v>583</v>
      </c>
      <c r="F783" s="965">
        <v>2338</v>
      </c>
      <c r="G783" s="965">
        <v>1628</v>
      </c>
      <c r="H783" s="972">
        <v>2490</v>
      </c>
      <c r="I783" s="966">
        <v>113</v>
      </c>
      <c r="J783" s="1475">
        <v>875</v>
      </c>
      <c r="K783" s="963">
        <f t="shared" ref="K783:R783" si="1290">K616-J616</f>
        <v>3005.9159853791989</v>
      </c>
      <c r="L783" s="963">
        <f t="shared" si="1290"/>
        <v>3343.9138236255531</v>
      </c>
      <c r="M783" s="963">
        <f t="shared" si="1290"/>
        <v>3637.1316372647034</v>
      </c>
      <c r="N783" s="963">
        <f t="shared" si="1290"/>
        <v>3589.0580112270254</v>
      </c>
      <c r="O783" s="963">
        <f t="shared" si="1290"/>
        <v>4087.0910011090491</v>
      </c>
      <c r="P783" s="963">
        <f t="shared" si="1290"/>
        <v>4452.3991777963965</v>
      </c>
      <c r="Q783" s="963">
        <f t="shared" si="1290"/>
        <v>4731.1636427385602</v>
      </c>
      <c r="R783" s="963">
        <f t="shared" si="1290"/>
        <v>4964.2982638028989</v>
      </c>
      <c r="S783" s="489"/>
      <c r="T783" s="964"/>
      <c r="U783" s="965"/>
      <c r="Y783" s="848"/>
      <c r="AC783" s="848"/>
      <c r="AG783" s="848"/>
      <c r="AK783" s="848"/>
      <c r="AO783" s="848"/>
      <c r="AS783" s="848"/>
      <c r="AW783" s="848"/>
      <c r="BA783" s="848"/>
      <c r="BF783" s="820"/>
      <c r="BG783" s="820"/>
      <c r="BH783" s="820"/>
      <c r="BI783" s="820"/>
      <c r="BJ783" s="820"/>
      <c r="BK783" s="820"/>
      <c r="BL783" s="820"/>
      <c r="BM783" s="820"/>
      <c r="BN783" s="820"/>
      <c r="BO783" s="820"/>
      <c r="BP783" s="820"/>
      <c r="BQ783" s="820"/>
      <c r="BR783" s="820"/>
      <c r="BS783" s="820"/>
      <c r="BT783" s="820"/>
      <c r="BU783" s="820"/>
      <c r="BV783" s="820"/>
      <c r="BW783" s="820"/>
      <c r="BX783" s="820"/>
      <c r="BY783" s="820"/>
      <c r="BZ783" s="820"/>
      <c r="CA783" s="820"/>
      <c r="CB783" s="820"/>
      <c r="CC783" s="820"/>
      <c r="CG783"/>
      <c r="CH783"/>
      <c r="CI783"/>
      <c r="CJ783"/>
      <c r="CK783"/>
      <c r="CL783"/>
    </row>
    <row r="784" spans="1:90" s="821" customFormat="1" ht="12.75" customHeight="1" outlineLevel="1">
      <c r="A784" s="1336"/>
      <c r="B784" s="869" t="s">
        <v>201</v>
      </c>
      <c r="C784" s="820"/>
      <c r="D784" s="820"/>
      <c r="E784" s="964">
        <v>128</v>
      </c>
      <c r="F784" s="965">
        <v>437</v>
      </c>
      <c r="G784" s="965">
        <v>1606</v>
      </c>
      <c r="H784" s="972">
        <v>1317</v>
      </c>
      <c r="I784" s="966">
        <v>2350</v>
      </c>
      <c r="J784" s="1475">
        <v>4611</v>
      </c>
      <c r="K784" s="963">
        <f t="shared" ref="K784:R784" si="1291">(K617-J617)+(K620-J620)</f>
        <v>213.4710657852246</v>
      </c>
      <c r="L784" s="963">
        <f t="shared" si="1291"/>
        <v>5756.2999334709111</v>
      </c>
      <c r="M784" s="963">
        <f t="shared" si="1291"/>
        <v>6516.5671970867897</v>
      </c>
      <c r="N784" s="963">
        <f t="shared" si="1291"/>
        <v>6239.3523722538694</v>
      </c>
      <c r="O784" s="963">
        <f t="shared" si="1291"/>
        <v>7008.2922715612895</v>
      </c>
      <c r="P784" s="963">
        <f t="shared" si="1291"/>
        <v>8926.8036875982652</v>
      </c>
      <c r="Q784" s="963">
        <f t="shared" si="1291"/>
        <v>7628.9977627145354</v>
      </c>
      <c r="R784" s="963">
        <f t="shared" si="1291"/>
        <v>7938.5710008887472</v>
      </c>
      <c r="S784" s="489"/>
      <c r="T784" s="964"/>
      <c r="U784" s="965"/>
      <c r="Y784" s="848"/>
      <c r="AC784" s="848"/>
      <c r="AG784" s="848"/>
      <c r="AK784" s="848"/>
      <c r="AO784" s="848"/>
      <c r="AS784" s="848"/>
      <c r="AW784" s="848"/>
      <c r="BA784" s="848"/>
      <c r="BF784" s="820"/>
      <c r="BG784" s="820"/>
      <c r="BH784" s="820"/>
      <c r="BI784" s="820"/>
      <c r="BJ784" s="820"/>
      <c r="BK784" s="820"/>
      <c r="BL784" s="820"/>
      <c r="BM784" s="820"/>
      <c r="BN784" s="820"/>
      <c r="BO784" s="820"/>
      <c r="BP784" s="820"/>
      <c r="BQ784" s="820"/>
      <c r="BR784" s="820"/>
      <c r="BS784" s="820"/>
      <c r="BT784" s="820"/>
      <c r="BU784" s="820"/>
      <c r="BV784" s="820"/>
      <c r="BW784" s="820"/>
      <c r="BX784" s="820"/>
      <c r="BY784" s="820"/>
      <c r="BZ784" s="820"/>
      <c r="CA784" s="820"/>
      <c r="CB784" s="820"/>
      <c r="CC784" s="820"/>
      <c r="CG784"/>
      <c r="CH784"/>
      <c r="CI784"/>
      <c r="CJ784"/>
      <c r="CK784"/>
      <c r="CL784"/>
    </row>
    <row r="785" spans="1:90" s="837" customFormat="1" ht="12.75" customHeight="1" outlineLevel="1">
      <c r="A785" s="1353"/>
      <c r="B785" s="837" t="s">
        <v>184</v>
      </c>
      <c r="E785" s="974">
        <f t="shared" ref="E785:R785" si="1292">SUM(E758:E784)</f>
        <v>9275</v>
      </c>
      <c r="F785" s="974">
        <f t="shared" si="1292"/>
        <v>14476</v>
      </c>
      <c r="G785" s="974">
        <f t="shared" si="1292"/>
        <v>26379</v>
      </c>
      <c r="H785" s="975">
        <f t="shared" si="1292"/>
        <v>41217</v>
      </c>
      <c r="I785" s="975">
        <f t="shared" si="1292"/>
        <v>56836</v>
      </c>
      <c r="J785" s="1476">
        <f t="shared" si="1292"/>
        <v>80326</v>
      </c>
      <c r="K785" s="975">
        <f t="shared" si="1292"/>
        <v>120394.85304958771</v>
      </c>
      <c r="L785" s="975">
        <f t="shared" si="1292"/>
        <v>150582.26523370121</v>
      </c>
      <c r="M785" s="975">
        <f t="shared" si="1292"/>
        <v>193628.97040145056</v>
      </c>
      <c r="N785" s="975">
        <f t="shared" si="1292"/>
        <v>229169.83541153217</v>
      </c>
      <c r="O785" s="975">
        <f t="shared" si="1292"/>
        <v>270035.30829158484</v>
      </c>
      <c r="P785" s="975">
        <f t="shared" si="1292"/>
        <v>323489.6182187862</v>
      </c>
      <c r="Q785" s="975">
        <f t="shared" si="1292"/>
        <v>358255.68027430418</v>
      </c>
      <c r="R785" s="975">
        <f t="shared" si="1292"/>
        <v>398723.95576181478</v>
      </c>
      <c r="S785" s="489"/>
      <c r="T785" s="975"/>
      <c r="U785" s="976"/>
      <c r="Y785" s="841"/>
      <c r="AC785" s="841"/>
      <c r="AG785" s="841"/>
      <c r="AK785" s="841"/>
      <c r="AO785" s="841"/>
      <c r="AS785" s="841"/>
      <c r="AW785" s="841"/>
      <c r="BA785" s="841"/>
      <c r="BF785" s="831"/>
      <c r="BG785" s="831"/>
      <c r="BH785" s="831"/>
      <c r="BI785" s="831"/>
      <c r="BJ785" s="831"/>
      <c r="BK785" s="831"/>
      <c r="BL785" s="831"/>
      <c r="BM785" s="831"/>
      <c r="BN785" s="831"/>
      <c r="BO785" s="831"/>
      <c r="BP785" s="831"/>
      <c r="BQ785" s="831"/>
      <c r="BR785" s="831"/>
      <c r="BS785" s="831"/>
      <c r="BT785" s="831"/>
      <c r="BU785" s="831"/>
      <c r="BV785" s="831"/>
      <c r="BW785" s="831"/>
      <c r="BX785" s="831"/>
      <c r="BY785" s="831"/>
      <c r="BZ785" s="831"/>
      <c r="CA785" s="831"/>
      <c r="CB785" s="831"/>
      <c r="CC785" s="831"/>
      <c r="CG785"/>
      <c r="CH785"/>
      <c r="CI785"/>
      <c r="CJ785"/>
      <c r="CK785"/>
      <c r="CL785"/>
    </row>
    <row r="786" spans="1:90" s="978" customFormat="1" ht="12.75" customHeight="1" outlineLevel="1">
      <c r="A786" s="1354"/>
      <c r="C786" s="977"/>
      <c r="D786" s="977"/>
      <c r="E786" s="979"/>
      <c r="F786" s="664"/>
      <c r="G786" s="664"/>
      <c r="H786" s="664"/>
      <c r="I786" s="664"/>
      <c r="J786" s="1477"/>
      <c r="K786" s="980"/>
      <c r="L786" s="980"/>
      <c r="M786" s="980"/>
      <c r="N786" s="980"/>
      <c r="O786" s="980"/>
      <c r="P786" s="980"/>
      <c r="Q786" s="980"/>
      <c r="R786" s="980"/>
      <c r="S786" s="489"/>
      <c r="T786" s="980"/>
      <c r="U786" s="664"/>
      <c r="Y786" s="981"/>
      <c r="AC786" s="981"/>
      <c r="AG786" s="981"/>
      <c r="AK786" s="981"/>
      <c r="AO786" s="981"/>
      <c r="AS786" s="981"/>
      <c r="AW786" s="981"/>
      <c r="BA786" s="981"/>
      <c r="BF786" s="977"/>
      <c r="BG786" s="977"/>
      <c r="BH786" s="977"/>
      <c r="BI786" s="977"/>
      <c r="BJ786" s="977"/>
      <c r="BK786" s="977"/>
      <c r="BL786" s="977"/>
      <c r="BM786" s="977"/>
      <c r="BN786" s="977"/>
      <c r="BO786" s="977"/>
      <c r="BP786" s="977"/>
      <c r="BQ786" s="977"/>
      <c r="BR786" s="977"/>
      <c r="BS786" s="977"/>
      <c r="BT786" s="977"/>
      <c r="BU786" s="977"/>
      <c r="BV786" s="977"/>
      <c r="BW786" s="977"/>
      <c r="BX786" s="977"/>
      <c r="BY786" s="977"/>
      <c r="BZ786" s="977"/>
      <c r="CA786" s="977"/>
      <c r="CB786" s="977"/>
      <c r="CC786" s="977"/>
      <c r="CG786"/>
      <c r="CH786"/>
      <c r="CI786"/>
      <c r="CJ786"/>
      <c r="CK786"/>
      <c r="CL786"/>
    </row>
    <row r="787" spans="1:90" s="821" customFormat="1" ht="12.75" customHeight="1" outlineLevel="1">
      <c r="A787" s="1336"/>
      <c r="B787" s="821" t="s">
        <v>218</v>
      </c>
      <c r="C787" s="820"/>
      <c r="D787" s="820"/>
      <c r="E787" s="964">
        <v>3728</v>
      </c>
      <c r="F787" s="965">
        <v>2589</v>
      </c>
      <c r="G787" s="965">
        <v>-8304</v>
      </c>
      <c r="H787" s="972">
        <v>-1113</v>
      </c>
      <c r="I787" s="972">
        <v>4619</v>
      </c>
      <c r="J787" s="1478">
        <v>5761</v>
      </c>
      <c r="K787" s="971">
        <f t="shared" ref="K787:R787" si="1293">K596-J596</f>
        <v>0</v>
      </c>
      <c r="L787" s="963">
        <f t="shared" si="1293"/>
        <v>0</v>
      </c>
      <c r="M787" s="963">
        <f t="shared" si="1293"/>
        <v>0</v>
      </c>
      <c r="N787" s="963">
        <f t="shared" si="1293"/>
        <v>0</v>
      </c>
      <c r="O787" s="963">
        <f t="shared" si="1293"/>
        <v>0</v>
      </c>
      <c r="P787" s="963">
        <f t="shared" si="1293"/>
        <v>0</v>
      </c>
      <c r="Q787" s="963">
        <f t="shared" si="1293"/>
        <v>0</v>
      </c>
      <c r="R787" s="963">
        <f t="shared" si="1293"/>
        <v>0</v>
      </c>
      <c r="S787" s="489"/>
      <c r="T787" s="964"/>
      <c r="U787" s="965"/>
      <c r="Y787" s="848"/>
      <c r="AC787" s="848"/>
      <c r="AG787" s="848"/>
      <c r="AK787" s="848"/>
      <c r="AO787" s="848"/>
      <c r="AS787" s="848"/>
      <c r="AW787" s="848"/>
      <c r="BA787" s="848"/>
      <c r="BF787" s="820"/>
      <c r="BG787" s="820"/>
      <c r="BH787" s="820"/>
      <c r="BI787" s="820"/>
      <c r="BJ787" s="820"/>
      <c r="BK787" s="820"/>
      <c r="BL787" s="820"/>
      <c r="BM787" s="820"/>
      <c r="BN787" s="820"/>
      <c r="BO787" s="820"/>
      <c r="BP787" s="820"/>
      <c r="BQ787" s="820"/>
      <c r="BR787" s="820"/>
      <c r="BS787" s="820"/>
      <c r="BT787" s="820"/>
      <c r="BU787" s="820"/>
      <c r="BV787" s="820"/>
      <c r="BW787" s="820"/>
      <c r="BX787" s="820"/>
      <c r="BY787" s="820"/>
      <c r="BZ787" s="820"/>
      <c r="CA787" s="820"/>
      <c r="CB787" s="820"/>
      <c r="CC787" s="820"/>
      <c r="CG787"/>
      <c r="CH787"/>
      <c r="CI787"/>
      <c r="CJ787"/>
      <c r="CK787"/>
      <c r="CL787"/>
    </row>
    <row r="788" spans="1:90" s="821" customFormat="1" ht="12.75" customHeight="1" outlineLevel="1">
      <c r="A788" s="1336"/>
      <c r="B788" s="821" t="s">
        <v>219</v>
      </c>
      <c r="C788" s="820"/>
      <c r="D788" s="820"/>
      <c r="E788" s="964">
        <v>-2108</v>
      </c>
      <c r="F788" s="965">
        <v>334</v>
      </c>
      <c r="G788" s="965">
        <v>199</v>
      </c>
      <c r="H788" s="972">
        <v>1139</v>
      </c>
      <c r="I788" s="972">
        <v>746</v>
      </c>
      <c r="J788" s="1478">
        <v>452</v>
      </c>
      <c r="K788" s="971">
        <f t="shared" ref="K788:R788" si="1294">K595-J595</f>
        <v>0</v>
      </c>
      <c r="L788" s="963">
        <f t="shared" si="1294"/>
        <v>0</v>
      </c>
      <c r="M788" s="963">
        <f t="shared" si="1294"/>
        <v>0</v>
      </c>
      <c r="N788" s="963">
        <f t="shared" si="1294"/>
        <v>0</v>
      </c>
      <c r="O788" s="963">
        <f t="shared" si="1294"/>
        <v>0</v>
      </c>
      <c r="P788" s="963">
        <f t="shared" si="1294"/>
        <v>0</v>
      </c>
      <c r="Q788" s="963">
        <f t="shared" si="1294"/>
        <v>0</v>
      </c>
      <c r="R788" s="963">
        <f t="shared" si="1294"/>
        <v>0</v>
      </c>
      <c r="S788" s="489"/>
      <c r="T788" s="964"/>
      <c r="U788" s="965"/>
      <c r="Y788" s="848"/>
      <c r="AC788" s="848"/>
      <c r="AG788" s="848"/>
      <c r="AK788" s="848"/>
      <c r="AO788" s="848"/>
      <c r="AS788" s="848"/>
      <c r="AW788" s="848"/>
      <c r="BA788" s="848"/>
      <c r="BF788" s="820"/>
      <c r="BG788" s="820"/>
      <c r="BH788" s="820"/>
      <c r="BI788" s="820"/>
      <c r="BJ788" s="820"/>
      <c r="BK788" s="820"/>
      <c r="BL788" s="820"/>
      <c r="BM788" s="820"/>
      <c r="BN788" s="820"/>
      <c r="BO788" s="820"/>
      <c r="BP788" s="820"/>
      <c r="BQ788" s="820"/>
      <c r="BR788" s="820"/>
      <c r="BS788" s="820"/>
      <c r="BT788" s="820"/>
      <c r="BU788" s="820"/>
      <c r="BV788" s="820"/>
      <c r="BW788" s="820"/>
      <c r="BX788" s="820"/>
      <c r="BY788" s="820"/>
      <c r="BZ788" s="820"/>
      <c r="CA788" s="820"/>
      <c r="CB788" s="820"/>
      <c r="CC788" s="820"/>
      <c r="CG788"/>
      <c r="CH788"/>
      <c r="CI788"/>
      <c r="CJ788"/>
      <c r="CK788"/>
      <c r="CL788"/>
    </row>
    <row r="789" spans="1:90" s="821" customFormat="1" ht="12.75" customHeight="1" outlineLevel="1">
      <c r="A789" s="1336"/>
      <c r="B789" s="821" t="s">
        <v>220</v>
      </c>
      <c r="C789" s="820"/>
      <c r="D789" s="820"/>
      <c r="E789" s="964">
        <v>167</v>
      </c>
      <c r="F789" s="965">
        <v>-12</v>
      </c>
      <c r="G789" s="965">
        <v>-147</v>
      </c>
      <c r="H789" s="972">
        <v>-16</v>
      </c>
      <c r="I789" s="972">
        <v>9</v>
      </c>
      <c r="J789" s="1478">
        <v>1229</v>
      </c>
      <c r="K789" s="971">
        <f t="shared" ref="K789:R789" si="1295">-(K598-J598)-(K604-J604)</f>
        <v>0</v>
      </c>
      <c r="L789" s="963">
        <f t="shared" si="1295"/>
        <v>0</v>
      </c>
      <c r="M789" s="963">
        <f t="shared" si="1295"/>
        <v>0</v>
      </c>
      <c r="N789" s="963">
        <f t="shared" si="1295"/>
        <v>0</v>
      </c>
      <c r="O789" s="963">
        <f t="shared" si="1295"/>
        <v>0</v>
      </c>
      <c r="P789" s="963">
        <f t="shared" si="1295"/>
        <v>0</v>
      </c>
      <c r="Q789" s="963">
        <f t="shared" si="1295"/>
        <v>0</v>
      </c>
      <c r="R789" s="963">
        <f t="shared" si="1295"/>
        <v>0</v>
      </c>
      <c r="S789" s="489"/>
      <c r="T789" s="964"/>
      <c r="U789" s="965"/>
      <c r="Y789" s="848"/>
      <c r="AC789" s="848"/>
      <c r="AG789" s="848"/>
      <c r="AK789" s="848"/>
      <c r="AO789" s="848"/>
      <c r="AS789" s="848"/>
      <c r="AW789" s="848"/>
      <c r="BA789" s="848"/>
      <c r="BF789" s="820"/>
      <c r="BG789" s="820"/>
      <c r="BH789" s="820"/>
      <c r="BI789" s="820"/>
      <c r="BJ789" s="820"/>
      <c r="BK789" s="820"/>
      <c r="BL789" s="820"/>
      <c r="BM789" s="820"/>
      <c r="BN789" s="820"/>
      <c r="BO789" s="820"/>
      <c r="BP789" s="820"/>
      <c r="BQ789" s="820"/>
      <c r="BR789" s="820"/>
      <c r="BS789" s="820"/>
      <c r="BT789" s="820"/>
      <c r="BU789" s="820"/>
      <c r="BV789" s="820"/>
      <c r="BW789" s="820"/>
      <c r="BX789" s="820"/>
      <c r="BY789" s="820"/>
      <c r="BZ789" s="820"/>
      <c r="CA789" s="820"/>
      <c r="CB789" s="820"/>
      <c r="CC789" s="820"/>
      <c r="CG789"/>
      <c r="CH789"/>
      <c r="CI789"/>
      <c r="CJ789"/>
      <c r="CK789"/>
      <c r="CL789"/>
    </row>
    <row r="790" spans="1:90" s="821" customFormat="1" ht="12.75" customHeight="1" outlineLevel="1">
      <c r="A790" s="1336"/>
      <c r="B790" s="821" t="s">
        <v>221</v>
      </c>
      <c r="C790" s="820"/>
      <c r="D790" s="820"/>
      <c r="E790" s="964">
        <v>-508</v>
      </c>
      <c r="F790" s="965">
        <v>-60</v>
      </c>
      <c r="G790" s="965">
        <v>-2972</v>
      </c>
      <c r="H790" s="972">
        <v>-11801</v>
      </c>
      <c r="I790" s="972">
        <v>-15363</v>
      </c>
      <c r="J790" s="1478">
        <v>-4669</v>
      </c>
      <c r="K790" s="971"/>
      <c r="L790" s="963"/>
      <c r="M790" s="963"/>
      <c r="N790" s="963"/>
      <c r="O790" s="963"/>
      <c r="P790" s="963"/>
      <c r="Q790" s="963"/>
      <c r="R790" s="963"/>
      <c r="S790" s="489"/>
      <c r="T790" s="964"/>
      <c r="U790" s="965"/>
      <c r="Y790" s="848"/>
      <c r="AC790" s="848"/>
      <c r="AG790" s="848"/>
      <c r="AK790" s="848"/>
      <c r="AO790" s="848"/>
      <c r="AS790" s="848"/>
      <c r="AW790" s="848"/>
      <c r="BA790" s="848"/>
      <c r="BF790" s="820"/>
      <c r="BG790" s="820"/>
      <c r="BH790" s="820"/>
      <c r="BI790" s="820"/>
      <c r="BJ790" s="820"/>
      <c r="BK790" s="820"/>
      <c r="BL790" s="820"/>
      <c r="BM790" s="820"/>
      <c r="BN790" s="820"/>
      <c r="BO790" s="820"/>
      <c r="BP790" s="820"/>
      <c r="BQ790" s="820"/>
      <c r="BR790" s="820"/>
      <c r="BS790" s="820"/>
      <c r="BT790" s="820"/>
      <c r="BU790" s="820"/>
      <c r="BV790" s="820"/>
      <c r="BW790" s="820"/>
      <c r="BX790" s="820"/>
      <c r="BY790" s="820"/>
      <c r="BZ790" s="820"/>
      <c r="CA790" s="820"/>
      <c r="CB790" s="820"/>
      <c r="CC790" s="820"/>
      <c r="CG790"/>
      <c r="CH790"/>
      <c r="CI790"/>
      <c r="CJ790"/>
      <c r="CK790"/>
      <c r="CL790"/>
    </row>
    <row r="791" spans="1:90" s="821" customFormat="1" ht="12.75" customHeight="1" outlineLevel="1">
      <c r="A791" s="1336"/>
      <c r="B791" s="821" t="s">
        <v>222</v>
      </c>
      <c r="C791" s="820"/>
      <c r="D791" s="820"/>
      <c r="E791" s="964">
        <v>1966</v>
      </c>
      <c r="F791" s="965">
        <v>26</v>
      </c>
      <c r="G791" s="965">
        <v>372</v>
      </c>
      <c r="H791" s="972">
        <v>939</v>
      </c>
      <c r="I791" s="972">
        <v>2177</v>
      </c>
      <c r="J791" s="1478">
        <v>4354</v>
      </c>
      <c r="K791" s="847"/>
      <c r="L791" s="846"/>
      <c r="M791" s="846"/>
      <c r="N791" s="846"/>
      <c r="O791" s="846"/>
      <c r="P791" s="846"/>
      <c r="Q791" s="846"/>
      <c r="R791" s="846"/>
      <c r="S791" s="489"/>
      <c r="T791" s="964"/>
      <c r="U791" s="965"/>
      <c r="Y791" s="848"/>
      <c r="AC791" s="848"/>
      <c r="AG791" s="848"/>
      <c r="AK791" s="848"/>
      <c r="AO791" s="848"/>
      <c r="AS791" s="848"/>
      <c r="AW791" s="848"/>
      <c r="BA791" s="848"/>
      <c r="BF791" s="820"/>
      <c r="BG791" s="820"/>
      <c r="BH791" s="820"/>
      <c r="BI791" s="820"/>
      <c r="BJ791" s="820"/>
      <c r="BK791" s="820"/>
      <c r="BL791" s="820"/>
      <c r="BM791" s="820"/>
      <c r="BN791" s="820"/>
      <c r="BO791" s="820"/>
      <c r="BP791" s="820"/>
      <c r="BQ791" s="820"/>
      <c r="BR791" s="820"/>
      <c r="BS791" s="820"/>
      <c r="BT791" s="820"/>
      <c r="BU791" s="820"/>
      <c r="BV791" s="820"/>
      <c r="BW791" s="820"/>
      <c r="BX791" s="820"/>
      <c r="BY791" s="820"/>
      <c r="BZ791" s="820"/>
      <c r="CA791" s="820"/>
      <c r="CB791" s="820"/>
      <c r="CC791" s="820"/>
      <c r="CG791"/>
      <c r="CH791"/>
      <c r="CI791"/>
      <c r="CJ791"/>
      <c r="CK791"/>
      <c r="CL791"/>
    </row>
    <row r="792" spans="1:90" s="821" customFormat="1" ht="12.75" customHeight="1" outlineLevel="1">
      <c r="A792" s="1336"/>
      <c r="B792" s="821" t="s">
        <v>223</v>
      </c>
      <c r="C792" s="820"/>
      <c r="D792" s="820"/>
      <c r="E792" s="964">
        <v>-1419</v>
      </c>
      <c r="F792" s="965">
        <v>-1457</v>
      </c>
      <c r="G792" s="965">
        <v>-1491</v>
      </c>
      <c r="H792" s="972">
        <v>-2935</v>
      </c>
      <c r="I792" s="972">
        <v>-5407</v>
      </c>
      <c r="J792" s="1478">
        <v>-5326</v>
      </c>
      <c r="K792" s="971">
        <f>-Model!K687</f>
        <v>-6208.618240105</v>
      </c>
      <c r="L792" s="963">
        <f>-Model!L687</f>
        <v>-7609.8769576772802</v>
      </c>
      <c r="M792" s="963">
        <f>-Model!M687</f>
        <v>-8909.1634116096211</v>
      </c>
      <c r="N792" s="963">
        <f>-Model!N687</f>
        <v>-10337.703807131948</v>
      </c>
      <c r="O792" s="963">
        <f>-Model!O687</f>
        <v>-11820.521861591671</v>
      </c>
      <c r="P792" s="963">
        <f>-Model!P687</f>
        <v>-13649.259346830169</v>
      </c>
      <c r="Q792" s="963">
        <f>-Model!Q687</f>
        <v>-14931.368805718503</v>
      </c>
      <c r="R792" s="963">
        <f>-Model!R687</f>
        <v>-16126.877590808688</v>
      </c>
      <c r="S792" s="489"/>
      <c r="T792" s="964"/>
      <c r="U792" s="965"/>
      <c r="Y792" s="848"/>
      <c r="AC792" s="848"/>
      <c r="AG792" s="848"/>
      <c r="AK792" s="848"/>
      <c r="AO792" s="848"/>
      <c r="AS792" s="848"/>
      <c r="AW792" s="848"/>
      <c r="BA792" s="848"/>
      <c r="BF792" s="820"/>
      <c r="BG792" s="820"/>
      <c r="BH792" s="820"/>
      <c r="BI792" s="820"/>
      <c r="BJ792" s="820"/>
      <c r="BK792" s="820"/>
      <c r="BL792" s="820"/>
      <c r="BM792" s="820"/>
      <c r="BN792" s="820"/>
      <c r="BO792" s="820"/>
      <c r="BP792" s="820"/>
      <c r="BQ792" s="820"/>
      <c r="BR792" s="820"/>
      <c r="BS792" s="820"/>
      <c r="BT792" s="820"/>
      <c r="BU792" s="820"/>
      <c r="BV792" s="820"/>
      <c r="BW792" s="820"/>
      <c r="BX792" s="820"/>
      <c r="BY792" s="820"/>
      <c r="BZ792" s="820"/>
      <c r="CA792" s="820"/>
      <c r="CB792" s="820"/>
      <c r="CC792" s="820"/>
      <c r="CG792"/>
      <c r="CH792"/>
      <c r="CI792"/>
      <c r="CJ792"/>
      <c r="CK792"/>
      <c r="CL792"/>
    </row>
    <row r="793" spans="1:90" s="821" customFormat="1" ht="12.75" customHeight="1" outlineLevel="1">
      <c r="A793" s="1336"/>
      <c r="B793" s="821" t="s">
        <v>224</v>
      </c>
      <c r="C793" s="820"/>
      <c r="D793" s="820"/>
      <c r="E793" s="964">
        <v>-749</v>
      </c>
      <c r="F793" s="965">
        <v>-1046</v>
      </c>
      <c r="G793" s="965">
        <v>-3285</v>
      </c>
      <c r="H793" s="972">
        <v>-4770</v>
      </c>
      <c r="I793" s="972">
        <v>-5438</v>
      </c>
      <c r="J793" s="1478">
        <v>-12220</v>
      </c>
      <c r="K793" s="971">
        <f>-Model!K689</f>
        <v>-21854.336205169599</v>
      </c>
      <c r="L793" s="963">
        <f>-Model!L689</f>
        <v>-47350.345514436405</v>
      </c>
      <c r="M793" s="963">
        <f>-Model!M689</f>
        <v>-54114.918500147316</v>
      </c>
      <c r="N793" s="963">
        <f>-Model!N689</f>
        <v>-59110.976934867518</v>
      </c>
      <c r="O793" s="963">
        <f>-Model!O689</f>
        <v>-43981.832992755844</v>
      </c>
      <c r="P793" s="963">
        <f>-Model!P689</f>
        <v>-52389.979772324725</v>
      </c>
      <c r="Q793" s="963">
        <f>-Model!Q689</f>
        <v>-58842.827157546664</v>
      </c>
      <c r="R793" s="963">
        <f>-Model!R689</f>
        <v>-61753.06045169085</v>
      </c>
      <c r="S793" s="489"/>
      <c r="T793" s="964"/>
      <c r="U793" s="965"/>
      <c r="Y793" s="848"/>
      <c r="AC793" s="848"/>
      <c r="AG793" s="848"/>
      <c r="AK793" s="848"/>
      <c r="AO793" s="848"/>
      <c r="AS793" s="848"/>
      <c r="AW793" s="848"/>
      <c r="BA793" s="848"/>
      <c r="BF793" s="820"/>
      <c r="BG793" s="820"/>
      <c r="BH793" s="820"/>
      <c r="BI793" s="820"/>
      <c r="BJ793" s="820"/>
      <c r="BK793" s="820"/>
      <c r="BL793" s="820"/>
      <c r="BM793" s="820"/>
      <c r="BN793" s="820"/>
      <c r="BO793" s="820"/>
      <c r="BP793" s="820"/>
      <c r="BQ793" s="820"/>
      <c r="BR793" s="820"/>
      <c r="BS793" s="820"/>
      <c r="BT793" s="820"/>
      <c r="BU793" s="820"/>
      <c r="BV793" s="820"/>
      <c r="BW793" s="820"/>
      <c r="BX793" s="820"/>
      <c r="BY793" s="820"/>
      <c r="BZ793" s="820"/>
      <c r="CA793" s="820"/>
      <c r="CB793" s="820"/>
      <c r="CC793" s="820"/>
      <c r="CG793"/>
      <c r="CH793"/>
      <c r="CI793"/>
      <c r="CJ793"/>
      <c r="CK793"/>
      <c r="CL793"/>
    </row>
    <row r="794" spans="1:90" s="821" customFormat="1" ht="12.75" customHeight="1" outlineLevel="1">
      <c r="A794" s="1336"/>
      <c r="B794" s="821" t="s">
        <v>29</v>
      </c>
      <c r="C794" s="820"/>
      <c r="D794" s="820"/>
      <c r="E794" s="964"/>
      <c r="F794" s="965"/>
      <c r="G794" s="965"/>
      <c r="H794" s="971"/>
      <c r="I794" s="972"/>
      <c r="J794" s="1478"/>
      <c r="K794" s="971">
        <f>-Model!K725-(Model!K750-J750)</f>
        <v>-7000</v>
      </c>
      <c r="L794" s="963">
        <f>-Model!L725-(Model!L750-K750)</f>
        <v>-5000</v>
      </c>
      <c r="M794" s="963">
        <f>-Model!M725-(Model!M750-L750)</f>
        <v>-3000</v>
      </c>
      <c r="N794" s="963">
        <f>-Model!N725-(Model!N750-M750)</f>
        <v>-3000</v>
      </c>
      <c r="O794" s="963">
        <f>-Model!O725-(Model!O750-N750)</f>
        <v>-3000</v>
      </c>
      <c r="P794" s="963">
        <f>-Model!P725-(Model!P750-O750)</f>
        <v>-3000</v>
      </c>
      <c r="Q794" s="963">
        <f>-Model!Q725-(Model!Q750-P750)</f>
        <v>-3000</v>
      </c>
      <c r="R794" s="963">
        <f>-Model!R725-(Model!R750-Q750)</f>
        <v>-3000</v>
      </c>
      <c r="S794" s="489"/>
      <c r="T794" s="964"/>
      <c r="U794" s="965"/>
      <c r="Y794" s="848"/>
      <c r="AC794" s="848"/>
      <c r="AG794" s="848"/>
      <c r="AK794" s="848"/>
      <c r="AO794" s="848"/>
      <c r="AS794" s="848"/>
      <c r="AW794" s="848"/>
      <c r="BA794" s="848"/>
      <c r="BF794" s="820"/>
      <c r="BG794" s="820"/>
      <c r="BH794" s="820"/>
      <c r="BI794" s="820"/>
      <c r="BJ794" s="820"/>
      <c r="BK794" s="820"/>
      <c r="BL794" s="820"/>
      <c r="BM794" s="820"/>
      <c r="BN794" s="820"/>
      <c r="BO794" s="820"/>
      <c r="BP794" s="820"/>
      <c r="BQ794" s="820"/>
      <c r="BR794" s="820"/>
      <c r="BS794" s="820"/>
      <c r="BT794" s="820"/>
      <c r="BU794" s="820"/>
      <c r="BV794" s="820"/>
      <c r="BW794" s="820"/>
      <c r="BX794" s="820"/>
      <c r="BY794" s="820"/>
      <c r="BZ794" s="820"/>
      <c r="CA794" s="820"/>
      <c r="CB794" s="820"/>
      <c r="CC794" s="820"/>
      <c r="CG794"/>
      <c r="CH794"/>
      <c r="CI794"/>
      <c r="CJ794"/>
      <c r="CK794"/>
      <c r="CL794"/>
    </row>
    <row r="795" spans="1:90" s="821" customFormat="1" ht="12.75" customHeight="1" outlineLevel="1">
      <c r="A795" s="1336"/>
      <c r="B795" s="821" t="s">
        <v>225</v>
      </c>
      <c r="C795" s="820"/>
      <c r="D795" s="820"/>
      <c r="E795" s="964">
        <v>1</v>
      </c>
      <c r="F795" s="965">
        <v>301</v>
      </c>
      <c r="G795" s="965">
        <v>0</v>
      </c>
      <c r="H795" s="971"/>
      <c r="I795" s="972"/>
      <c r="J795" s="1478"/>
      <c r="K795" s="971"/>
      <c r="L795" s="963"/>
      <c r="M795" s="963"/>
      <c r="N795" s="963"/>
      <c r="O795" s="963"/>
      <c r="P795" s="963"/>
      <c r="Q795" s="963"/>
      <c r="R795" s="963"/>
      <c r="S795" s="489"/>
      <c r="T795" s="964"/>
      <c r="U795" s="965"/>
      <c r="Y795" s="848"/>
      <c r="AC795" s="848"/>
      <c r="AG795" s="848"/>
      <c r="AK795" s="848"/>
      <c r="AO795" s="848"/>
      <c r="AS795" s="848"/>
      <c r="AW795" s="848"/>
      <c r="BA795" s="848"/>
      <c r="BF795" s="820"/>
      <c r="BG795" s="820"/>
      <c r="BH795" s="820"/>
      <c r="BI795" s="820"/>
      <c r="BJ795" s="820"/>
      <c r="BK795" s="820"/>
      <c r="BL795" s="820"/>
      <c r="BM795" s="820"/>
      <c r="BN795" s="820"/>
      <c r="BO795" s="820"/>
      <c r="BP795" s="820"/>
      <c r="BQ795" s="820"/>
      <c r="BR795" s="820"/>
      <c r="BS795" s="820"/>
      <c r="BT795" s="820"/>
      <c r="BU795" s="820"/>
      <c r="BV795" s="820"/>
      <c r="BW795" s="820"/>
      <c r="BX795" s="820"/>
      <c r="BY795" s="820"/>
      <c r="BZ795" s="820"/>
      <c r="CA795" s="820"/>
      <c r="CB795" s="820"/>
      <c r="CC795" s="820"/>
      <c r="CG795"/>
      <c r="CH795"/>
      <c r="CI795"/>
      <c r="CJ795"/>
      <c r="CK795"/>
      <c r="CL795"/>
    </row>
    <row r="796" spans="1:90" s="821" customFormat="1" ht="12.75" customHeight="1" outlineLevel="1">
      <c r="A796" s="1336"/>
      <c r="B796" s="821" t="s">
        <v>226</v>
      </c>
      <c r="C796" s="820"/>
      <c r="D796" s="820"/>
      <c r="E796" s="964">
        <v>-191</v>
      </c>
      <c r="F796" s="965">
        <v>-52</v>
      </c>
      <c r="G796" s="965">
        <v>-732</v>
      </c>
      <c r="H796" s="972">
        <v>-10255</v>
      </c>
      <c r="I796" s="972">
        <v>-1495</v>
      </c>
      <c r="J796" s="1478">
        <v>-33454</v>
      </c>
      <c r="K796" s="847">
        <f>-Model!K726</f>
        <v>0</v>
      </c>
      <c r="L796" s="846">
        <f>-Model!L726</f>
        <v>0</v>
      </c>
      <c r="M796" s="846">
        <f>-Model!M726</f>
        <v>0</v>
      </c>
      <c r="N796" s="846">
        <f>-Model!N726</f>
        <v>0</v>
      </c>
      <c r="O796" s="846">
        <f>-Model!O726</f>
        <v>0</v>
      </c>
      <c r="P796" s="846">
        <f>-Model!P726</f>
        <v>0</v>
      </c>
      <c r="Q796" s="846">
        <f>-Model!Q726</f>
        <v>0</v>
      </c>
      <c r="R796" s="846">
        <f>-Model!R726</f>
        <v>0</v>
      </c>
      <c r="S796" s="489"/>
      <c r="T796" s="964"/>
      <c r="U796" s="965"/>
      <c r="Y796" s="848"/>
      <c r="AC796" s="848"/>
      <c r="AG796" s="848"/>
      <c r="AK796" s="848"/>
      <c r="AO796" s="848"/>
      <c r="AS796" s="848"/>
      <c r="AW796" s="848"/>
      <c r="BA796" s="848"/>
      <c r="BF796" s="820"/>
      <c r="BG796" s="820"/>
      <c r="BH796" s="820"/>
      <c r="BI796" s="820"/>
      <c r="BJ796" s="820"/>
      <c r="BK796" s="820"/>
      <c r="BL796" s="820"/>
      <c r="BM796" s="820"/>
      <c r="BN796" s="820"/>
      <c r="BO796" s="820"/>
      <c r="BP796" s="820"/>
      <c r="BQ796" s="820"/>
      <c r="BR796" s="820"/>
      <c r="BS796" s="820"/>
      <c r="BT796" s="820"/>
      <c r="BU796" s="820"/>
      <c r="BV796" s="820"/>
      <c r="BW796" s="820"/>
      <c r="BX796" s="820"/>
      <c r="BY796" s="820"/>
      <c r="BZ796" s="820"/>
      <c r="CA796" s="820"/>
      <c r="CB796" s="820"/>
      <c r="CC796" s="820"/>
      <c r="CG796"/>
      <c r="CH796"/>
      <c r="CI796"/>
      <c r="CJ796"/>
      <c r="CK796"/>
      <c r="CL796"/>
    </row>
    <row r="797" spans="1:90" s="821" customFormat="1" ht="12.75" customHeight="1" outlineLevel="1">
      <c r="A797" s="1336"/>
      <c r="B797" s="821" t="s">
        <v>227</v>
      </c>
      <c r="C797" s="820"/>
      <c r="D797" s="820"/>
      <c r="E797" s="964">
        <v>-20</v>
      </c>
      <c r="F797" s="965">
        <v>551</v>
      </c>
      <c r="G797" s="965">
        <v>-46</v>
      </c>
      <c r="H797" s="972">
        <v>-1271</v>
      </c>
      <c r="I797" s="972">
        <v>4890</v>
      </c>
      <c r="J797" s="1478">
        <v>250</v>
      </c>
      <c r="K797" s="847"/>
      <c r="L797" s="846"/>
      <c r="M797" s="846"/>
      <c r="N797" s="846"/>
      <c r="O797" s="846"/>
      <c r="P797" s="846"/>
      <c r="Q797" s="846"/>
      <c r="R797" s="846"/>
      <c r="S797" s="489"/>
      <c r="T797" s="964"/>
      <c r="U797" s="965"/>
      <c r="Y797" s="848"/>
      <c r="AC797" s="848"/>
      <c r="AG797" s="848"/>
      <c r="AK797" s="848"/>
      <c r="AO797" s="848"/>
      <c r="AS797" s="848"/>
      <c r="AW797" s="848"/>
      <c r="BA797" s="848"/>
      <c r="BF797" s="820"/>
      <c r="BG797" s="820"/>
      <c r="BH797" s="820"/>
      <c r="BI797" s="820"/>
      <c r="BJ797" s="820"/>
      <c r="BK797" s="820"/>
      <c r="BL797" s="820"/>
      <c r="BM797" s="820"/>
      <c r="BN797" s="820"/>
      <c r="BO797" s="820"/>
      <c r="BP797" s="820"/>
      <c r="BQ797" s="820"/>
      <c r="BR797" s="820"/>
      <c r="BS797" s="820"/>
      <c r="BT797" s="820"/>
      <c r="BU797" s="820"/>
      <c r="BV797" s="820"/>
      <c r="BW797" s="820"/>
      <c r="BX797" s="820"/>
      <c r="BY797" s="820"/>
      <c r="BZ797" s="820"/>
      <c r="CA797" s="820"/>
      <c r="CB797" s="820"/>
      <c r="CC797" s="820"/>
      <c r="CG797"/>
      <c r="CH797"/>
      <c r="CI797"/>
      <c r="CJ797"/>
      <c r="CK797"/>
      <c r="CL797"/>
    </row>
    <row r="798" spans="1:90" s="821" customFormat="1" ht="12.75" customHeight="1" outlineLevel="1">
      <c r="A798" s="1336"/>
      <c r="B798" s="821" t="s">
        <v>228</v>
      </c>
      <c r="C798" s="820"/>
      <c r="D798" s="820"/>
      <c r="E798" s="964">
        <v>-305</v>
      </c>
      <c r="F798" s="965">
        <v>-344</v>
      </c>
      <c r="G798" s="965">
        <v>-212</v>
      </c>
      <c r="H798" s="972">
        <v>-40</v>
      </c>
      <c r="I798" s="972">
        <v>35</v>
      </c>
      <c r="J798" s="1478">
        <v>3</v>
      </c>
      <c r="K798" s="847"/>
      <c r="L798" s="846"/>
      <c r="M798" s="846"/>
      <c r="N798" s="846"/>
      <c r="O798" s="846"/>
      <c r="P798" s="846"/>
      <c r="Q798" s="846"/>
      <c r="R798" s="846"/>
      <c r="S798" s="489"/>
      <c r="T798" s="964"/>
      <c r="U798" s="965"/>
      <c r="Y798" s="848"/>
      <c r="AC798" s="848"/>
      <c r="AG798" s="848"/>
      <c r="AK798" s="848"/>
      <c r="AO798" s="848"/>
      <c r="AS798" s="848"/>
      <c r="AW798" s="848"/>
      <c r="BA798" s="848"/>
      <c r="BF798" s="820"/>
      <c r="BG798" s="820"/>
      <c r="BH798" s="820"/>
      <c r="BI798" s="820"/>
      <c r="BJ798" s="820"/>
      <c r="BK798" s="820"/>
      <c r="BL798" s="820"/>
      <c r="BM798" s="820"/>
      <c r="BN798" s="820"/>
      <c r="BO798" s="820"/>
      <c r="BP798" s="820"/>
      <c r="BQ798" s="820"/>
      <c r="BR798" s="820"/>
      <c r="BS798" s="820"/>
      <c r="BT798" s="820"/>
      <c r="BU798" s="820"/>
      <c r="BV798" s="820"/>
      <c r="BW798" s="820"/>
      <c r="BX798" s="820"/>
      <c r="BY798" s="820"/>
      <c r="BZ798" s="820"/>
      <c r="CA798" s="820"/>
      <c r="CB798" s="820"/>
      <c r="CC798" s="820"/>
      <c r="CG798"/>
      <c r="CH798"/>
      <c r="CI798"/>
      <c r="CJ798"/>
      <c r="CK798"/>
      <c r="CL798"/>
    </row>
    <row r="799" spans="1:90" s="821" customFormat="1" ht="12.75" customHeight="1" outlineLevel="1">
      <c r="A799" s="1336"/>
      <c r="B799" s="821" t="s">
        <v>229</v>
      </c>
      <c r="C799" s="820"/>
      <c r="D799" s="820"/>
      <c r="E799" s="964">
        <v>-761</v>
      </c>
      <c r="F799" s="965">
        <v>-452</v>
      </c>
      <c r="G799" s="965">
        <v>-16468</v>
      </c>
      <c r="H799" s="972">
        <v>-23430</v>
      </c>
      <c r="I799" s="972">
        <v>-37625</v>
      </c>
      <c r="J799" s="1478">
        <v>-39429</v>
      </c>
      <c r="K799" s="971">
        <f t="shared" ref="K799:R799" si="1296">-(K603-J603-K369)</f>
        <v>-51085</v>
      </c>
      <c r="L799" s="963">
        <f t="shared" si="1296"/>
        <v>-29343.599999999999</v>
      </c>
      <c r="M799" s="963">
        <f t="shared" si="1296"/>
        <v>-28757.26</v>
      </c>
      <c r="N799" s="963">
        <f t="shared" si="1296"/>
        <v>-28241.286</v>
      </c>
      <c r="O799" s="963">
        <f t="shared" si="1296"/>
        <v>-27493.814599999998</v>
      </c>
      <c r="P799" s="963">
        <f t="shared" si="1296"/>
        <v>-26611.696059999998</v>
      </c>
      <c r="Q799" s="963">
        <f t="shared" si="1296"/>
        <v>-25991.465665999996</v>
      </c>
      <c r="R799" s="963">
        <f t="shared" si="1296"/>
        <v>-25429.312232599998</v>
      </c>
      <c r="S799" s="489"/>
      <c r="T799" s="964"/>
      <c r="U799" s="965"/>
      <c r="Y799" s="848"/>
      <c r="AC799" s="848"/>
      <c r="AG799" s="848"/>
      <c r="AK799" s="848"/>
      <c r="AO799" s="848"/>
      <c r="AS799" s="848"/>
      <c r="AW799" s="848"/>
      <c r="BA799" s="848"/>
      <c r="BF799" s="820"/>
      <c r="BG799" s="820"/>
      <c r="BH799" s="820"/>
      <c r="BI799" s="820"/>
      <c r="BJ799" s="820"/>
      <c r="BK799" s="820"/>
      <c r="BL799" s="820"/>
      <c r="BM799" s="820"/>
      <c r="BN799" s="820"/>
      <c r="BO799" s="820"/>
      <c r="BP799" s="820"/>
      <c r="BQ799" s="820"/>
      <c r="BR799" s="820"/>
      <c r="BS799" s="820"/>
      <c r="BT799" s="820"/>
      <c r="BU799" s="820"/>
      <c r="BV799" s="820"/>
      <c r="BW799" s="820"/>
      <c r="BX799" s="820"/>
      <c r="BY799" s="820"/>
      <c r="BZ799" s="820"/>
      <c r="CA799" s="820"/>
      <c r="CB799" s="820"/>
      <c r="CC799" s="820"/>
      <c r="CG799"/>
      <c r="CH799"/>
      <c r="CI799"/>
      <c r="CJ799"/>
      <c r="CK799"/>
      <c r="CL799"/>
    </row>
    <row r="800" spans="1:90" s="821" customFormat="1" ht="12.75" customHeight="1" outlineLevel="1">
      <c r="A800" s="1336"/>
      <c r="B800" s="821" t="s">
        <v>230</v>
      </c>
      <c r="C800" s="820"/>
      <c r="D800" s="820"/>
      <c r="E800" s="964">
        <v>74</v>
      </c>
      <c r="F800" s="965">
        <v>167</v>
      </c>
      <c r="G800" s="965">
        <v>89</v>
      </c>
      <c r="H800" s="972">
        <v>99</v>
      </c>
      <c r="I800" s="972">
        <v>10021</v>
      </c>
      <c r="J800" s="1478">
        <v>4941</v>
      </c>
      <c r="K800" s="847"/>
      <c r="L800" s="846"/>
      <c r="M800" s="846"/>
      <c r="N800" s="846"/>
      <c r="O800" s="846"/>
      <c r="P800" s="846"/>
      <c r="Q800" s="846"/>
      <c r="R800" s="846"/>
      <c r="S800" s="489"/>
      <c r="T800" s="964"/>
      <c r="U800" s="965"/>
      <c r="Y800" s="848"/>
      <c r="AC800" s="848"/>
      <c r="AG800" s="848"/>
      <c r="AK800" s="848"/>
      <c r="AO800" s="848"/>
      <c r="AS800" s="848"/>
      <c r="AW800" s="848"/>
      <c r="BA800" s="848"/>
      <c r="BF800" s="820"/>
      <c r="BG800" s="820"/>
      <c r="BH800" s="820"/>
      <c r="BI800" s="820"/>
      <c r="BJ800" s="820"/>
      <c r="BK800" s="820"/>
      <c r="BL800" s="820"/>
      <c r="BM800" s="820"/>
      <c r="BN800" s="820"/>
      <c r="BO800" s="820"/>
      <c r="BP800" s="820"/>
      <c r="BQ800" s="820"/>
      <c r="BR800" s="820"/>
      <c r="BS800" s="820"/>
      <c r="BT800" s="820"/>
      <c r="BU800" s="820"/>
      <c r="BV800" s="820"/>
      <c r="BW800" s="820"/>
      <c r="BX800" s="820"/>
      <c r="BY800" s="820"/>
      <c r="BZ800" s="820"/>
      <c r="CA800" s="820"/>
      <c r="CB800" s="820"/>
      <c r="CC800" s="820"/>
      <c r="CG800"/>
      <c r="CH800"/>
      <c r="CI800"/>
      <c r="CJ800"/>
      <c r="CK800"/>
      <c r="CL800"/>
    </row>
    <row r="801" spans="1:90" s="821" customFormat="1" ht="12.75" customHeight="1" outlineLevel="1">
      <c r="A801" s="1336"/>
      <c r="B801" s="820" t="s">
        <v>82</v>
      </c>
      <c r="C801" s="820"/>
      <c r="D801" s="820"/>
      <c r="E801" s="964"/>
      <c r="F801" s="965"/>
      <c r="G801" s="965"/>
      <c r="H801" s="972"/>
      <c r="I801" s="972"/>
      <c r="J801" s="1478">
        <v>-256</v>
      </c>
      <c r="K801" s="846">
        <v>32</v>
      </c>
      <c r="L801" s="846"/>
      <c r="M801" s="846"/>
      <c r="N801" s="846"/>
      <c r="O801" s="846"/>
      <c r="P801" s="846"/>
      <c r="Q801" s="846"/>
      <c r="R801" s="846"/>
      <c r="S801" s="489"/>
      <c r="T801" s="964"/>
      <c r="U801" s="965"/>
      <c r="Y801" s="848"/>
      <c r="AC801" s="848"/>
      <c r="AG801" s="848"/>
      <c r="AK801" s="848"/>
      <c r="AO801" s="848"/>
      <c r="AS801" s="848"/>
      <c r="AW801" s="848"/>
      <c r="BA801" s="848"/>
      <c r="BF801" s="820"/>
      <c r="BG801" s="820"/>
      <c r="BH801" s="820"/>
      <c r="BI801" s="820"/>
      <c r="BJ801" s="820"/>
      <c r="BK801" s="820"/>
      <c r="BL801" s="820"/>
      <c r="BM801" s="820"/>
      <c r="BN801" s="820"/>
      <c r="BO801" s="820"/>
      <c r="BP801" s="820"/>
      <c r="BQ801" s="820"/>
      <c r="BR801" s="820"/>
      <c r="BS801" s="820"/>
      <c r="BT801" s="820"/>
      <c r="BU801" s="820"/>
      <c r="BV801" s="820"/>
      <c r="BW801" s="820"/>
      <c r="BX801" s="820"/>
      <c r="BY801" s="820"/>
      <c r="BZ801" s="820"/>
      <c r="CA801" s="820"/>
      <c r="CB801" s="820"/>
      <c r="CC801" s="820"/>
      <c r="CG801"/>
      <c r="CH801"/>
      <c r="CI801"/>
      <c r="CJ801"/>
      <c r="CK801"/>
      <c r="CL801"/>
    </row>
    <row r="802" spans="1:90" s="837" customFormat="1" ht="12.75" customHeight="1" outlineLevel="1">
      <c r="A802" s="1353"/>
      <c r="B802" s="837" t="s">
        <v>185</v>
      </c>
      <c r="E802" s="974">
        <f>SUM(E787:E800)</f>
        <v>-125</v>
      </c>
      <c r="F802" s="974">
        <f>SUM(F787:F800)</f>
        <v>545</v>
      </c>
      <c r="G802" s="974">
        <f>SUM(G787:G800)</f>
        <v>-32997</v>
      </c>
      <c r="H802" s="975">
        <f>SUM(H787:H800)</f>
        <v>-53454</v>
      </c>
      <c r="I802" s="975">
        <f>SUM(I787:I801)</f>
        <v>-42831</v>
      </c>
      <c r="J802" s="1476">
        <f>SUM(J787:J801)</f>
        <v>-78364</v>
      </c>
      <c r="K802" s="975">
        <f t="shared" ref="K802:R802" si="1297">SUM(K787:K801)</f>
        <v>-86115.954445274605</v>
      </c>
      <c r="L802" s="975">
        <f t="shared" si="1297"/>
        <v>-89303.822472113679</v>
      </c>
      <c r="M802" s="975">
        <f t="shared" si="1297"/>
        <v>-94781.341911756928</v>
      </c>
      <c r="N802" s="975">
        <f t="shared" si="1297"/>
        <v>-100689.96674199947</v>
      </c>
      <c r="O802" s="975">
        <f t="shared" si="1297"/>
        <v>-86296.169454347517</v>
      </c>
      <c r="P802" s="975">
        <f t="shared" si="1297"/>
        <v>-95650.935179154898</v>
      </c>
      <c r="Q802" s="975">
        <f t="shared" si="1297"/>
        <v>-102765.66162926517</v>
      </c>
      <c r="R802" s="975">
        <f t="shared" si="1297"/>
        <v>-106309.25027509953</v>
      </c>
      <c r="S802" s="489"/>
      <c r="T802" s="975"/>
      <c r="U802" s="976"/>
      <c r="Y802" s="841"/>
      <c r="AC802" s="841"/>
      <c r="AG802" s="841"/>
      <c r="AK802" s="841"/>
      <c r="AO802" s="841"/>
      <c r="AS802" s="841"/>
      <c r="AW802" s="841"/>
      <c r="BA802" s="841"/>
      <c r="BF802" s="831"/>
      <c r="BG802" s="831"/>
      <c r="BH802" s="831"/>
      <c r="BI802" s="831"/>
      <c r="BJ802" s="831"/>
      <c r="BK802" s="831"/>
      <c r="BL802" s="831"/>
      <c r="BM802" s="831"/>
      <c r="BN802" s="831"/>
      <c r="BO802" s="831"/>
      <c r="BP802" s="831"/>
      <c r="BQ802" s="831"/>
      <c r="BR802" s="831"/>
      <c r="BS802" s="831"/>
      <c r="BT802" s="831"/>
      <c r="BU802" s="831"/>
      <c r="BV802" s="831"/>
      <c r="BW802" s="831"/>
      <c r="BX802" s="831"/>
      <c r="BY802" s="831"/>
      <c r="BZ802" s="831"/>
      <c r="CA802" s="831"/>
      <c r="CB802" s="831"/>
      <c r="CC802" s="831"/>
      <c r="CG802"/>
      <c r="CH802"/>
      <c r="CI802"/>
      <c r="CJ802"/>
      <c r="CK802"/>
      <c r="CL802"/>
    </row>
    <row r="803" spans="1:90" s="821" customFormat="1" ht="12.75" customHeight="1" outlineLevel="1">
      <c r="A803" s="1336"/>
      <c r="C803" s="820"/>
      <c r="D803" s="820"/>
      <c r="E803" s="964"/>
      <c r="F803" s="964"/>
      <c r="G803" s="964"/>
      <c r="H803" s="963"/>
      <c r="I803" s="963"/>
      <c r="J803" s="1445"/>
      <c r="K803" s="846"/>
      <c r="L803" s="846"/>
      <c r="M803" s="846"/>
      <c r="N803" s="846"/>
      <c r="O803" s="846"/>
      <c r="P803" s="846"/>
      <c r="Q803" s="846"/>
      <c r="R803" s="846"/>
      <c r="S803" s="489"/>
      <c r="T803" s="964"/>
      <c r="U803" s="965"/>
      <c r="Y803" s="848"/>
      <c r="AC803" s="848"/>
      <c r="AG803" s="848"/>
      <c r="AK803" s="848"/>
      <c r="AO803" s="848"/>
      <c r="AS803" s="848"/>
      <c r="AW803" s="848"/>
      <c r="BA803" s="848"/>
      <c r="BF803" s="820"/>
      <c r="BG803" s="820"/>
      <c r="BH803" s="820"/>
      <c r="BI803" s="820"/>
      <c r="BJ803" s="820"/>
      <c r="BK803" s="820"/>
      <c r="BL803" s="820"/>
      <c r="BM803" s="820"/>
      <c r="BN803" s="820"/>
      <c r="BO803" s="820"/>
      <c r="BP803" s="820"/>
      <c r="BQ803" s="820"/>
      <c r="BR803" s="820"/>
      <c r="BS803" s="820"/>
      <c r="BT803" s="820"/>
      <c r="BU803" s="820"/>
      <c r="BV803" s="820"/>
      <c r="BW803" s="820"/>
      <c r="BX803" s="820"/>
      <c r="BY803" s="820"/>
      <c r="BZ803" s="820"/>
      <c r="CA803" s="820"/>
      <c r="CB803" s="820"/>
      <c r="CC803" s="820"/>
      <c r="CG803"/>
      <c r="CH803"/>
      <c r="CI803"/>
      <c r="CJ803"/>
      <c r="CK803"/>
      <c r="CL803"/>
    </row>
    <row r="804" spans="1:90" s="821" customFormat="1" ht="12.75" customHeight="1" outlineLevel="1">
      <c r="A804" s="1336"/>
      <c r="B804" s="821" t="s">
        <v>231</v>
      </c>
      <c r="C804" s="820"/>
      <c r="D804" s="820"/>
      <c r="E804" s="964">
        <v>618</v>
      </c>
      <c r="F804" s="965">
        <v>16792</v>
      </c>
      <c r="G804" s="965">
        <v>1638</v>
      </c>
      <c r="H804" s="966">
        <v>61831</v>
      </c>
      <c r="I804" s="966">
        <v>693</v>
      </c>
      <c r="J804" s="1475">
        <v>14607</v>
      </c>
      <c r="K804" s="963"/>
      <c r="L804" s="963"/>
      <c r="M804" s="963"/>
      <c r="N804" s="963"/>
      <c r="O804" s="963"/>
      <c r="P804" s="963"/>
      <c r="Q804" s="963"/>
      <c r="R804" s="963"/>
      <c r="S804" s="489"/>
      <c r="T804" s="964"/>
      <c r="U804" s="965"/>
      <c r="Y804" s="848"/>
      <c r="AC804" s="848"/>
      <c r="AG804" s="848"/>
      <c r="AK804" s="848"/>
      <c r="AO804" s="848"/>
      <c r="AS804" s="848"/>
      <c r="AW804" s="848"/>
      <c r="BA804" s="848"/>
      <c r="BF804" s="820"/>
      <c r="BG804" s="820"/>
      <c r="BH804" s="820"/>
      <c r="BI804" s="820"/>
      <c r="BJ804" s="820"/>
      <c r="BK804" s="820"/>
      <c r="BL804" s="820"/>
      <c r="BM804" s="820"/>
      <c r="BN804" s="820"/>
      <c r="BO804" s="820"/>
      <c r="BP804" s="820"/>
      <c r="BQ804" s="820"/>
      <c r="BR804" s="820"/>
      <c r="BS804" s="820"/>
      <c r="BT804" s="820"/>
      <c r="BU804" s="820"/>
      <c r="BV804" s="820"/>
      <c r="BW804" s="820"/>
      <c r="BX804" s="820"/>
      <c r="BY804" s="820"/>
      <c r="BZ804" s="820"/>
      <c r="CA804" s="820"/>
      <c r="CB804" s="820"/>
      <c r="CC804" s="820"/>
      <c r="CG804"/>
      <c r="CH804"/>
      <c r="CI804"/>
      <c r="CJ804"/>
      <c r="CK804"/>
      <c r="CL804"/>
    </row>
    <row r="805" spans="1:90" s="821" customFormat="1" ht="12.75" customHeight="1" outlineLevel="1">
      <c r="A805" s="1336"/>
      <c r="B805" s="821" t="s">
        <v>232</v>
      </c>
      <c r="C805" s="820"/>
      <c r="D805" s="820"/>
      <c r="E805" s="964">
        <v>-2</v>
      </c>
      <c r="F805" s="965">
        <v>-40111</v>
      </c>
      <c r="G805" s="965">
        <v>-157</v>
      </c>
      <c r="H805" s="966">
        <v>-270</v>
      </c>
      <c r="I805" s="972">
        <v>-19795</v>
      </c>
      <c r="J805" s="1475">
        <v>-13182</v>
      </c>
      <c r="K805" s="963"/>
      <c r="L805" s="963"/>
      <c r="M805" s="963"/>
      <c r="N805" s="963"/>
      <c r="O805" s="963"/>
      <c r="P805" s="963"/>
      <c r="Q805" s="963"/>
      <c r="R805" s="963"/>
      <c r="S805" s="489"/>
      <c r="T805" s="964"/>
      <c r="U805" s="965"/>
      <c r="Y805" s="848"/>
      <c r="AC805" s="848"/>
      <c r="AG805" s="848"/>
      <c r="AK805" s="848"/>
      <c r="AO805" s="848"/>
      <c r="AS805" s="848"/>
      <c r="AW805" s="848"/>
      <c r="BA805" s="848"/>
      <c r="BF805" s="820"/>
      <c r="BG805" s="820"/>
      <c r="BH805" s="820"/>
      <c r="BI805" s="820"/>
      <c r="BJ805" s="820"/>
      <c r="BK805" s="820"/>
      <c r="BL805" s="820"/>
      <c r="BM805" s="820"/>
      <c r="BN805" s="820"/>
      <c r="BO805" s="820"/>
      <c r="BP805" s="820"/>
      <c r="BQ805" s="820"/>
      <c r="BR805" s="820"/>
      <c r="BS805" s="820"/>
      <c r="BT805" s="820"/>
      <c r="BU805" s="820"/>
      <c r="BV805" s="820"/>
      <c r="BW805" s="820"/>
      <c r="BX805" s="820"/>
      <c r="BY805" s="820"/>
      <c r="BZ805" s="820"/>
      <c r="CA805" s="820"/>
      <c r="CB805" s="820"/>
      <c r="CC805" s="820"/>
      <c r="CG805"/>
      <c r="CH805"/>
      <c r="CI805"/>
      <c r="CJ805"/>
      <c r="CK805"/>
      <c r="CL805"/>
    </row>
    <row r="806" spans="1:90" s="821" customFormat="1" ht="12.75" customHeight="1" outlineLevel="1">
      <c r="A806" s="1336"/>
      <c r="B806" s="821" t="s">
        <v>588</v>
      </c>
      <c r="C806" s="820"/>
      <c r="D806" s="820"/>
      <c r="E806" s="964"/>
      <c r="F806" s="965"/>
      <c r="G806" s="965"/>
      <c r="H806" s="966"/>
      <c r="I806" s="972">
        <v>725</v>
      </c>
      <c r="J806" s="1475">
        <v>689</v>
      </c>
      <c r="K806" s="963"/>
      <c r="L806" s="963"/>
      <c r="M806" s="963"/>
      <c r="N806" s="963"/>
      <c r="O806" s="963"/>
      <c r="P806" s="963"/>
      <c r="Q806" s="963"/>
      <c r="R806" s="963"/>
      <c r="S806" s="489"/>
      <c r="T806" s="964"/>
      <c r="U806" s="965"/>
      <c r="Y806" s="848"/>
      <c r="AC806" s="848"/>
      <c r="AG806" s="848"/>
      <c r="AK806" s="848"/>
      <c r="AO806" s="848"/>
      <c r="AS806" s="848"/>
      <c r="AW806" s="848"/>
      <c r="BA806" s="848"/>
      <c r="BF806" s="820"/>
      <c r="BG806" s="820"/>
      <c r="BH806" s="820"/>
      <c r="BI806" s="820"/>
      <c r="BJ806" s="820"/>
      <c r="BK806" s="820"/>
      <c r="BL806" s="820"/>
      <c r="BM806" s="820"/>
      <c r="BN806" s="820"/>
      <c r="BO806" s="820"/>
      <c r="BP806" s="820"/>
      <c r="BQ806" s="820"/>
      <c r="BR806" s="820"/>
      <c r="BS806" s="820"/>
      <c r="BT806" s="820"/>
      <c r="BU806" s="820"/>
      <c r="BV806" s="820"/>
      <c r="BW806" s="820"/>
      <c r="BX806" s="820"/>
      <c r="BY806" s="820"/>
      <c r="BZ806" s="820"/>
      <c r="CA806" s="820"/>
      <c r="CB806" s="820"/>
      <c r="CC806" s="820"/>
      <c r="CG806"/>
      <c r="CH806"/>
      <c r="CI806"/>
      <c r="CJ806"/>
      <c r="CK806"/>
      <c r="CL806"/>
    </row>
    <row r="807" spans="1:90" s="821" customFormat="1" ht="12.75" customHeight="1" outlineLevel="1">
      <c r="A807" s="1336"/>
      <c r="B807" s="821" t="s">
        <v>233</v>
      </c>
      <c r="C807" s="820"/>
      <c r="D807" s="820"/>
      <c r="E807" s="964"/>
      <c r="F807" s="965"/>
      <c r="G807" s="965">
        <v>442</v>
      </c>
      <c r="H807" s="966">
        <v>-123</v>
      </c>
      <c r="I807" s="963"/>
      <c r="J807" s="1475">
        <v>87</v>
      </c>
      <c r="K807" s="963"/>
      <c r="L807" s="963"/>
      <c r="M807" s="963"/>
      <c r="N807" s="963"/>
      <c r="O807" s="963"/>
      <c r="P807" s="963"/>
      <c r="Q807" s="963"/>
      <c r="R807" s="963"/>
      <c r="S807" s="489"/>
      <c r="T807" s="964"/>
      <c r="U807" s="965"/>
      <c r="Y807" s="848"/>
      <c r="AC807" s="848"/>
      <c r="AG807" s="848"/>
      <c r="AK807" s="848"/>
      <c r="AO807" s="848"/>
      <c r="AS807" s="848"/>
      <c r="AW807" s="848"/>
      <c r="BA807" s="848"/>
      <c r="BF807" s="820"/>
      <c r="BG807" s="820"/>
      <c r="BH807" s="820"/>
      <c r="BI807" s="820"/>
      <c r="BJ807" s="820"/>
      <c r="BK807" s="820"/>
      <c r="BL807" s="820"/>
      <c r="BM807" s="820"/>
      <c r="BN807" s="820"/>
      <c r="BO807" s="820"/>
      <c r="BP807" s="820"/>
      <c r="BQ807" s="820"/>
      <c r="BR807" s="820"/>
      <c r="BS807" s="820"/>
      <c r="BT807" s="820"/>
      <c r="BU807" s="820"/>
      <c r="BV807" s="820"/>
      <c r="BW807" s="820"/>
      <c r="BX807" s="820"/>
      <c r="BY807" s="820"/>
      <c r="BZ807" s="820"/>
      <c r="CA807" s="820"/>
      <c r="CB807" s="820"/>
      <c r="CC807" s="820"/>
      <c r="CG807"/>
      <c r="CH807"/>
      <c r="CI807"/>
      <c r="CJ807"/>
      <c r="CK807"/>
      <c r="CL807"/>
    </row>
    <row r="808" spans="1:90" s="821" customFormat="1" ht="12.75" customHeight="1" outlineLevel="1">
      <c r="A808" s="1336"/>
      <c r="B808" s="821" t="s">
        <v>234</v>
      </c>
      <c r="C808" s="820"/>
      <c r="D808" s="820"/>
      <c r="E808" s="964">
        <v>0</v>
      </c>
      <c r="F808" s="965">
        <v>10542</v>
      </c>
      <c r="G808" s="965">
        <v>0</v>
      </c>
      <c r="H808" s="967">
        <v>0</v>
      </c>
      <c r="I808" s="963"/>
      <c r="J808" s="1475"/>
      <c r="K808" s="846"/>
      <c r="L808" s="846"/>
      <c r="M808" s="846"/>
      <c r="N808" s="846"/>
      <c r="O808" s="846"/>
      <c r="P808" s="846"/>
      <c r="Q808" s="846"/>
      <c r="R808" s="846"/>
      <c r="S808" s="489"/>
      <c r="T808" s="964"/>
      <c r="U808" s="965"/>
      <c r="Y808" s="848"/>
      <c r="AC808" s="848"/>
      <c r="AG808" s="848"/>
      <c r="AK808" s="848"/>
      <c r="AO808" s="848"/>
      <c r="AS808" s="848"/>
      <c r="AW808" s="848"/>
      <c r="BA808" s="848"/>
      <c r="BF808" s="820"/>
      <c r="BG808" s="820"/>
      <c r="BH808" s="820"/>
      <c r="BI808" s="820"/>
      <c r="BJ808" s="820"/>
      <c r="BK808" s="820"/>
      <c r="BL808" s="820"/>
      <c r="BM808" s="820"/>
      <c r="BN808" s="820"/>
      <c r="BO808" s="820"/>
      <c r="BP808" s="820"/>
      <c r="BQ808" s="820"/>
      <c r="BR808" s="820"/>
      <c r="BS808" s="820"/>
      <c r="BT808" s="820"/>
      <c r="BU808" s="820"/>
      <c r="BV808" s="820"/>
      <c r="BW808" s="820"/>
      <c r="BX808" s="820"/>
      <c r="BY808" s="820"/>
      <c r="BZ808" s="820"/>
      <c r="CA808" s="820"/>
      <c r="CB808" s="820"/>
      <c r="CC808" s="820"/>
      <c r="CG808"/>
      <c r="CH808"/>
      <c r="CI808"/>
      <c r="CJ808"/>
      <c r="CK808"/>
      <c r="CL808"/>
    </row>
    <row r="809" spans="1:90" s="821" customFormat="1" ht="12.75" customHeight="1" outlineLevel="1">
      <c r="A809" s="1336"/>
      <c r="B809" s="821" t="s">
        <v>235</v>
      </c>
      <c r="C809" s="820"/>
      <c r="D809" s="820"/>
      <c r="E809" s="964">
        <v>0</v>
      </c>
      <c r="F809" s="965">
        <v>-103</v>
      </c>
      <c r="G809" s="965">
        <v>-208</v>
      </c>
      <c r="H809" s="966">
        <v>-104</v>
      </c>
      <c r="I809" s="963"/>
      <c r="J809" s="1475"/>
      <c r="K809" s="846"/>
      <c r="L809" s="846"/>
      <c r="M809" s="846"/>
      <c r="N809" s="846"/>
      <c r="O809" s="846"/>
      <c r="P809" s="846"/>
      <c r="Q809" s="846"/>
      <c r="R809" s="846"/>
      <c r="S809" s="489"/>
      <c r="T809" s="964"/>
      <c r="U809" s="965"/>
      <c r="Y809" s="848"/>
      <c r="AC809" s="848"/>
      <c r="AG809" s="848"/>
      <c r="AK809" s="848"/>
      <c r="AO809" s="848"/>
      <c r="AS809" s="848"/>
      <c r="AW809" s="848"/>
      <c r="BA809" s="848"/>
      <c r="BF809" s="820"/>
      <c r="BG809" s="820"/>
      <c r="BH809" s="820"/>
      <c r="BI809" s="820"/>
      <c r="BJ809" s="820"/>
      <c r="BK809" s="820"/>
      <c r="BL809" s="820"/>
      <c r="BM809" s="820"/>
      <c r="BN809" s="820"/>
      <c r="BO809" s="820"/>
      <c r="BP809" s="820"/>
      <c r="BQ809" s="820"/>
      <c r="BR809" s="820"/>
      <c r="BS809" s="820"/>
      <c r="BT809" s="820"/>
      <c r="BU809" s="820"/>
      <c r="BV809" s="820"/>
      <c r="BW809" s="820"/>
      <c r="BX809" s="820"/>
      <c r="BY809" s="820"/>
      <c r="BZ809" s="820"/>
      <c r="CA809" s="820"/>
      <c r="CB809" s="820"/>
      <c r="CC809" s="820"/>
      <c r="CG809"/>
      <c r="CH809"/>
      <c r="CI809"/>
      <c r="CJ809"/>
      <c r="CK809"/>
      <c r="CL809"/>
    </row>
    <row r="810" spans="1:90" s="821" customFormat="1" ht="12.75" customHeight="1" outlineLevel="1">
      <c r="A810" s="1336"/>
      <c r="B810" s="821" t="s">
        <v>236</v>
      </c>
      <c r="C810" s="820"/>
      <c r="D810" s="820"/>
      <c r="E810" s="964">
        <v>0</v>
      </c>
      <c r="F810" s="965">
        <v>0</v>
      </c>
      <c r="G810" s="965">
        <v>-5131</v>
      </c>
      <c r="H810" s="966">
        <v>0</v>
      </c>
      <c r="I810" s="967">
        <v>0</v>
      </c>
      <c r="J810" s="1475">
        <v>0</v>
      </c>
      <c r="K810" s="963"/>
      <c r="L810" s="963"/>
      <c r="M810" s="963"/>
      <c r="N810" s="963"/>
      <c r="O810" s="963"/>
      <c r="P810" s="963"/>
      <c r="Q810" s="963"/>
      <c r="R810" s="963"/>
      <c r="S810" s="489"/>
      <c r="T810" s="964"/>
      <c r="U810" s="965"/>
      <c r="Y810" s="848"/>
      <c r="AC810" s="848"/>
      <c r="AG810" s="848"/>
      <c r="AK810" s="848"/>
      <c r="AO810" s="848"/>
      <c r="AS810" s="848"/>
      <c r="AW810" s="848"/>
      <c r="BA810" s="848"/>
      <c r="BF810" s="820"/>
      <c r="BG810" s="820"/>
      <c r="BH810" s="820"/>
      <c r="BI810" s="820"/>
      <c r="BJ810" s="820"/>
      <c r="BK810" s="820"/>
      <c r="BL810" s="820"/>
      <c r="BM810" s="820"/>
      <c r="BN810" s="820"/>
      <c r="BO810" s="820"/>
      <c r="BP810" s="820"/>
      <c r="BQ810" s="820"/>
      <c r="BR810" s="820"/>
      <c r="BS810" s="820"/>
      <c r="BT810" s="820"/>
      <c r="BU810" s="820"/>
      <c r="BV810" s="820"/>
      <c r="BW810" s="820"/>
      <c r="BX810" s="820"/>
      <c r="BY810" s="820"/>
      <c r="BZ810" s="820"/>
      <c r="CA810" s="820"/>
      <c r="CB810" s="820"/>
      <c r="CC810" s="820"/>
      <c r="CG810"/>
      <c r="CH810"/>
      <c r="CI810"/>
      <c r="CJ810"/>
      <c r="CK810"/>
      <c r="CL810"/>
    </row>
    <row r="811" spans="1:90" s="821" customFormat="1" ht="12.75" customHeight="1" outlineLevel="1">
      <c r="A811" s="1336"/>
      <c r="B811" s="821" t="s">
        <v>237</v>
      </c>
      <c r="C811" s="820"/>
      <c r="D811" s="820"/>
      <c r="E811" s="964">
        <v>-419</v>
      </c>
      <c r="F811" s="965">
        <v>0</v>
      </c>
      <c r="G811" s="965"/>
      <c r="H811" s="963"/>
      <c r="I811" s="963"/>
      <c r="J811" s="1475"/>
      <c r="K811" s="846"/>
      <c r="L811" s="846"/>
      <c r="M811" s="846"/>
      <c r="N811" s="846"/>
      <c r="O811" s="846"/>
      <c r="P811" s="846"/>
      <c r="Q811" s="846"/>
      <c r="R811" s="846"/>
      <c r="S811" s="489"/>
      <c r="T811" s="964"/>
      <c r="U811" s="965"/>
      <c r="Y811" s="848"/>
      <c r="AC811" s="848"/>
      <c r="AG811" s="848"/>
      <c r="AK811" s="848"/>
      <c r="AO811" s="848"/>
      <c r="AS811" s="848"/>
      <c r="AW811" s="848"/>
      <c r="BA811" s="848"/>
      <c r="BF811" s="820"/>
      <c r="BG811" s="820"/>
      <c r="BH811" s="820"/>
      <c r="BI811" s="820"/>
      <c r="BJ811" s="820"/>
      <c r="BK811" s="820"/>
      <c r="BL811" s="820"/>
      <c r="BM811" s="820"/>
      <c r="BN811" s="820"/>
      <c r="BO811" s="820"/>
      <c r="BP811" s="820"/>
      <c r="BQ811" s="820"/>
      <c r="BR811" s="820"/>
      <c r="BS811" s="820"/>
      <c r="BT811" s="820"/>
      <c r="BU811" s="820"/>
      <c r="BV811" s="820"/>
      <c r="BW811" s="820"/>
      <c r="BX811" s="820"/>
      <c r="BY811" s="820"/>
      <c r="BZ811" s="820"/>
      <c r="CA811" s="820"/>
      <c r="CB811" s="820"/>
      <c r="CC811" s="820"/>
      <c r="CG811"/>
      <c r="CH811"/>
      <c r="CI811"/>
      <c r="CJ811"/>
      <c r="CK811"/>
      <c r="CL811"/>
    </row>
    <row r="812" spans="1:90" s="821" customFormat="1" ht="12.75" customHeight="1" outlineLevel="1">
      <c r="A812" s="1336"/>
      <c r="B812" s="821" t="s">
        <v>334</v>
      </c>
      <c r="C812" s="820"/>
      <c r="D812" s="820"/>
      <c r="E812" s="964">
        <v>0</v>
      </c>
      <c r="F812" s="965">
        <v>-15134</v>
      </c>
      <c r="G812" s="965">
        <v>0</v>
      </c>
      <c r="H812" s="963"/>
      <c r="I812" s="963"/>
      <c r="J812" s="1475"/>
      <c r="K812" s="846"/>
      <c r="L812" s="846"/>
      <c r="M812" s="846"/>
      <c r="N812" s="846"/>
      <c r="O812" s="846"/>
      <c r="P812" s="846"/>
      <c r="Q812" s="846"/>
      <c r="R812" s="846"/>
      <c r="S812" s="489"/>
      <c r="T812" s="964"/>
      <c r="U812" s="965"/>
      <c r="Y812" s="848"/>
      <c r="AC812" s="848"/>
      <c r="AG812" s="848"/>
      <c r="AK812" s="848"/>
      <c r="AO812" s="848"/>
      <c r="AS812" s="848"/>
      <c r="AW812" s="848"/>
      <c r="BA812" s="848"/>
      <c r="BF812" s="820"/>
      <c r="BG812" s="820"/>
      <c r="BH812" s="820"/>
      <c r="BI812" s="820"/>
      <c r="BJ812" s="820"/>
      <c r="BK812" s="820"/>
      <c r="BL812" s="820"/>
      <c r="BM812" s="820"/>
      <c r="BN812" s="820"/>
      <c r="BO812" s="820"/>
      <c r="BP812" s="820"/>
      <c r="BQ812" s="820"/>
      <c r="BR812" s="820"/>
      <c r="BS812" s="820"/>
      <c r="BT812" s="820"/>
      <c r="BU812" s="820"/>
      <c r="BV812" s="820"/>
      <c r="BW812" s="820"/>
      <c r="BX812" s="820"/>
      <c r="BY812" s="820"/>
      <c r="BZ812" s="820"/>
      <c r="CA812" s="820"/>
      <c r="CB812" s="820"/>
      <c r="CC812" s="820"/>
      <c r="CG812"/>
      <c r="CH812"/>
      <c r="CI812"/>
      <c r="CJ812"/>
      <c r="CK812"/>
      <c r="CL812"/>
    </row>
    <row r="813" spans="1:90" s="821" customFormat="1" ht="12.75" customHeight="1" outlineLevel="1">
      <c r="A813" s="1336"/>
      <c r="B813" s="821" t="s">
        <v>335</v>
      </c>
      <c r="C813" s="820"/>
      <c r="D813" s="820"/>
      <c r="E813" s="964">
        <v>0</v>
      </c>
      <c r="F813" s="965">
        <v>-335</v>
      </c>
      <c r="G813" s="965">
        <v>-9</v>
      </c>
      <c r="H813" s="966">
        <v>0</v>
      </c>
      <c r="I813" s="963"/>
      <c r="J813" s="1475"/>
      <c r="K813" s="846"/>
      <c r="L813" s="846"/>
      <c r="M813" s="846"/>
      <c r="N813" s="846"/>
      <c r="O813" s="846"/>
      <c r="P813" s="846"/>
      <c r="Q813" s="846"/>
      <c r="R813" s="846"/>
      <c r="S813" s="489"/>
      <c r="T813" s="964"/>
      <c r="U813" s="965"/>
      <c r="Y813" s="848"/>
      <c r="AC813" s="848"/>
      <c r="AG813" s="848"/>
      <c r="AK813" s="848"/>
      <c r="AO813" s="848"/>
      <c r="AS813" s="848"/>
      <c r="AW813" s="848"/>
      <c r="BA813" s="848"/>
      <c r="BF813" s="820"/>
      <c r="BG813" s="820"/>
      <c r="BH813" s="820"/>
      <c r="BI813" s="820"/>
      <c r="BJ813" s="820"/>
      <c r="BK813" s="820"/>
      <c r="BL813" s="820"/>
      <c r="BM813" s="820"/>
      <c r="BN813" s="820"/>
      <c r="BO813" s="820"/>
      <c r="BP813" s="820"/>
      <c r="BQ813" s="820"/>
      <c r="BR813" s="820"/>
      <c r="BS813" s="820"/>
      <c r="BT813" s="820"/>
      <c r="BU813" s="820"/>
      <c r="BV813" s="820"/>
      <c r="BW813" s="820"/>
      <c r="BX813" s="820"/>
      <c r="BY813" s="820"/>
      <c r="BZ813" s="820"/>
      <c r="CA813" s="820"/>
      <c r="CB813" s="820"/>
      <c r="CC813" s="820"/>
      <c r="CG813"/>
      <c r="CH813"/>
      <c r="CI813"/>
      <c r="CJ813"/>
      <c r="CK813"/>
      <c r="CL813"/>
    </row>
    <row r="814" spans="1:90" s="821" customFormat="1" ht="12.75" customHeight="1" outlineLevel="1">
      <c r="A814" s="1336"/>
      <c r="B814" s="821" t="s">
        <v>336</v>
      </c>
      <c r="C814" s="820"/>
      <c r="D814" s="820"/>
      <c r="E814" s="964">
        <v>-9</v>
      </c>
      <c r="F814" s="965">
        <v>0</v>
      </c>
      <c r="G814" s="965"/>
      <c r="H814" s="966">
        <v>-61</v>
      </c>
      <c r="I814" s="966">
        <v>-3</v>
      </c>
      <c r="J814" s="1475">
        <v>-163</v>
      </c>
      <c r="K814" s="963"/>
      <c r="L814" s="963"/>
      <c r="M814" s="963"/>
      <c r="N814" s="963"/>
      <c r="O814" s="963"/>
      <c r="P814" s="963"/>
      <c r="Q814" s="963"/>
      <c r="R814" s="963"/>
      <c r="S814" s="489"/>
      <c r="T814" s="964"/>
      <c r="U814" s="965"/>
      <c r="Y814" s="848"/>
      <c r="AC814" s="848"/>
      <c r="AG814" s="848"/>
      <c r="AK814" s="848"/>
      <c r="AO814" s="848"/>
      <c r="AS814" s="848"/>
      <c r="AW814" s="848"/>
      <c r="BA814" s="848"/>
      <c r="BF814" s="820"/>
      <c r="BG814" s="820"/>
      <c r="BH814" s="820"/>
      <c r="BI814" s="820"/>
      <c r="BJ814" s="820"/>
      <c r="BK814" s="820"/>
      <c r="BL814" s="820"/>
      <c r="BM814" s="820"/>
      <c r="BN814" s="820"/>
      <c r="BO814" s="820"/>
      <c r="BP814" s="820"/>
      <c r="BQ814" s="820"/>
      <c r="BR814" s="820"/>
      <c r="BS814" s="820"/>
      <c r="BT814" s="820"/>
      <c r="BU814" s="820"/>
      <c r="BV814" s="820"/>
      <c r="BW814" s="820"/>
      <c r="BX814" s="820"/>
      <c r="BY814" s="820"/>
      <c r="BZ814" s="820"/>
      <c r="CA814" s="820"/>
      <c r="CB814" s="820"/>
      <c r="CC814" s="820"/>
      <c r="CG814"/>
      <c r="CH814"/>
      <c r="CI814"/>
      <c r="CJ814"/>
      <c r="CK814"/>
      <c r="CL814"/>
    </row>
    <row r="815" spans="1:90" s="821" customFormat="1" ht="12.75" customHeight="1" outlineLevel="1">
      <c r="A815" s="1336"/>
      <c r="B815" s="821" t="s">
        <v>337</v>
      </c>
      <c r="C815" s="820"/>
      <c r="D815" s="820"/>
      <c r="E815" s="964">
        <v>166</v>
      </c>
      <c r="F815" s="965">
        <v>11</v>
      </c>
      <c r="G815" s="965">
        <v>0</v>
      </c>
      <c r="H815" s="966">
        <v>6</v>
      </c>
      <c r="I815" s="963"/>
      <c r="J815" s="1475">
        <v>42</v>
      </c>
      <c r="K815" s="846"/>
      <c r="L815" s="846"/>
      <c r="M815" s="846"/>
      <c r="N815" s="846"/>
      <c r="O815" s="846"/>
      <c r="P815" s="846"/>
      <c r="Q815" s="846"/>
      <c r="R815" s="846"/>
      <c r="S815" s="489"/>
      <c r="T815" s="964"/>
      <c r="U815" s="965"/>
      <c r="Y815" s="848"/>
      <c r="AC815" s="848"/>
      <c r="AG815" s="848"/>
      <c r="AK815" s="848"/>
      <c r="AO815" s="848"/>
      <c r="AS815" s="848"/>
      <c r="AW815" s="848"/>
      <c r="BA815" s="848"/>
      <c r="BF815" s="820"/>
      <c r="BG815" s="820"/>
      <c r="BH815" s="820"/>
      <c r="BI815" s="820"/>
      <c r="BJ815" s="820"/>
      <c r="BK815" s="820"/>
      <c r="BL815" s="820"/>
      <c r="BM815" s="820"/>
      <c r="BN815" s="820"/>
      <c r="BO815" s="820"/>
      <c r="BP815" s="820"/>
      <c r="BQ815" s="820"/>
      <c r="BR815" s="820"/>
      <c r="BS815" s="820"/>
      <c r="BT815" s="820"/>
      <c r="BU815" s="820"/>
      <c r="BV815" s="820"/>
      <c r="BW815" s="820"/>
      <c r="BX815" s="820"/>
      <c r="BY815" s="820"/>
      <c r="BZ815" s="820"/>
      <c r="CA815" s="820"/>
      <c r="CB815" s="820"/>
      <c r="CC815" s="820"/>
      <c r="CG815"/>
      <c r="CH815"/>
      <c r="CI815"/>
      <c r="CJ815"/>
      <c r="CK815"/>
      <c r="CL815"/>
    </row>
    <row r="816" spans="1:90" s="821" customFormat="1" ht="12.75" customHeight="1" outlineLevel="1">
      <c r="A816" s="1336"/>
      <c r="B816" s="821" t="s">
        <v>338</v>
      </c>
      <c r="C816" s="820"/>
      <c r="D816" s="820"/>
      <c r="E816" s="982">
        <f>229-229</f>
        <v>0</v>
      </c>
      <c r="F816" s="650">
        <f>8705-6607</f>
        <v>2098</v>
      </c>
      <c r="G816" s="650">
        <f>53195-46029</f>
        <v>7166</v>
      </c>
      <c r="H816" s="967">
        <f>88422-82269</f>
        <v>6153</v>
      </c>
      <c r="I816" s="966">
        <v>0</v>
      </c>
      <c r="J816" s="1475"/>
      <c r="K816" s="963">
        <f t="shared" ref="K816:R816" si="1298">K612-J612</f>
        <v>-8949</v>
      </c>
      <c r="L816" s="963">
        <f t="shared" si="1298"/>
        <v>0</v>
      </c>
      <c r="M816" s="963">
        <f t="shared" si="1298"/>
        <v>0</v>
      </c>
      <c r="N816" s="963">
        <f t="shared" si="1298"/>
        <v>0</v>
      </c>
      <c r="O816" s="963">
        <f t="shared" si="1298"/>
        <v>0</v>
      </c>
      <c r="P816" s="963">
        <f t="shared" si="1298"/>
        <v>0</v>
      </c>
      <c r="Q816" s="963">
        <f t="shared" si="1298"/>
        <v>0</v>
      </c>
      <c r="R816" s="963">
        <f t="shared" si="1298"/>
        <v>0</v>
      </c>
      <c r="S816" s="489"/>
      <c r="T816" s="982"/>
      <c r="U816" s="650"/>
      <c r="Y816" s="848"/>
      <c r="AC816" s="848"/>
      <c r="AG816" s="848"/>
      <c r="AK816" s="848"/>
      <c r="AO816" s="848"/>
      <c r="AS816" s="848"/>
      <c r="AW816" s="848"/>
      <c r="BA816" s="848"/>
      <c r="BF816" s="820"/>
      <c r="BG816" s="820"/>
      <c r="BH816" s="820"/>
      <c r="BI816" s="820"/>
      <c r="BJ816" s="820"/>
      <c r="BK816" s="820"/>
      <c r="BL816" s="820"/>
      <c r="BM816" s="820"/>
      <c r="BN816" s="820"/>
      <c r="BO816" s="820"/>
      <c r="BP816" s="820"/>
      <c r="BQ816" s="820"/>
      <c r="BR816" s="820"/>
      <c r="BS816" s="820"/>
      <c r="BT816" s="820"/>
      <c r="BU816" s="820"/>
      <c r="BV816" s="820"/>
      <c r="BW816" s="820"/>
      <c r="BX816" s="820"/>
      <c r="BY816" s="820"/>
      <c r="BZ816" s="820"/>
      <c r="CA816" s="820"/>
      <c r="CB816" s="820"/>
      <c r="CC816" s="820"/>
      <c r="CG816"/>
      <c r="CH816"/>
      <c r="CI816"/>
      <c r="CJ816"/>
      <c r="CK816"/>
      <c r="CL816"/>
    </row>
    <row r="817" spans="1:90" s="821" customFormat="1" ht="12.75" customHeight="1" outlineLevel="1">
      <c r="A817" s="1336"/>
      <c r="B817" s="821" t="s">
        <v>339</v>
      </c>
      <c r="C817" s="820"/>
      <c r="D817" s="820"/>
      <c r="E817" s="964">
        <v>827</v>
      </c>
      <c r="F817" s="965">
        <v>2439</v>
      </c>
      <c r="G817" s="965">
        <v>681</v>
      </c>
      <c r="H817" s="966">
        <v>25804</v>
      </c>
      <c r="I817" s="966">
        <v>28208</v>
      </c>
      <c r="J817" s="1475">
        <v>68296</v>
      </c>
      <c r="K817" s="963">
        <f t="shared" ref="K817:R817" si="1299">K611-J611</f>
        <v>6121.5538587641186</v>
      </c>
      <c r="L817" s="963">
        <f t="shared" si="1299"/>
        <v>4164.8503176140766</v>
      </c>
      <c r="M817" s="963">
        <f t="shared" si="1299"/>
        <v>5569.9483509982365</v>
      </c>
      <c r="N817" s="963">
        <f t="shared" si="1299"/>
        <v>4827.8294443693303</v>
      </c>
      <c r="O817" s="963">
        <f t="shared" si="1299"/>
        <v>5422.8127800333423</v>
      </c>
      <c r="P817" s="963">
        <f t="shared" si="1299"/>
        <v>6907.3011293195341</v>
      </c>
      <c r="Q817" s="963">
        <f t="shared" si="1299"/>
        <v>5903.09664087079</v>
      </c>
      <c r="R817" s="963">
        <f t="shared" si="1299"/>
        <v>6142.6354111272158</v>
      </c>
      <c r="S817" s="489"/>
      <c r="T817" s="964"/>
      <c r="U817" s="965"/>
      <c r="Y817" s="848"/>
      <c r="AC817" s="848"/>
      <c r="AG817" s="848"/>
      <c r="AK817" s="848"/>
      <c r="AO817" s="848"/>
      <c r="AS817" s="848"/>
      <c r="AW817" s="848"/>
      <c r="BA817" s="848"/>
      <c r="BF817" s="820"/>
      <c r="BG817" s="820"/>
      <c r="BH817" s="820"/>
      <c r="BI817" s="820"/>
      <c r="BJ817" s="820"/>
      <c r="BK817" s="820"/>
      <c r="BL817" s="820"/>
      <c r="BM817" s="820"/>
      <c r="BN817" s="820"/>
      <c r="BO817" s="820"/>
      <c r="BP817" s="820"/>
      <c r="BQ817" s="820"/>
      <c r="BR817" s="820"/>
      <c r="BS817" s="820"/>
      <c r="BT817" s="820"/>
      <c r="BU817" s="820"/>
      <c r="BV817" s="820"/>
      <c r="BW817" s="820"/>
      <c r="BX817" s="820"/>
      <c r="BY817" s="820"/>
      <c r="BZ817" s="820"/>
      <c r="CA817" s="820"/>
      <c r="CB817" s="820"/>
      <c r="CC817" s="820"/>
      <c r="CG817"/>
      <c r="CH817"/>
      <c r="CI817"/>
      <c r="CJ817"/>
      <c r="CK817"/>
      <c r="CL817"/>
    </row>
    <row r="818" spans="1:90" s="821" customFormat="1" ht="12.75" customHeight="1" outlineLevel="1">
      <c r="A818" s="1336"/>
      <c r="B818" s="821" t="s">
        <v>340</v>
      </c>
      <c r="C818" s="820"/>
      <c r="D818" s="820"/>
      <c r="E818" s="964">
        <v>-706</v>
      </c>
      <c r="F818" s="965">
        <v>-2584</v>
      </c>
      <c r="G818" s="965">
        <v>-423</v>
      </c>
      <c r="H818" s="966">
        <v>-24734</v>
      </c>
      <c r="I818" s="966">
        <v>-26349</v>
      </c>
      <c r="J818" s="1475">
        <v>-67169</v>
      </c>
      <c r="K818" s="846"/>
      <c r="L818" s="846"/>
      <c r="M818" s="846"/>
      <c r="N818" s="846"/>
      <c r="O818" s="846"/>
      <c r="P818" s="846"/>
      <c r="Q818" s="846"/>
      <c r="R818" s="846"/>
      <c r="S818" s="489"/>
      <c r="T818" s="964"/>
      <c r="U818" s="965"/>
      <c r="Y818" s="848"/>
      <c r="AC818" s="848"/>
      <c r="AG818" s="848"/>
      <c r="AK818" s="848"/>
      <c r="AO818" s="848"/>
      <c r="AS818" s="848"/>
      <c r="AW818" s="848"/>
      <c r="BA818" s="848"/>
      <c r="BF818" s="820"/>
      <c r="BG818" s="820"/>
      <c r="BH818" s="820"/>
      <c r="BI818" s="820"/>
      <c r="BJ818" s="820"/>
      <c r="BK818" s="820"/>
      <c r="BL818" s="820"/>
      <c r="BM818" s="820"/>
      <c r="BN818" s="820"/>
      <c r="BO818" s="820"/>
      <c r="BP818" s="820"/>
      <c r="BQ818" s="820"/>
      <c r="BR818" s="820"/>
      <c r="BS818" s="820"/>
      <c r="BT818" s="820"/>
      <c r="BU818" s="820"/>
      <c r="BV818" s="820"/>
      <c r="BW818" s="820"/>
      <c r="BX818" s="820"/>
      <c r="BY818" s="820"/>
      <c r="BZ818" s="820"/>
      <c r="CA818" s="820"/>
      <c r="CB818" s="820"/>
      <c r="CC818" s="820"/>
      <c r="CG818"/>
      <c r="CH818"/>
      <c r="CI818"/>
      <c r="CJ818"/>
      <c r="CK818"/>
      <c r="CL818"/>
    </row>
    <row r="819" spans="1:90" s="821" customFormat="1" ht="12.75" customHeight="1" outlineLevel="1">
      <c r="A819" s="1336"/>
      <c r="B819" s="821" t="s">
        <v>341</v>
      </c>
      <c r="C819" s="820"/>
      <c r="D819" s="820"/>
      <c r="E819" s="964"/>
      <c r="F819" s="965">
        <v>24979</v>
      </c>
      <c r="G819" s="965">
        <v>30153</v>
      </c>
      <c r="H819" s="966">
        <v>19602</v>
      </c>
      <c r="I819" s="966">
        <v>765</v>
      </c>
      <c r="J819" s="1475">
        <v>28381</v>
      </c>
      <c r="K819" s="963">
        <f t="shared" ref="K819:R819" si="1300">K623-J623</f>
        <v>48160</v>
      </c>
      <c r="L819" s="963">
        <f t="shared" si="1300"/>
        <v>0</v>
      </c>
      <c r="M819" s="963">
        <f t="shared" si="1300"/>
        <v>0</v>
      </c>
      <c r="N819" s="963">
        <f t="shared" si="1300"/>
        <v>0</v>
      </c>
      <c r="O819" s="963">
        <f t="shared" si="1300"/>
        <v>0</v>
      </c>
      <c r="P819" s="963">
        <f t="shared" si="1300"/>
        <v>0</v>
      </c>
      <c r="Q819" s="963">
        <f t="shared" si="1300"/>
        <v>0</v>
      </c>
      <c r="R819" s="963">
        <f t="shared" si="1300"/>
        <v>0</v>
      </c>
      <c r="S819" s="489"/>
      <c r="T819" s="964"/>
      <c r="U819" s="965"/>
      <c r="Y819" s="848"/>
      <c r="AC819" s="848"/>
      <c r="AG819" s="848"/>
      <c r="AK819" s="848"/>
      <c r="AO819" s="848"/>
      <c r="AS819" s="848"/>
      <c r="AW819" s="848"/>
      <c r="BA819" s="848"/>
      <c r="BF819" s="820"/>
      <c r="BG819" s="820"/>
      <c r="BH819" s="820"/>
      <c r="BI819" s="820"/>
      <c r="BJ819" s="820"/>
      <c r="BK819" s="820"/>
      <c r="BL819" s="820"/>
      <c r="BM819" s="820"/>
      <c r="BN819" s="820"/>
      <c r="BO819" s="820"/>
      <c r="BP819" s="820"/>
      <c r="BQ819" s="820"/>
      <c r="BR819" s="820"/>
      <c r="BS819" s="820"/>
      <c r="BT819" s="820"/>
      <c r="BU819" s="820"/>
      <c r="BV819" s="820"/>
      <c r="BW819" s="820"/>
      <c r="BX819" s="820"/>
      <c r="BY819" s="820"/>
      <c r="BZ819" s="820"/>
      <c r="CA819" s="820"/>
      <c r="CB819" s="820"/>
      <c r="CC819" s="820"/>
      <c r="CG819"/>
      <c r="CH819"/>
      <c r="CI819"/>
      <c r="CJ819"/>
      <c r="CK819"/>
      <c r="CL819"/>
    </row>
    <row r="820" spans="1:90" s="821" customFormat="1" ht="12.75" customHeight="1" outlineLevel="1">
      <c r="A820" s="1336"/>
      <c r="B820" s="821" t="s">
        <v>342</v>
      </c>
      <c r="C820" s="820"/>
      <c r="D820" s="820"/>
      <c r="E820" s="964">
        <v>0</v>
      </c>
      <c r="F820" s="965">
        <v>0</v>
      </c>
      <c r="G820" s="965">
        <v>-24788</v>
      </c>
      <c r="H820" s="966">
        <v>-49538</v>
      </c>
      <c r="I820" s="966">
        <v>-146</v>
      </c>
      <c r="J820" s="1475">
        <v>-175</v>
      </c>
      <c r="K820" s="846"/>
      <c r="L820" s="846"/>
      <c r="M820" s="846"/>
      <c r="N820" s="846"/>
      <c r="O820" s="846"/>
      <c r="P820" s="846"/>
      <c r="Q820" s="846"/>
      <c r="R820" s="846"/>
      <c r="S820" s="489"/>
      <c r="T820" s="964"/>
      <c r="U820" s="965"/>
      <c r="Y820" s="848"/>
      <c r="AC820" s="848"/>
      <c r="AG820" s="848"/>
      <c r="AK820" s="848"/>
      <c r="AO820" s="848"/>
      <c r="AS820" s="848"/>
      <c r="AW820" s="848"/>
      <c r="BA820" s="848"/>
      <c r="BF820" s="820"/>
      <c r="BG820" s="820"/>
      <c r="BH820" s="820"/>
      <c r="BI820" s="820"/>
      <c r="BJ820" s="820"/>
      <c r="BK820" s="820"/>
      <c r="BL820" s="820"/>
      <c r="BM820" s="820"/>
      <c r="BN820" s="820"/>
      <c r="BO820" s="820"/>
      <c r="BP820" s="820"/>
      <c r="BQ820" s="820"/>
      <c r="BR820" s="820"/>
      <c r="BS820" s="820"/>
      <c r="BT820" s="820"/>
      <c r="BU820" s="820"/>
      <c r="BV820" s="820"/>
      <c r="BW820" s="820"/>
      <c r="BX820" s="820"/>
      <c r="BY820" s="820"/>
      <c r="BZ820" s="820"/>
      <c r="CA820" s="820"/>
      <c r="CB820" s="820"/>
      <c r="CC820" s="820"/>
      <c r="CG820"/>
      <c r="CH820"/>
      <c r="CI820"/>
      <c r="CJ820"/>
      <c r="CK820"/>
      <c r="CL820"/>
    </row>
    <row r="821" spans="1:90" s="821" customFormat="1" ht="12.75" customHeight="1" outlineLevel="1">
      <c r="A821" s="1336"/>
      <c r="B821" s="821" t="s">
        <v>12</v>
      </c>
      <c r="C821" s="820"/>
      <c r="D821" s="820"/>
      <c r="E821" s="964"/>
      <c r="F821" s="965"/>
      <c r="G821" s="965"/>
      <c r="H821" s="966">
        <v>174</v>
      </c>
      <c r="I821" s="966">
        <v>56</v>
      </c>
      <c r="J821" s="1475">
        <v>1501</v>
      </c>
      <c r="K821" s="846"/>
      <c r="L821" s="846"/>
      <c r="M821" s="846"/>
      <c r="N821" s="846"/>
      <c r="O821" s="846"/>
      <c r="P821" s="846"/>
      <c r="Q821" s="846"/>
      <c r="R821" s="846"/>
      <c r="S821" s="489"/>
      <c r="T821" s="964"/>
      <c r="U821" s="965"/>
      <c r="Y821" s="848"/>
      <c r="AC821" s="848"/>
      <c r="AG821" s="848"/>
      <c r="AK821" s="848"/>
      <c r="AO821" s="848"/>
      <c r="AS821" s="848"/>
      <c r="AW821" s="848"/>
      <c r="BA821" s="848"/>
      <c r="BF821" s="820"/>
      <c r="BG821" s="820"/>
      <c r="BH821" s="820"/>
      <c r="BI821" s="820"/>
      <c r="BJ821" s="820"/>
      <c r="BK821" s="820"/>
      <c r="BL821" s="820"/>
      <c r="BM821" s="820"/>
      <c r="BN821" s="820"/>
      <c r="BO821" s="820"/>
      <c r="BP821" s="820"/>
      <c r="BQ821" s="820"/>
      <c r="BR821" s="820"/>
      <c r="BS821" s="820"/>
      <c r="BT821" s="820"/>
      <c r="BU821" s="820"/>
      <c r="BV821" s="820"/>
      <c r="BW821" s="820"/>
      <c r="BX821" s="820"/>
      <c r="BY821" s="820"/>
      <c r="BZ821" s="820"/>
      <c r="CA821" s="820"/>
      <c r="CB821" s="820"/>
      <c r="CC821" s="820"/>
      <c r="CG821"/>
      <c r="CH821"/>
      <c r="CI821"/>
      <c r="CJ821"/>
      <c r="CK821"/>
      <c r="CL821"/>
    </row>
    <row r="822" spans="1:90" s="821" customFormat="1" ht="12.75" customHeight="1" outlineLevel="1">
      <c r="A822" s="1336"/>
      <c r="B822" s="821" t="s">
        <v>559</v>
      </c>
      <c r="C822" s="820"/>
      <c r="D822" s="820"/>
      <c r="E822" s="964"/>
      <c r="F822" s="964"/>
      <c r="G822" s="964"/>
      <c r="H822" s="966">
        <v>48757</v>
      </c>
      <c r="I822" s="963"/>
      <c r="J822" s="1445"/>
      <c r="K822" s="846"/>
      <c r="L822" s="846"/>
      <c r="M822" s="846"/>
      <c r="N822" s="846"/>
      <c r="O822" s="846"/>
      <c r="P822" s="846"/>
      <c r="Q822" s="846"/>
      <c r="R822" s="846"/>
      <c r="S822" s="489"/>
      <c r="T822" s="964"/>
      <c r="U822" s="965"/>
      <c r="Y822" s="848"/>
      <c r="AC822" s="848"/>
      <c r="AG822" s="848"/>
      <c r="AK822" s="848"/>
      <c r="AO822" s="848"/>
      <c r="AS822" s="848"/>
      <c r="AW822" s="848"/>
      <c r="BA822" s="848"/>
      <c r="BF822" s="820"/>
      <c r="BG822" s="820"/>
      <c r="BH822" s="820"/>
      <c r="BI822" s="820"/>
      <c r="BJ822" s="820"/>
      <c r="BK822" s="820"/>
      <c r="BL822" s="820"/>
      <c r="BM822" s="820"/>
      <c r="BN822" s="820"/>
      <c r="BO822" s="820"/>
      <c r="BP822" s="820"/>
      <c r="BQ822" s="820"/>
      <c r="BR822" s="820"/>
      <c r="BS822" s="820"/>
      <c r="BT822" s="820"/>
      <c r="BU822" s="820"/>
      <c r="BV822" s="820"/>
      <c r="BW822" s="820"/>
      <c r="BX822" s="820"/>
      <c r="BY822" s="820"/>
      <c r="BZ822" s="820"/>
      <c r="CA822" s="820"/>
      <c r="CB822" s="820"/>
      <c r="CC822" s="820"/>
      <c r="CG822"/>
      <c r="CH822"/>
      <c r="CI822"/>
      <c r="CJ822"/>
      <c r="CK822"/>
      <c r="CL822"/>
    </row>
    <row r="823" spans="1:90" s="837" customFormat="1" ht="12.75" customHeight="1" outlineLevel="1">
      <c r="A823" s="1353"/>
      <c r="B823" s="837" t="s">
        <v>186</v>
      </c>
      <c r="E823" s="974">
        <f>SUM(E804:E821)</f>
        <v>475</v>
      </c>
      <c r="F823" s="974">
        <f>SUM(F804:F821)</f>
        <v>-1406</v>
      </c>
      <c r="G823" s="974">
        <f>SUM(G804:G821)</f>
        <v>9364</v>
      </c>
      <c r="H823" s="975">
        <f t="shared" ref="H823:R823" si="1301">SUM(H804:H822)</f>
        <v>87497</v>
      </c>
      <c r="I823" s="975">
        <f t="shared" si="1301"/>
        <v>-15846</v>
      </c>
      <c r="J823" s="1476">
        <f>SUM(J804:J822)</f>
        <v>32914</v>
      </c>
      <c r="K823" s="975">
        <f t="shared" si="1301"/>
        <v>45332.55385876412</v>
      </c>
      <c r="L823" s="975">
        <f t="shared" si="1301"/>
        <v>4164.8503176140766</v>
      </c>
      <c r="M823" s="975">
        <f t="shared" si="1301"/>
        <v>5569.9483509982365</v>
      </c>
      <c r="N823" s="975">
        <f t="shared" si="1301"/>
        <v>4827.8294443693303</v>
      </c>
      <c r="O823" s="975">
        <f t="shared" si="1301"/>
        <v>5422.8127800333423</v>
      </c>
      <c r="P823" s="975">
        <f t="shared" si="1301"/>
        <v>6907.3011293195341</v>
      </c>
      <c r="Q823" s="975">
        <f t="shared" si="1301"/>
        <v>5903.09664087079</v>
      </c>
      <c r="R823" s="975">
        <f t="shared" si="1301"/>
        <v>6142.6354111272158</v>
      </c>
      <c r="S823" s="489"/>
      <c r="T823" s="975"/>
      <c r="U823" s="976"/>
      <c r="Y823" s="841"/>
      <c r="AC823" s="841"/>
      <c r="AG823" s="841"/>
      <c r="AK823" s="841"/>
      <c r="AO823" s="841"/>
      <c r="AS823" s="841"/>
      <c r="AW823" s="841"/>
      <c r="BA823" s="841"/>
      <c r="BF823" s="831"/>
      <c r="BG823" s="831"/>
      <c r="BH823" s="831"/>
      <c r="BI823" s="831"/>
      <c r="BJ823" s="831"/>
      <c r="BK823" s="831"/>
      <c r="BL823" s="831"/>
      <c r="BM823" s="831"/>
      <c r="BN823" s="831"/>
      <c r="BO823" s="831"/>
      <c r="BP823" s="831"/>
      <c r="BQ823" s="831"/>
      <c r="BR823" s="831"/>
      <c r="BS823" s="831"/>
      <c r="BT823" s="831"/>
      <c r="BU823" s="831"/>
      <c r="BV823" s="831"/>
      <c r="BW823" s="831"/>
      <c r="BX823" s="831"/>
      <c r="BY823" s="831"/>
      <c r="BZ823" s="831"/>
      <c r="CA823" s="831"/>
      <c r="CB823" s="831"/>
      <c r="CC823" s="831"/>
      <c r="CG823"/>
      <c r="CH823"/>
      <c r="CI823"/>
      <c r="CJ823"/>
      <c r="CK823"/>
      <c r="CL823"/>
    </row>
    <row r="824" spans="1:90" s="821" customFormat="1" ht="12.75" customHeight="1" outlineLevel="1">
      <c r="A824" s="1336"/>
      <c r="B824" s="821" t="s">
        <v>775</v>
      </c>
      <c r="C824" s="963"/>
      <c r="D824" s="963"/>
      <c r="E824" s="963">
        <f t="shared" ref="E824:J824" si="1302">D595-E595</f>
        <v>-3312</v>
      </c>
      <c r="F824" s="963">
        <f t="shared" si="1302"/>
        <v>-375</v>
      </c>
      <c r="G824" s="963">
        <f t="shared" si="1302"/>
        <v>-1234</v>
      </c>
      <c r="H824" s="963">
        <f t="shared" si="1302"/>
        <v>2624</v>
      </c>
      <c r="I824" s="963">
        <f t="shared" si="1302"/>
        <v>951</v>
      </c>
      <c r="J824" s="1445">
        <f t="shared" si="1302"/>
        <v>-1309</v>
      </c>
      <c r="K824" s="846">
        <f t="shared" ref="K824:R824" si="1303">J595-K595</f>
        <v>0</v>
      </c>
      <c r="L824" s="963">
        <f t="shared" si="1303"/>
        <v>0</v>
      </c>
      <c r="M824" s="963">
        <f t="shared" si="1303"/>
        <v>0</v>
      </c>
      <c r="N824" s="963">
        <f t="shared" si="1303"/>
        <v>0</v>
      </c>
      <c r="O824" s="963">
        <f t="shared" si="1303"/>
        <v>0</v>
      </c>
      <c r="P824" s="963">
        <f t="shared" si="1303"/>
        <v>0</v>
      </c>
      <c r="Q824" s="963">
        <f t="shared" si="1303"/>
        <v>0</v>
      </c>
      <c r="R824" s="963">
        <f t="shared" si="1303"/>
        <v>0</v>
      </c>
      <c r="S824" s="489"/>
      <c r="T824" s="983"/>
      <c r="U824" s="984"/>
      <c r="Y824" s="848"/>
      <c r="AC824" s="848"/>
      <c r="AG824" s="848"/>
      <c r="AK824" s="848"/>
      <c r="AO824" s="848"/>
      <c r="AS824" s="848"/>
      <c r="AW824" s="848"/>
      <c r="BA824" s="848"/>
      <c r="BF824" s="820"/>
      <c r="BG824" s="820"/>
      <c r="BH824" s="820"/>
      <c r="BI824" s="820"/>
      <c r="BJ824" s="820"/>
      <c r="BK824" s="820"/>
      <c r="BL824" s="820"/>
      <c r="BM824" s="820"/>
      <c r="BN824" s="820"/>
      <c r="BO824" s="820"/>
      <c r="BP824" s="820"/>
      <c r="BQ824" s="820"/>
      <c r="BR824" s="820"/>
      <c r="BS824" s="820"/>
      <c r="BT824" s="820"/>
      <c r="BU824" s="820"/>
      <c r="BV824" s="820"/>
      <c r="BW824" s="820"/>
      <c r="BX824" s="820"/>
      <c r="BY824" s="820"/>
      <c r="BZ824" s="820"/>
      <c r="CA824" s="820"/>
      <c r="CB824" s="820"/>
      <c r="CC824" s="820"/>
      <c r="CG824"/>
      <c r="CH824"/>
      <c r="CI824"/>
      <c r="CJ824"/>
      <c r="CK824"/>
      <c r="CL824"/>
    </row>
    <row r="825" spans="1:90" s="821" customFormat="1" ht="12.75" customHeight="1" outlineLevel="1">
      <c r="A825" s="1336"/>
      <c r="B825" s="821" t="s">
        <v>187</v>
      </c>
      <c r="C825" s="820"/>
      <c r="D825" s="820"/>
      <c r="E825" s="872">
        <v>-54</v>
      </c>
      <c r="F825" s="490">
        <v>-76</v>
      </c>
      <c r="G825" s="985">
        <v>-97</v>
      </c>
      <c r="H825" s="986">
        <v>-112</v>
      </c>
      <c r="I825" s="986">
        <v>466</v>
      </c>
      <c r="J825" s="1479">
        <v>2042</v>
      </c>
      <c r="K825" s="822"/>
      <c r="L825" s="822"/>
      <c r="M825" s="822"/>
      <c r="N825" s="822"/>
      <c r="O825" s="822"/>
      <c r="P825" s="822"/>
      <c r="Q825" s="822"/>
      <c r="R825" s="822"/>
      <c r="S825" s="489"/>
      <c r="T825" s="872"/>
      <c r="U825" s="490"/>
      <c r="Y825" s="848"/>
      <c r="AC825" s="848"/>
      <c r="AG825" s="848"/>
      <c r="AK825" s="848"/>
      <c r="AO825" s="848"/>
      <c r="AS825" s="848"/>
      <c r="AW825" s="848"/>
      <c r="BA825" s="848"/>
      <c r="BF825" s="820"/>
      <c r="BG825" s="820"/>
      <c r="BH825" s="820"/>
      <c r="BI825" s="820"/>
      <c r="BJ825" s="820"/>
      <c r="BK825" s="820"/>
      <c r="BL825" s="820"/>
      <c r="BM825" s="820"/>
      <c r="BN825" s="820"/>
      <c r="BO825" s="820"/>
      <c r="BP825" s="820"/>
      <c r="BQ825" s="820"/>
      <c r="BR825" s="820"/>
      <c r="BS825" s="820"/>
      <c r="BT825" s="820"/>
      <c r="BU825" s="820"/>
      <c r="BV825" s="820"/>
      <c r="BW825" s="820"/>
      <c r="BX825" s="820"/>
      <c r="BY825" s="820"/>
      <c r="BZ825" s="820"/>
      <c r="CA825" s="820"/>
      <c r="CB825" s="820"/>
      <c r="CC825" s="820"/>
      <c r="CG825"/>
      <c r="CH825"/>
      <c r="CI825"/>
      <c r="CJ825"/>
      <c r="CK825"/>
      <c r="CL825"/>
    </row>
    <row r="826" spans="1:90" s="868" customFormat="1" ht="12.75" customHeight="1" outlineLevel="1">
      <c r="A826" s="1353"/>
      <c r="B826" s="868" t="s">
        <v>168</v>
      </c>
      <c r="C826" s="831"/>
      <c r="D826" s="831"/>
      <c r="E826" s="987">
        <f>E785+E802+E823+E825</f>
        <v>9571</v>
      </c>
      <c r="F826" s="987">
        <f>F785+F802+F823+F825</f>
        <v>13539</v>
      </c>
      <c r="G826" s="987">
        <f>G785+G802+G823+G825</f>
        <v>2649</v>
      </c>
      <c r="H826" s="988">
        <v>75148</v>
      </c>
      <c r="I826" s="145">
        <f>I785+I802+I823+I825</f>
        <v>-1375</v>
      </c>
      <c r="J826" s="1436">
        <f>J785+J802+J823+J825</f>
        <v>36918</v>
      </c>
      <c r="K826" s="145">
        <f t="shared" ref="K826:R826" si="1304">K785+K802+K823+K825</f>
        <v>79611.452463077221</v>
      </c>
      <c r="L826" s="145">
        <f t="shared" si="1304"/>
        <v>65443.293079201612</v>
      </c>
      <c r="M826" s="145">
        <f t="shared" si="1304"/>
        <v>104417.57684069187</v>
      </c>
      <c r="N826" s="145">
        <f t="shared" si="1304"/>
        <v>133307.69811390204</v>
      </c>
      <c r="O826" s="145">
        <f t="shared" si="1304"/>
        <v>189161.95161727065</v>
      </c>
      <c r="P826" s="145">
        <f t="shared" si="1304"/>
        <v>234745.98416895082</v>
      </c>
      <c r="Q826" s="145">
        <f t="shared" si="1304"/>
        <v>261393.11528590979</v>
      </c>
      <c r="R826" s="145">
        <f t="shared" si="1304"/>
        <v>298557.34089784248</v>
      </c>
      <c r="S826" s="489"/>
      <c r="T826" s="145"/>
      <c r="U826" s="389"/>
      <c r="Y826" s="892"/>
      <c r="AC826" s="892"/>
      <c r="AG826" s="892"/>
      <c r="AK826" s="892"/>
      <c r="AO826" s="892"/>
      <c r="AS826" s="892"/>
      <c r="AW826" s="892"/>
      <c r="BA826" s="892"/>
      <c r="BF826" s="831"/>
      <c r="BG826" s="831"/>
      <c r="BH826" s="831"/>
      <c r="BI826" s="831"/>
      <c r="BJ826" s="831"/>
      <c r="BK826" s="831"/>
      <c r="BL826" s="831"/>
      <c r="BM826" s="831"/>
      <c r="BN826" s="831"/>
      <c r="BO826" s="831"/>
      <c r="BP826" s="831"/>
      <c r="BQ826" s="831"/>
      <c r="BR826" s="831"/>
      <c r="BS826" s="831"/>
      <c r="BT826" s="831"/>
      <c r="BU826" s="831"/>
      <c r="BV826" s="831"/>
      <c r="BW826" s="831"/>
      <c r="BX826" s="831"/>
      <c r="BY826" s="831"/>
      <c r="BZ826" s="831"/>
      <c r="CA826" s="831"/>
      <c r="CB826" s="831"/>
      <c r="CC826" s="831"/>
      <c r="CD826" s="893"/>
      <c r="CE826" s="893"/>
      <c r="CG826"/>
      <c r="CH826"/>
      <c r="CI826"/>
      <c r="CJ826"/>
      <c r="CK826"/>
      <c r="CL826"/>
    </row>
    <row r="827" spans="1:90" s="821" customFormat="1" ht="12.75" customHeight="1" outlineLevel="1">
      <c r="A827" s="1336"/>
      <c r="B827" s="821" t="s">
        <v>188</v>
      </c>
      <c r="C827" s="820"/>
      <c r="D827" s="820"/>
      <c r="E827" s="872">
        <v>7286</v>
      </c>
      <c r="F827" s="872">
        <f t="shared" ref="F827:K827" si="1305">E828</f>
        <v>16857</v>
      </c>
      <c r="G827" s="872">
        <f t="shared" si="1305"/>
        <v>30396</v>
      </c>
      <c r="H827" s="989">
        <f t="shared" si="1305"/>
        <v>33045</v>
      </c>
      <c r="I827" s="30">
        <f t="shared" si="1305"/>
        <v>108193</v>
      </c>
      <c r="J827" s="1455">
        <f t="shared" si="1305"/>
        <v>106818</v>
      </c>
      <c r="K827" s="30">
        <f t="shared" si="1305"/>
        <v>143736</v>
      </c>
      <c r="L827" s="30">
        <f t="shared" ref="L827:R827" si="1306">K828</f>
        <v>223347.45246307721</v>
      </c>
      <c r="M827" s="30">
        <f t="shared" si="1306"/>
        <v>288790.7455422788</v>
      </c>
      <c r="N827" s="30">
        <f t="shared" si="1306"/>
        <v>393208.32238297065</v>
      </c>
      <c r="O827" s="30">
        <f t="shared" si="1306"/>
        <v>526516.02049687272</v>
      </c>
      <c r="P827" s="30">
        <f t="shared" si="1306"/>
        <v>715677.97211414343</v>
      </c>
      <c r="Q827" s="30">
        <f t="shared" si="1306"/>
        <v>950423.95628309425</v>
      </c>
      <c r="R827" s="30">
        <f t="shared" si="1306"/>
        <v>1211817.0715690041</v>
      </c>
      <c r="S827" s="489"/>
      <c r="T827" s="30"/>
      <c r="U827" s="454"/>
      <c r="Y827" s="848"/>
      <c r="AC827" s="848"/>
      <c r="AG827" s="848"/>
      <c r="AK827" s="848"/>
      <c r="AO827" s="848"/>
      <c r="AS827" s="848"/>
      <c r="AW827" s="848"/>
      <c r="BA827" s="848"/>
      <c r="BF827" s="820"/>
      <c r="BG827" s="820"/>
      <c r="BH827" s="820"/>
      <c r="BI827" s="820"/>
      <c r="BJ827" s="820"/>
      <c r="BK827" s="820"/>
      <c r="BL827" s="820"/>
      <c r="BM827" s="820"/>
      <c r="BN827" s="820"/>
      <c r="BO827" s="820"/>
      <c r="BP827" s="820"/>
      <c r="BQ827" s="820"/>
      <c r="BR827" s="820"/>
      <c r="BS827" s="820"/>
      <c r="BT827" s="820"/>
      <c r="BU827" s="820"/>
      <c r="BV827" s="820"/>
      <c r="BW827" s="820"/>
      <c r="BX827" s="820"/>
      <c r="BY827" s="820"/>
      <c r="BZ827" s="820"/>
      <c r="CA827" s="820"/>
      <c r="CB827" s="820"/>
      <c r="CC827" s="820"/>
      <c r="CD827" s="826"/>
      <c r="CE827" s="826"/>
      <c r="CG827"/>
      <c r="CH827"/>
      <c r="CI827"/>
      <c r="CJ827"/>
      <c r="CK827"/>
      <c r="CL827"/>
    </row>
    <row r="828" spans="1:90" s="837" customFormat="1" ht="12.75" customHeight="1" outlineLevel="1">
      <c r="A828" s="1353"/>
      <c r="B828" s="837" t="s">
        <v>189</v>
      </c>
      <c r="E828" s="990">
        <f t="shared" ref="E828:J828" si="1307">E826+E827</f>
        <v>16857</v>
      </c>
      <c r="F828" s="990">
        <f t="shared" si="1307"/>
        <v>30396</v>
      </c>
      <c r="G828" s="990">
        <f t="shared" si="1307"/>
        <v>33045</v>
      </c>
      <c r="H828" s="840">
        <f t="shared" si="1307"/>
        <v>108193</v>
      </c>
      <c r="I828" s="840">
        <f t="shared" si="1307"/>
        <v>106818</v>
      </c>
      <c r="J828" s="1438">
        <f t="shared" si="1307"/>
        <v>143736</v>
      </c>
      <c r="K828" s="840">
        <f t="shared" ref="K828:R828" si="1308">K826+K827</f>
        <v>223347.45246307721</v>
      </c>
      <c r="L828" s="840">
        <f t="shared" si="1308"/>
        <v>288790.7455422788</v>
      </c>
      <c r="M828" s="840">
        <f t="shared" si="1308"/>
        <v>393208.32238297065</v>
      </c>
      <c r="N828" s="840">
        <f t="shared" si="1308"/>
        <v>526516.02049687272</v>
      </c>
      <c r="O828" s="840">
        <f t="shared" si="1308"/>
        <v>715677.97211414343</v>
      </c>
      <c r="P828" s="840">
        <f t="shared" si="1308"/>
        <v>950423.95628309425</v>
      </c>
      <c r="Q828" s="840">
        <f t="shared" si="1308"/>
        <v>1211817.0715690041</v>
      </c>
      <c r="R828" s="840">
        <f t="shared" si="1308"/>
        <v>1510374.4124668466</v>
      </c>
      <c r="S828" s="489"/>
      <c r="T828" s="840"/>
      <c r="U828" s="389"/>
      <c r="Y828" s="841"/>
      <c r="AC828" s="841"/>
      <c r="AG828" s="841"/>
      <c r="AK828" s="841"/>
      <c r="AO828" s="841"/>
      <c r="AS828" s="841"/>
      <c r="AW828" s="841"/>
      <c r="BA828" s="841"/>
      <c r="BF828" s="831"/>
      <c r="BG828" s="831"/>
      <c r="BH828" s="831"/>
      <c r="BI828" s="831"/>
      <c r="BJ828" s="831"/>
      <c r="BK828" s="831"/>
      <c r="BL828" s="831"/>
      <c r="BM828" s="831"/>
      <c r="BN828" s="831"/>
      <c r="BO828" s="831"/>
      <c r="BP828" s="831"/>
      <c r="BQ828" s="831"/>
      <c r="BR828" s="831"/>
      <c r="BS828" s="831"/>
      <c r="BT828" s="831"/>
      <c r="BU828" s="831"/>
      <c r="BV828" s="831"/>
      <c r="BW828" s="831"/>
      <c r="BX828" s="831"/>
      <c r="BY828" s="831"/>
      <c r="BZ828" s="831"/>
      <c r="CA828" s="831"/>
      <c r="CB828" s="831"/>
      <c r="CC828" s="831"/>
      <c r="CG828"/>
      <c r="CH828"/>
      <c r="CI828"/>
      <c r="CJ828"/>
      <c r="CK828"/>
      <c r="CL828"/>
    </row>
    <row r="829" spans="1:90" s="992" customFormat="1" ht="12.75" customHeight="1" outlineLevel="1">
      <c r="A829" s="1336"/>
      <c r="B829" s="992" t="s">
        <v>139</v>
      </c>
      <c r="C829" s="991"/>
      <c r="D829" s="991"/>
      <c r="E829" s="887">
        <f>Model!E594-E828</f>
        <v>0</v>
      </c>
      <c r="F829" s="887">
        <f>Model!F594-F828</f>
        <v>0</v>
      </c>
      <c r="G829" s="887">
        <f>Model!G594-G828</f>
        <v>0</v>
      </c>
      <c r="H829" s="887">
        <f>Model!H594-H828</f>
        <v>0</v>
      </c>
      <c r="I829" s="887">
        <f>Model!I594-I828</f>
        <v>0</v>
      </c>
      <c r="J829" s="1480">
        <f>Model!J594-J828</f>
        <v>0</v>
      </c>
      <c r="K829" s="887">
        <f>Model!K594-K828</f>
        <v>0</v>
      </c>
      <c r="L829" s="887">
        <f>Model!L594-L828</f>
        <v>0</v>
      </c>
      <c r="M829" s="887">
        <f>Model!M594-M828</f>
        <v>0</v>
      </c>
      <c r="N829" s="887">
        <f>Model!N594-N828</f>
        <v>0</v>
      </c>
      <c r="O829" s="887">
        <f>Model!O594-O828</f>
        <v>0</v>
      </c>
      <c r="P829" s="887">
        <f>Model!P594-P828</f>
        <v>0</v>
      </c>
      <c r="Q829" s="887">
        <f>Model!Q594-Q828</f>
        <v>0</v>
      </c>
      <c r="R829" s="887">
        <f>Model!R594-R828</f>
        <v>0</v>
      </c>
      <c r="S829" s="991"/>
      <c r="T829" s="887"/>
      <c r="U829" s="993"/>
      <c r="Y829" s="994"/>
      <c r="AC829" s="994"/>
      <c r="AG829" s="994"/>
      <c r="AK829" s="994"/>
      <c r="AO829" s="994"/>
      <c r="AS829" s="994"/>
      <c r="AW829" s="994"/>
      <c r="BA829" s="994"/>
      <c r="BF829" s="991"/>
      <c r="BG829" s="991"/>
      <c r="BH829" s="991"/>
      <c r="BI829" s="991"/>
      <c r="BJ829" s="991"/>
      <c r="BK829" s="991"/>
      <c r="BL829" s="991"/>
      <c r="BM829" s="991"/>
      <c r="BN829" s="991"/>
      <c r="BO829" s="991"/>
      <c r="BP829" s="991"/>
      <c r="BQ829" s="991"/>
      <c r="BR829" s="991"/>
      <c r="BS829" s="991"/>
      <c r="BT829" s="991"/>
      <c r="BU829" s="991"/>
      <c r="BV829" s="991"/>
      <c r="BW829" s="991"/>
      <c r="BX829" s="991"/>
      <c r="BY829" s="991"/>
      <c r="BZ829" s="991"/>
      <c r="CA829" s="991"/>
      <c r="CB829" s="991"/>
      <c r="CC829" s="991"/>
      <c r="CD829" s="995"/>
      <c r="CE829" s="995"/>
      <c r="CG829"/>
      <c r="CH829"/>
      <c r="CI829"/>
      <c r="CJ829"/>
      <c r="CK829"/>
      <c r="CL829"/>
    </row>
    <row r="830" spans="1:90" s="821" customFormat="1" ht="12.75" customHeight="1" outlineLevel="1">
      <c r="A830" s="1336"/>
      <c r="C830" s="820"/>
      <c r="D830" s="820"/>
      <c r="E830" s="957"/>
      <c r="F830" s="957"/>
      <c r="G830" s="957"/>
      <c r="H830" s="822"/>
      <c r="I830" s="822"/>
      <c r="J830" s="1430"/>
      <c r="K830" s="822"/>
      <c r="L830" s="822"/>
      <c r="M830" s="822"/>
      <c r="N830" s="822"/>
      <c r="O830" s="822"/>
      <c r="P830" s="822"/>
      <c r="Q830" s="822"/>
      <c r="R830" s="822"/>
      <c r="S830" s="820"/>
      <c r="T830" s="957"/>
      <c r="U830" s="996"/>
      <c r="Y830" s="848"/>
      <c r="AC830" s="848"/>
      <c r="AG830" s="848"/>
      <c r="AK830" s="848"/>
      <c r="AO830" s="848"/>
      <c r="AS830" s="848"/>
      <c r="AW830" s="848"/>
      <c r="BA830" s="848"/>
      <c r="BF830" s="820"/>
      <c r="BG830" s="820"/>
      <c r="BH830" s="820"/>
      <c r="BI830" s="820"/>
      <c r="BJ830" s="820"/>
      <c r="BK830" s="820"/>
      <c r="BL830" s="820"/>
      <c r="BM830" s="820"/>
      <c r="BN830" s="820"/>
      <c r="BO830" s="820"/>
      <c r="BP830" s="820"/>
      <c r="BQ830" s="820"/>
      <c r="BR830" s="820"/>
      <c r="BS830" s="820"/>
      <c r="BT830" s="820"/>
      <c r="BU830" s="820"/>
      <c r="BV830" s="820"/>
      <c r="BW830" s="820"/>
      <c r="BX830" s="820"/>
      <c r="BY830" s="820"/>
      <c r="BZ830" s="820"/>
      <c r="CA830" s="820"/>
      <c r="CB830" s="820"/>
      <c r="CC830" s="820"/>
      <c r="CD830" s="826"/>
      <c r="CE830" s="826"/>
      <c r="CG830"/>
      <c r="CH830"/>
      <c r="CI830"/>
      <c r="CJ830"/>
      <c r="CK830"/>
      <c r="CL830"/>
    </row>
    <row r="831" spans="1:90" s="821" customFormat="1" ht="12.75" customHeight="1" outlineLevel="1">
      <c r="A831" s="1336"/>
      <c r="C831" s="820"/>
      <c r="D831" s="820"/>
      <c r="E831" s="997"/>
      <c r="F831" s="997"/>
      <c r="G831" s="997"/>
      <c r="H831" s="871"/>
      <c r="I831" s="871"/>
      <c r="J831" s="1444"/>
      <c r="K831" s="871"/>
      <c r="L831" s="871"/>
      <c r="M831" s="871"/>
      <c r="N831" s="871"/>
      <c r="O831" s="871"/>
      <c r="P831" s="871"/>
      <c r="Q831" s="871"/>
      <c r="R831" s="871"/>
      <c r="S831" s="820"/>
      <c r="T831" s="997"/>
      <c r="U831" s="998"/>
      <c r="Y831" s="848"/>
      <c r="AC831" s="848"/>
      <c r="AG831" s="848"/>
      <c r="AK831" s="848"/>
      <c r="AO831" s="848"/>
      <c r="AS831" s="848"/>
      <c r="AW831" s="848"/>
      <c r="BA831" s="848"/>
      <c r="BF831" s="820"/>
      <c r="BG831" s="820"/>
      <c r="BH831" s="820"/>
      <c r="BI831" s="820"/>
      <c r="BJ831" s="820"/>
      <c r="BK831" s="820"/>
      <c r="BL831" s="820"/>
      <c r="BM831" s="820"/>
      <c r="BN831" s="820"/>
      <c r="BO831" s="820"/>
      <c r="BP831" s="820"/>
      <c r="BQ831" s="820"/>
      <c r="BR831" s="820"/>
      <c r="BS831" s="820"/>
      <c r="BT831" s="820"/>
      <c r="BU831" s="820"/>
      <c r="BV831" s="820"/>
      <c r="BW831" s="820"/>
      <c r="BX831" s="820"/>
      <c r="BY831" s="820"/>
      <c r="BZ831" s="820"/>
      <c r="CA831" s="820"/>
      <c r="CB831" s="820"/>
      <c r="CC831" s="820"/>
      <c r="CD831" s="826"/>
      <c r="CE831" s="826"/>
      <c r="CG831"/>
      <c r="CH831"/>
      <c r="CI831"/>
      <c r="CJ831"/>
      <c r="CK831"/>
      <c r="CL831"/>
    </row>
    <row r="832" spans="1:90" s="999" customFormat="1" ht="12.75" customHeight="1" outlineLevel="1">
      <c r="A832" s="1336"/>
      <c r="B832" s="881" t="s">
        <v>266</v>
      </c>
      <c r="E832" s="1000"/>
      <c r="F832" s="1000"/>
      <c r="G832" s="1000"/>
      <c r="H832" s="1001"/>
      <c r="I832" s="1002"/>
      <c r="J832" s="1481"/>
      <c r="K832" s="1002"/>
      <c r="L832" s="1002"/>
      <c r="M832" s="1002"/>
      <c r="N832" s="1002"/>
      <c r="O832" s="1002"/>
      <c r="P832" s="1002"/>
      <c r="Q832" s="1002"/>
      <c r="R832" s="1002"/>
      <c r="S832" s="820"/>
      <c r="T832" s="1000"/>
      <c r="U832" s="998"/>
      <c r="Y832" s="1003"/>
      <c r="AC832" s="1003"/>
      <c r="AG832" s="1003"/>
      <c r="AK832" s="1003"/>
      <c r="AO832" s="1003"/>
      <c r="AS832" s="1003"/>
      <c r="AW832" s="1003"/>
      <c r="BA832" s="1003"/>
      <c r="BF832" s="820"/>
      <c r="BG832" s="820"/>
      <c r="BH832" s="820"/>
      <c r="BI832" s="820"/>
      <c r="BJ832" s="820"/>
      <c r="BK832" s="820"/>
      <c r="BL832" s="820"/>
      <c r="BM832" s="820"/>
      <c r="BN832" s="820"/>
      <c r="BO832" s="820"/>
      <c r="BP832" s="820"/>
      <c r="BQ832" s="820"/>
      <c r="BR832" s="820"/>
      <c r="BS832" s="820"/>
      <c r="BT832" s="820"/>
      <c r="BU832" s="820"/>
      <c r="BV832" s="820"/>
      <c r="BW832" s="820"/>
      <c r="BX832" s="820"/>
      <c r="BY832" s="820"/>
      <c r="BZ832" s="820"/>
      <c r="CA832" s="820"/>
      <c r="CB832" s="820"/>
      <c r="CC832" s="820"/>
      <c r="CG832"/>
      <c r="CH832"/>
      <c r="CI832"/>
      <c r="CJ832"/>
      <c r="CK832"/>
      <c r="CL832"/>
    </row>
    <row r="833" spans="1:90" s="821" customFormat="1" ht="12.75" customHeight="1" outlineLevel="1">
      <c r="A833" s="1336"/>
      <c r="B833" s="821" t="s">
        <v>287</v>
      </c>
      <c r="C833" s="820"/>
      <c r="D833" s="820"/>
      <c r="E833" s="997"/>
      <c r="F833" s="997"/>
      <c r="G833" s="997">
        <f>3130+1097</f>
        <v>4227</v>
      </c>
      <c r="H833" s="844">
        <v>2978</v>
      </c>
      <c r="I833" s="871"/>
      <c r="J833" s="1444"/>
      <c r="K833" s="871"/>
      <c r="L833" s="871"/>
      <c r="M833" s="871"/>
      <c r="N833" s="871"/>
      <c r="O833" s="871"/>
      <c r="P833" s="871"/>
      <c r="Q833" s="871"/>
      <c r="R833" s="871"/>
      <c r="S833" s="820"/>
      <c r="T833" s="997"/>
      <c r="U833" s="998"/>
      <c r="Y833" s="848"/>
      <c r="AC833" s="848"/>
      <c r="AG833" s="848"/>
      <c r="AK833" s="848"/>
      <c r="AO833" s="848"/>
      <c r="AS833" s="848"/>
      <c r="AW833" s="848"/>
      <c r="BA833" s="848"/>
      <c r="BF833" s="820"/>
      <c r="BG833" s="820"/>
      <c r="BH833" s="820"/>
      <c r="BI833" s="820"/>
      <c r="BJ833" s="820"/>
      <c r="BK833" s="820"/>
      <c r="BL833" s="820"/>
      <c r="BM833" s="820"/>
      <c r="BN833" s="820"/>
      <c r="BO833" s="820"/>
      <c r="BP833" s="820"/>
      <c r="BQ833" s="820"/>
      <c r="BR833" s="820"/>
      <c r="BS833" s="820"/>
      <c r="BT833" s="820"/>
      <c r="BU833" s="820"/>
      <c r="BV833" s="820"/>
      <c r="BW833" s="820"/>
      <c r="BX833" s="820"/>
      <c r="BY833" s="820"/>
      <c r="BZ833" s="820"/>
      <c r="CA833" s="820"/>
      <c r="CB833" s="820"/>
      <c r="CC833" s="820"/>
      <c r="CD833" s="826"/>
      <c r="CE833" s="826"/>
      <c r="CG833"/>
      <c r="CH833"/>
      <c r="CI833"/>
      <c r="CJ833"/>
      <c r="CK833"/>
      <c r="CL833"/>
    </row>
    <row r="834" spans="1:90" s="821" customFormat="1" ht="12.75" customHeight="1" outlineLevel="1">
      <c r="A834" s="1336"/>
      <c r="B834" s="821" t="s">
        <v>279</v>
      </c>
      <c r="C834" s="820"/>
      <c r="D834" s="820"/>
      <c r="E834" s="997"/>
      <c r="F834" s="997"/>
      <c r="G834" s="997">
        <v>1818</v>
      </c>
      <c r="H834" s="844">
        <v>7037</v>
      </c>
      <c r="I834" s="871"/>
      <c r="J834" s="1444"/>
      <c r="K834" s="871"/>
      <c r="L834" s="871"/>
      <c r="M834" s="871"/>
      <c r="N834" s="871"/>
      <c r="O834" s="871"/>
      <c r="P834" s="871"/>
      <c r="Q834" s="871"/>
      <c r="R834" s="871"/>
      <c r="S834" s="820"/>
      <c r="T834" s="997"/>
      <c r="U834" s="998"/>
      <c r="Y834" s="848"/>
      <c r="AC834" s="848"/>
      <c r="AG834" s="848"/>
      <c r="AK834" s="848"/>
      <c r="AO834" s="848"/>
      <c r="AS834" s="848"/>
      <c r="AW834" s="848"/>
      <c r="BA834" s="848"/>
      <c r="BF834" s="820"/>
      <c r="BG834" s="820"/>
      <c r="BH834" s="820"/>
      <c r="BI834" s="820"/>
      <c r="BJ834" s="820"/>
      <c r="BK834" s="820"/>
      <c r="BL834" s="820"/>
      <c r="BM834" s="820"/>
      <c r="BN834" s="820"/>
      <c r="BO834" s="820"/>
      <c r="BP834" s="820"/>
      <c r="BQ834" s="820"/>
      <c r="BR834" s="820"/>
      <c r="BS834" s="820"/>
      <c r="BT834" s="820"/>
      <c r="BU834" s="820"/>
      <c r="BV834" s="820"/>
      <c r="BW834" s="820"/>
      <c r="BX834" s="820"/>
      <c r="BY834" s="820"/>
      <c r="BZ834" s="820"/>
      <c r="CA834" s="820"/>
      <c r="CB834" s="820"/>
      <c r="CC834" s="820"/>
      <c r="CD834" s="826"/>
      <c r="CE834" s="826"/>
      <c r="CG834"/>
      <c r="CH834"/>
      <c r="CI834"/>
      <c r="CJ834"/>
      <c r="CK834"/>
      <c r="CL834"/>
    </row>
    <row r="835" spans="1:90" s="821" customFormat="1" ht="12.75" customHeight="1" outlineLevel="1">
      <c r="A835" s="1336"/>
      <c r="B835" s="821" t="s">
        <v>284</v>
      </c>
      <c r="C835" s="820"/>
      <c r="D835" s="820"/>
      <c r="E835" s="997"/>
      <c r="F835" s="997"/>
      <c r="G835" s="997"/>
      <c r="H835" s="844">
        <v>790</v>
      </c>
      <c r="I835" s="871"/>
      <c r="J835" s="1444"/>
      <c r="K835" s="871"/>
      <c r="L835" s="871"/>
      <c r="M835" s="871"/>
      <c r="N835" s="871"/>
      <c r="O835" s="871"/>
      <c r="P835" s="871"/>
      <c r="Q835" s="871"/>
      <c r="R835" s="871"/>
      <c r="S835" s="820"/>
      <c r="T835" s="997"/>
      <c r="U835" s="998"/>
      <c r="Y835" s="848"/>
      <c r="AC835" s="848"/>
      <c r="AG835" s="848"/>
      <c r="AK835" s="848"/>
      <c r="AO835" s="848"/>
      <c r="AS835" s="848"/>
      <c r="AW835" s="848"/>
      <c r="BA835" s="848"/>
      <c r="BF835" s="820"/>
      <c r="BG835" s="820"/>
      <c r="BH835" s="820"/>
      <c r="BI835" s="820"/>
      <c r="BJ835" s="820"/>
      <c r="BK835" s="820"/>
      <c r="BL835" s="820"/>
      <c r="BM835" s="820"/>
      <c r="BN835" s="820"/>
      <c r="BO835" s="820"/>
      <c r="BP835" s="820"/>
      <c r="BQ835" s="820"/>
      <c r="BR835" s="820"/>
      <c r="BS835" s="820"/>
      <c r="BT835" s="820"/>
      <c r="BU835" s="820"/>
      <c r="BV835" s="820"/>
      <c r="BW835" s="820"/>
      <c r="BX835" s="820"/>
      <c r="BY835" s="820"/>
      <c r="BZ835" s="820"/>
      <c r="CA835" s="820"/>
      <c r="CB835" s="820"/>
      <c r="CC835" s="820"/>
      <c r="CD835" s="826"/>
      <c r="CE835" s="826"/>
      <c r="CG835"/>
      <c r="CH835"/>
      <c r="CI835"/>
      <c r="CJ835"/>
      <c r="CK835"/>
      <c r="CL835"/>
    </row>
    <row r="836" spans="1:90" s="821" customFormat="1" ht="12.75" customHeight="1" outlineLevel="1">
      <c r="A836" s="1336"/>
      <c r="C836" s="820"/>
      <c r="D836" s="820"/>
      <c r="E836" s="997"/>
      <c r="F836" s="997"/>
      <c r="G836" s="997"/>
      <c r="H836" s="844"/>
      <c r="I836" s="871"/>
      <c r="J836" s="1444"/>
      <c r="K836" s="871"/>
      <c r="L836" s="871"/>
      <c r="M836" s="871"/>
      <c r="N836" s="871"/>
      <c r="O836" s="871"/>
      <c r="P836" s="871"/>
      <c r="Q836" s="871"/>
      <c r="R836" s="871"/>
      <c r="S836" s="820"/>
      <c r="T836" s="997"/>
      <c r="U836" s="998"/>
      <c r="Y836" s="848"/>
      <c r="AC836" s="848"/>
      <c r="AG836" s="848"/>
      <c r="AK836" s="848"/>
      <c r="AO836" s="848"/>
      <c r="AS836" s="848"/>
      <c r="AW836" s="848"/>
      <c r="BA836" s="848"/>
      <c r="BF836" s="820"/>
      <c r="BG836" s="820"/>
      <c r="BH836" s="820"/>
      <c r="BI836" s="820"/>
      <c r="BJ836" s="820"/>
      <c r="BK836" s="820"/>
      <c r="BL836" s="820"/>
      <c r="BM836" s="820"/>
      <c r="BN836" s="820"/>
      <c r="BO836" s="820"/>
      <c r="BP836" s="820"/>
      <c r="BQ836" s="820"/>
      <c r="BR836" s="820"/>
      <c r="BS836" s="820"/>
      <c r="BT836" s="820"/>
      <c r="BU836" s="820"/>
      <c r="BV836" s="820"/>
      <c r="BW836" s="820"/>
      <c r="BX836" s="820"/>
      <c r="BY836" s="820"/>
      <c r="BZ836" s="820"/>
      <c r="CA836" s="820"/>
      <c r="CB836" s="820"/>
      <c r="CC836" s="820"/>
      <c r="CD836" s="826"/>
      <c r="CE836" s="826"/>
      <c r="CG836"/>
      <c r="CH836"/>
      <c r="CI836"/>
      <c r="CJ836"/>
      <c r="CK836"/>
      <c r="CL836"/>
    </row>
    <row r="837" spans="1:90" s="821" customFormat="1" ht="12.75" customHeight="1" outlineLevel="1">
      <c r="A837" s="1336"/>
      <c r="B837" s="821" t="s">
        <v>884</v>
      </c>
      <c r="C837" s="820"/>
      <c r="D837" s="820"/>
      <c r="E837" s="997"/>
      <c r="F837" s="997"/>
      <c r="G837" s="997">
        <v>1680</v>
      </c>
      <c r="H837" s="844">
        <f>(2150+250-G837)/2</f>
        <v>360</v>
      </c>
      <c r="I837" s="905"/>
      <c r="J837" s="1444"/>
      <c r="K837" s="871"/>
      <c r="L837" s="871"/>
      <c r="M837" s="871"/>
      <c r="N837" s="871"/>
      <c r="O837" s="871"/>
      <c r="P837" s="871"/>
      <c r="Q837" s="871"/>
      <c r="R837" s="871"/>
      <c r="S837" s="820"/>
      <c r="T837" s="997"/>
      <c r="U837" s="998"/>
      <c r="Y837" s="848"/>
      <c r="AC837" s="848"/>
      <c r="AG837" s="848"/>
      <c r="AK837" s="848"/>
      <c r="AO837" s="848"/>
      <c r="AS837" s="848"/>
      <c r="AW837" s="848"/>
      <c r="BA837" s="848"/>
      <c r="BF837" s="820"/>
      <c r="BG837" s="820"/>
      <c r="BH837" s="820"/>
      <c r="BI837" s="820"/>
      <c r="BJ837" s="820"/>
      <c r="BK837" s="820"/>
      <c r="BL837" s="820"/>
      <c r="BM837" s="820"/>
      <c r="BN837" s="820"/>
      <c r="BO837" s="820"/>
      <c r="BP837" s="820"/>
      <c r="BQ837" s="820"/>
      <c r="BR837" s="820"/>
      <c r="BS837" s="820"/>
      <c r="BT837" s="820"/>
      <c r="BU837" s="820"/>
      <c r="BV837" s="820"/>
      <c r="BW837" s="820"/>
      <c r="BX837" s="820"/>
      <c r="BY837" s="820"/>
      <c r="BZ837" s="820"/>
      <c r="CA837" s="820"/>
      <c r="CB837" s="820"/>
      <c r="CC837" s="820"/>
      <c r="CD837" s="826"/>
      <c r="CE837" s="826"/>
      <c r="CG837"/>
      <c r="CH837"/>
      <c r="CI837"/>
      <c r="CJ837"/>
      <c r="CK837"/>
      <c r="CL837"/>
    </row>
    <row r="838" spans="1:90" s="821" customFormat="1" ht="12.75" customHeight="1" outlineLevel="1">
      <c r="A838" s="1336"/>
      <c r="B838" s="821" t="s">
        <v>289</v>
      </c>
      <c r="C838" s="820"/>
      <c r="D838" s="820"/>
      <c r="E838" s="997"/>
      <c r="F838" s="997"/>
      <c r="G838" s="997">
        <v>1242</v>
      </c>
      <c r="H838" s="844"/>
      <c r="I838" s="905"/>
      <c r="J838" s="1444"/>
      <c r="K838" s="871"/>
      <c r="L838" s="871"/>
      <c r="M838" s="871"/>
      <c r="N838" s="871"/>
      <c r="O838" s="871"/>
      <c r="P838" s="871"/>
      <c r="Q838" s="871"/>
      <c r="R838" s="871"/>
      <c r="S838" s="820"/>
      <c r="T838" s="997"/>
      <c r="U838" s="998"/>
      <c r="Y838" s="848"/>
      <c r="AC838" s="848"/>
      <c r="AG838" s="848"/>
      <c r="AK838" s="848"/>
      <c r="AO838" s="848"/>
      <c r="AS838" s="848"/>
      <c r="AW838" s="848"/>
      <c r="BA838" s="848"/>
      <c r="BF838" s="820"/>
      <c r="BG838" s="820"/>
      <c r="BH838" s="820"/>
      <c r="BI838" s="820"/>
      <c r="BJ838" s="820"/>
      <c r="BK838" s="820"/>
      <c r="BL838" s="820"/>
      <c r="BM838" s="820"/>
      <c r="BN838" s="820"/>
      <c r="BO838" s="820"/>
      <c r="BP838" s="820"/>
      <c r="BQ838" s="820"/>
      <c r="BR838" s="820"/>
      <c r="BS838" s="820"/>
      <c r="BT838" s="820"/>
      <c r="BU838" s="820"/>
      <c r="BV838" s="820"/>
      <c r="BW838" s="820"/>
      <c r="BX838" s="820"/>
      <c r="BY838" s="820"/>
      <c r="BZ838" s="820"/>
      <c r="CA838" s="820"/>
      <c r="CB838" s="820"/>
      <c r="CC838" s="820"/>
      <c r="CD838" s="826"/>
      <c r="CE838" s="826"/>
      <c r="CG838"/>
      <c r="CH838"/>
      <c r="CI838"/>
      <c r="CJ838"/>
      <c r="CK838"/>
      <c r="CL838"/>
    </row>
    <row r="839" spans="1:90" s="821" customFormat="1" ht="12.75" customHeight="1" outlineLevel="1">
      <c r="A839" s="1336"/>
      <c r="B839" s="821" t="s">
        <v>281</v>
      </c>
      <c r="C839" s="820"/>
      <c r="D839" s="820"/>
      <c r="E839" s="997"/>
      <c r="F839" s="997"/>
      <c r="G839" s="997">
        <v>3645</v>
      </c>
      <c r="H839" s="844">
        <v>2791</v>
      </c>
      <c r="I839" s="871"/>
      <c r="J839" s="1444"/>
      <c r="K839" s="871"/>
      <c r="L839" s="871"/>
      <c r="M839" s="871"/>
      <c r="N839" s="871"/>
      <c r="O839" s="871"/>
      <c r="P839" s="871"/>
      <c r="Q839" s="871"/>
      <c r="R839" s="871"/>
      <c r="S839" s="820"/>
      <c r="T839" s="997"/>
      <c r="U839" s="998"/>
      <c r="Y839" s="848"/>
      <c r="AC839" s="848"/>
      <c r="AG839" s="848"/>
      <c r="AK839" s="848"/>
      <c r="AO839" s="848"/>
      <c r="AS839" s="848"/>
      <c r="AW839" s="848"/>
      <c r="BA839" s="848"/>
      <c r="BF839" s="820"/>
      <c r="BG839" s="820"/>
      <c r="BH839" s="820"/>
      <c r="BI839" s="820"/>
      <c r="BJ839" s="820"/>
      <c r="BK839" s="820"/>
      <c r="BL839" s="820"/>
      <c r="BM839" s="820"/>
      <c r="BN839" s="820"/>
      <c r="BO839" s="820"/>
      <c r="BP839" s="820"/>
      <c r="BQ839" s="820"/>
      <c r="BR839" s="820"/>
      <c r="BS839" s="820"/>
      <c r="BT839" s="820"/>
      <c r="BU839" s="820"/>
      <c r="BV839" s="820"/>
      <c r="BW839" s="820"/>
      <c r="BX839" s="820"/>
      <c r="BY839" s="820"/>
      <c r="BZ839" s="820"/>
      <c r="CA839" s="820"/>
      <c r="CB839" s="820"/>
      <c r="CC839" s="820"/>
      <c r="CD839" s="826"/>
      <c r="CE839" s="826"/>
      <c r="CG839"/>
      <c r="CH839"/>
      <c r="CI839"/>
      <c r="CJ839"/>
      <c r="CK839"/>
      <c r="CL839"/>
    </row>
    <row r="840" spans="1:90" s="821" customFormat="1" ht="12.75" customHeight="1" outlineLevel="1">
      <c r="A840" s="1336"/>
      <c r="B840" s="821" t="s">
        <v>290</v>
      </c>
      <c r="C840" s="820"/>
      <c r="D840" s="820"/>
      <c r="E840" s="997"/>
      <c r="F840" s="997"/>
      <c r="G840" s="997">
        <f>1243+106</f>
        <v>1349</v>
      </c>
      <c r="H840" s="844"/>
      <c r="I840" s="871"/>
      <c r="J840" s="1444"/>
      <c r="K840" s="871"/>
      <c r="L840" s="871"/>
      <c r="M840" s="871"/>
      <c r="N840" s="871"/>
      <c r="O840" s="871"/>
      <c r="P840" s="871"/>
      <c r="Q840" s="871"/>
      <c r="R840" s="871"/>
      <c r="S840" s="820"/>
      <c r="T840" s="997"/>
      <c r="U840" s="998"/>
      <c r="Y840" s="848"/>
      <c r="AC840" s="848"/>
      <c r="AG840" s="848"/>
      <c r="AK840" s="848"/>
      <c r="AO840" s="848"/>
      <c r="AS840" s="848"/>
      <c r="AW840" s="848"/>
      <c r="BA840" s="848"/>
      <c r="BF840" s="820"/>
      <c r="BG840" s="820"/>
      <c r="BH840" s="820"/>
      <c r="BI840" s="820"/>
      <c r="BJ840" s="820"/>
      <c r="BK840" s="820"/>
      <c r="BL840" s="820"/>
      <c r="BM840" s="820"/>
      <c r="BN840" s="820"/>
      <c r="BO840" s="820"/>
      <c r="BP840" s="820"/>
      <c r="BQ840" s="820"/>
      <c r="BR840" s="820"/>
      <c r="BS840" s="820"/>
      <c r="BT840" s="820"/>
      <c r="BU840" s="820"/>
      <c r="BV840" s="820"/>
      <c r="BW840" s="820"/>
      <c r="BX840" s="820"/>
      <c r="BY840" s="820"/>
      <c r="BZ840" s="820"/>
      <c r="CA840" s="820"/>
      <c r="CB840" s="820"/>
      <c r="CC840" s="820"/>
      <c r="CD840" s="826"/>
      <c r="CE840" s="826"/>
      <c r="CG840"/>
      <c r="CH840"/>
      <c r="CI840"/>
      <c r="CJ840"/>
      <c r="CK840"/>
      <c r="CL840"/>
    </row>
    <row r="841" spans="1:90" s="821" customFormat="1" ht="12.75" customHeight="1" outlineLevel="1">
      <c r="A841" s="1336"/>
      <c r="B841" s="821" t="s">
        <v>291</v>
      </c>
      <c r="C841" s="820"/>
      <c r="D841" s="820"/>
      <c r="E841" s="997"/>
      <c r="F841" s="997"/>
      <c r="G841" s="997">
        <f>763+427+1044</f>
        <v>2234</v>
      </c>
      <c r="H841" s="844"/>
      <c r="I841" s="871"/>
      <c r="J841" s="1444"/>
      <c r="K841" s="871"/>
      <c r="L841" s="871"/>
      <c r="M841" s="871"/>
      <c r="N841" s="871"/>
      <c r="O841" s="871"/>
      <c r="P841" s="871"/>
      <c r="Q841" s="871"/>
      <c r="R841" s="871"/>
      <c r="S841" s="820"/>
      <c r="T841" s="997"/>
      <c r="U841" s="820"/>
      <c r="Y841" s="848"/>
      <c r="AC841" s="848"/>
      <c r="AG841" s="848"/>
      <c r="AK841" s="848"/>
      <c r="AO841" s="848"/>
      <c r="AS841" s="848"/>
      <c r="AW841" s="848"/>
      <c r="BA841" s="848"/>
      <c r="BF841" s="820"/>
      <c r="BG841" s="820"/>
      <c r="BH841" s="820"/>
      <c r="BI841" s="820"/>
      <c r="BJ841" s="820"/>
      <c r="BK841" s="820"/>
      <c r="BL841" s="820"/>
      <c r="BM841" s="820"/>
      <c r="BN841" s="820"/>
      <c r="BO841" s="820"/>
      <c r="BP841" s="820"/>
      <c r="BQ841" s="820"/>
      <c r="BR841" s="820"/>
      <c r="BS841" s="820"/>
      <c r="BT841" s="820"/>
      <c r="BU841" s="820"/>
      <c r="BV841" s="820"/>
      <c r="BW841" s="820"/>
      <c r="BX841" s="820"/>
      <c r="BY841" s="820"/>
      <c r="BZ841" s="820"/>
      <c r="CA841" s="820"/>
      <c r="CB841" s="820"/>
      <c r="CC841" s="820"/>
      <c r="CD841" s="826"/>
      <c r="CE841" s="826"/>
      <c r="CG841"/>
      <c r="CH841"/>
      <c r="CI841"/>
      <c r="CJ841"/>
      <c r="CK841"/>
      <c r="CL841"/>
    </row>
    <row r="842" spans="1:90" s="821" customFormat="1" ht="12.75" customHeight="1" outlineLevel="1">
      <c r="A842" s="1336"/>
      <c r="B842" s="821" t="s">
        <v>280</v>
      </c>
      <c r="C842" s="820"/>
      <c r="D842" s="820"/>
      <c r="E842" s="997"/>
      <c r="F842" s="997"/>
      <c r="G842" s="997"/>
      <c r="H842" s="844">
        <v>739</v>
      </c>
      <c r="I842" s="871"/>
      <c r="J842" s="1444"/>
      <c r="K842" s="871"/>
      <c r="L842" s="871"/>
      <c r="M842" s="871"/>
      <c r="N842" s="871"/>
      <c r="O842" s="871"/>
      <c r="P842" s="871"/>
      <c r="Q842" s="871"/>
      <c r="R842" s="871"/>
      <c r="S842" s="820"/>
      <c r="T842" s="997"/>
      <c r="U842" s="820"/>
      <c r="Y842" s="848"/>
      <c r="AC842" s="848"/>
      <c r="AG842" s="848"/>
      <c r="AK842" s="848"/>
      <c r="AO842" s="848"/>
      <c r="AS842" s="848"/>
      <c r="AW842" s="848"/>
      <c r="BA842" s="848"/>
      <c r="BF842" s="820"/>
      <c r="BG842" s="820"/>
      <c r="BH842" s="820"/>
      <c r="BI842" s="820"/>
      <c r="BJ842" s="820"/>
      <c r="BK842" s="820"/>
      <c r="BL842" s="820"/>
      <c r="BM842" s="820"/>
      <c r="BN842" s="820"/>
      <c r="BO842" s="820"/>
      <c r="BP842" s="820"/>
      <c r="BQ842" s="820"/>
      <c r="BR842" s="820"/>
      <c r="BS842" s="820"/>
      <c r="BT842" s="820"/>
      <c r="BU842" s="820"/>
      <c r="BV842" s="820"/>
      <c r="BW842" s="820"/>
      <c r="BX842" s="820"/>
      <c r="BY842" s="820"/>
      <c r="BZ842" s="820"/>
      <c r="CA842" s="820"/>
      <c r="CB842" s="820"/>
      <c r="CC842" s="820"/>
      <c r="CD842" s="826"/>
      <c r="CE842" s="826"/>
      <c r="CG842"/>
      <c r="CH842"/>
      <c r="CI842"/>
      <c r="CJ842"/>
      <c r="CK842"/>
      <c r="CL842"/>
    </row>
    <row r="843" spans="1:90" s="821" customFormat="1" ht="12.75" customHeight="1" outlineLevel="1">
      <c r="A843" s="1336"/>
      <c r="B843" s="821" t="s">
        <v>282</v>
      </c>
      <c r="C843" s="820"/>
      <c r="D843" s="820"/>
      <c r="E843" s="997"/>
      <c r="F843" s="997"/>
      <c r="G843" s="997"/>
      <c r="H843" s="844">
        <v>6500</v>
      </c>
      <c r="I843" s="871"/>
      <c r="J843" s="1444"/>
      <c r="K843" s="871"/>
      <c r="L843" s="871"/>
      <c r="M843" s="871"/>
      <c r="N843" s="871"/>
      <c r="O843" s="871"/>
      <c r="P843" s="871"/>
      <c r="Q843" s="871"/>
      <c r="R843" s="871"/>
      <c r="S843" s="820"/>
      <c r="T843" s="997"/>
      <c r="U843" s="820"/>
      <c r="Y843" s="848"/>
      <c r="AC843" s="848"/>
      <c r="AG843" s="848"/>
      <c r="AK843" s="848"/>
      <c r="AO843" s="848"/>
      <c r="AS843" s="848"/>
      <c r="AW843" s="848"/>
      <c r="BA843" s="848"/>
      <c r="BF843" s="820"/>
      <c r="BG843" s="820"/>
      <c r="BH843" s="820"/>
      <c r="BI843" s="820"/>
      <c r="BJ843" s="820"/>
      <c r="BK843" s="820"/>
      <c r="BL843" s="820"/>
      <c r="BM843" s="820"/>
      <c r="BN843" s="820"/>
      <c r="BO843" s="820"/>
      <c r="BP843" s="820"/>
      <c r="BQ843" s="820"/>
      <c r="BR843" s="820"/>
      <c r="BS843" s="820"/>
      <c r="BT843" s="820"/>
      <c r="BU843" s="820"/>
      <c r="BV843" s="820"/>
      <c r="BW843" s="820"/>
      <c r="BX843" s="820"/>
      <c r="BY843" s="820"/>
      <c r="BZ843" s="820"/>
      <c r="CA843" s="820"/>
      <c r="CB843" s="820"/>
      <c r="CC843" s="820"/>
      <c r="CD843" s="826"/>
      <c r="CE843" s="826"/>
      <c r="CG843"/>
      <c r="CH843"/>
      <c r="CI843"/>
      <c r="CJ843"/>
      <c r="CK843"/>
      <c r="CL843"/>
    </row>
    <row r="844" spans="1:90" s="821" customFormat="1" ht="12.75" customHeight="1" outlineLevel="1">
      <c r="A844" s="1336"/>
      <c r="B844" s="821" t="s">
        <v>283</v>
      </c>
      <c r="C844" s="820"/>
      <c r="D844" s="820"/>
      <c r="E844" s="997"/>
      <c r="F844" s="997"/>
      <c r="G844" s="997"/>
      <c r="H844" s="844">
        <v>6776</v>
      </c>
      <c r="I844" s="871"/>
      <c r="J844" s="1444"/>
      <c r="K844" s="871"/>
      <c r="L844" s="871"/>
      <c r="M844" s="871"/>
      <c r="N844" s="871"/>
      <c r="O844" s="871"/>
      <c r="P844" s="871"/>
      <c r="Q844" s="871"/>
      <c r="R844" s="871"/>
      <c r="S844" s="820"/>
      <c r="T844" s="997"/>
      <c r="U844" s="820"/>
      <c r="Y844" s="848"/>
      <c r="AC844" s="848"/>
      <c r="AG844" s="848"/>
      <c r="AK844" s="848"/>
      <c r="AO844" s="848"/>
      <c r="AS844" s="848"/>
      <c r="AW844" s="848"/>
      <c r="BA844" s="848"/>
      <c r="BF844" s="820"/>
      <c r="BG844" s="820"/>
      <c r="BH844" s="820"/>
      <c r="BI844" s="820"/>
      <c r="BJ844" s="820"/>
      <c r="BK844" s="820"/>
      <c r="BL844" s="820"/>
      <c r="BM844" s="820"/>
      <c r="BN844" s="820"/>
      <c r="BO844" s="820"/>
      <c r="BP844" s="820"/>
      <c r="BQ844" s="820"/>
      <c r="BR844" s="820"/>
      <c r="BS844" s="820"/>
      <c r="BT844" s="820"/>
      <c r="BU844" s="820"/>
      <c r="BV844" s="820"/>
      <c r="BW844" s="820"/>
      <c r="BX844" s="820"/>
      <c r="BY844" s="820"/>
      <c r="BZ844" s="820"/>
      <c r="CA844" s="820"/>
      <c r="CB844" s="820"/>
      <c r="CC844" s="820"/>
      <c r="CD844" s="826"/>
      <c r="CE844" s="826"/>
      <c r="CG844"/>
      <c r="CH844"/>
      <c r="CI844"/>
      <c r="CJ844"/>
      <c r="CK844"/>
      <c r="CL844"/>
    </row>
    <row r="845" spans="1:90" s="821" customFormat="1" ht="12.75" customHeight="1" outlineLevel="1">
      <c r="A845" s="1336"/>
      <c r="B845" s="821" t="s">
        <v>285</v>
      </c>
      <c r="C845" s="820"/>
      <c r="D845" s="820"/>
      <c r="E845" s="997"/>
      <c r="F845" s="997"/>
      <c r="G845" s="997"/>
      <c r="H845" s="844">
        <v>1548</v>
      </c>
      <c r="I845" s="871"/>
      <c r="J845" s="1444"/>
      <c r="K845" s="871"/>
      <c r="L845" s="871"/>
      <c r="M845" s="871"/>
      <c r="N845" s="871"/>
      <c r="O845" s="871"/>
      <c r="P845" s="871"/>
      <c r="Q845" s="871"/>
      <c r="R845" s="871"/>
      <c r="S845" s="820"/>
      <c r="T845" s="997"/>
      <c r="U845" s="820"/>
      <c r="Y845" s="848"/>
      <c r="AC845" s="848"/>
      <c r="AG845" s="848"/>
      <c r="AK845" s="848"/>
      <c r="AO845" s="848"/>
      <c r="AS845" s="848"/>
      <c r="AW845" s="848"/>
      <c r="BA845" s="848"/>
      <c r="BF845" s="820"/>
      <c r="BG845" s="820"/>
      <c r="BH845" s="820"/>
      <c r="BI845" s="820"/>
      <c r="BJ845" s="820"/>
      <c r="BK845" s="820"/>
      <c r="BL845" s="820"/>
      <c r="BM845" s="820"/>
      <c r="BN845" s="820"/>
      <c r="BO845" s="820"/>
      <c r="BP845" s="820"/>
      <c r="BQ845" s="820"/>
      <c r="BR845" s="820"/>
      <c r="BS845" s="820"/>
      <c r="BT845" s="820"/>
      <c r="BU845" s="820"/>
      <c r="BV845" s="820"/>
      <c r="BW845" s="820"/>
      <c r="BX845" s="820"/>
      <c r="BY845" s="820"/>
      <c r="BZ845" s="820"/>
      <c r="CA845" s="820"/>
      <c r="CB845" s="820"/>
      <c r="CC845" s="820"/>
      <c r="CD845" s="826"/>
      <c r="CE845" s="826"/>
      <c r="CG845"/>
      <c r="CH845"/>
      <c r="CI845"/>
      <c r="CJ845"/>
      <c r="CK845"/>
      <c r="CL845"/>
    </row>
    <row r="846" spans="1:90" s="821" customFormat="1" ht="12.75" customHeight="1" outlineLevel="1">
      <c r="A846" s="1336"/>
      <c r="B846" s="821" t="s">
        <v>286</v>
      </c>
      <c r="C846" s="820"/>
      <c r="D846" s="820"/>
      <c r="E846" s="997"/>
      <c r="F846" s="997"/>
      <c r="G846" s="997"/>
      <c r="H846" s="844">
        <v>1200</v>
      </c>
      <c r="I846" s="871"/>
      <c r="J846" s="1444"/>
      <c r="K846" s="871"/>
      <c r="L846" s="871"/>
      <c r="M846" s="871"/>
      <c r="N846" s="871"/>
      <c r="O846" s="871"/>
      <c r="P846" s="871"/>
      <c r="Q846" s="871"/>
      <c r="R846" s="871"/>
      <c r="S846" s="820"/>
      <c r="T846" s="997"/>
      <c r="U846" s="820"/>
      <c r="Y846" s="848"/>
      <c r="AC846" s="848"/>
      <c r="AG846" s="848"/>
      <c r="AK846" s="848"/>
      <c r="AO846" s="848"/>
      <c r="AS846" s="848"/>
      <c r="AW846" s="848"/>
      <c r="BA846" s="848"/>
      <c r="BF846" s="820"/>
      <c r="BG846" s="820"/>
      <c r="BH846" s="820"/>
      <c r="BI846" s="820"/>
      <c r="BJ846" s="820"/>
      <c r="BK846" s="820"/>
      <c r="BL846" s="820"/>
      <c r="BM846" s="820"/>
      <c r="BN846" s="820"/>
      <c r="BO846" s="820"/>
      <c r="BP846" s="820"/>
      <c r="BQ846" s="820"/>
      <c r="BR846" s="820"/>
      <c r="BS846" s="820"/>
      <c r="BT846" s="820"/>
      <c r="BU846" s="820"/>
      <c r="BV846" s="820"/>
      <c r="BW846" s="820"/>
      <c r="BX846" s="820"/>
      <c r="BY846" s="820"/>
      <c r="BZ846" s="820"/>
      <c r="CA846" s="820"/>
      <c r="CB846" s="820"/>
      <c r="CC846" s="820"/>
      <c r="CD846" s="826"/>
      <c r="CE846" s="826"/>
      <c r="CG846"/>
      <c r="CH846"/>
      <c r="CI846"/>
      <c r="CJ846"/>
      <c r="CK846"/>
      <c r="CL846"/>
    </row>
    <row r="847" spans="1:90" s="821" customFormat="1" ht="12.75" customHeight="1" outlineLevel="1">
      <c r="A847" s="1336"/>
      <c r="B847" s="821" t="s">
        <v>274</v>
      </c>
      <c r="C847" s="820"/>
      <c r="D847" s="820"/>
      <c r="E847" s="997"/>
      <c r="F847" s="997"/>
      <c r="G847" s="997"/>
      <c r="H847" s="454"/>
      <c r="I847" s="871"/>
      <c r="J847" s="1444"/>
      <c r="K847" s="871"/>
      <c r="L847" s="871"/>
      <c r="M847" s="871"/>
      <c r="N847" s="871"/>
      <c r="O847" s="871"/>
      <c r="P847" s="871"/>
      <c r="Q847" s="871"/>
      <c r="R847" s="871"/>
      <c r="S847" s="820"/>
      <c r="T847" s="997"/>
      <c r="U847" s="820"/>
      <c r="Y847" s="848"/>
      <c r="AC847" s="848"/>
      <c r="AG847" s="848"/>
      <c r="AK847" s="848"/>
      <c r="AO847" s="848"/>
      <c r="AS847" s="848"/>
      <c r="AW847" s="848"/>
      <c r="BA847" s="848"/>
      <c r="BF847" s="820"/>
      <c r="BG847" s="820"/>
      <c r="BH847" s="820"/>
      <c r="BI847" s="820"/>
      <c r="BJ847" s="820"/>
      <c r="BK847" s="820"/>
      <c r="BL847" s="820"/>
      <c r="BM847" s="820"/>
      <c r="BN847" s="820"/>
      <c r="BO847" s="820"/>
      <c r="BP847" s="820"/>
      <c r="BQ847" s="820"/>
      <c r="BR847" s="820"/>
      <c r="BS847" s="820"/>
      <c r="BT847" s="820"/>
      <c r="BU847" s="820"/>
      <c r="BV847" s="820"/>
      <c r="BW847" s="820"/>
      <c r="BX847" s="820"/>
      <c r="BY847" s="820"/>
      <c r="BZ847" s="820"/>
      <c r="CA847" s="820"/>
      <c r="CB847" s="820"/>
      <c r="CC847" s="820"/>
      <c r="CD847" s="826"/>
      <c r="CE847" s="826"/>
      <c r="CG847"/>
      <c r="CH847"/>
      <c r="CI847"/>
      <c r="CJ847"/>
      <c r="CK847"/>
      <c r="CL847"/>
    </row>
    <row r="848" spans="1:90" s="821" customFormat="1" ht="12.75" customHeight="1" outlineLevel="1">
      <c r="A848" s="1336"/>
      <c r="B848" s="821" t="s">
        <v>275</v>
      </c>
      <c r="C848" s="820"/>
      <c r="D848" s="820"/>
      <c r="E848" s="997"/>
      <c r="F848" s="997"/>
      <c r="G848" s="997"/>
      <c r="H848" s="454"/>
      <c r="I848" s="871"/>
      <c r="J848" s="1444"/>
      <c r="K848" s="871"/>
      <c r="L848" s="871"/>
      <c r="M848" s="871"/>
      <c r="N848" s="871"/>
      <c r="O848" s="871"/>
      <c r="P848" s="871"/>
      <c r="Q848" s="871"/>
      <c r="R848" s="871"/>
      <c r="S848" s="820"/>
      <c r="T848" s="997"/>
      <c r="U848" s="820"/>
      <c r="Y848" s="848"/>
      <c r="AC848" s="848"/>
      <c r="AG848" s="848"/>
      <c r="AK848" s="848"/>
      <c r="AO848" s="848"/>
      <c r="AS848" s="848"/>
      <c r="AW848" s="848"/>
      <c r="BA848" s="848"/>
      <c r="BF848" s="820"/>
      <c r="BG848" s="820"/>
      <c r="BH848" s="820"/>
      <c r="BI848" s="820"/>
      <c r="BJ848" s="820"/>
      <c r="BK848" s="820"/>
      <c r="BL848" s="820"/>
      <c r="BM848" s="820"/>
      <c r="BN848" s="820"/>
      <c r="BO848" s="820"/>
      <c r="BP848" s="820"/>
      <c r="BQ848" s="820"/>
      <c r="BR848" s="820"/>
      <c r="BS848" s="820"/>
      <c r="BT848" s="820"/>
      <c r="BU848" s="820"/>
      <c r="BV848" s="820"/>
      <c r="BW848" s="820"/>
      <c r="BX848" s="820"/>
      <c r="BY848" s="820"/>
      <c r="BZ848" s="820"/>
      <c r="CA848" s="820"/>
      <c r="CB848" s="820"/>
      <c r="CC848" s="820"/>
      <c r="CD848" s="826"/>
      <c r="CE848" s="826"/>
      <c r="CG848"/>
      <c r="CH848"/>
      <c r="CI848"/>
      <c r="CJ848"/>
      <c r="CK848"/>
      <c r="CL848"/>
    </row>
    <row r="849" spans="1:90" s="821" customFormat="1" ht="12.75" customHeight="1" outlineLevel="1">
      <c r="A849" s="1336"/>
      <c r="C849" s="820"/>
      <c r="D849" s="820"/>
      <c r="E849" s="997"/>
      <c r="F849" s="997"/>
      <c r="G849" s="997"/>
      <c r="H849" s="30"/>
      <c r="I849" s="871"/>
      <c r="J849" s="1444"/>
      <c r="K849" s="871"/>
      <c r="L849" s="871"/>
      <c r="M849" s="871"/>
      <c r="N849" s="871"/>
      <c r="O849" s="871"/>
      <c r="P849" s="871"/>
      <c r="Q849" s="871"/>
      <c r="R849" s="871"/>
      <c r="S849" s="820"/>
      <c r="T849" s="997"/>
      <c r="U849" s="820"/>
      <c r="Y849" s="848"/>
      <c r="AC849" s="848"/>
      <c r="AG849" s="848"/>
      <c r="AK849" s="848"/>
      <c r="AO849" s="848"/>
      <c r="AS849" s="848"/>
      <c r="AW849" s="848"/>
      <c r="BA849" s="848"/>
      <c r="BF849" s="820"/>
      <c r="BG849" s="820"/>
      <c r="BH849" s="820"/>
      <c r="BI849" s="820"/>
      <c r="BJ849" s="820"/>
      <c r="BK849" s="820"/>
      <c r="BL849" s="820"/>
      <c r="BM849" s="820"/>
      <c r="BN849" s="820"/>
      <c r="BO849" s="820"/>
      <c r="BP849" s="820"/>
      <c r="BQ849" s="820"/>
      <c r="BR849" s="820"/>
      <c r="BS849" s="820"/>
      <c r="BT849" s="820"/>
      <c r="BU849" s="820"/>
      <c r="BV849" s="820"/>
      <c r="BW849" s="820"/>
      <c r="BX849" s="820"/>
      <c r="BY849" s="820"/>
      <c r="BZ849" s="820"/>
      <c r="CA849" s="820"/>
      <c r="CB849" s="820"/>
      <c r="CC849" s="820"/>
      <c r="CD849" s="826"/>
      <c r="CE849" s="826"/>
      <c r="CG849"/>
      <c r="CH849"/>
      <c r="CI849"/>
      <c r="CJ849"/>
      <c r="CK849"/>
      <c r="CL849"/>
    </row>
    <row r="850" spans="1:90">
      <c r="U850" s="11"/>
      <c r="AV850" s="218"/>
      <c r="AW850" s="277"/>
      <c r="AZ850" s="141"/>
      <c r="BA850" s="398"/>
      <c r="BD850" s="141"/>
      <c r="BE850" s="141"/>
    </row>
    <row r="851" spans="1:90">
      <c r="U851" s="11"/>
      <c r="AV851" s="218"/>
      <c r="AW851" s="277"/>
      <c r="AZ851" s="141"/>
      <c r="BA851" s="398"/>
      <c r="BD851" s="141"/>
      <c r="BE851" s="141"/>
    </row>
    <row r="852" spans="1:90">
      <c r="U852" s="11"/>
      <c r="AV852" s="218"/>
      <c r="AW852" s="277"/>
      <c r="AZ852" s="141"/>
      <c r="BA852" s="398"/>
      <c r="BD852" s="141"/>
      <c r="BE852" s="141"/>
    </row>
    <row r="853" spans="1:90">
      <c r="U853" s="11"/>
      <c r="AV853" s="218"/>
      <c r="AW853" s="277"/>
      <c r="AZ853" s="141"/>
      <c r="BA853" s="398"/>
      <c r="BD853" s="141"/>
      <c r="BE853" s="141"/>
    </row>
    <row r="854" spans="1:90">
      <c r="U854" s="11"/>
      <c r="AV854" s="218"/>
      <c r="AW854" s="277"/>
      <c r="AZ854" s="141"/>
      <c r="BA854" s="398"/>
      <c r="BD854" s="141"/>
      <c r="BE854" s="141"/>
    </row>
    <row r="855" spans="1:90">
      <c r="U855" s="11"/>
      <c r="AV855" s="218"/>
      <c r="AW855" s="277"/>
      <c r="AZ855" s="141"/>
      <c r="BA855" s="398"/>
      <c r="BD855" s="141"/>
      <c r="BE855" s="141"/>
    </row>
    <row r="856" spans="1:90">
      <c r="U856" s="11"/>
      <c r="AV856" s="218"/>
      <c r="AW856" s="277"/>
      <c r="AZ856" s="141"/>
      <c r="BA856" s="398"/>
      <c r="BD856" s="141"/>
      <c r="BE856" s="141"/>
    </row>
    <row r="857" spans="1:90">
      <c r="U857" s="11"/>
      <c r="AV857" s="218"/>
      <c r="AW857" s="277"/>
      <c r="AZ857" s="141"/>
      <c r="BA857" s="398"/>
      <c r="BD857" s="141"/>
      <c r="BE857" s="141"/>
    </row>
    <row r="858" spans="1:90">
      <c r="U858" s="11"/>
      <c r="AV858" s="218"/>
      <c r="AW858" s="277"/>
      <c r="AZ858" s="141"/>
      <c r="BA858" s="398"/>
      <c r="BD858" s="141"/>
      <c r="BE858" s="141"/>
    </row>
    <row r="859" spans="1:90">
      <c r="U859" s="11"/>
      <c r="AV859" s="218"/>
      <c r="AW859" s="277"/>
      <c r="AZ859" s="141"/>
      <c r="BA859" s="398"/>
      <c r="BD859" s="141"/>
      <c r="BE859" s="141"/>
    </row>
    <row r="860" spans="1:90">
      <c r="U860" s="11"/>
      <c r="AV860" s="218"/>
      <c r="AW860" s="277"/>
      <c r="AZ860" s="141"/>
      <c r="BA860" s="398"/>
      <c r="BD860" s="141"/>
      <c r="BE860" s="141"/>
    </row>
    <row r="861" spans="1:90">
      <c r="U861" s="11"/>
      <c r="AV861" s="218"/>
      <c r="AW861" s="277"/>
      <c r="AZ861" s="141"/>
      <c r="BA861" s="398"/>
      <c r="BD861" s="141"/>
      <c r="BE861" s="141"/>
    </row>
    <row r="862" spans="1:90">
      <c r="U862" s="11"/>
      <c r="AV862" s="218"/>
      <c r="AW862" s="277"/>
      <c r="AZ862" s="141"/>
      <c r="BA862" s="398"/>
      <c r="BD862" s="141"/>
      <c r="BE862" s="141"/>
    </row>
    <row r="863" spans="1:90">
      <c r="U863" s="11"/>
      <c r="AV863" s="218"/>
      <c r="AW863" s="277"/>
      <c r="AZ863" s="141"/>
      <c r="BA863" s="398"/>
      <c r="BD863" s="141"/>
      <c r="BE863" s="141"/>
    </row>
    <row r="864" spans="1:90">
      <c r="U864" s="11"/>
      <c r="AV864" s="218"/>
      <c r="AW864" s="277"/>
      <c r="AZ864" s="141"/>
      <c r="BA864" s="398"/>
      <c r="BD864" s="141"/>
      <c r="BE864" s="141"/>
    </row>
    <row r="865" spans="1:90">
      <c r="U865" s="11"/>
      <c r="AV865" s="218"/>
      <c r="AW865" s="277"/>
      <c r="AZ865" s="141"/>
      <c r="BA865" s="398"/>
      <c r="BD865" s="141"/>
      <c r="BE865" s="141"/>
    </row>
    <row r="866" spans="1:90">
      <c r="U866" s="11"/>
      <c r="AV866" s="218"/>
      <c r="AW866" s="277"/>
      <c r="AZ866" s="141"/>
      <c r="BA866" s="398"/>
      <c r="BD866" s="141"/>
      <c r="BE866" s="141"/>
    </row>
    <row r="867" spans="1:90">
      <c r="U867" s="11"/>
      <c r="AV867" s="218"/>
      <c r="AW867" s="277"/>
      <c r="AZ867" s="141"/>
      <c r="BA867" s="398"/>
      <c r="BD867" s="141"/>
      <c r="BE867" s="141"/>
    </row>
    <row r="868" spans="1:90">
      <c r="U868" s="11"/>
      <c r="AV868" s="218"/>
      <c r="AW868" s="277"/>
      <c r="AZ868" s="141"/>
      <c r="BA868" s="398"/>
      <c r="BD868" s="141"/>
      <c r="BE868" s="141"/>
    </row>
    <row r="869" spans="1:90">
      <c r="U869" s="11"/>
      <c r="AV869" s="218"/>
      <c r="AW869" s="277"/>
      <c r="AZ869" s="141"/>
      <c r="BA869" s="398"/>
      <c r="BD869" s="141"/>
      <c r="BE869" s="141"/>
    </row>
    <row r="870" spans="1:90">
      <c r="U870" s="11"/>
      <c r="AV870" s="218"/>
      <c r="AW870" s="277"/>
      <c r="AZ870" s="141"/>
      <c r="BA870" s="398"/>
      <c r="BD870" s="141"/>
      <c r="BE870" s="141"/>
    </row>
    <row r="871" spans="1:90">
      <c r="U871" s="11"/>
      <c r="AV871" s="218"/>
      <c r="AW871" s="277"/>
      <c r="AZ871" s="141"/>
      <c r="BA871" s="398"/>
      <c r="BD871" s="141"/>
      <c r="BE871" s="141"/>
    </row>
    <row r="872" spans="1:90">
      <c r="U872" s="11"/>
      <c r="AV872" s="218"/>
      <c r="AW872" s="277"/>
      <c r="AZ872" s="141"/>
      <c r="BA872" s="398"/>
      <c r="BD872" s="141"/>
      <c r="BE872" s="141"/>
    </row>
    <row r="873" spans="1:90">
      <c r="U873" s="11"/>
      <c r="AV873" s="218"/>
      <c r="AW873" s="277"/>
      <c r="AZ873" s="141"/>
      <c r="BA873" s="398"/>
      <c r="BD873" s="141"/>
      <c r="BE873" s="141"/>
    </row>
    <row r="874" spans="1:90" hidden="1">
      <c r="B874" s="146" t="s">
        <v>784</v>
      </c>
      <c r="E874" s="1239">
        <v>0.25</v>
      </c>
      <c r="F874" s="1239">
        <v>0.25</v>
      </c>
      <c r="G874" s="1239">
        <v>0.25</v>
      </c>
      <c r="H874" s="1239">
        <v>0.25</v>
      </c>
      <c r="I874" s="1239">
        <v>0.25</v>
      </c>
      <c r="J874" s="1482">
        <v>0.25</v>
      </c>
      <c r="K874" s="1241">
        <v>0.25</v>
      </c>
      <c r="L874" s="1239">
        <v>0.25</v>
      </c>
      <c r="M874" s="1239">
        <v>0.25</v>
      </c>
      <c r="N874" s="1239">
        <v>0.25</v>
      </c>
      <c r="O874" s="1239">
        <v>0.25</v>
      </c>
      <c r="P874" s="1239">
        <v>0.25</v>
      </c>
      <c r="Q874" s="1239">
        <v>0.25</v>
      </c>
      <c r="R874" s="1239">
        <v>0.25</v>
      </c>
      <c r="U874" s="11"/>
      <c r="AV874" s="218"/>
      <c r="AW874" s="277"/>
      <c r="AZ874" s="141"/>
      <c r="BA874" s="398"/>
      <c r="BD874" s="141"/>
      <c r="BE874" s="141"/>
    </row>
    <row r="875" spans="1:90" hidden="1">
      <c r="B875" s="146" t="s">
        <v>785</v>
      </c>
      <c r="E875" s="1240" t="s">
        <v>793</v>
      </c>
      <c r="F875" s="1240" t="s">
        <v>793</v>
      </c>
      <c r="G875" s="1240" t="s">
        <v>793</v>
      </c>
      <c r="H875" s="1240" t="s">
        <v>793</v>
      </c>
      <c r="I875" s="1240" t="s">
        <v>793</v>
      </c>
      <c r="J875" s="1483" t="s">
        <v>793</v>
      </c>
      <c r="K875" s="1240" t="s">
        <v>793</v>
      </c>
      <c r="L875" s="1240" t="s">
        <v>793</v>
      </c>
      <c r="M875" s="1240" t="s">
        <v>793</v>
      </c>
      <c r="N875" s="1240" t="s">
        <v>793</v>
      </c>
      <c r="O875" s="1240" t="s">
        <v>793</v>
      </c>
      <c r="P875" s="1240" t="s">
        <v>793</v>
      </c>
      <c r="Q875" s="1240" t="s">
        <v>793</v>
      </c>
      <c r="R875" s="1240" t="s">
        <v>793</v>
      </c>
      <c r="U875" s="11"/>
      <c r="AV875" s="218"/>
      <c r="AW875" s="277"/>
      <c r="AZ875" s="141"/>
      <c r="BA875" s="398"/>
      <c r="BD875" s="141"/>
      <c r="BE875" s="141"/>
    </row>
    <row r="876" spans="1:90" hidden="1">
      <c r="B876" s="146"/>
      <c r="U876" s="11"/>
      <c r="AV876" s="218"/>
      <c r="AW876" s="277"/>
      <c r="AZ876" s="141"/>
      <c r="BA876" s="398"/>
      <c r="BD876" s="141"/>
      <c r="BE876" s="141"/>
    </row>
    <row r="877" spans="1:90" hidden="1">
      <c r="B877" s="1237" t="s">
        <v>786</v>
      </c>
      <c r="U877" s="11"/>
      <c r="AV877" s="218"/>
      <c r="AW877" s="277"/>
      <c r="AZ877" s="141"/>
      <c r="BA877" s="398"/>
      <c r="BD877" s="141"/>
      <c r="BE877" s="141"/>
    </row>
    <row r="878" spans="1:90" s="13" customFormat="1" hidden="1">
      <c r="A878" s="1349"/>
      <c r="B878" s="1237" t="s">
        <v>787</v>
      </c>
      <c r="F878" s="1242">
        <f>E883</f>
        <v>31488</v>
      </c>
      <c r="G878" s="1242">
        <f t="shared" ref="G878:R878" si="1309">F883</f>
        <v>-24</v>
      </c>
      <c r="H878" s="1242">
        <f t="shared" si="1309"/>
        <v>29338</v>
      </c>
      <c r="I878" s="1242">
        <f t="shared" si="1309"/>
        <v>145439</v>
      </c>
      <c r="J878" s="1484">
        <f t="shared" si="1309"/>
        <v>216987</v>
      </c>
      <c r="K878" s="1384">
        <f t="shared" si="1309"/>
        <v>278799</v>
      </c>
      <c r="L878" s="30">
        <f t="shared" si="1309"/>
        <v>362558.12633810384</v>
      </c>
      <c r="M878" s="1242">
        <f t="shared" si="1309"/>
        <v>469069.04022278509</v>
      </c>
      <c r="N878" s="1242">
        <f t="shared" si="1309"/>
        <v>603916.46231800888</v>
      </c>
      <c r="O878" s="1242">
        <f t="shared" si="1309"/>
        <v>769581.07942319894</v>
      </c>
      <c r="P878" s="1242">
        <f t="shared" si="1309"/>
        <v>971313.56886830309</v>
      </c>
      <c r="Q878" s="1242">
        <f t="shared" si="1309"/>
        <v>1217437.0632851492</v>
      </c>
      <c r="R878" s="1242">
        <f t="shared" si="1309"/>
        <v>1502104.9661189597</v>
      </c>
      <c r="U878" s="12"/>
      <c r="V878" s="12"/>
      <c r="W878" s="12"/>
      <c r="X878" s="12"/>
      <c r="Y878" s="408"/>
      <c r="Z878" s="12"/>
      <c r="AA878" s="12"/>
      <c r="AB878" s="12"/>
      <c r="AC878" s="408"/>
      <c r="AD878" s="12"/>
      <c r="AE878" s="12"/>
      <c r="AF878" s="12"/>
      <c r="AG878" s="408"/>
      <c r="AH878" s="12"/>
      <c r="AI878" s="12"/>
      <c r="AJ878" s="12"/>
      <c r="AK878" s="408"/>
      <c r="AL878" s="12"/>
      <c r="AM878" s="12"/>
      <c r="AN878" s="12"/>
      <c r="AO878" s="408"/>
      <c r="AP878" s="12"/>
      <c r="AQ878" s="12"/>
      <c r="AR878" s="12"/>
      <c r="AS878" s="408"/>
      <c r="AT878" s="12"/>
      <c r="AU878" s="12"/>
      <c r="AV878" s="291"/>
      <c r="AW878" s="292"/>
      <c r="AX878" s="291"/>
      <c r="AY878" s="291"/>
      <c r="BA878" s="556"/>
      <c r="BB878" s="291"/>
      <c r="BC878" s="291"/>
      <c r="BF878" s="12"/>
      <c r="CG878"/>
      <c r="CH878"/>
      <c r="CI878"/>
      <c r="CJ878"/>
      <c r="CK878"/>
      <c r="CL878"/>
    </row>
    <row r="879" spans="1:90" hidden="1">
      <c r="B879" s="146" t="s">
        <v>788</v>
      </c>
      <c r="F879" s="1244">
        <f>F633-E633+F634-E634</f>
        <v>877</v>
      </c>
      <c r="G879" s="1244">
        <f t="shared" ref="G879:R879" si="1310">G633-F633+G634-F634</f>
        <v>5388</v>
      </c>
      <c r="H879" s="1244">
        <f t="shared" si="1310"/>
        <v>90099</v>
      </c>
      <c r="I879" s="1244">
        <f t="shared" si="1310"/>
        <v>15064</v>
      </c>
      <c r="J879" s="1485">
        <f t="shared" si="1310"/>
        <v>32379</v>
      </c>
      <c r="K879" s="1385">
        <f t="shared" si="1310"/>
        <v>18874.199449919193</v>
      </c>
      <c r="L879" s="1244">
        <f t="shared" si="1310"/>
        <v>20293.005220472754</v>
      </c>
      <c r="M879" s="1244">
        <f t="shared" si="1310"/>
        <v>23757.769097625656</v>
      </c>
      <c r="N879" s="1244">
        <f t="shared" si="1310"/>
        <v>26868.625879485247</v>
      </c>
      <c r="O879" s="1244">
        <f t="shared" si="1310"/>
        <v>25871.666466326948</v>
      </c>
      <c r="P879" s="1244">
        <f t="shared" si="1310"/>
        <v>28301.909840991721</v>
      </c>
      <c r="Q879" s="1244">
        <f t="shared" si="1310"/>
        <v>32589.873502641218</v>
      </c>
      <c r="R879" s="1244">
        <f t="shared" si="1310"/>
        <v>37051.83627101453</v>
      </c>
      <c r="U879" s="11"/>
      <c r="AV879" s="218"/>
      <c r="AW879" s="277"/>
      <c r="AZ879" s="141"/>
      <c r="BA879" s="398"/>
      <c r="BD879" s="141"/>
      <c r="BE879" s="141"/>
    </row>
    <row r="880" spans="1:90" hidden="1">
      <c r="B880" s="146" t="s">
        <v>789</v>
      </c>
      <c r="F880" s="1244">
        <f t="shared" ref="F880:R880" si="1311">F378</f>
        <v>8404</v>
      </c>
      <c r="G880" s="1244">
        <f t="shared" si="1311"/>
        <v>23076</v>
      </c>
      <c r="H880" s="1244">
        <f t="shared" si="1311"/>
        <v>24149</v>
      </c>
      <c r="I880" s="1244">
        <f t="shared" si="1311"/>
        <v>71460</v>
      </c>
      <c r="J880" s="1485">
        <f t="shared" si="1311"/>
        <v>43675</v>
      </c>
      <c r="K880" s="1385">
        <f t="shared" si="1311"/>
        <v>64884.926888184702</v>
      </c>
      <c r="L880" s="1244">
        <f t="shared" si="1311"/>
        <v>86217.908664208517</v>
      </c>
      <c r="M880" s="1244">
        <f t="shared" si="1311"/>
        <v>111089.65299759815</v>
      </c>
      <c r="N880" s="1244">
        <f t="shared" si="1311"/>
        <v>138795.99122570484</v>
      </c>
      <c r="O880" s="1244">
        <f t="shared" si="1311"/>
        <v>175860.82297877726</v>
      </c>
      <c r="P880" s="1244">
        <f t="shared" si="1311"/>
        <v>217821.58457585447</v>
      </c>
      <c r="Q880" s="1244">
        <f t="shared" si="1311"/>
        <v>252078.02933116944</v>
      </c>
      <c r="R880" s="1244">
        <f t="shared" si="1311"/>
        <v>287535.26519526955</v>
      </c>
      <c r="U880" s="11"/>
      <c r="AV880" s="218"/>
      <c r="AW880" s="277"/>
      <c r="AZ880" s="141"/>
      <c r="BA880" s="398"/>
      <c r="BD880" s="141"/>
      <c r="BE880" s="141"/>
    </row>
    <row r="881" spans="1:90" hidden="1">
      <c r="B881" s="146" t="s">
        <v>790</v>
      </c>
      <c r="F881" s="146">
        <v>0</v>
      </c>
      <c r="G881" s="146">
        <v>0</v>
      </c>
      <c r="H881" s="146">
        <v>0</v>
      </c>
      <c r="I881" s="146">
        <v>0</v>
      </c>
      <c r="J881" s="1486">
        <v>0</v>
      </c>
      <c r="K881" s="1385">
        <v>0</v>
      </c>
      <c r="L881" s="146">
        <v>0</v>
      </c>
      <c r="M881" s="146">
        <v>0</v>
      </c>
      <c r="N881" s="146">
        <v>0</v>
      </c>
      <c r="O881" s="146">
        <v>0</v>
      </c>
      <c r="P881" s="146">
        <v>0</v>
      </c>
      <c r="Q881" s="146">
        <v>0</v>
      </c>
      <c r="R881" s="146">
        <v>0</v>
      </c>
      <c r="U881" s="11"/>
      <c r="AV881" s="218"/>
      <c r="AW881" s="277"/>
      <c r="AZ881" s="141"/>
      <c r="BA881" s="398"/>
      <c r="BD881" s="141"/>
      <c r="BE881" s="141"/>
    </row>
    <row r="882" spans="1:90" hidden="1">
      <c r="B882" s="146" t="s">
        <v>791</v>
      </c>
      <c r="F882" s="1244">
        <f>F635-E635+F636-E636+F637-E637+F638-E638+F639-E639+F640-E640-F880-F881</f>
        <v>-40793</v>
      </c>
      <c r="G882" s="1244">
        <f t="shared" ref="G882:R882" si="1312">G635-F635+G636-F636+G637-F637+G638-F638+G639-F639+G640-F640-G880-G881</f>
        <v>898</v>
      </c>
      <c r="H882" s="1244">
        <f t="shared" si="1312"/>
        <v>1853</v>
      </c>
      <c r="I882" s="1244">
        <f t="shared" si="1312"/>
        <v>-14976</v>
      </c>
      <c r="J882" s="1485">
        <f t="shared" si="1312"/>
        <v>-14242</v>
      </c>
      <c r="K882" s="1385">
        <f t="shared" si="1312"/>
        <v>7.2759576141834259E-12</v>
      </c>
      <c r="L882" s="1244">
        <f t="shared" si="1312"/>
        <v>0</v>
      </c>
      <c r="M882" s="1244">
        <f t="shared" si="1312"/>
        <v>1.4551915228366852E-11</v>
      </c>
      <c r="N882" s="1244">
        <f t="shared" si="1312"/>
        <v>0</v>
      </c>
      <c r="O882" s="1244">
        <f t="shared" si="1312"/>
        <v>2.9103830456733704E-11</v>
      </c>
      <c r="P882" s="1244">
        <f t="shared" si="1312"/>
        <v>0</v>
      </c>
      <c r="Q882" s="1244">
        <f t="shared" si="1312"/>
        <v>0</v>
      </c>
      <c r="R882" s="1244">
        <f t="shared" si="1312"/>
        <v>5.8207660913467407E-11</v>
      </c>
      <c r="U882" s="11"/>
      <c r="AV882" s="218"/>
      <c r="AW882" s="277"/>
      <c r="AZ882" s="141"/>
      <c r="BA882" s="398"/>
      <c r="BD882" s="141"/>
      <c r="BE882" s="141"/>
    </row>
    <row r="883" spans="1:90" s="13" customFormat="1" hidden="1">
      <c r="A883" s="1349"/>
      <c r="B883" s="1237" t="s">
        <v>792</v>
      </c>
      <c r="E883" s="1242">
        <f>E641</f>
        <v>31488</v>
      </c>
      <c r="F883" s="1242">
        <f>SUM(F878:F882)</f>
        <v>-24</v>
      </c>
      <c r="G883" s="1242">
        <f t="shared" ref="G883:R883" si="1313">SUM(G878:G882)</f>
        <v>29338</v>
      </c>
      <c r="H883" s="1242">
        <f t="shared" si="1313"/>
        <v>145439</v>
      </c>
      <c r="I883" s="1242">
        <f t="shared" si="1313"/>
        <v>216987</v>
      </c>
      <c r="J883" s="1484">
        <f t="shared" si="1313"/>
        <v>278799</v>
      </c>
      <c r="K883" s="1384">
        <f t="shared" si="1313"/>
        <v>362558.12633810384</v>
      </c>
      <c r="L883" s="1242">
        <f t="shared" si="1313"/>
        <v>469069.04022278509</v>
      </c>
      <c r="M883" s="1242">
        <f t="shared" si="1313"/>
        <v>603916.46231800888</v>
      </c>
      <c r="N883" s="1242">
        <f t="shared" si="1313"/>
        <v>769581.07942319894</v>
      </c>
      <c r="O883" s="1242">
        <f t="shared" si="1313"/>
        <v>971313.56886830309</v>
      </c>
      <c r="P883" s="1242">
        <f t="shared" si="1313"/>
        <v>1217437.0632851492</v>
      </c>
      <c r="Q883" s="1242">
        <f t="shared" si="1313"/>
        <v>1502104.9661189597</v>
      </c>
      <c r="R883" s="1242">
        <f t="shared" si="1313"/>
        <v>1826692.0675852438</v>
      </c>
      <c r="U883" s="12"/>
      <c r="V883" s="12"/>
      <c r="W883" s="12"/>
      <c r="X883" s="12"/>
      <c r="Y883" s="408"/>
      <c r="Z883" s="12"/>
      <c r="AA883" s="12"/>
      <c r="AB883" s="12"/>
      <c r="AC883" s="408"/>
      <c r="AD883" s="12"/>
      <c r="AE883" s="12"/>
      <c r="AF883" s="12"/>
      <c r="AG883" s="408"/>
      <c r="AH883" s="12"/>
      <c r="AI883" s="12"/>
      <c r="AJ883" s="12"/>
      <c r="AK883" s="408"/>
      <c r="AL883" s="12"/>
      <c r="AM883" s="12"/>
      <c r="AN883" s="12"/>
      <c r="AO883" s="408"/>
      <c r="AP883" s="12"/>
      <c r="AQ883" s="12"/>
      <c r="AR883" s="12"/>
      <c r="AS883" s="408"/>
      <c r="AT883" s="12"/>
      <c r="AU883" s="12"/>
      <c r="AV883" s="291"/>
      <c r="AW883" s="292"/>
      <c r="AX883" s="291"/>
      <c r="AY883" s="291"/>
      <c r="BA883" s="556"/>
      <c r="BB883" s="291"/>
      <c r="BC883" s="291"/>
      <c r="BF883" s="12"/>
      <c r="CG883"/>
      <c r="CH883"/>
      <c r="CI883"/>
      <c r="CJ883"/>
      <c r="CK883"/>
      <c r="CL883"/>
    </row>
    <row r="884" spans="1:90" s="1004" customFormat="1" hidden="1">
      <c r="A884" s="1348"/>
      <c r="B884" s="1238" t="s">
        <v>139</v>
      </c>
      <c r="E884" s="1243">
        <f>E641-E883</f>
        <v>0</v>
      </c>
      <c r="F884" s="1243">
        <f>F641-F883</f>
        <v>0</v>
      </c>
      <c r="G884" s="1243">
        <f t="shared" ref="G884:R884" si="1314">G641-G883</f>
        <v>0</v>
      </c>
      <c r="H884" s="1243">
        <f t="shared" si="1314"/>
        <v>0</v>
      </c>
      <c r="I884" s="1243">
        <f t="shared" si="1314"/>
        <v>0</v>
      </c>
      <c r="J884" s="1487">
        <f t="shared" si="1314"/>
        <v>0</v>
      </c>
      <c r="K884" s="1386">
        <f t="shared" si="1314"/>
        <v>0</v>
      </c>
      <c r="L884" s="1243">
        <f t="shared" si="1314"/>
        <v>0</v>
      </c>
      <c r="M884" s="1243">
        <f t="shared" si="1314"/>
        <v>0</v>
      </c>
      <c r="N884" s="1243">
        <f t="shared" si="1314"/>
        <v>0</v>
      </c>
      <c r="O884" s="1243">
        <f t="shared" si="1314"/>
        <v>0</v>
      </c>
      <c r="P884" s="1243">
        <f t="shared" si="1314"/>
        <v>0</v>
      </c>
      <c r="Q884" s="1243">
        <f t="shared" si="1314"/>
        <v>0</v>
      </c>
      <c r="R884" s="1243">
        <f t="shared" si="1314"/>
        <v>0</v>
      </c>
      <c r="U884" s="1005"/>
      <c r="V884" s="1005"/>
      <c r="W884" s="1005"/>
      <c r="X884" s="1005"/>
      <c r="Y884" s="1006"/>
      <c r="Z884" s="1005"/>
      <c r="AA884" s="1005"/>
      <c r="AB884" s="1005"/>
      <c r="AC884" s="1006"/>
      <c r="AD884" s="1005"/>
      <c r="AE884" s="1005"/>
      <c r="AF884" s="1005"/>
      <c r="AG884" s="1006"/>
      <c r="AH884" s="1005"/>
      <c r="AI884" s="1005"/>
      <c r="AJ884" s="1005"/>
      <c r="AK884" s="1006"/>
      <c r="AL884" s="1005"/>
      <c r="AM884" s="1005"/>
      <c r="AN884" s="1005"/>
      <c r="AO884" s="1006"/>
      <c r="AP884" s="1005"/>
      <c r="AQ884" s="1005"/>
      <c r="AR884" s="1005"/>
      <c r="AS884" s="1006"/>
      <c r="AT884" s="1005"/>
      <c r="AU884" s="1005"/>
      <c r="AV884" s="1005"/>
      <c r="AW884" s="1006"/>
      <c r="AX884" s="1005"/>
      <c r="AY884" s="1005"/>
      <c r="BA884" s="1552"/>
      <c r="BB884" s="1005"/>
      <c r="BC884" s="1005"/>
      <c r="BF884" s="1005"/>
      <c r="CG884"/>
      <c r="CH884"/>
      <c r="CI884"/>
      <c r="CJ884"/>
      <c r="CK884"/>
      <c r="CL884"/>
    </row>
    <row r="885" spans="1:90" hidden="1">
      <c r="K885" s="30"/>
      <c r="U885" s="11"/>
      <c r="AV885" s="218"/>
      <c r="AW885" s="277"/>
      <c r="AZ885" s="141"/>
      <c r="BA885" s="398"/>
      <c r="BD885" s="141"/>
      <c r="BE885" s="141"/>
    </row>
    <row r="886" spans="1:90" hidden="1">
      <c r="B886" s="376"/>
      <c r="C886" s="376"/>
      <c r="D886" s="376"/>
      <c r="E886" s="376"/>
      <c r="F886" s="376"/>
      <c r="G886" s="376"/>
      <c r="H886" s="376"/>
      <c r="I886" s="376"/>
      <c r="J886" s="377"/>
      <c r="K886" s="376"/>
      <c r="L886" s="376"/>
      <c r="M886" s="376"/>
      <c r="N886" s="376"/>
      <c r="O886" s="376"/>
      <c r="P886" s="376"/>
      <c r="Q886" s="376"/>
      <c r="R886" s="376"/>
      <c r="T886" s="376"/>
      <c r="V886" s="1007"/>
      <c r="W886" s="1007"/>
      <c r="X886" s="1007"/>
      <c r="Y886" s="1008"/>
      <c r="Z886" s="1007"/>
      <c r="AA886" s="1007"/>
      <c r="AB886" s="1007"/>
      <c r="AC886" s="1008"/>
      <c r="AD886" s="1007"/>
      <c r="AE886" s="1007"/>
      <c r="AF886" s="1007"/>
      <c r="AG886" s="1008"/>
      <c r="AH886" s="1007"/>
      <c r="AI886" s="1007"/>
      <c r="AJ886" s="1007"/>
      <c r="AK886" s="1008"/>
      <c r="AL886" s="3"/>
      <c r="AM886" s="1007"/>
      <c r="AN886" s="1007"/>
      <c r="AO886" s="1008"/>
      <c r="AP886" s="1007"/>
      <c r="AQ886" s="1007"/>
      <c r="AR886" s="1007"/>
      <c r="AS886" s="1008"/>
      <c r="AT886" s="1007"/>
      <c r="AU886" s="1007"/>
      <c r="AV886" s="1007"/>
      <c r="AW886" s="1008"/>
      <c r="AX886" s="1009"/>
      <c r="AY886" s="1009"/>
    </row>
    <row r="887" spans="1:90" customFormat="1" hidden="1"/>
    <row r="891" spans="1:90">
      <c r="B891" s="141" t="s">
        <v>627</v>
      </c>
    </row>
    <row r="940" spans="22:58">
      <c r="V940" s="141"/>
      <c r="W940" s="141"/>
      <c r="X940" s="141"/>
      <c r="Y940" s="398"/>
      <c r="Z940" s="141"/>
      <c r="AA940" s="141"/>
      <c r="AB940" s="141"/>
      <c r="AC940" s="398"/>
      <c r="AD940" s="141"/>
      <c r="AE940" s="141"/>
      <c r="AF940" s="141"/>
      <c r="AG940" s="398"/>
      <c r="AH940" s="141"/>
      <c r="AI940" s="141"/>
      <c r="AJ940" s="141"/>
      <c r="AK940" s="398"/>
      <c r="AM940" s="141"/>
      <c r="AN940" s="141"/>
      <c r="AO940" s="398"/>
      <c r="AP940" s="141"/>
      <c r="AQ940" s="141"/>
      <c r="AR940" s="141"/>
      <c r="AS940" s="398"/>
      <c r="AT940" s="141"/>
      <c r="AU940" s="141"/>
      <c r="AV940" s="141"/>
      <c r="AW940" s="398"/>
      <c r="AX940" s="225"/>
      <c r="AY940" s="225"/>
      <c r="AZ940" s="225"/>
      <c r="BA940" s="278"/>
      <c r="BB940" s="225"/>
      <c r="BC940" s="225"/>
      <c r="BD940" s="225"/>
      <c r="BE940" s="225"/>
      <c r="BF940" s="141"/>
    </row>
    <row r="941" spans="22:58">
      <c r="V941" s="141"/>
      <c r="W941" s="141"/>
      <c r="X941" s="141"/>
      <c r="Y941" s="398"/>
      <c r="Z941" s="141"/>
      <c r="AA941" s="141"/>
      <c r="AB941" s="141"/>
      <c r="AC941" s="398"/>
      <c r="AD941" s="141"/>
      <c r="AE941" s="141"/>
      <c r="AF941" s="141"/>
      <c r="AG941" s="398"/>
      <c r="AH941" s="141"/>
      <c r="AI941" s="141"/>
      <c r="AJ941" s="141"/>
      <c r="AK941" s="398"/>
      <c r="AM941" s="141"/>
      <c r="AN941" s="141"/>
      <c r="AO941" s="398"/>
      <c r="AP941" s="141"/>
      <c r="AQ941" s="141"/>
      <c r="AR941" s="141"/>
      <c r="AS941" s="398"/>
      <c r="AT941" s="141"/>
      <c r="AU941" s="141"/>
      <c r="AV941" s="141"/>
      <c r="AW941" s="398"/>
      <c r="AX941" s="225"/>
      <c r="AY941" s="225"/>
      <c r="AZ941" s="225"/>
      <c r="BA941" s="278"/>
      <c r="BB941" s="225"/>
      <c r="BC941" s="225"/>
      <c r="BD941" s="225"/>
      <c r="BE941" s="225"/>
      <c r="BF941" s="141"/>
    </row>
    <row r="942" spans="22:58">
      <c r="V942" s="141"/>
      <c r="W942" s="141"/>
      <c r="X942" s="141"/>
      <c r="Y942" s="398"/>
      <c r="Z942" s="141"/>
      <c r="AA942" s="141"/>
      <c r="AB942" s="141"/>
      <c r="AC942" s="398"/>
      <c r="AD942" s="141"/>
      <c r="AE942" s="141"/>
      <c r="AF942" s="141"/>
      <c r="AG942" s="398"/>
      <c r="AH942" s="141"/>
      <c r="AI942" s="141"/>
      <c r="AJ942" s="141"/>
      <c r="AK942" s="398"/>
      <c r="AM942" s="141"/>
      <c r="AN942" s="141"/>
      <c r="AO942" s="398"/>
      <c r="AP942" s="141"/>
      <c r="AQ942" s="141"/>
      <c r="AR942" s="141"/>
      <c r="AS942" s="398"/>
      <c r="AT942" s="141"/>
      <c r="AU942" s="141"/>
      <c r="AV942" s="141"/>
      <c r="AW942" s="398"/>
      <c r="AX942" s="225"/>
      <c r="AY942" s="225"/>
      <c r="AZ942" s="225"/>
      <c r="BA942" s="278"/>
      <c r="BB942" s="225"/>
      <c r="BC942" s="225"/>
      <c r="BD942" s="225"/>
      <c r="BE942" s="225"/>
      <c r="BF942" s="141"/>
    </row>
    <row r="943" spans="22:58">
      <c r="AM943" s="141"/>
      <c r="AN943" s="141"/>
      <c r="AO943" s="398"/>
      <c r="AP943" s="141"/>
      <c r="AQ943" s="141"/>
      <c r="AR943" s="141"/>
      <c r="AS943" s="398"/>
      <c r="AT943" s="141"/>
      <c r="AU943" s="141"/>
      <c r="AV943" s="141"/>
      <c r="AW943" s="398"/>
      <c r="AX943" s="225"/>
      <c r="AY943" s="225"/>
      <c r="AZ943" s="225"/>
      <c r="BA943" s="278"/>
      <c r="BB943" s="225"/>
      <c r="BC943" s="225"/>
      <c r="BD943" s="225"/>
      <c r="BE943" s="225"/>
      <c r="BF943" s="141"/>
    </row>
    <row r="944" spans="22:58">
      <c r="AM944" s="141"/>
      <c r="AN944" s="141"/>
      <c r="AO944" s="398"/>
      <c r="AP944" s="141"/>
      <c r="AQ944" s="141"/>
      <c r="AR944" s="141"/>
      <c r="AS944" s="398"/>
      <c r="AT944" s="141"/>
      <c r="AU944" s="141"/>
      <c r="AV944" s="141"/>
      <c r="AW944" s="398"/>
      <c r="AX944" s="225"/>
      <c r="AY944" s="225"/>
      <c r="AZ944" s="225"/>
      <c r="BA944" s="278"/>
      <c r="BB944" s="225"/>
      <c r="BC944" s="225"/>
      <c r="BD944" s="225"/>
      <c r="BE944" s="225"/>
      <c r="BF944" s="141"/>
    </row>
    <row r="945" spans="22:58">
      <c r="AM945" s="141"/>
      <c r="AN945" s="141"/>
      <c r="AO945" s="398"/>
      <c r="AP945" s="141"/>
      <c r="AQ945" s="141"/>
      <c r="AR945" s="141"/>
      <c r="AS945" s="398"/>
      <c r="AT945" s="141"/>
      <c r="AU945" s="141"/>
      <c r="AV945" s="141"/>
      <c r="AW945" s="398"/>
      <c r="AX945" s="225"/>
      <c r="AY945" s="225"/>
      <c r="AZ945" s="225"/>
      <c r="BA945" s="278"/>
      <c r="BB945" s="225"/>
      <c r="BC945" s="225"/>
      <c r="BD945" s="225"/>
      <c r="BE945" s="225"/>
      <c r="BF945" s="141"/>
    </row>
    <row r="946" spans="22:58">
      <c r="AM946" s="141"/>
      <c r="AN946" s="141"/>
      <c r="AO946" s="398"/>
      <c r="AP946" s="141"/>
      <c r="AQ946" s="141"/>
      <c r="AR946" s="141"/>
      <c r="AS946" s="398"/>
      <c r="AT946" s="141"/>
      <c r="AU946" s="141"/>
      <c r="AV946" s="141"/>
      <c r="AW946" s="398"/>
      <c r="AX946" s="225"/>
      <c r="AY946" s="225"/>
      <c r="AZ946" s="225"/>
      <c r="BA946" s="278"/>
      <c r="BB946" s="225"/>
      <c r="BC946" s="225"/>
      <c r="BD946" s="225"/>
      <c r="BE946" s="225"/>
      <c r="BF946" s="141"/>
    </row>
    <row r="947" spans="22:58">
      <c r="AM947" s="141"/>
      <c r="AN947" s="141"/>
      <c r="AO947" s="398"/>
      <c r="AP947" s="141"/>
      <c r="AQ947" s="141"/>
      <c r="AR947" s="141"/>
      <c r="AS947" s="398"/>
      <c r="AT947" s="141"/>
      <c r="AU947" s="141"/>
      <c r="AV947" s="141"/>
      <c r="AW947" s="398"/>
      <c r="AX947" s="225"/>
      <c r="AY947" s="225"/>
      <c r="AZ947" s="225"/>
      <c r="BA947" s="278"/>
      <c r="BB947" s="225"/>
      <c r="BC947" s="225"/>
      <c r="BD947" s="225"/>
      <c r="BE947" s="225"/>
      <c r="BF947" s="141"/>
    </row>
    <row r="948" spans="22:58">
      <c r="AM948" s="141"/>
      <c r="AN948" s="141"/>
      <c r="AO948" s="398"/>
      <c r="AP948" s="141"/>
      <c r="AQ948" s="141"/>
      <c r="AR948" s="141"/>
      <c r="AS948" s="398"/>
      <c r="AT948" s="141"/>
      <c r="AU948" s="141"/>
      <c r="AV948" s="141"/>
      <c r="AW948" s="398"/>
      <c r="AX948" s="225"/>
      <c r="AY948" s="225"/>
      <c r="AZ948" s="225"/>
      <c r="BA948" s="278"/>
      <c r="BB948" s="225"/>
      <c r="BC948" s="225"/>
      <c r="BD948" s="225"/>
      <c r="BE948" s="225"/>
      <c r="BF948" s="141"/>
    </row>
    <row r="949" spans="22:58">
      <c r="AM949" s="141"/>
      <c r="AN949" s="141"/>
      <c r="AO949" s="398"/>
      <c r="AP949" s="141"/>
      <c r="AQ949" s="141"/>
      <c r="AR949" s="141"/>
      <c r="AS949" s="398"/>
      <c r="AT949" s="141"/>
      <c r="AU949" s="141"/>
      <c r="AV949" s="141"/>
      <c r="AW949" s="398"/>
      <c r="AX949" s="225"/>
      <c r="AY949" s="225"/>
      <c r="AZ949" s="225"/>
      <c r="BA949" s="278"/>
      <c r="BB949" s="225"/>
      <c r="BC949" s="225"/>
      <c r="BD949" s="225"/>
      <c r="BE949" s="225"/>
      <c r="BF949" s="141"/>
    </row>
    <row r="950" spans="22:58">
      <c r="AM950" s="141"/>
      <c r="AN950" s="141"/>
      <c r="AO950" s="398"/>
      <c r="AP950" s="141"/>
      <c r="AQ950" s="141"/>
      <c r="AR950" s="141"/>
      <c r="AS950" s="398"/>
      <c r="AT950" s="141"/>
      <c r="AU950" s="141"/>
      <c r="AV950" s="141"/>
      <c r="AW950" s="398"/>
      <c r="AX950" s="225"/>
      <c r="AY950" s="225"/>
      <c r="AZ950" s="225"/>
      <c r="BA950" s="278"/>
      <c r="BB950" s="225"/>
      <c r="BC950" s="225"/>
      <c r="BD950" s="225"/>
      <c r="BE950" s="225"/>
      <c r="BF950" s="141"/>
    </row>
    <row r="951" spans="22:58">
      <c r="AM951" s="141"/>
      <c r="AN951" s="141"/>
      <c r="AO951" s="398"/>
      <c r="AP951" s="141"/>
      <c r="AQ951" s="141"/>
      <c r="AR951" s="141"/>
      <c r="AS951" s="398"/>
      <c r="AT951" s="141"/>
      <c r="AU951" s="141"/>
      <c r="AV951" s="141"/>
      <c r="AW951" s="398"/>
      <c r="AX951" s="225"/>
      <c r="AY951" s="225"/>
      <c r="AZ951" s="225"/>
      <c r="BA951" s="278"/>
      <c r="BB951" s="225"/>
      <c r="BC951" s="225"/>
      <c r="BD951" s="225"/>
      <c r="BE951" s="225"/>
      <c r="BF951" s="141"/>
    </row>
    <row r="952" spans="22:58">
      <c r="AM952" s="141"/>
      <c r="AN952" s="141"/>
      <c r="AO952" s="398"/>
      <c r="AP952" s="141"/>
      <c r="AQ952" s="141"/>
      <c r="AR952" s="141"/>
      <c r="AS952" s="398"/>
      <c r="AT952" s="141"/>
      <c r="AU952" s="141"/>
      <c r="AV952" s="141"/>
      <c r="AW952" s="398"/>
      <c r="AX952" s="225"/>
      <c r="AY952" s="225"/>
      <c r="AZ952" s="225"/>
      <c r="BA952" s="278"/>
      <c r="BB952" s="225"/>
      <c r="BC952" s="225"/>
      <c r="BD952" s="225"/>
      <c r="BE952" s="225"/>
      <c r="BF952" s="141"/>
    </row>
    <row r="953" spans="22:58">
      <c r="AM953" s="141"/>
      <c r="AN953" s="141"/>
      <c r="AO953" s="398"/>
      <c r="AP953" s="141"/>
      <c r="AQ953" s="141"/>
      <c r="AR953" s="141"/>
      <c r="AS953" s="398"/>
      <c r="AT953" s="141"/>
      <c r="AU953" s="141"/>
      <c r="AV953" s="141"/>
      <c r="AW953" s="398"/>
      <c r="AX953" s="225"/>
      <c r="AY953" s="225"/>
      <c r="AZ953" s="225"/>
      <c r="BA953" s="278"/>
      <c r="BB953" s="225"/>
      <c r="BC953" s="225"/>
      <c r="BD953" s="225"/>
      <c r="BE953" s="225"/>
      <c r="BF953" s="141"/>
    </row>
    <row r="954" spans="22:58">
      <c r="AM954" s="141"/>
      <c r="AN954" s="141"/>
      <c r="AO954" s="398"/>
      <c r="AP954" s="141"/>
      <c r="AQ954" s="141"/>
      <c r="AR954" s="141"/>
      <c r="AS954" s="398"/>
      <c r="AT954" s="141"/>
      <c r="AU954" s="141"/>
      <c r="AV954" s="141"/>
      <c r="AW954" s="398"/>
      <c r="AX954" s="225"/>
      <c r="AY954" s="225"/>
      <c r="AZ954" s="225"/>
      <c r="BA954" s="278"/>
      <c r="BB954" s="225"/>
      <c r="BC954" s="225"/>
      <c r="BD954" s="225"/>
      <c r="BE954" s="225"/>
      <c r="BF954" s="141"/>
    </row>
    <row r="955" spans="22:58">
      <c r="AM955" s="141"/>
      <c r="AN955" s="141"/>
      <c r="AO955" s="398"/>
      <c r="AP955" s="141"/>
      <c r="AQ955" s="141"/>
      <c r="AR955" s="141"/>
      <c r="AS955" s="398"/>
      <c r="AT955" s="141"/>
      <c r="AU955" s="141"/>
      <c r="AV955" s="141"/>
      <c r="AW955" s="398"/>
      <c r="AX955" s="225"/>
      <c r="AY955" s="225"/>
      <c r="AZ955" s="225"/>
      <c r="BA955" s="278"/>
      <c r="BB955" s="225"/>
      <c r="BC955" s="225"/>
      <c r="BD955" s="225"/>
      <c r="BE955" s="225"/>
      <c r="BF955" s="141"/>
    </row>
    <row r="956" spans="22:58">
      <c r="AM956" s="141"/>
      <c r="AN956" s="141"/>
      <c r="AO956" s="398"/>
      <c r="AP956" s="141"/>
      <c r="AQ956" s="141"/>
      <c r="AR956" s="141"/>
      <c r="AS956" s="398"/>
      <c r="AT956" s="141"/>
      <c r="AU956" s="141"/>
      <c r="AV956" s="141"/>
      <c r="AW956" s="398"/>
      <c r="AX956" s="225"/>
      <c r="AY956" s="225"/>
      <c r="AZ956" s="225"/>
      <c r="BA956" s="278"/>
      <c r="BB956" s="225"/>
      <c r="BC956" s="225"/>
      <c r="BD956" s="225"/>
      <c r="BE956" s="225"/>
      <c r="BF956" s="141"/>
    </row>
    <row r="957" spans="22:58">
      <c r="AM957" s="141"/>
      <c r="AN957" s="141"/>
      <c r="AO957" s="398"/>
      <c r="AP957" s="141"/>
      <c r="AQ957" s="141"/>
      <c r="AR957" s="141"/>
      <c r="AS957" s="398"/>
      <c r="AT957" s="141"/>
      <c r="AU957" s="141"/>
      <c r="AV957" s="141"/>
      <c r="AW957" s="398"/>
      <c r="AX957" s="225"/>
      <c r="AY957" s="225"/>
      <c r="AZ957" s="225"/>
      <c r="BA957" s="278"/>
      <c r="BB957" s="225"/>
      <c r="BC957" s="225"/>
      <c r="BD957" s="225"/>
      <c r="BE957" s="225"/>
      <c r="BF957" s="141"/>
    </row>
    <row r="958" spans="22:58">
      <c r="V958" s="11">
        <v>1</v>
      </c>
      <c r="AM958" s="141"/>
      <c r="AN958" s="141"/>
      <c r="AO958" s="398"/>
      <c r="AP958" s="141"/>
      <c r="AQ958" s="141"/>
      <c r="AR958" s="141"/>
      <c r="AS958" s="398"/>
      <c r="AT958" s="141"/>
      <c r="AU958" s="141"/>
      <c r="AV958" s="141"/>
      <c r="AW958" s="398"/>
      <c r="AX958" s="225"/>
      <c r="AY958" s="225"/>
      <c r="AZ958" s="225"/>
      <c r="BA958" s="278"/>
      <c r="BB958" s="225"/>
      <c r="BC958" s="225"/>
      <c r="BD958" s="225"/>
      <c r="BE958" s="225"/>
      <c r="BF958" s="141"/>
    </row>
    <row r="959" spans="22:58">
      <c r="V959" s="141"/>
      <c r="W959" s="141"/>
      <c r="X959" s="141"/>
      <c r="Y959" s="398"/>
      <c r="Z959" s="141"/>
      <c r="AA959" s="141"/>
      <c r="AB959" s="141"/>
      <c r="AC959" s="398"/>
      <c r="AD959" s="141"/>
      <c r="AE959" s="141"/>
      <c r="AF959" s="141"/>
      <c r="AG959" s="398"/>
      <c r="AH959" s="141"/>
      <c r="AI959" s="141"/>
      <c r="AJ959" s="141"/>
      <c r="AK959" s="398"/>
      <c r="AM959" s="141"/>
      <c r="AN959" s="141"/>
      <c r="AO959" s="398"/>
      <c r="AP959" s="141"/>
      <c r="AQ959" s="141"/>
      <c r="AR959" s="141"/>
      <c r="AS959" s="398"/>
      <c r="AT959" s="141"/>
      <c r="AU959" s="141"/>
      <c r="AV959" s="141"/>
      <c r="AW959" s="398"/>
      <c r="AX959" s="225"/>
      <c r="AY959" s="225"/>
      <c r="AZ959" s="225"/>
      <c r="BA959" s="278"/>
      <c r="BB959" s="225"/>
      <c r="BC959" s="225"/>
      <c r="BD959" s="225"/>
      <c r="BE959" s="225"/>
      <c r="BF959" s="141"/>
    </row>
    <row r="960" spans="22:58">
      <c r="V960" s="141"/>
      <c r="W960" s="141"/>
      <c r="X960" s="141"/>
      <c r="Y960" s="398"/>
      <c r="Z960" s="141"/>
      <c r="AA960" s="141"/>
      <c r="AB960" s="141"/>
      <c r="AC960" s="398"/>
      <c r="AD960" s="141"/>
      <c r="AE960" s="141"/>
      <c r="AF960" s="141"/>
      <c r="AG960" s="398"/>
      <c r="AH960" s="141"/>
      <c r="AI960" s="141"/>
      <c r="AJ960" s="141"/>
      <c r="AK960" s="398"/>
      <c r="AM960" s="141"/>
      <c r="AN960" s="141"/>
      <c r="AO960" s="398"/>
      <c r="AP960" s="141"/>
      <c r="AQ960" s="141"/>
      <c r="AR960" s="141"/>
      <c r="AS960" s="398"/>
      <c r="AT960" s="141"/>
      <c r="AU960" s="141"/>
      <c r="AV960" s="141"/>
      <c r="AW960" s="398"/>
      <c r="AX960" s="225"/>
      <c r="AY960" s="225"/>
      <c r="AZ960" s="225"/>
      <c r="BA960" s="278"/>
      <c r="BB960" s="225"/>
      <c r="BC960" s="225"/>
      <c r="BD960" s="225"/>
      <c r="BE960" s="225"/>
      <c r="BF960" s="141"/>
    </row>
    <row r="961" spans="22:58">
      <c r="V961" s="141"/>
      <c r="W961" s="141"/>
      <c r="X961" s="141"/>
      <c r="Y961" s="398"/>
      <c r="Z961" s="141"/>
      <c r="AA961" s="141"/>
      <c r="AB961" s="141"/>
      <c r="AC961" s="398"/>
      <c r="AD961" s="141"/>
      <c r="AE961" s="141"/>
      <c r="AF961" s="141"/>
      <c r="AG961" s="398"/>
      <c r="AH961" s="141"/>
      <c r="AI961" s="141"/>
      <c r="AJ961" s="141"/>
      <c r="AK961" s="398"/>
      <c r="AM961" s="141"/>
      <c r="AN961" s="141"/>
      <c r="AO961" s="398"/>
      <c r="AP961" s="141"/>
      <c r="AQ961" s="141"/>
      <c r="AR961" s="141"/>
      <c r="AS961" s="398"/>
      <c r="AT961" s="141"/>
      <c r="AU961" s="141"/>
      <c r="AV961" s="141"/>
      <c r="AW961" s="398"/>
      <c r="AX961" s="225"/>
      <c r="AY961" s="225"/>
      <c r="AZ961" s="225"/>
      <c r="BA961" s="278"/>
      <c r="BB961" s="225"/>
      <c r="BC961" s="225"/>
      <c r="BD961" s="225"/>
      <c r="BE961" s="225"/>
      <c r="BF961" s="141"/>
    </row>
    <row r="962" spans="22:58">
      <c r="V962" s="141"/>
      <c r="W962" s="141"/>
      <c r="X962" s="141"/>
      <c r="Y962" s="398"/>
      <c r="Z962" s="141"/>
      <c r="AA962" s="141"/>
      <c r="AB962" s="141"/>
      <c r="AC962" s="398"/>
      <c r="AD962" s="141"/>
      <c r="AE962" s="141"/>
      <c r="AF962" s="141"/>
      <c r="AG962" s="398"/>
      <c r="AH962" s="141"/>
      <c r="AI962" s="141"/>
      <c r="AJ962" s="141"/>
      <c r="AK962" s="398"/>
      <c r="AM962" s="141"/>
      <c r="AN962" s="141"/>
      <c r="AO962" s="398"/>
      <c r="AP962" s="141"/>
      <c r="AQ962" s="141"/>
      <c r="AR962" s="141"/>
      <c r="AS962" s="398"/>
      <c r="AT962" s="141"/>
      <c r="AU962" s="141"/>
      <c r="AV962" s="141"/>
      <c r="AW962" s="398"/>
      <c r="AX962" s="225"/>
      <c r="AY962" s="225"/>
      <c r="AZ962" s="225"/>
      <c r="BA962" s="278"/>
      <c r="BB962" s="225"/>
      <c r="BC962" s="225"/>
      <c r="BD962" s="225"/>
      <c r="BE962" s="225"/>
      <c r="BF962" s="141"/>
    </row>
    <row r="963" spans="22:58">
      <c r="V963" s="141"/>
      <c r="W963" s="141"/>
      <c r="X963" s="141"/>
      <c r="Y963" s="398"/>
      <c r="Z963" s="141"/>
      <c r="AA963" s="141"/>
      <c r="AB963" s="141"/>
      <c r="AC963" s="398"/>
      <c r="AD963" s="141"/>
      <c r="AE963" s="141"/>
      <c r="AF963" s="141"/>
      <c r="AG963" s="398"/>
      <c r="AH963" s="141"/>
      <c r="AI963" s="141"/>
      <c r="AJ963" s="141"/>
      <c r="AK963" s="398"/>
      <c r="AM963" s="141"/>
      <c r="AN963" s="141"/>
      <c r="AO963" s="398"/>
      <c r="AP963" s="141"/>
      <c r="AQ963" s="141"/>
      <c r="AR963" s="141"/>
      <c r="AS963" s="398"/>
      <c r="AT963" s="141"/>
      <c r="AU963" s="141"/>
      <c r="AV963" s="141"/>
      <c r="AW963" s="398"/>
      <c r="AX963" s="225"/>
      <c r="AY963" s="225"/>
      <c r="AZ963" s="225"/>
      <c r="BA963" s="278"/>
      <c r="BB963" s="225"/>
      <c r="BC963" s="225"/>
      <c r="BD963" s="225"/>
      <c r="BE963" s="225"/>
      <c r="BF963" s="141"/>
    </row>
    <row r="964" spans="22:58">
      <c r="V964" s="141"/>
      <c r="W964" s="141"/>
      <c r="X964" s="141"/>
      <c r="Y964" s="398"/>
      <c r="Z964" s="141"/>
      <c r="AA964" s="141"/>
      <c r="AB964" s="141"/>
      <c r="AC964" s="398"/>
      <c r="AD964" s="141"/>
      <c r="AE964" s="141"/>
      <c r="AF964" s="141"/>
      <c r="AG964" s="398"/>
      <c r="AH964" s="141"/>
      <c r="AI964" s="141"/>
      <c r="AJ964" s="141"/>
      <c r="AK964" s="398"/>
      <c r="AM964" s="141"/>
      <c r="AN964" s="141"/>
      <c r="AO964" s="398"/>
      <c r="AP964" s="141"/>
      <c r="AQ964" s="141"/>
      <c r="AR964" s="141"/>
      <c r="AS964" s="398"/>
      <c r="AT964" s="141"/>
      <c r="AU964" s="141"/>
      <c r="AV964" s="141"/>
      <c r="AW964" s="398"/>
      <c r="AX964" s="225"/>
      <c r="AY964" s="225"/>
      <c r="AZ964" s="225"/>
      <c r="BA964" s="278"/>
      <c r="BB964" s="225"/>
      <c r="BC964" s="225"/>
      <c r="BD964" s="225"/>
      <c r="BE964" s="225"/>
      <c r="BF964" s="141"/>
    </row>
    <row r="965" spans="22:58">
      <c r="V965" s="141"/>
      <c r="W965" s="141"/>
      <c r="X965" s="141"/>
      <c r="Y965" s="398"/>
      <c r="Z965" s="141"/>
      <c r="AA965" s="141"/>
      <c r="AB965" s="141"/>
      <c r="AC965" s="398"/>
      <c r="AD965" s="141"/>
      <c r="AE965" s="141"/>
      <c r="AF965" s="141"/>
      <c r="AG965" s="398"/>
      <c r="AH965" s="141"/>
      <c r="AI965" s="141"/>
      <c r="AJ965" s="141"/>
      <c r="AK965" s="398"/>
      <c r="AM965" s="141"/>
      <c r="AN965" s="141"/>
      <c r="AO965" s="398"/>
      <c r="AP965" s="141"/>
      <c r="AQ965" s="141"/>
      <c r="AR965" s="141"/>
      <c r="AS965" s="398"/>
      <c r="AT965" s="141"/>
      <c r="AU965" s="141"/>
      <c r="AV965" s="141"/>
      <c r="AW965" s="398"/>
      <c r="AX965" s="225"/>
      <c r="AY965" s="225"/>
      <c r="AZ965" s="225"/>
      <c r="BA965" s="278"/>
      <c r="BB965" s="225"/>
      <c r="BC965" s="225"/>
      <c r="BD965" s="225"/>
      <c r="BE965" s="225"/>
      <c r="BF965" s="141"/>
    </row>
    <row r="966" spans="22:58">
      <c r="V966" s="141"/>
      <c r="W966" s="141"/>
      <c r="X966" s="141"/>
      <c r="Y966" s="398"/>
      <c r="Z966" s="141"/>
      <c r="AA966" s="141"/>
      <c r="AB966" s="141"/>
      <c r="AC966" s="398"/>
      <c r="AD966" s="141"/>
      <c r="AE966" s="141"/>
      <c r="AF966" s="141"/>
      <c r="AG966" s="398"/>
      <c r="AH966" s="141"/>
      <c r="AI966" s="141"/>
      <c r="AJ966" s="141"/>
      <c r="AK966" s="398"/>
      <c r="AM966" s="141"/>
      <c r="AN966" s="141"/>
      <c r="AO966" s="398"/>
      <c r="AP966" s="141"/>
      <c r="AQ966" s="141"/>
      <c r="AR966" s="141"/>
      <c r="AS966" s="398"/>
      <c r="AT966" s="141"/>
      <c r="AU966" s="141"/>
      <c r="AV966" s="141"/>
      <c r="AW966" s="398"/>
      <c r="AX966" s="225"/>
      <c r="AY966" s="225"/>
      <c r="AZ966" s="225"/>
      <c r="BA966" s="278"/>
      <c r="BB966" s="225"/>
      <c r="BC966" s="225"/>
      <c r="BD966" s="225"/>
      <c r="BE966" s="225"/>
      <c r="BF966" s="141"/>
    </row>
    <row r="967" spans="22:58">
      <c r="V967" s="141"/>
      <c r="W967" s="141"/>
      <c r="X967" s="141"/>
      <c r="Y967" s="398"/>
      <c r="Z967" s="141"/>
      <c r="AA967" s="141"/>
      <c r="AB967" s="141"/>
      <c r="AC967" s="398"/>
      <c r="AD967" s="141"/>
      <c r="AE967" s="141"/>
      <c r="AF967" s="141"/>
      <c r="AG967" s="398"/>
      <c r="AH967" s="141"/>
      <c r="AI967" s="141"/>
      <c r="AJ967" s="141"/>
      <c r="AK967" s="398"/>
      <c r="AM967" s="141"/>
      <c r="AN967" s="141"/>
      <c r="AO967" s="398"/>
      <c r="AP967" s="141"/>
      <c r="AQ967" s="141"/>
      <c r="AR967" s="141"/>
      <c r="AS967" s="398"/>
      <c r="AT967" s="141"/>
      <c r="AU967" s="141"/>
      <c r="AV967" s="141"/>
      <c r="AW967" s="398"/>
      <c r="AX967" s="225"/>
      <c r="AY967" s="225"/>
      <c r="AZ967" s="225"/>
      <c r="BA967" s="278"/>
      <c r="BB967" s="225"/>
      <c r="BC967" s="225"/>
      <c r="BD967" s="225"/>
      <c r="BE967" s="225"/>
      <c r="BF967" s="141"/>
    </row>
    <row r="968" spans="22:58">
      <c r="V968" s="141"/>
      <c r="W968" s="141"/>
      <c r="X968" s="141"/>
      <c r="Y968" s="398"/>
      <c r="Z968" s="141"/>
      <c r="AA968" s="141"/>
      <c r="AB968" s="141"/>
      <c r="AC968" s="398"/>
      <c r="AD968" s="141"/>
      <c r="AE968" s="141"/>
      <c r="AF968" s="141"/>
      <c r="AG968" s="398"/>
      <c r="AH968" s="141"/>
      <c r="AI968" s="141"/>
      <c r="AJ968" s="141"/>
      <c r="AK968" s="398"/>
      <c r="AM968" s="141"/>
      <c r="AN968" s="141"/>
      <c r="AO968" s="398"/>
      <c r="AP968" s="141"/>
      <c r="AQ968" s="141"/>
      <c r="AR968" s="141"/>
      <c r="AS968" s="398"/>
      <c r="AT968" s="141"/>
      <c r="AU968" s="141"/>
      <c r="AV968" s="141"/>
      <c r="AW968" s="398"/>
      <c r="AX968" s="225"/>
      <c r="AY968" s="225"/>
      <c r="AZ968" s="225"/>
      <c r="BA968" s="278"/>
      <c r="BB968" s="225"/>
      <c r="BC968" s="225"/>
      <c r="BD968" s="225"/>
      <c r="BE968" s="225"/>
      <c r="BF968" s="141"/>
    </row>
    <row r="969" spans="22:58">
      <c r="V969" s="141"/>
      <c r="W969" s="141"/>
      <c r="X969" s="141"/>
      <c r="Y969" s="398"/>
      <c r="Z969" s="141"/>
      <c r="AA969" s="141"/>
      <c r="AB969" s="141"/>
      <c r="AC969" s="398"/>
      <c r="AD969" s="141"/>
      <c r="AE969" s="141"/>
      <c r="AF969" s="141"/>
      <c r="AG969" s="398"/>
      <c r="AH969" s="141"/>
      <c r="AI969" s="141"/>
      <c r="AJ969" s="141"/>
      <c r="AK969" s="398"/>
      <c r="AM969" s="141"/>
      <c r="AN969" s="141"/>
      <c r="AO969" s="398"/>
      <c r="AP969" s="141"/>
      <c r="AQ969" s="141"/>
      <c r="AR969" s="141"/>
      <c r="AS969" s="398"/>
      <c r="AT969" s="141"/>
      <c r="AU969" s="141"/>
      <c r="AV969" s="141"/>
      <c r="AW969" s="398"/>
      <c r="AX969" s="225"/>
      <c r="AY969" s="225"/>
      <c r="AZ969" s="225"/>
      <c r="BA969" s="278"/>
      <c r="BB969" s="225"/>
      <c r="BC969" s="225"/>
      <c r="BD969" s="225"/>
      <c r="BE969" s="225"/>
      <c r="BF969" s="141"/>
    </row>
    <row r="970" spans="22:58">
      <c r="V970" s="141"/>
      <c r="W970" s="141"/>
      <c r="X970" s="141"/>
      <c r="Y970" s="398"/>
      <c r="Z970" s="141"/>
      <c r="AA970" s="141"/>
      <c r="AB970" s="141"/>
      <c r="AC970" s="398"/>
      <c r="AD970" s="141"/>
      <c r="AE970" s="141"/>
      <c r="AF970" s="141"/>
      <c r="AG970" s="398"/>
      <c r="AH970" s="141"/>
      <c r="AI970" s="141"/>
      <c r="AJ970" s="141"/>
      <c r="AK970" s="398"/>
      <c r="AM970" s="141"/>
      <c r="AN970" s="141"/>
      <c r="AO970" s="398"/>
      <c r="AP970" s="141"/>
      <c r="AQ970" s="141"/>
      <c r="AR970" s="141"/>
      <c r="AS970" s="398"/>
      <c r="AT970" s="141"/>
      <c r="AU970" s="141"/>
      <c r="AV970" s="141"/>
      <c r="AW970" s="398"/>
      <c r="AX970" s="225"/>
      <c r="AY970" s="225"/>
      <c r="AZ970" s="225"/>
      <c r="BA970" s="278"/>
      <c r="BB970" s="225"/>
      <c r="BC970" s="225"/>
      <c r="BD970" s="225"/>
      <c r="BE970" s="225"/>
      <c r="BF970" s="141"/>
    </row>
    <row r="971" spans="22:58">
      <c r="V971" s="141"/>
      <c r="W971" s="141"/>
      <c r="X971" s="141"/>
      <c r="Y971" s="398"/>
      <c r="Z971" s="141"/>
      <c r="AA971" s="141"/>
      <c r="AB971" s="141"/>
      <c r="AC971" s="398"/>
      <c r="AD971" s="141"/>
      <c r="AE971" s="141"/>
      <c r="AF971" s="141"/>
      <c r="AG971" s="398"/>
      <c r="AH971" s="141"/>
      <c r="AI971" s="141"/>
      <c r="AJ971" s="141"/>
      <c r="AK971" s="398"/>
      <c r="AM971" s="141"/>
      <c r="AN971" s="141"/>
      <c r="AO971" s="398"/>
      <c r="AP971" s="141"/>
      <c r="AQ971" s="141"/>
      <c r="AR971" s="141"/>
      <c r="AS971" s="398"/>
      <c r="AT971" s="141"/>
      <c r="AU971" s="141"/>
      <c r="AV971" s="141"/>
      <c r="AW971" s="398"/>
      <c r="AX971" s="225"/>
      <c r="AY971" s="225"/>
      <c r="AZ971" s="225"/>
      <c r="BA971" s="278"/>
      <c r="BB971" s="225"/>
      <c r="BC971" s="225"/>
      <c r="BD971" s="225"/>
      <c r="BE971" s="225"/>
      <c r="BF971" s="141"/>
    </row>
    <row r="972" spans="22:58">
      <c r="V972" s="141"/>
      <c r="W972" s="141"/>
      <c r="X972" s="141"/>
      <c r="Y972" s="398"/>
      <c r="Z972" s="141"/>
      <c r="AA972" s="141"/>
      <c r="AB972" s="141"/>
      <c r="AC972" s="398"/>
      <c r="AD972" s="141"/>
      <c r="AE972" s="141"/>
      <c r="AF972" s="141"/>
      <c r="AG972" s="398"/>
      <c r="AH972" s="141"/>
      <c r="AI972" s="141"/>
      <c r="AJ972" s="141"/>
      <c r="AK972" s="398"/>
      <c r="AM972" s="141"/>
      <c r="AN972" s="141"/>
      <c r="AO972" s="398"/>
      <c r="AP972" s="141"/>
      <c r="AQ972" s="141"/>
      <c r="AR972" s="141"/>
      <c r="AS972" s="398"/>
      <c r="AT972" s="141"/>
      <c r="AU972" s="141"/>
      <c r="AV972" s="141"/>
      <c r="AW972" s="398"/>
      <c r="AX972" s="225"/>
      <c r="AY972" s="225"/>
      <c r="AZ972" s="225"/>
      <c r="BA972" s="278"/>
      <c r="BB972" s="225"/>
      <c r="BC972" s="225"/>
      <c r="BD972" s="225"/>
      <c r="BE972" s="225"/>
      <c r="BF972" s="141"/>
    </row>
    <row r="973" spans="22:58">
      <c r="V973" s="141"/>
      <c r="W973" s="141"/>
      <c r="X973" s="141"/>
      <c r="Y973" s="398"/>
      <c r="Z973" s="141"/>
      <c r="AA973" s="141"/>
      <c r="AB973" s="141"/>
      <c r="AC973" s="398"/>
      <c r="AD973" s="141"/>
      <c r="AE973" s="141"/>
      <c r="AF973" s="141"/>
      <c r="AG973" s="398"/>
      <c r="AH973" s="141"/>
      <c r="AI973" s="141"/>
      <c r="AJ973" s="141"/>
      <c r="AK973" s="398"/>
      <c r="AM973" s="141"/>
      <c r="AN973" s="141"/>
      <c r="AO973" s="398"/>
      <c r="AP973" s="141"/>
      <c r="AQ973" s="141"/>
      <c r="AR973" s="141"/>
      <c r="AS973" s="398"/>
      <c r="AT973" s="141"/>
      <c r="AU973" s="141"/>
      <c r="AV973" s="141"/>
      <c r="AW973" s="398"/>
      <c r="AX973" s="225"/>
      <c r="AY973" s="225"/>
      <c r="AZ973" s="225"/>
      <c r="BA973" s="278"/>
      <c r="BB973" s="225"/>
      <c r="BC973" s="225"/>
      <c r="BD973" s="225"/>
      <c r="BE973" s="225"/>
      <c r="BF973" s="141"/>
    </row>
    <row r="974" spans="22:58">
      <c r="V974" s="141"/>
      <c r="W974" s="141"/>
      <c r="X974" s="141"/>
      <c r="Y974" s="398"/>
      <c r="Z974" s="141"/>
      <c r="AA974" s="141"/>
      <c r="AB974" s="141"/>
      <c r="AC974" s="398"/>
      <c r="AD974" s="141"/>
      <c r="AE974" s="141"/>
      <c r="AF974" s="141"/>
      <c r="AG974" s="398"/>
      <c r="AH974" s="141"/>
      <c r="AI974" s="141"/>
      <c r="AJ974" s="141"/>
      <c r="AK974" s="398"/>
      <c r="AM974" s="141"/>
      <c r="AN974" s="141"/>
      <c r="AO974" s="398"/>
      <c r="AP974" s="141"/>
      <c r="AQ974" s="141"/>
      <c r="AR974" s="141"/>
      <c r="AS974" s="398"/>
      <c r="AT974" s="141"/>
      <c r="AU974" s="141"/>
      <c r="AV974" s="141"/>
      <c r="AW974" s="398"/>
      <c r="AX974" s="225"/>
      <c r="AY974" s="225"/>
      <c r="AZ974" s="225"/>
      <c r="BA974" s="278"/>
      <c r="BB974" s="225"/>
      <c r="BC974" s="225"/>
      <c r="BD974" s="225"/>
      <c r="BE974" s="225"/>
      <c r="BF974" s="141"/>
    </row>
    <row r="975" spans="22:58">
      <c r="V975" s="141"/>
      <c r="W975" s="141"/>
      <c r="X975" s="141"/>
      <c r="Y975" s="398"/>
      <c r="Z975" s="141"/>
      <c r="AA975" s="141"/>
      <c r="AB975" s="141"/>
      <c r="AC975" s="398"/>
      <c r="AD975" s="141"/>
      <c r="AE975" s="141"/>
      <c r="AF975" s="141"/>
      <c r="AG975" s="398"/>
      <c r="AH975" s="141"/>
      <c r="AI975" s="141"/>
      <c r="AJ975" s="141"/>
      <c r="AK975" s="398"/>
      <c r="AM975" s="141"/>
      <c r="AN975" s="141"/>
      <c r="AO975" s="398"/>
      <c r="AP975" s="141"/>
      <c r="AQ975" s="141"/>
      <c r="AR975" s="141"/>
      <c r="AS975" s="398"/>
      <c r="AT975" s="141"/>
      <c r="AU975" s="141"/>
      <c r="AV975" s="141"/>
      <c r="AW975" s="398"/>
      <c r="AX975" s="225"/>
      <c r="AY975" s="225"/>
      <c r="AZ975" s="225"/>
      <c r="BA975" s="278"/>
      <c r="BB975" s="225"/>
      <c r="BC975" s="225"/>
      <c r="BD975" s="225"/>
      <c r="BE975" s="225"/>
      <c r="BF975" s="141"/>
    </row>
    <row r="976" spans="22:58">
      <c r="V976" s="141"/>
      <c r="W976" s="141"/>
      <c r="X976" s="141"/>
      <c r="Y976" s="398"/>
      <c r="Z976" s="141"/>
      <c r="AA976" s="141"/>
      <c r="AB976" s="141"/>
      <c r="AC976" s="398"/>
      <c r="AD976" s="141"/>
      <c r="AE976" s="141"/>
      <c r="AF976" s="141"/>
      <c r="AG976" s="398"/>
      <c r="AH976" s="141"/>
      <c r="AI976" s="141"/>
      <c r="AJ976" s="141"/>
      <c r="AK976" s="398"/>
      <c r="AM976" s="141"/>
      <c r="AN976" s="141"/>
      <c r="AO976" s="398"/>
      <c r="AP976" s="141"/>
      <c r="AQ976" s="141"/>
      <c r="AR976" s="141"/>
      <c r="AS976" s="398"/>
      <c r="AT976" s="141"/>
      <c r="AU976" s="141"/>
      <c r="AV976" s="141"/>
      <c r="AW976" s="398"/>
      <c r="AX976" s="225"/>
      <c r="AY976" s="225"/>
      <c r="AZ976" s="225"/>
      <c r="BA976" s="278"/>
      <c r="BB976" s="225"/>
      <c r="BC976" s="225"/>
      <c r="BD976" s="225"/>
      <c r="BE976" s="225"/>
      <c r="BF976" s="141"/>
    </row>
    <row r="977" spans="22:58">
      <c r="V977" s="141"/>
      <c r="W977" s="141"/>
      <c r="X977" s="141"/>
      <c r="Y977" s="398"/>
      <c r="Z977" s="141"/>
      <c r="AA977" s="141"/>
      <c r="AB977" s="141"/>
      <c r="AC977" s="398"/>
      <c r="AD977" s="141"/>
      <c r="AE977" s="141"/>
      <c r="AF977" s="141"/>
      <c r="AG977" s="398"/>
      <c r="AH977" s="141"/>
      <c r="AI977" s="141"/>
      <c r="AJ977" s="141"/>
      <c r="AK977" s="398"/>
      <c r="AM977" s="141"/>
      <c r="AN977" s="141"/>
      <c r="AO977" s="398"/>
      <c r="AP977" s="141"/>
      <c r="AQ977" s="141"/>
      <c r="AR977" s="141"/>
      <c r="AS977" s="398"/>
      <c r="AT977" s="141"/>
      <c r="AU977" s="141"/>
      <c r="AV977" s="141"/>
      <c r="AW977" s="398"/>
      <c r="AX977" s="225"/>
      <c r="AY977" s="225"/>
      <c r="AZ977" s="225"/>
      <c r="BA977" s="278"/>
      <c r="BB977" s="225"/>
      <c r="BC977" s="225"/>
      <c r="BD977" s="225"/>
      <c r="BE977" s="225"/>
      <c r="BF977" s="141"/>
    </row>
    <row r="978" spans="22:58">
      <c r="V978" s="141"/>
      <c r="W978" s="141"/>
      <c r="X978" s="141"/>
      <c r="Y978" s="398"/>
      <c r="Z978" s="141"/>
      <c r="AA978" s="141"/>
      <c r="AB978" s="141"/>
      <c r="AC978" s="398"/>
      <c r="AD978" s="141"/>
      <c r="AE978" s="141"/>
      <c r="AF978" s="141"/>
      <c r="AG978" s="398"/>
      <c r="AH978" s="141"/>
      <c r="AI978" s="141"/>
      <c r="AJ978" s="141"/>
      <c r="AK978" s="398"/>
      <c r="AM978" s="141"/>
      <c r="AN978" s="141"/>
      <c r="AO978" s="398"/>
      <c r="AP978" s="141"/>
      <c r="AQ978" s="141"/>
      <c r="AR978" s="141"/>
      <c r="AS978" s="398"/>
      <c r="AT978" s="141"/>
      <c r="AU978" s="141"/>
      <c r="AV978" s="141"/>
      <c r="AW978" s="398"/>
      <c r="AX978" s="225"/>
      <c r="AY978" s="225"/>
      <c r="AZ978" s="225"/>
      <c r="BA978" s="278"/>
      <c r="BB978" s="225"/>
      <c r="BC978" s="225"/>
      <c r="BD978" s="225"/>
      <c r="BE978" s="225"/>
      <c r="BF978" s="141"/>
    </row>
    <row r="979" spans="22:58">
      <c r="V979" s="141"/>
      <c r="W979" s="141"/>
      <c r="X979" s="141"/>
      <c r="Y979" s="398"/>
      <c r="Z979" s="141"/>
      <c r="AA979" s="141"/>
      <c r="AB979" s="141"/>
      <c r="AC979" s="398"/>
      <c r="AD979" s="141"/>
      <c r="AE979" s="141"/>
      <c r="AF979" s="141"/>
      <c r="AG979" s="398"/>
      <c r="AH979" s="141"/>
      <c r="AI979" s="141"/>
      <c r="AJ979" s="141"/>
      <c r="AK979" s="398"/>
      <c r="AM979" s="141"/>
      <c r="AN979" s="141"/>
      <c r="AO979" s="398"/>
      <c r="AP979" s="141"/>
      <c r="AQ979" s="141"/>
      <c r="AR979" s="141"/>
      <c r="AS979" s="398"/>
      <c r="AT979" s="141"/>
      <c r="AU979" s="141"/>
      <c r="AV979" s="141"/>
      <c r="AW979" s="398"/>
      <c r="AX979" s="225"/>
      <c r="AY979" s="225"/>
      <c r="AZ979" s="225"/>
      <c r="BA979" s="278"/>
      <c r="BB979" s="225"/>
      <c r="BC979" s="225"/>
      <c r="BD979" s="225"/>
      <c r="BE979" s="225"/>
      <c r="BF979" s="141"/>
    </row>
    <row r="980" spans="22:58">
      <c r="V980" s="141"/>
      <c r="W980" s="141"/>
      <c r="X980" s="141"/>
      <c r="Y980" s="398"/>
      <c r="Z980" s="141"/>
      <c r="AA980" s="141"/>
      <c r="AB980" s="141"/>
      <c r="AC980" s="398"/>
      <c r="AD980" s="141"/>
      <c r="AE980" s="141"/>
      <c r="AF980" s="141"/>
      <c r="AG980" s="398"/>
      <c r="AH980" s="141"/>
      <c r="AI980" s="141"/>
      <c r="AJ980" s="141"/>
      <c r="AK980" s="398"/>
      <c r="AM980" s="141"/>
      <c r="AN980" s="141"/>
      <c r="AO980" s="398"/>
      <c r="AP980" s="141"/>
      <c r="AQ980" s="141"/>
      <c r="AR980" s="141"/>
      <c r="AS980" s="398"/>
      <c r="AT980" s="141"/>
      <c r="AU980" s="141"/>
      <c r="AV980" s="141"/>
      <c r="AW980" s="398"/>
      <c r="AX980" s="225"/>
      <c r="AY980" s="225"/>
      <c r="AZ980" s="225"/>
      <c r="BA980" s="278"/>
      <c r="BB980" s="225"/>
      <c r="BC980" s="225"/>
      <c r="BD980" s="225"/>
      <c r="BE980" s="225"/>
      <c r="BF980" s="141"/>
    </row>
    <row r="981" spans="22:58">
      <c r="V981" s="141"/>
      <c r="W981" s="141"/>
      <c r="X981" s="141"/>
      <c r="Y981" s="398"/>
      <c r="Z981" s="141"/>
      <c r="AA981" s="141"/>
      <c r="AB981" s="141"/>
      <c r="AC981" s="398"/>
      <c r="AD981" s="141"/>
      <c r="AE981" s="141"/>
      <c r="AF981" s="141"/>
      <c r="AG981" s="398"/>
      <c r="AH981" s="141"/>
      <c r="AI981" s="141"/>
      <c r="AJ981" s="141"/>
      <c r="AK981" s="398"/>
      <c r="AM981" s="141"/>
      <c r="AN981" s="141"/>
      <c r="AO981" s="398"/>
      <c r="AP981" s="141"/>
      <c r="AQ981" s="141"/>
      <c r="AR981" s="141"/>
      <c r="AS981" s="398"/>
      <c r="AT981" s="141"/>
      <c r="AU981" s="141"/>
      <c r="AV981" s="141"/>
      <c r="AW981" s="398"/>
      <c r="AX981" s="225"/>
      <c r="AY981" s="225"/>
      <c r="AZ981" s="225"/>
      <c r="BA981" s="278"/>
      <c r="BB981" s="225"/>
      <c r="BC981" s="225"/>
      <c r="BD981" s="225"/>
      <c r="BE981" s="225"/>
      <c r="BF981" s="141"/>
    </row>
    <row r="982" spans="22:58">
      <c r="V982" s="141"/>
      <c r="W982" s="141"/>
      <c r="X982" s="141"/>
      <c r="Y982" s="398"/>
      <c r="Z982" s="141"/>
      <c r="AA982" s="141"/>
      <c r="AB982" s="141"/>
      <c r="AC982" s="398"/>
      <c r="AD982" s="141"/>
      <c r="AE982" s="141"/>
      <c r="AF982" s="141"/>
      <c r="AG982" s="398"/>
      <c r="AH982" s="141"/>
      <c r="AI982" s="141"/>
      <c r="AJ982" s="141"/>
      <c r="AK982" s="398"/>
      <c r="AM982" s="141"/>
      <c r="AN982" s="141"/>
      <c r="AO982" s="398"/>
      <c r="AP982" s="141"/>
      <c r="AQ982" s="141"/>
      <c r="AR982" s="141"/>
      <c r="AS982" s="398"/>
      <c r="AT982" s="141"/>
      <c r="AU982" s="141"/>
      <c r="AV982" s="141"/>
      <c r="AW982" s="398"/>
      <c r="AX982" s="225"/>
      <c r="AY982" s="225"/>
      <c r="AZ982" s="225"/>
      <c r="BA982" s="278"/>
      <c r="BB982" s="225"/>
      <c r="BC982" s="225"/>
      <c r="BD982" s="225"/>
      <c r="BE982" s="225"/>
      <c r="BF982" s="141"/>
    </row>
    <row r="983" spans="22:58">
      <c r="V983" s="141"/>
      <c r="W983" s="141"/>
      <c r="X983" s="141"/>
      <c r="Y983" s="398"/>
      <c r="Z983" s="141"/>
      <c r="AA983" s="141"/>
      <c r="AB983" s="141"/>
      <c r="AC983" s="398"/>
      <c r="AD983" s="141"/>
      <c r="AE983" s="141"/>
      <c r="AF983" s="141"/>
      <c r="AG983" s="398"/>
      <c r="AH983" s="141"/>
      <c r="AI983" s="141"/>
      <c r="AJ983" s="141"/>
      <c r="AK983" s="398"/>
      <c r="AM983" s="141"/>
      <c r="AN983" s="141"/>
      <c r="AO983" s="398"/>
      <c r="AP983" s="141"/>
      <c r="AQ983" s="141"/>
      <c r="AR983" s="141"/>
      <c r="AS983" s="398"/>
      <c r="AT983" s="141"/>
      <c r="AU983" s="141"/>
      <c r="AV983" s="141"/>
      <c r="AW983" s="398"/>
      <c r="AX983" s="225"/>
      <c r="AY983" s="225"/>
      <c r="AZ983" s="225"/>
      <c r="BA983" s="278"/>
      <c r="BB983" s="225"/>
      <c r="BC983" s="225"/>
      <c r="BD983" s="225"/>
      <c r="BE983" s="225"/>
      <c r="BF983" s="141"/>
    </row>
    <row r="984" spans="22:58">
      <c r="V984" s="141"/>
      <c r="W984" s="141"/>
      <c r="X984" s="141"/>
      <c r="Y984" s="398"/>
      <c r="Z984" s="141"/>
      <c r="AA984" s="141"/>
      <c r="AB984" s="141"/>
      <c r="AC984" s="398"/>
      <c r="AD984" s="141"/>
      <c r="AE984" s="141"/>
      <c r="AF984" s="141"/>
      <c r="AG984" s="398"/>
      <c r="AH984" s="141"/>
      <c r="AI984" s="141"/>
      <c r="AJ984" s="141"/>
      <c r="AK984" s="398"/>
      <c r="AM984" s="141"/>
      <c r="AN984" s="141"/>
      <c r="AO984" s="398"/>
      <c r="AP984" s="141"/>
      <c r="AQ984" s="141"/>
      <c r="AR984" s="141"/>
      <c r="AS984" s="398"/>
      <c r="AT984" s="141"/>
      <c r="AU984" s="141"/>
      <c r="AV984" s="141"/>
      <c r="AW984" s="398"/>
      <c r="AX984" s="225"/>
      <c r="AY984" s="225"/>
      <c r="AZ984" s="225"/>
      <c r="BA984" s="278"/>
      <c r="BB984" s="225"/>
      <c r="BC984" s="225"/>
      <c r="BD984" s="225"/>
      <c r="BE984" s="225"/>
      <c r="BF984" s="141"/>
    </row>
    <row r="985" spans="22:58">
      <c r="V985" s="141"/>
      <c r="W985" s="141"/>
      <c r="X985" s="141"/>
      <c r="Y985" s="398"/>
      <c r="Z985" s="141"/>
      <c r="AA985" s="141"/>
      <c r="AB985" s="141"/>
      <c r="AC985" s="398"/>
      <c r="AD985" s="141"/>
      <c r="AE985" s="141"/>
      <c r="AF985" s="141"/>
      <c r="AG985" s="398"/>
      <c r="AH985" s="141"/>
      <c r="AI985" s="141"/>
      <c r="AJ985" s="141"/>
      <c r="AK985" s="398"/>
      <c r="AM985" s="141"/>
      <c r="AN985" s="141"/>
      <c r="AO985" s="398"/>
      <c r="AP985" s="141"/>
      <c r="AQ985" s="141"/>
      <c r="AR985" s="141"/>
      <c r="AS985" s="398"/>
      <c r="AT985" s="141"/>
      <c r="AU985" s="141"/>
      <c r="AV985" s="141"/>
      <c r="AW985" s="398"/>
      <c r="AX985" s="225"/>
      <c r="AY985" s="225"/>
      <c r="AZ985" s="225"/>
      <c r="BA985" s="278"/>
      <c r="BB985" s="225"/>
      <c r="BC985" s="225"/>
      <c r="BD985" s="225"/>
      <c r="BE985" s="225"/>
      <c r="BF985" s="141"/>
    </row>
    <row r="986" spans="22:58">
      <c r="V986" s="141"/>
      <c r="W986" s="141"/>
      <c r="X986" s="141"/>
      <c r="Y986" s="398"/>
      <c r="Z986" s="141"/>
      <c r="AA986" s="141"/>
      <c r="AB986" s="141"/>
      <c r="AC986" s="398"/>
      <c r="AD986" s="141"/>
      <c r="AE986" s="141"/>
      <c r="AF986" s="141"/>
      <c r="AG986" s="398"/>
      <c r="AH986" s="141"/>
      <c r="AI986" s="141"/>
      <c r="AJ986" s="141"/>
      <c r="AK986" s="398"/>
      <c r="AM986" s="141"/>
      <c r="AN986" s="141"/>
      <c r="AO986" s="398"/>
      <c r="AP986" s="141"/>
      <c r="AQ986" s="141"/>
      <c r="AR986" s="141"/>
      <c r="AS986" s="398"/>
      <c r="AT986" s="141"/>
      <c r="AU986" s="141"/>
      <c r="AV986" s="141"/>
      <c r="AW986" s="398"/>
      <c r="AX986" s="225"/>
      <c r="AY986" s="225"/>
      <c r="AZ986" s="225"/>
      <c r="BA986" s="278"/>
      <c r="BB986" s="225"/>
      <c r="BC986" s="225"/>
      <c r="BD986" s="225"/>
      <c r="BE986" s="225"/>
      <c r="BF986" s="141"/>
    </row>
    <row r="987" spans="22:58">
      <c r="V987" s="141"/>
      <c r="W987" s="141"/>
      <c r="X987" s="141"/>
      <c r="Y987" s="398"/>
      <c r="Z987" s="141"/>
      <c r="AA987" s="141"/>
      <c r="AB987" s="141"/>
      <c r="AC987" s="398"/>
      <c r="AD987" s="141"/>
      <c r="AE987" s="141"/>
      <c r="AF987" s="141"/>
      <c r="AG987" s="398"/>
      <c r="AH987" s="141"/>
      <c r="AI987" s="141"/>
      <c r="AJ987" s="141"/>
      <c r="AK987" s="398"/>
      <c r="AM987" s="141"/>
      <c r="AN987" s="141"/>
      <c r="AO987" s="398"/>
      <c r="AP987" s="141"/>
      <c r="AQ987" s="141"/>
      <c r="AR987" s="141"/>
      <c r="AS987" s="398"/>
      <c r="AT987" s="141"/>
      <c r="AU987" s="141"/>
      <c r="AV987" s="141"/>
      <c r="AW987" s="398"/>
      <c r="AX987" s="225"/>
      <c r="AY987" s="225"/>
      <c r="AZ987" s="225"/>
      <c r="BA987" s="278"/>
      <c r="BB987" s="225"/>
      <c r="BC987" s="225"/>
      <c r="BD987" s="225"/>
      <c r="BE987" s="225"/>
      <c r="BF987" s="141"/>
    </row>
    <row r="988" spans="22:58">
      <c r="V988" s="141"/>
      <c r="W988" s="141"/>
      <c r="X988" s="141"/>
      <c r="Y988" s="398"/>
      <c r="Z988" s="141"/>
      <c r="AA988" s="141"/>
      <c r="AB988" s="141"/>
      <c r="AC988" s="398"/>
      <c r="AD988" s="141"/>
      <c r="AE988" s="141"/>
      <c r="AF988" s="141"/>
      <c r="AG988" s="398"/>
      <c r="AH988" s="141"/>
      <c r="AI988" s="141"/>
      <c r="AJ988" s="141"/>
      <c r="AK988" s="398"/>
      <c r="AM988" s="141"/>
      <c r="AN988" s="141"/>
      <c r="AO988" s="398"/>
      <c r="AP988" s="141"/>
      <c r="AQ988" s="141"/>
      <c r="AR988" s="141"/>
      <c r="AS988" s="398"/>
      <c r="AT988" s="141"/>
      <c r="AU988" s="141"/>
      <c r="AV988" s="141"/>
      <c r="AW988" s="398"/>
      <c r="AX988" s="225"/>
      <c r="AY988" s="225"/>
      <c r="AZ988" s="225"/>
      <c r="BA988" s="278"/>
      <c r="BB988" s="225"/>
      <c r="BC988" s="225"/>
      <c r="BD988" s="225"/>
      <c r="BE988" s="225"/>
      <c r="BF988" s="141"/>
    </row>
    <row r="989" spans="22:58">
      <c r="V989" s="141"/>
      <c r="W989" s="141"/>
      <c r="X989" s="141"/>
      <c r="Y989" s="398"/>
      <c r="Z989" s="141"/>
      <c r="AA989" s="141"/>
      <c r="AB989" s="141"/>
      <c r="AC989" s="398"/>
      <c r="AD989" s="141"/>
      <c r="AE989" s="141"/>
      <c r="AF989" s="141"/>
      <c r="AG989" s="398"/>
      <c r="AH989" s="141"/>
      <c r="AI989" s="141"/>
      <c r="AJ989" s="141"/>
      <c r="AK989" s="398"/>
      <c r="AM989" s="141"/>
      <c r="AN989" s="141"/>
      <c r="AO989" s="398"/>
      <c r="AP989" s="141"/>
      <c r="AQ989" s="141"/>
      <c r="AR989" s="141"/>
      <c r="AS989" s="398"/>
      <c r="AT989" s="141"/>
      <c r="AU989" s="141"/>
      <c r="AV989" s="141"/>
      <c r="AW989" s="398"/>
      <c r="AX989" s="225"/>
      <c r="AY989" s="225"/>
      <c r="AZ989" s="225"/>
      <c r="BA989" s="278"/>
      <c r="BB989" s="225"/>
      <c r="BC989" s="225"/>
      <c r="BD989" s="225"/>
      <c r="BE989" s="225"/>
      <c r="BF989" s="141"/>
    </row>
    <row r="990" spans="22:58">
      <c r="V990" s="141"/>
      <c r="W990" s="141"/>
      <c r="X990" s="141"/>
      <c r="Y990" s="398"/>
      <c r="Z990" s="141"/>
      <c r="AA990" s="141"/>
      <c r="AB990" s="141"/>
      <c r="AC990" s="398"/>
      <c r="AD990" s="141"/>
      <c r="AE990" s="141"/>
      <c r="AF990" s="141"/>
      <c r="AG990" s="398"/>
      <c r="AH990" s="141"/>
      <c r="AI990" s="141"/>
      <c r="AJ990" s="141"/>
      <c r="AK990" s="398"/>
      <c r="AM990" s="141"/>
      <c r="AN990" s="141"/>
      <c r="AO990" s="398"/>
      <c r="AP990" s="141"/>
      <c r="AQ990" s="141"/>
      <c r="AR990" s="141"/>
      <c r="AS990" s="398"/>
      <c r="AT990" s="141"/>
      <c r="AU990" s="141"/>
      <c r="AV990" s="141"/>
      <c r="AW990" s="398"/>
      <c r="AX990" s="225"/>
      <c r="AY990" s="225"/>
      <c r="AZ990" s="225"/>
      <c r="BA990" s="278"/>
      <c r="BB990" s="225"/>
      <c r="BC990" s="225"/>
      <c r="BD990" s="225"/>
      <c r="BE990" s="225"/>
      <c r="BF990" s="141"/>
    </row>
    <row r="991" spans="22:58">
      <c r="V991" s="141"/>
      <c r="W991" s="141"/>
      <c r="X991" s="141"/>
      <c r="Y991" s="398"/>
      <c r="Z991" s="141"/>
      <c r="AA991" s="141"/>
      <c r="AB991" s="141"/>
      <c r="AC991" s="398"/>
      <c r="AD991" s="141"/>
      <c r="AE991" s="141"/>
      <c r="AF991" s="141"/>
      <c r="AG991" s="398"/>
      <c r="AH991" s="141"/>
      <c r="AI991" s="141"/>
      <c r="AJ991" s="141"/>
      <c r="AK991" s="398"/>
      <c r="AM991" s="141"/>
      <c r="AN991" s="141"/>
      <c r="AO991" s="398"/>
      <c r="AP991" s="141"/>
      <c r="AQ991" s="141"/>
      <c r="AR991" s="141"/>
      <c r="AS991" s="398"/>
      <c r="AT991" s="141"/>
      <c r="AU991" s="141"/>
      <c r="AV991" s="141"/>
      <c r="AW991" s="398"/>
      <c r="AX991" s="225"/>
      <c r="AY991" s="225"/>
      <c r="AZ991" s="225"/>
      <c r="BA991" s="278"/>
      <c r="BB991" s="225"/>
      <c r="BC991" s="225"/>
      <c r="BD991" s="225"/>
      <c r="BE991" s="225"/>
      <c r="BF991" s="141"/>
    </row>
    <row r="992" spans="22:58">
      <c r="V992" s="141"/>
      <c r="W992" s="141"/>
      <c r="X992" s="141"/>
      <c r="Y992" s="398"/>
      <c r="Z992" s="141"/>
      <c r="AA992" s="141"/>
      <c r="AB992" s="141"/>
      <c r="AC992" s="398"/>
      <c r="AD992" s="141"/>
      <c r="AE992" s="141"/>
      <c r="AF992" s="141"/>
      <c r="AG992" s="398"/>
      <c r="AH992" s="141"/>
      <c r="AI992" s="141"/>
      <c r="AJ992" s="141"/>
      <c r="AK992" s="398"/>
      <c r="AM992" s="141"/>
      <c r="AN992" s="141"/>
      <c r="AO992" s="398"/>
      <c r="AP992" s="141"/>
      <c r="AQ992" s="141"/>
      <c r="AR992" s="141"/>
      <c r="AS992" s="398"/>
      <c r="AT992" s="141"/>
      <c r="AU992" s="141"/>
      <c r="AV992" s="141"/>
      <c r="AW992" s="398"/>
      <c r="AX992" s="225"/>
      <c r="AY992" s="225"/>
      <c r="AZ992" s="225"/>
      <c r="BA992" s="278"/>
      <c r="BB992" s="225"/>
      <c r="BC992" s="225"/>
      <c r="BD992" s="225"/>
      <c r="BE992" s="225"/>
      <c r="BF992" s="141"/>
    </row>
    <row r="993" spans="22:58">
      <c r="V993" s="141"/>
      <c r="W993" s="141"/>
      <c r="X993" s="141"/>
      <c r="Y993" s="398"/>
      <c r="Z993" s="141"/>
      <c r="AA993" s="141"/>
      <c r="AB993" s="141"/>
      <c r="AC993" s="398"/>
      <c r="AD993" s="141"/>
      <c r="AE993" s="141"/>
      <c r="AF993" s="141"/>
      <c r="AG993" s="398"/>
      <c r="AH993" s="141"/>
      <c r="AI993" s="141"/>
      <c r="AJ993" s="141"/>
      <c r="AK993" s="398"/>
      <c r="AM993" s="141"/>
      <c r="AN993" s="141"/>
      <c r="AO993" s="398"/>
      <c r="AP993" s="141"/>
      <c r="AQ993" s="141"/>
      <c r="AR993" s="141"/>
      <c r="AS993" s="398"/>
      <c r="AT993" s="141"/>
      <c r="AU993" s="141"/>
      <c r="AV993" s="141"/>
      <c r="AW993" s="398"/>
      <c r="AX993" s="225"/>
      <c r="AY993" s="225"/>
      <c r="AZ993" s="225"/>
      <c r="BA993" s="278"/>
      <c r="BB993" s="225"/>
      <c r="BC993" s="225"/>
      <c r="BD993" s="225"/>
      <c r="BE993" s="225"/>
      <c r="BF993" s="141"/>
    </row>
    <row r="994" spans="22:58">
      <c r="V994" s="141"/>
      <c r="W994" s="141"/>
      <c r="X994" s="141"/>
      <c r="Y994" s="398"/>
      <c r="Z994" s="141"/>
      <c r="AA994" s="141"/>
      <c r="AB994" s="141"/>
      <c r="AC994" s="398"/>
      <c r="AD994" s="141"/>
      <c r="AE994" s="141"/>
      <c r="AF994" s="141"/>
      <c r="AG994" s="398"/>
      <c r="AH994" s="141"/>
      <c r="AI994" s="141"/>
      <c r="AJ994" s="141"/>
      <c r="AK994" s="398"/>
      <c r="AM994" s="141"/>
      <c r="AN994" s="141"/>
      <c r="AO994" s="398"/>
      <c r="AP994" s="141"/>
      <c r="AQ994" s="141"/>
      <c r="AR994" s="141"/>
      <c r="AS994" s="398"/>
      <c r="AT994" s="141"/>
      <c r="AU994" s="141"/>
      <c r="AV994" s="141"/>
      <c r="AW994" s="398"/>
      <c r="AX994" s="225"/>
      <c r="AY994" s="225"/>
      <c r="AZ994" s="225"/>
      <c r="BA994" s="278"/>
      <c r="BB994" s="225"/>
      <c r="BC994" s="225"/>
      <c r="BD994" s="225"/>
      <c r="BE994" s="225"/>
      <c r="BF994" s="141"/>
    </row>
    <row r="995" spans="22:58">
      <c r="V995" s="141"/>
      <c r="W995" s="141"/>
      <c r="X995" s="141"/>
      <c r="Y995" s="398"/>
      <c r="Z995" s="141"/>
      <c r="AA995" s="141"/>
      <c r="AB995" s="141"/>
      <c r="AC995" s="398"/>
      <c r="AD995" s="141"/>
      <c r="AE995" s="141"/>
      <c r="AF995" s="141"/>
      <c r="AG995" s="398"/>
      <c r="AH995" s="141"/>
      <c r="AI995" s="141"/>
      <c r="AJ995" s="141"/>
      <c r="AK995" s="398"/>
      <c r="AM995" s="141"/>
      <c r="AN995" s="141"/>
      <c r="AO995" s="398"/>
      <c r="AP995" s="141"/>
      <c r="AQ995" s="141"/>
      <c r="AR995" s="141"/>
      <c r="AS995" s="398"/>
      <c r="AT995" s="141"/>
      <c r="AU995" s="141"/>
      <c r="AV995" s="141"/>
      <c r="AW995" s="398"/>
      <c r="AX995" s="225"/>
      <c r="AY995" s="225"/>
      <c r="AZ995" s="225"/>
      <c r="BA995" s="278"/>
      <c r="BB995" s="225"/>
      <c r="BC995" s="225"/>
      <c r="BD995" s="225"/>
      <c r="BE995" s="225"/>
      <c r="BF995" s="141"/>
    </row>
    <row r="996" spans="22:58">
      <c r="V996" s="141"/>
      <c r="W996" s="141"/>
      <c r="X996" s="141"/>
      <c r="Y996" s="398"/>
      <c r="Z996" s="141"/>
      <c r="AA996" s="141"/>
      <c r="AB996" s="141"/>
      <c r="AC996" s="398"/>
      <c r="AD996" s="141"/>
      <c r="AE996" s="141"/>
      <c r="AF996" s="141"/>
      <c r="AG996" s="398"/>
      <c r="AH996" s="141"/>
      <c r="AI996" s="141"/>
      <c r="AJ996" s="141"/>
      <c r="AK996" s="398"/>
      <c r="AM996" s="141"/>
      <c r="AN996" s="141"/>
      <c r="AO996" s="398"/>
      <c r="AP996" s="141"/>
      <c r="AQ996" s="141"/>
      <c r="AR996" s="141"/>
      <c r="AS996" s="398"/>
      <c r="AT996" s="141"/>
      <c r="AU996" s="141"/>
      <c r="AV996" s="141"/>
      <c r="AW996" s="398"/>
      <c r="AX996" s="225"/>
      <c r="AY996" s="225"/>
      <c r="AZ996" s="225"/>
      <c r="BA996" s="278"/>
      <c r="BB996" s="225"/>
      <c r="BC996" s="225"/>
      <c r="BD996" s="225"/>
      <c r="BE996" s="225"/>
      <c r="BF996" s="141"/>
    </row>
    <row r="997" spans="22:58">
      <c r="V997" s="141"/>
      <c r="W997" s="141"/>
      <c r="X997" s="141"/>
      <c r="Y997" s="398"/>
      <c r="Z997" s="141"/>
      <c r="AA997" s="141"/>
      <c r="AB997" s="141"/>
      <c r="AC997" s="398"/>
      <c r="AD997" s="141"/>
      <c r="AE997" s="141"/>
      <c r="AF997" s="141"/>
      <c r="AG997" s="398"/>
      <c r="AH997" s="141"/>
      <c r="AI997" s="141"/>
      <c r="AJ997" s="141"/>
      <c r="AK997" s="398"/>
      <c r="AM997" s="141"/>
      <c r="AN997" s="141"/>
      <c r="AO997" s="398"/>
      <c r="AP997" s="141"/>
      <c r="AQ997" s="141"/>
      <c r="AR997" s="141"/>
      <c r="AS997" s="398"/>
      <c r="AT997" s="141"/>
      <c r="AU997" s="141"/>
      <c r="AV997" s="141"/>
      <c r="AW997" s="398"/>
      <c r="AX997" s="225"/>
      <c r="AY997" s="225"/>
      <c r="AZ997" s="225"/>
      <c r="BA997" s="278"/>
      <c r="BB997" s="225"/>
      <c r="BC997" s="225"/>
      <c r="BD997" s="225"/>
      <c r="BE997" s="225"/>
      <c r="BF997" s="141"/>
    </row>
    <row r="998" spans="22:58">
      <c r="V998" s="141"/>
      <c r="W998" s="141"/>
      <c r="X998" s="141"/>
      <c r="Y998" s="398"/>
      <c r="Z998" s="141"/>
      <c r="AA998" s="141"/>
      <c r="AB998" s="141"/>
      <c r="AC998" s="398"/>
      <c r="AD998" s="141"/>
      <c r="AE998" s="141"/>
      <c r="AF998" s="141"/>
      <c r="AG998" s="398"/>
      <c r="AH998" s="141"/>
      <c r="AI998" s="141"/>
      <c r="AJ998" s="141"/>
      <c r="AK998" s="398"/>
      <c r="AM998" s="141"/>
      <c r="AN998" s="141"/>
      <c r="AO998" s="398"/>
      <c r="AP998" s="141"/>
      <c r="AQ998" s="141"/>
      <c r="AR998" s="141"/>
      <c r="AS998" s="398"/>
      <c r="AT998" s="141"/>
      <c r="AU998" s="141"/>
      <c r="AV998" s="141"/>
      <c r="AW998" s="398"/>
      <c r="AX998" s="225"/>
      <c r="AY998" s="225"/>
      <c r="AZ998" s="225"/>
      <c r="BA998" s="278"/>
      <c r="BB998" s="225"/>
      <c r="BC998" s="225"/>
      <c r="BD998" s="225"/>
      <c r="BE998" s="225"/>
      <c r="BF998" s="141"/>
    </row>
    <row r="999" spans="22:58">
      <c r="V999" s="141"/>
      <c r="W999" s="141"/>
      <c r="X999" s="141"/>
      <c r="Y999" s="398"/>
      <c r="Z999" s="141"/>
      <c r="AA999" s="141"/>
      <c r="AB999" s="141"/>
      <c r="AC999" s="398"/>
      <c r="AD999" s="141"/>
      <c r="AE999" s="141"/>
      <c r="AF999" s="141"/>
      <c r="AG999" s="398"/>
      <c r="AH999" s="141"/>
      <c r="AI999" s="141"/>
      <c r="AJ999" s="141"/>
      <c r="AK999" s="398"/>
      <c r="AM999" s="141"/>
      <c r="AN999" s="141"/>
      <c r="AO999" s="398"/>
      <c r="AP999" s="141"/>
      <c r="AQ999" s="141"/>
      <c r="AR999" s="141"/>
      <c r="AS999" s="398"/>
      <c r="AT999" s="141"/>
      <c r="AU999" s="141"/>
      <c r="AV999" s="141"/>
      <c r="AW999" s="398"/>
      <c r="AX999" s="225"/>
      <c r="AY999" s="225"/>
      <c r="AZ999" s="225"/>
      <c r="BA999" s="278"/>
      <c r="BB999" s="225"/>
      <c r="BC999" s="225"/>
      <c r="BD999" s="225"/>
      <c r="BE999" s="225"/>
      <c r="BF999" s="141"/>
    </row>
    <row r="1000" spans="22:58">
      <c r="V1000" s="141"/>
      <c r="W1000" s="141"/>
      <c r="X1000" s="141"/>
      <c r="Y1000" s="398"/>
      <c r="Z1000" s="141"/>
      <c r="AA1000" s="141"/>
      <c r="AB1000" s="141"/>
      <c r="AC1000" s="398"/>
      <c r="AD1000" s="141"/>
      <c r="AE1000" s="141"/>
      <c r="AF1000" s="141"/>
      <c r="AG1000" s="398"/>
      <c r="AH1000" s="141"/>
      <c r="AI1000" s="141"/>
      <c r="AJ1000" s="141"/>
      <c r="AK1000" s="398"/>
      <c r="AM1000" s="141"/>
      <c r="AN1000" s="141"/>
      <c r="AO1000" s="398"/>
      <c r="AP1000" s="141"/>
      <c r="AQ1000" s="141"/>
      <c r="AR1000" s="141"/>
      <c r="AS1000" s="398"/>
      <c r="AT1000" s="141"/>
      <c r="AU1000" s="141"/>
      <c r="AV1000" s="141"/>
      <c r="AW1000" s="398"/>
      <c r="AX1000" s="225"/>
      <c r="AY1000" s="225"/>
      <c r="AZ1000" s="225"/>
      <c r="BA1000" s="278"/>
      <c r="BB1000" s="225"/>
      <c r="BC1000" s="225"/>
      <c r="BD1000" s="225"/>
      <c r="BE1000" s="225"/>
      <c r="BF1000" s="141"/>
    </row>
    <row r="1001" spans="22:58">
      <c r="V1001" s="141"/>
      <c r="W1001" s="141"/>
      <c r="X1001" s="141"/>
      <c r="Y1001" s="398"/>
      <c r="Z1001" s="141"/>
      <c r="AA1001" s="141"/>
      <c r="AB1001" s="141"/>
      <c r="AC1001" s="398"/>
      <c r="AD1001" s="141"/>
      <c r="AE1001" s="141"/>
      <c r="AF1001" s="141"/>
      <c r="AG1001" s="398"/>
      <c r="AH1001" s="141"/>
      <c r="AI1001" s="141"/>
      <c r="AJ1001" s="141"/>
      <c r="AK1001" s="398"/>
      <c r="AM1001" s="141"/>
      <c r="AN1001" s="141"/>
      <c r="AO1001" s="398"/>
      <c r="AP1001" s="141"/>
      <c r="AQ1001" s="141"/>
      <c r="AR1001" s="141"/>
      <c r="AS1001" s="398"/>
      <c r="AT1001" s="141"/>
      <c r="AU1001" s="141"/>
      <c r="AV1001" s="141"/>
      <c r="AW1001" s="398"/>
      <c r="AX1001" s="225"/>
      <c r="AY1001" s="225"/>
      <c r="AZ1001" s="225"/>
      <c r="BA1001" s="278"/>
      <c r="BB1001" s="225"/>
      <c r="BC1001" s="225"/>
      <c r="BD1001" s="225"/>
      <c r="BE1001" s="225"/>
      <c r="BF1001" s="141"/>
    </row>
    <row r="1002" spans="22:58">
      <c r="V1002" s="141"/>
      <c r="W1002" s="141"/>
      <c r="X1002" s="141"/>
      <c r="Y1002" s="398"/>
      <c r="Z1002" s="141"/>
      <c r="AA1002" s="141"/>
      <c r="AB1002" s="141"/>
      <c r="AC1002" s="398"/>
      <c r="AD1002" s="141"/>
      <c r="AE1002" s="141"/>
      <c r="AF1002" s="141"/>
      <c r="AG1002" s="398"/>
      <c r="AH1002" s="141"/>
      <c r="AI1002" s="141"/>
      <c r="AJ1002" s="141"/>
      <c r="AK1002" s="398"/>
      <c r="AM1002" s="141"/>
      <c r="AN1002" s="141"/>
      <c r="AO1002" s="398"/>
      <c r="AP1002" s="141"/>
      <c r="AQ1002" s="141"/>
      <c r="AR1002" s="141"/>
      <c r="AS1002" s="398"/>
      <c r="AT1002" s="141"/>
      <c r="AU1002" s="141"/>
      <c r="AV1002" s="141"/>
      <c r="AW1002" s="398"/>
      <c r="AX1002" s="225"/>
      <c r="AY1002" s="225"/>
      <c r="AZ1002" s="225"/>
      <c r="BA1002" s="278"/>
      <c r="BB1002" s="225"/>
      <c r="BC1002" s="225"/>
      <c r="BD1002" s="225"/>
      <c r="BE1002" s="225"/>
      <c r="BF1002" s="141"/>
    </row>
    <row r="1003" spans="22:58">
      <c r="V1003" s="141"/>
      <c r="W1003" s="141"/>
      <c r="X1003" s="141"/>
      <c r="Y1003" s="398"/>
      <c r="Z1003" s="141"/>
      <c r="AA1003" s="141"/>
      <c r="AB1003" s="141"/>
      <c r="AC1003" s="398"/>
      <c r="AD1003" s="141"/>
      <c r="AE1003" s="141"/>
      <c r="AF1003" s="141"/>
      <c r="AG1003" s="398"/>
      <c r="AH1003" s="141"/>
      <c r="AI1003" s="141"/>
      <c r="AJ1003" s="141"/>
      <c r="AK1003" s="398"/>
      <c r="AM1003" s="141"/>
      <c r="AN1003" s="141"/>
      <c r="AO1003" s="398"/>
      <c r="AP1003" s="141"/>
      <c r="AQ1003" s="141"/>
      <c r="AR1003" s="141"/>
      <c r="AS1003" s="398"/>
      <c r="AT1003" s="141"/>
      <c r="AU1003" s="141"/>
      <c r="AV1003" s="141"/>
      <c r="AW1003" s="398"/>
      <c r="AX1003" s="225"/>
      <c r="AY1003" s="225"/>
      <c r="AZ1003" s="225"/>
      <c r="BA1003" s="278"/>
      <c r="BB1003" s="225"/>
      <c r="BC1003" s="225"/>
      <c r="BD1003" s="225"/>
      <c r="BE1003" s="225"/>
      <c r="BF1003" s="141"/>
    </row>
    <row r="1004" spans="22:58">
      <c r="V1004" s="141"/>
      <c r="W1004" s="141"/>
      <c r="X1004" s="141"/>
      <c r="Y1004" s="398"/>
      <c r="Z1004" s="141"/>
      <c r="AA1004" s="141"/>
      <c r="AB1004" s="141"/>
      <c r="AC1004" s="398"/>
      <c r="AD1004" s="141"/>
      <c r="AE1004" s="141"/>
      <c r="AF1004" s="141"/>
      <c r="AG1004" s="398"/>
      <c r="AH1004" s="141"/>
      <c r="AI1004" s="141"/>
      <c r="AJ1004" s="141"/>
      <c r="AK1004" s="398"/>
      <c r="AM1004" s="141"/>
      <c r="AN1004" s="141"/>
      <c r="AO1004" s="398"/>
      <c r="AP1004" s="141"/>
      <c r="AQ1004" s="141"/>
      <c r="AR1004" s="141"/>
      <c r="AS1004" s="398"/>
      <c r="AT1004" s="141"/>
      <c r="AU1004" s="141"/>
      <c r="AV1004" s="141"/>
      <c r="AW1004" s="398"/>
      <c r="AX1004" s="225"/>
      <c r="AY1004" s="225"/>
      <c r="AZ1004" s="225"/>
      <c r="BA1004" s="278"/>
      <c r="BB1004" s="225"/>
      <c r="BC1004" s="225"/>
      <c r="BD1004" s="225"/>
      <c r="BE1004" s="225"/>
      <c r="BF1004" s="141"/>
    </row>
    <row r="1005" spans="22:58">
      <c r="V1005" s="141"/>
      <c r="W1005" s="141"/>
      <c r="X1005" s="141"/>
      <c r="Y1005" s="398"/>
      <c r="Z1005" s="141"/>
      <c r="AA1005" s="141"/>
      <c r="AB1005" s="141"/>
      <c r="AC1005" s="398"/>
      <c r="AD1005" s="141"/>
      <c r="AE1005" s="141"/>
      <c r="AF1005" s="141"/>
      <c r="AG1005" s="398"/>
      <c r="AH1005" s="141"/>
      <c r="AI1005" s="141"/>
      <c r="AJ1005" s="141"/>
      <c r="AK1005" s="398"/>
      <c r="AM1005" s="141"/>
      <c r="AN1005" s="141"/>
      <c r="AO1005" s="398"/>
      <c r="AP1005" s="141"/>
      <c r="AQ1005" s="141"/>
      <c r="AR1005" s="141"/>
      <c r="AS1005" s="398"/>
      <c r="AT1005" s="141"/>
      <c r="AU1005" s="141"/>
      <c r="AV1005" s="141"/>
      <c r="AW1005" s="398"/>
      <c r="AX1005" s="225"/>
      <c r="AY1005" s="225"/>
      <c r="AZ1005" s="225"/>
      <c r="BA1005" s="278"/>
      <c r="BB1005" s="225"/>
      <c r="BC1005" s="225"/>
      <c r="BD1005" s="225"/>
      <c r="BE1005" s="225"/>
      <c r="BF1005" s="141"/>
    </row>
    <row r="1006" spans="22:58">
      <c r="V1006" s="141"/>
      <c r="W1006" s="141"/>
      <c r="X1006" s="141"/>
      <c r="Y1006" s="398"/>
      <c r="Z1006" s="141"/>
      <c r="AA1006" s="141"/>
      <c r="AB1006" s="141"/>
      <c r="AC1006" s="398"/>
      <c r="AD1006" s="141"/>
      <c r="AE1006" s="141"/>
      <c r="AF1006" s="141"/>
      <c r="AG1006" s="398"/>
      <c r="AH1006" s="141"/>
      <c r="AI1006" s="141"/>
      <c r="AJ1006" s="141"/>
      <c r="AK1006" s="398"/>
      <c r="AM1006" s="141"/>
      <c r="AN1006" s="141"/>
      <c r="AO1006" s="398"/>
      <c r="AP1006" s="141"/>
      <c r="AQ1006" s="141"/>
      <c r="AR1006" s="141"/>
      <c r="AS1006" s="398"/>
      <c r="AT1006" s="141"/>
      <c r="AU1006" s="141"/>
      <c r="AV1006" s="141"/>
      <c r="AW1006" s="398"/>
      <c r="AX1006" s="225"/>
      <c r="AY1006" s="225"/>
      <c r="AZ1006" s="225"/>
      <c r="BA1006" s="278"/>
      <c r="BB1006" s="225"/>
      <c r="BC1006" s="225"/>
      <c r="BD1006" s="225"/>
      <c r="BE1006" s="225"/>
      <c r="BF1006" s="141"/>
    </row>
    <row r="1007" spans="22:58">
      <c r="V1007" s="141"/>
      <c r="W1007" s="141"/>
      <c r="X1007" s="141"/>
      <c r="Y1007" s="398"/>
      <c r="Z1007" s="141"/>
      <c r="AA1007" s="141"/>
      <c r="AB1007" s="141"/>
      <c r="AC1007" s="398"/>
      <c r="AD1007" s="141"/>
      <c r="AE1007" s="141"/>
      <c r="AF1007" s="141"/>
      <c r="AG1007" s="398"/>
      <c r="AH1007" s="141"/>
      <c r="AI1007" s="141"/>
      <c r="AJ1007" s="141"/>
      <c r="AK1007" s="398"/>
      <c r="AM1007" s="141"/>
      <c r="AN1007" s="141"/>
      <c r="AO1007" s="398"/>
      <c r="AP1007" s="141"/>
      <c r="AQ1007" s="141"/>
      <c r="AR1007" s="141"/>
      <c r="AS1007" s="398"/>
      <c r="AT1007" s="141"/>
      <c r="AU1007" s="141"/>
      <c r="AV1007" s="141"/>
      <c r="AW1007" s="398"/>
      <c r="AX1007" s="225"/>
      <c r="AY1007" s="225"/>
      <c r="AZ1007" s="225"/>
      <c r="BA1007" s="278"/>
      <c r="BB1007" s="225"/>
      <c r="BC1007" s="225"/>
      <c r="BD1007" s="225"/>
      <c r="BE1007" s="225"/>
      <c r="BF1007" s="141"/>
    </row>
    <row r="1008" spans="22:58">
      <c r="V1008" s="141"/>
      <c r="W1008" s="141"/>
      <c r="X1008" s="141"/>
      <c r="Y1008" s="398"/>
      <c r="Z1008" s="141"/>
      <c r="AA1008" s="141"/>
      <c r="AB1008" s="141"/>
      <c r="AC1008" s="398"/>
      <c r="AD1008" s="141"/>
      <c r="AE1008" s="141"/>
      <c r="AF1008" s="141"/>
      <c r="AG1008" s="398"/>
      <c r="AH1008" s="141"/>
      <c r="AI1008" s="141"/>
      <c r="AJ1008" s="141"/>
      <c r="AK1008" s="398"/>
      <c r="AM1008" s="141"/>
      <c r="AN1008" s="141"/>
      <c r="AO1008" s="398"/>
      <c r="AP1008" s="141"/>
      <c r="AQ1008" s="141"/>
      <c r="AR1008" s="141"/>
      <c r="AS1008" s="398"/>
      <c r="AT1008" s="141"/>
      <c r="AU1008" s="141"/>
      <c r="AV1008" s="141"/>
      <c r="AW1008" s="398"/>
      <c r="AX1008" s="225"/>
      <c r="AY1008" s="225"/>
      <c r="AZ1008" s="225"/>
      <c r="BA1008" s="278"/>
      <c r="BB1008" s="225"/>
      <c r="BC1008" s="225"/>
      <c r="BD1008" s="225"/>
      <c r="BE1008" s="225"/>
      <c r="BF1008" s="141"/>
    </row>
    <row r="1009" spans="22:58">
      <c r="V1009" s="141"/>
      <c r="W1009" s="141"/>
      <c r="X1009" s="141"/>
      <c r="Y1009" s="398"/>
      <c r="Z1009" s="141"/>
      <c r="AA1009" s="141"/>
      <c r="AB1009" s="141"/>
      <c r="AC1009" s="398"/>
      <c r="AD1009" s="141"/>
      <c r="AE1009" s="141"/>
      <c r="AF1009" s="141"/>
      <c r="AG1009" s="398"/>
      <c r="AH1009" s="141"/>
      <c r="AI1009" s="141"/>
      <c r="AJ1009" s="141"/>
      <c r="AK1009" s="398"/>
      <c r="AM1009" s="141"/>
      <c r="AN1009" s="141"/>
      <c r="AO1009" s="398"/>
      <c r="AP1009" s="141"/>
      <c r="AQ1009" s="141"/>
      <c r="AR1009" s="141"/>
      <c r="AS1009" s="398"/>
      <c r="AT1009" s="141"/>
      <c r="AU1009" s="141"/>
      <c r="AV1009" s="141"/>
      <c r="AW1009" s="398"/>
      <c r="AX1009" s="225"/>
      <c r="AY1009" s="225"/>
      <c r="AZ1009" s="225"/>
      <c r="BA1009" s="278"/>
      <c r="BB1009" s="225"/>
      <c r="BC1009" s="225"/>
      <c r="BD1009" s="225"/>
      <c r="BE1009" s="225"/>
      <c r="BF1009" s="141"/>
    </row>
    <row r="1010" spans="22:58">
      <c r="V1010" s="141"/>
      <c r="W1010" s="141"/>
      <c r="X1010" s="141"/>
      <c r="Y1010" s="398"/>
      <c r="Z1010" s="141"/>
      <c r="AA1010" s="141"/>
      <c r="AB1010" s="141"/>
      <c r="AC1010" s="398"/>
      <c r="AD1010" s="141"/>
      <c r="AE1010" s="141"/>
      <c r="AF1010" s="141"/>
      <c r="AG1010" s="398"/>
      <c r="AH1010" s="141"/>
      <c r="AI1010" s="141"/>
      <c r="AJ1010" s="141"/>
      <c r="AK1010" s="398"/>
      <c r="AM1010" s="141"/>
      <c r="AN1010" s="141"/>
      <c r="AO1010" s="398"/>
      <c r="AP1010" s="141"/>
      <c r="AQ1010" s="141"/>
      <c r="AR1010" s="141"/>
      <c r="AS1010" s="398"/>
      <c r="AT1010" s="141"/>
      <c r="AU1010" s="141"/>
      <c r="AV1010" s="141"/>
      <c r="AW1010" s="398"/>
      <c r="AX1010" s="225"/>
      <c r="AY1010" s="225"/>
      <c r="AZ1010" s="225"/>
      <c r="BA1010" s="278"/>
      <c r="BB1010" s="225"/>
      <c r="BC1010" s="225"/>
      <c r="BD1010" s="225"/>
      <c r="BE1010" s="225"/>
      <c r="BF1010" s="141"/>
    </row>
    <row r="1011" spans="22:58">
      <c r="V1011" s="141"/>
      <c r="W1011" s="141"/>
      <c r="X1011" s="141"/>
      <c r="Y1011" s="398"/>
      <c r="Z1011" s="141"/>
      <c r="AA1011" s="141"/>
      <c r="AB1011" s="141"/>
      <c r="AC1011" s="398"/>
      <c r="AD1011" s="141"/>
      <c r="AE1011" s="141"/>
      <c r="AF1011" s="141"/>
      <c r="AG1011" s="398"/>
      <c r="AH1011" s="141"/>
      <c r="AI1011" s="141"/>
      <c r="AJ1011" s="141"/>
      <c r="AK1011" s="398"/>
      <c r="AM1011" s="141"/>
      <c r="AN1011" s="141"/>
      <c r="AO1011" s="398"/>
      <c r="AP1011" s="141"/>
      <c r="AQ1011" s="141"/>
      <c r="AR1011" s="141"/>
      <c r="AS1011" s="398"/>
      <c r="AT1011" s="141"/>
      <c r="AU1011" s="141"/>
      <c r="AV1011" s="141"/>
      <c r="AW1011" s="398"/>
      <c r="AX1011" s="225"/>
      <c r="AY1011" s="225"/>
      <c r="AZ1011" s="225"/>
      <c r="BA1011" s="278"/>
      <c r="BB1011" s="225"/>
      <c r="BC1011" s="225"/>
      <c r="BD1011" s="225"/>
      <c r="BE1011" s="225"/>
      <c r="BF1011" s="141"/>
    </row>
    <row r="1012" spans="22:58">
      <c r="V1012" s="141"/>
      <c r="W1012" s="141"/>
      <c r="X1012" s="141"/>
      <c r="Y1012" s="398"/>
      <c r="Z1012" s="141"/>
      <c r="AA1012" s="141"/>
      <c r="AB1012" s="141"/>
      <c r="AC1012" s="398"/>
      <c r="AD1012" s="141"/>
      <c r="AE1012" s="141"/>
      <c r="AF1012" s="141"/>
      <c r="AG1012" s="398"/>
      <c r="AH1012" s="141"/>
      <c r="AI1012" s="141"/>
      <c r="AJ1012" s="141"/>
      <c r="AK1012" s="398"/>
      <c r="AM1012" s="141"/>
      <c r="AN1012" s="141"/>
      <c r="AO1012" s="398"/>
      <c r="AP1012" s="141"/>
      <c r="AQ1012" s="141"/>
      <c r="AR1012" s="141"/>
      <c r="AS1012" s="398"/>
      <c r="AT1012" s="141"/>
      <c r="AU1012" s="141"/>
      <c r="AV1012" s="141"/>
      <c r="AW1012" s="398"/>
      <c r="AX1012" s="225"/>
      <c r="AY1012" s="225"/>
      <c r="AZ1012" s="225"/>
      <c r="BA1012" s="278"/>
      <c r="BB1012" s="225"/>
      <c r="BC1012" s="225"/>
      <c r="BD1012" s="225"/>
      <c r="BE1012" s="225"/>
      <c r="BF1012" s="141"/>
    </row>
    <row r="1013" spans="22:58">
      <c r="V1013" s="141"/>
      <c r="W1013" s="141"/>
      <c r="X1013" s="141"/>
      <c r="Y1013" s="398"/>
      <c r="Z1013" s="141"/>
      <c r="AA1013" s="141"/>
      <c r="AB1013" s="141"/>
      <c r="AC1013" s="398"/>
      <c r="AD1013" s="141"/>
      <c r="AE1013" s="141"/>
      <c r="AF1013" s="141"/>
      <c r="AG1013" s="398"/>
      <c r="AH1013" s="141"/>
      <c r="AI1013" s="141"/>
      <c r="AJ1013" s="141"/>
      <c r="AK1013" s="398"/>
      <c r="AM1013" s="141"/>
      <c r="AN1013" s="141"/>
      <c r="AO1013" s="398"/>
      <c r="AP1013" s="141"/>
      <c r="AQ1013" s="141"/>
      <c r="AR1013" s="141"/>
      <c r="AS1013" s="398"/>
      <c r="AT1013" s="141"/>
      <c r="AU1013" s="141"/>
      <c r="AV1013" s="141"/>
      <c r="AW1013" s="398"/>
      <c r="AX1013" s="225"/>
      <c r="AY1013" s="225"/>
      <c r="AZ1013" s="225"/>
      <c r="BA1013" s="278"/>
      <c r="BB1013" s="225"/>
      <c r="BC1013" s="225"/>
      <c r="BD1013" s="225"/>
      <c r="BE1013" s="225"/>
      <c r="BF1013" s="141"/>
    </row>
    <row r="1014" spans="22:58">
      <c r="V1014" s="141"/>
      <c r="W1014" s="141"/>
      <c r="X1014" s="141"/>
      <c r="Y1014" s="398"/>
      <c r="Z1014" s="141"/>
      <c r="AA1014" s="141"/>
      <c r="AB1014" s="141"/>
      <c r="AC1014" s="398"/>
      <c r="AD1014" s="141"/>
      <c r="AE1014" s="141"/>
      <c r="AF1014" s="141"/>
      <c r="AG1014" s="398"/>
      <c r="AH1014" s="141"/>
      <c r="AI1014" s="141"/>
      <c r="AJ1014" s="141"/>
      <c r="AK1014" s="398"/>
      <c r="AM1014" s="141"/>
      <c r="AN1014" s="141"/>
      <c r="AO1014" s="398"/>
      <c r="AP1014" s="141"/>
      <c r="AQ1014" s="141"/>
      <c r="AR1014" s="141"/>
      <c r="AS1014" s="398"/>
      <c r="AT1014" s="141"/>
      <c r="AU1014" s="141"/>
      <c r="AV1014" s="141"/>
      <c r="AW1014" s="398"/>
      <c r="AX1014" s="225"/>
      <c r="AY1014" s="225"/>
      <c r="AZ1014" s="225"/>
      <c r="BA1014" s="278"/>
      <c r="BB1014" s="225"/>
      <c r="BC1014" s="225"/>
      <c r="BD1014" s="225"/>
      <c r="BE1014" s="225"/>
      <c r="BF1014" s="141"/>
    </row>
    <row r="1015" spans="22:58">
      <c r="V1015" s="141"/>
      <c r="W1015" s="141"/>
      <c r="X1015" s="141"/>
      <c r="Y1015" s="398"/>
      <c r="Z1015" s="141"/>
      <c r="AA1015" s="141"/>
      <c r="AB1015" s="141"/>
      <c r="AC1015" s="398"/>
      <c r="AD1015" s="141"/>
      <c r="AE1015" s="141"/>
      <c r="AF1015" s="141"/>
      <c r="AG1015" s="398"/>
      <c r="AH1015" s="141"/>
      <c r="AI1015" s="141"/>
      <c r="AJ1015" s="141"/>
      <c r="AK1015" s="398"/>
      <c r="AM1015" s="141"/>
      <c r="AN1015" s="141"/>
      <c r="AO1015" s="398"/>
      <c r="AP1015" s="141"/>
      <c r="AQ1015" s="141"/>
      <c r="AR1015" s="141"/>
      <c r="AS1015" s="398"/>
      <c r="AT1015" s="141"/>
      <c r="AU1015" s="141"/>
      <c r="AV1015" s="141"/>
      <c r="AW1015" s="398"/>
      <c r="AX1015" s="225"/>
      <c r="AY1015" s="225"/>
      <c r="AZ1015" s="225"/>
      <c r="BA1015" s="278"/>
      <c r="BB1015" s="225"/>
      <c r="BC1015" s="225"/>
      <c r="BD1015" s="225"/>
      <c r="BE1015" s="225"/>
      <c r="BF1015" s="141"/>
    </row>
    <row r="1016" spans="22:58">
      <c r="V1016" s="141"/>
      <c r="W1016" s="141"/>
      <c r="X1016" s="141"/>
      <c r="Y1016" s="398"/>
      <c r="Z1016" s="141"/>
      <c r="AA1016" s="141"/>
      <c r="AB1016" s="141"/>
      <c r="AC1016" s="398"/>
      <c r="AD1016" s="141"/>
      <c r="AE1016" s="141"/>
      <c r="AF1016" s="141"/>
      <c r="AG1016" s="398"/>
      <c r="AH1016" s="141"/>
      <c r="AI1016" s="141"/>
      <c r="AJ1016" s="141"/>
      <c r="AK1016" s="398"/>
      <c r="AM1016" s="141"/>
      <c r="AN1016" s="141"/>
      <c r="AO1016" s="398"/>
      <c r="AP1016" s="141"/>
      <c r="AQ1016" s="141"/>
      <c r="AR1016" s="141"/>
      <c r="AS1016" s="398"/>
      <c r="AT1016" s="141"/>
      <c r="AU1016" s="141"/>
      <c r="AV1016" s="141"/>
      <c r="AW1016" s="398"/>
      <c r="AX1016" s="225"/>
      <c r="AY1016" s="225"/>
      <c r="AZ1016" s="225"/>
      <c r="BA1016" s="278"/>
      <c r="BB1016" s="225"/>
      <c r="BC1016" s="225"/>
      <c r="BD1016" s="225"/>
      <c r="BE1016" s="225"/>
      <c r="BF1016" s="141"/>
    </row>
    <row r="1017" spans="22:58">
      <c r="V1017" s="141"/>
      <c r="W1017" s="141"/>
      <c r="X1017" s="141"/>
      <c r="Y1017" s="398"/>
      <c r="Z1017" s="141"/>
      <c r="AA1017" s="141"/>
      <c r="AB1017" s="141"/>
      <c r="AC1017" s="398"/>
      <c r="AD1017" s="141"/>
      <c r="AE1017" s="141"/>
      <c r="AF1017" s="141"/>
      <c r="AG1017" s="398"/>
      <c r="AH1017" s="141"/>
      <c r="AI1017" s="141"/>
      <c r="AJ1017" s="141"/>
      <c r="AK1017" s="398"/>
      <c r="AM1017" s="141"/>
      <c r="AN1017" s="141"/>
      <c r="AO1017" s="398"/>
      <c r="AP1017" s="141"/>
      <c r="AQ1017" s="141"/>
      <c r="AR1017" s="141"/>
      <c r="AS1017" s="398"/>
      <c r="AT1017" s="141"/>
      <c r="AU1017" s="141"/>
      <c r="AV1017" s="141"/>
      <c r="AW1017" s="398"/>
      <c r="AX1017" s="225"/>
      <c r="AY1017" s="225"/>
      <c r="AZ1017" s="225"/>
      <c r="BA1017" s="278"/>
      <c r="BB1017" s="225"/>
      <c r="BC1017" s="225"/>
      <c r="BD1017" s="225"/>
      <c r="BE1017" s="225"/>
      <c r="BF1017" s="141"/>
    </row>
    <row r="1018" spans="22:58">
      <c r="V1018" s="141"/>
      <c r="W1018" s="141"/>
      <c r="X1018" s="141"/>
      <c r="Y1018" s="398"/>
      <c r="Z1018" s="141"/>
      <c r="AA1018" s="141"/>
      <c r="AB1018" s="141"/>
      <c r="AC1018" s="398"/>
      <c r="AD1018" s="141"/>
      <c r="AE1018" s="141"/>
      <c r="AF1018" s="141"/>
      <c r="AG1018" s="398"/>
      <c r="AH1018" s="141"/>
      <c r="AI1018" s="141"/>
      <c r="AJ1018" s="141"/>
      <c r="AK1018" s="398"/>
      <c r="AM1018" s="141"/>
      <c r="AN1018" s="141"/>
      <c r="AO1018" s="398"/>
      <c r="AP1018" s="141"/>
      <c r="AQ1018" s="141"/>
      <c r="AR1018" s="141"/>
      <c r="AS1018" s="398"/>
      <c r="AT1018" s="141"/>
      <c r="AU1018" s="141"/>
      <c r="AV1018" s="141"/>
      <c r="AW1018" s="398"/>
      <c r="AX1018" s="225"/>
      <c r="AY1018" s="225"/>
      <c r="AZ1018" s="225"/>
      <c r="BA1018" s="278"/>
      <c r="BB1018" s="225"/>
      <c r="BC1018" s="225"/>
      <c r="BD1018" s="225"/>
      <c r="BE1018" s="225"/>
      <c r="BF1018" s="141"/>
    </row>
    <row r="1019" spans="22:58">
      <c r="V1019" s="141"/>
      <c r="W1019" s="141"/>
      <c r="X1019" s="141"/>
      <c r="Y1019" s="398"/>
      <c r="Z1019" s="141"/>
      <c r="AA1019" s="141"/>
      <c r="AB1019" s="141"/>
      <c r="AC1019" s="398"/>
      <c r="AD1019" s="141"/>
      <c r="AE1019" s="141"/>
      <c r="AF1019" s="141"/>
      <c r="AG1019" s="398"/>
      <c r="AH1019" s="141"/>
      <c r="AI1019" s="141"/>
      <c r="AJ1019" s="141"/>
      <c r="AK1019" s="398"/>
      <c r="AM1019" s="141"/>
      <c r="AN1019" s="141"/>
      <c r="AO1019" s="398"/>
      <c r="AP1019" s="141"/>
      <c r="AQ1019" s="141"/>
      <c r="AR1019" s="141"/>
      <c r="AS1019" s="398"/>
      <c r="AT1019" s="141"/>
      <c r="AU1019" s="141"/>
      <c r="AV1019" s="141"/>
      <c r="AW1019" s="398"/>
      <c r="AX1019" s="225"/>
      <c r="AY1019" s="225"/>
      <c r="AZ1019" s="225"/>
      <c r="BA1019" s="278"/>
      <c r="BB1019" s="225"/>
      <c r="BC1019" s="225"/>
      <c r="BD1019" s="225"/>
      <c r="BE1019" s="225"/>
      <c r="BF1019" s="141"/>
    </row>
    <row r="1020" spans="22:58">
      <c r="V1020" s="141"/>
      <c r="W1020" s="141"/>
      <c r="X1020" s="141"/>
      <c r="Y1020" s="398"/>
      <c r="Z1020" s="141"/>
      <c r="AA1020" s="141"/>
      <c r="AB1020" s="141"/>
      <c r="AC1020" s="398"/>
      <c r="AD1020" s="141"/>
      <c r="AE1020" s="141"/>
      <c r="AF1020" s="141"/>
      <c r="AG1020" s="398"/>
      <c r="AH1020" s="141"/>
      <c r="AI1020" s="141"/>
      <c r="AJ1020" s="141"/>
      <c r="AK1020" s="398"/>
      <c r="AM1020" s="141"/>
      <c r="AN1020" s="141"/>
      <c r="AO1020" s="398"/>
      <c r="AP1020" s="141"/>
      <c r="AQ1020" s="141"/>
      <c r="AR1020" s="141"/>
      <c r="AS1020" s="398"/>
      <c r="AT1020" s="141"/>
      <c r="AU1020" s="141"/>
      <c r="AV1020" s="141"/>
      <c r="AW1020" s="398"/>
      <c r="AX1020" s="225"/>
      <c r="AY1020" s="225"/>
      <c r="AZ1020" s="225"/>
      <c r="BA1020" s="278"/>
      <c r="BB1020" s="225"/>
      <c r="BC1020" s="225"/>
      <c r="BD1020" s="225"/>
      <c r="BE1020" s="225"/>
      <c r="BF1020" s="141"/>
    </row>
    <row r="1021" spans="22:58">
      <c r="V1021" s="141"/>
      <c r="W1021" s="141"/>
      <c r="X1021" s="141"/>
      <c r="Y1021" s="398"/>
      <c r="Z1021" s="141"/>
      <c r="AA1021" s="141"/>
      <c r="AB1021" s="141"/>
      <c r="AC1021" s="398"/>
      <c r="AD1021" s="141"/>
      <c r="AE1021" s="141"/>
      <c r="AF1021" s="141"/>
      <c r="AG1021" s="398"/>
      <c r="AH1021" s="141"/>
      <c r="AI1021" s="141"/>
      <c r="AJ1021" s="141"/>
      <c r="AK1021" s="398"/>
      <c r="AM1021" s="141"/>
      <c r="AN1021" s="141"/>
      <c r="AO1021" s="398"/>
      <c r="AP1021" s="141"/>
      <c r="AQ1021" s="141"/>
      <c r="AR1021" s="141"/>
      <c r="AS1021" s="398"/>
      <c r="AT1021" s="141"/>
      <c r="AU1021" s="141"/>
      <c r="AV1021" s="141"/>
      <c r="AW1021" s="398"/>
      <c r="AX1021" s="225"/>
      <c r="AY1021" s="225"/>
      <c r="AZ1021" s="225"/>
      <c r="BA1021" s="278"/>
      <c r="BB1021" s="225"/>
      <c r="BC1021" s="225"/>
      <c r="BD1021" s="225"/>
      <c r="BE1021" s="225"/>
      <c r="BF1021" s="141"/>
    </row>
    <row r="1022" spans="22:58">
      <c r="V1022" s="141"/>
      <c r="W1022" s="141"/>
      <c r="X1022" s="141"/>
      <c r="Y1022" s="398"/>
      <c r="Z1022" s="141"/>
      <c r="AA1022" s="141"/>
      <c r="AB1022" s="141"/>
      <c r="AC1022" s="398"/>
      <c r="AD1022" s="141"/>
      <c r="AE1022" s="141"/>
      <c r="AF1022" s="141"/>
      <c r="AG1022" s="398"/>
      <c r="AH1022" s="141"/>
      <c r="AI1022" s="141"/>
      <c r="AJ1022" s="141"/>
      <c r="AK1022" s="398"/>
      <c r="AM1022" s="141"/>
      <c r="AN1022" s="141"/>
      <c r="AO1022" s="398"/>
      <c r="AP1022" s="141"/>
      <c r="AQ1022" s="141"/>
      <c r="AR1022" s="141"/>
      <c r="AS1022" s="398"/>
      <c r="AT1022" s="141"/>
      <c r="AU1022" s="141"/>
      <c r="AV1022" s="141"/>
      <c r="AW1022" s="398"/>
      <c r="AX1022" s="225"/>
      <c r="AY1022" s="225"/>
      <c r="AZ1022" s="225"/>
      <c r="BA1022" s="278"/>
      <c r="BB1022" s="225"/>
      <c r="BC1022" s="225"/>
      <c r="BD1022" s="225"/>
      <c r="BE1022" s="225"/>
      <c r="BF1022" s="141"/>
    </row>
    <row r="1023" spans="22:58">
      <c r="V1023" s="141"/>
      <c r="W1023" s="141"/>
      <c r="X1023" s="141"/>
      <c r="Y1023" s="398"/>
      <c r="Z1023" s="141"/>
      <c r="AA1023" s="141"/>
      <c r="AB1023" s="141"/>
      <c r="AC1023" s="398"/>
      <c r="AD1023" s="141"/>
      <c r="AE1023" s="141"/>
      <c r="AF1023" s="141"/>
      <c r="AG1023" s="398"/>
      <c r="AH1023" s="141"/>
      <c r="AI1023" s="141"/>
      <c r="AJ1023" s="141"/>
      <c r="AK1023" s="398"/>
      <c r="AM1023" s="141"/>
      <c r="AN1023" s="141"/>
      <c r="AO1023" s="398"/>
      <c r="AP1023" s="141"/>
      <c r="AQ1023" s="141"/>
      <c r="AR1023" s="141"/>
      <c r="AS1023" s="398"/>
      <c r="AT1023" s="141"/>
      <c r="AU1023" s="141"/>
      <c r="AV1023" s="141"/>
      <c r="AW1023" s="398"/>
      <c r="AX1023" s="225"/>
      <c r="AY1023" s="225"/>
      <c r="AZ1023" s="225"/>
      <c r="BA1023" s="278"/>
      <c r="BB1023" s="225"/>
      <c r="BC1023" s="225"/>
      <c r="BD1023" s="225"/>
      <c r="BE1023" s="225"/>
      <c r="BF1023" s="141"/>
    </row>
    <row r="1024" spans="22:58">
      <c r="V1024" s="141"/>
      <c r="W1024" s="141"/>
      <c r="X1024" s="141"/>
      <c r="Y1024" s="398"/>
      <c r="Z1024" s="141"/>
      <c r="AA1024" s="141"/>
      <c r="AB1024" s="141"/>
      <c r="AC1024" s="398"/>
      <c r="AD1024" s="141"/>
      <c r="AE1024" s="141"/>
      <c r="AF1024" s="141"/>
      <c r="AG1024" s="398"/>
      <c r="AH1024" s="141"/>
      <c r="AI1024" s="141"/>
      <c r="AJ1024" s="141"/>
      <c r="AK1024" s="398"/>
      <c r="AM1024" s="141"/>
      <c r="AN1024" s="141"/>
      <c r="AO1024" s="398"/>
      <c r="AP1024" s="141"/>
      <c r="AQ1024" s="141"/>
      <c r="AR1024" s="141"/>
      <c r="AS1024" s="398"/>
      <c r="AT1024" s="141"/>
      <c r="AU1024" s="141"/>
      <c r="AV1024" s="141"/>
      <c r="AW1024" s="398"/>
      <c r="AX1024" s="225"/>
      <c r="AY1024" s="225"/>
      <c r="AZ1024" s="225"/>
      <c r="BA1024" s="278"/>
      <c r="BB1024" s="225"/>
      <c r="BC1024" s="225"/>
      <c r="BD1024" s="225"/>
      <c r="BE1024" s="225"/>
      <c r="BF1024" s="141"/>
    </row>
    <row r="1025" spans="22:58">
      <c r="V1025" s="141"/>
      <c r="W1025" s="141"/>
      <c r="X1025" s="141"/>
      <c r="Y1025" s="398"/>
      <c r="Z1025" s="141"/>
      <c r="AA1025" s="141"/>
      <c r="AB1025" s="141"/>
      <c r="AC1025" s="398"/>
      <c r="AD1025" s="141"/>
      <c r="AE1025" s="141"/>
      <c r="AF1025" s="141"/>
      <c r="AG1025" s="398"/>
      <c r="AH1025" s="141"/>
      <c r="AI1025" s="141"/>
      <c r="AJ1025" s="141"/>
      <c r="AK1025" s="398"/>
      <c r="AM1025" s="141"/>
      <c r="AN1025" s="141"/>
      <c r="AO1025" s="398"/>
      <c r="AP1025" s="141"/>
      <c r="AQ1025" s="141"/>
      <c r="AR1025" s="141"/>
      <c r="AS1025" s="398"/>
      <c r="AT1025" s="141"/>
      <c r="AU1025" s="141"/>
      <c r="AV1025" s="141"/>
      <c r="AW1025" s="398"/>
      <c r="AX1025" s="225"/>
      <c r="AY1025" s="225"/>
      <c r="AZ1025" s="225"/>
      <c r="BA1025" s="278"/>
      <c r="BB1025" s="225"/>
      <c r="BC1025" s="225"/>
      <c r="BD1025" s="225"/>
      <c r="BE1025" s="225"/>
      <c r="BF1025" s="141"/>
    </row>
    <row r="1026" spans="22:58">
      <c r="V1026" s="141"/>
      <c r="W1026" s="141"/>
      <c r="X1026" s="141"/>
      <c r="Y1026" s="398"/>
      <c r="Z1026" s="141"/>
      <c r="AA1026" s="141"/>
      <c r="AB1026" s="141"/>
      <c r="AC1026" s="398"/>
      <c r="AD1026" s="141"/>
      <c r="AE1026" s="141"/>
      <c r="AF1026" s="141"/>
      <c r="AG1026" s="398"/>
      <c r="AH1026" s="141"/>
      <c r="AI1026" s="141"/>
      <c r="AJ1026" s="141"/>
      <c r="AK1026" s="398"/>
      <c r="AM1026" s="141"/>
      <c r="AN1026" s="141"/>
      <c r="AO1026" s="398"/>
      <c r="AP1026" s="141"/>
      <c r="AQ1026" s="141"/>
      <c r="AR1026" s="141"/>
      <c r="AS1026" s="398"/>
      <c r="AT1026" s="141"/>
      <c r="AU1026" s="141"/>
      <c r="AV1026" s="141"/>
      <c r="AW1026" s="398"/>
      <c r="AX1026" s="225"/>
      <c r="AY1026" s="225"/>
      <c r="AZ1026" s="225"/>
      <c r="BA1026" s="278"/>
      <c r="BB1026" s="225"/>
      <c r="BC1026" s="225"/>
      <c r="BD1026" s="225"/>
      <c r="BE1026" s="225"/>
      <c r="BF1026" s="141"/>
    </row>
    <row r="1027" spans="22:58">
      <c r="V1027" s="141"/>
      <c r="W1027" s="141"/>
      <c r="X1027" s="141"/>
      <c r="Y1027" s="398"/>
      <c r="Z1027" s="141"/>
      <c r="AA1027" s="141"/>
      <c r="AB1027" s="141"/>
      <c r="AC1027" s="398"/>
      <c r="AD1027" s="141"/>
      <c r="AE1027" s="141"/>
      <c r="AF1027" s="141"/>
      <c r="AG1027" s="398"/>
      <c r="AH1027" s="141"/>
      <c r="AI1027" s="141"/>
      <c r="AJ1027" s="141"/>
      <c r="AK1027" s="398"/>
      <c r="AM1027" s="141"/>
      <c r="AN1027" s="141"/>
      <c r="AO1027" s="398"/>
      <c r="AP1027" s="141"/>
      <c r="AQ1027" s="141"/>
      <c r="AR1027" s="141"/>
      <c r="AS1027" s="398"/>
      <c r="AT1027" s="141"/>
      <c r="AU1027" s="141"/>
      <c r="AV1027" s="141"/>
      <c r="AW1027" s="398"/>
      <c r="AX1027" s="225"/>
      <c r="AY1027" s="225"/>
      <c r="AZ1027" s="225"/>
      <c r="BA1027" s="278"/>
      <c r="BB1027" s="225"/>
      <c r="BC1027" s="225"/>
      <c r="BD1027" s="225"/>
      <c r="BE1027" s="225"/>
      <c r="BF1027" s="141"/>
    </row>
  </sheetData>
  <dataConsolidate/>
  <phoneticPr fontId="8" type="noConversion"/>
  <printOptions headings="1"/>
  <pageMargins left="0.7" right="0.7" top="0.75" bottom="0.75" header="0.3" footer="0.3"/>
  <pageSetup fitToHeight="0" orientation="portrait" r:id="rId1"/>
  <rowBreaks count="3" manualBreakCount="3">
    <brk id="161" min="1" max="48" man="1"/>
    <brk id="223" min="1" max="48" man="1"/>
    <brk id="584" min="1" max="48" man="1"/>
  </rowBreaks>
  <colBreaks count="1" manualBreakCount="1">
    <brk id="33" min="2" max="590" man="1"/>
  </colBreaks>
  <drawing r:id="rId2"/>
  <legacyDrawing r:id="rId3"/>
  <mc:AlternateContent xmlns:mc="http://schemas.openxmlformats.org/markup-compatibility/2006">
    <mc:Choice Requires="x14">
      <controls>
        <mc:AlternateContent xmlns:mc="http://schemas.openxmlformats.org/markup-compatibility/2006">
          <mc:Choice Requires="x14">
            <control shapeId="16515766" r:id="rId4" name="Drop Down 1718">
              <controlPr defaultSize="0" print="0" autoLine="0" autoPict="0">
                <anchor moveWithCells="1">
                  <from>
                    <xdr:col>1</xdr:col>
                    <xdr:colOff>0</xdr:colOff>
                    <xdr:row>1</xdr:row>
                    <xdr:rowOff>28575</xdr:rowOff>
                  </from>
                  <to>
                    <xdr:col>1</xdr:col>
                    <xdr:colOff>76200</xdr:colOff>
                    <xdr:row>1</xdr:row>
                    <xdr:rowOff>47625</xdr:rowOff>
                  </to>
                </anchor>
              </controlPr>
            </control>
          </mc:Choice>
        </mc:AlternateContent>
        <mc:AlternateContent xmlns:mc="http://schemas.openxmlformats.org/markup-compatibility/2006">
          <mc:Choice Requires="x14">
            <control shapeId="17526083" r:id="rId5" name="Drop Down 3395">
              <controlPr defaultSize="0" print="0" autoLine="0" autoPict="0">
                <anchor moveWithCells="1">
                  <from>
                    <xdr:col>1</xdr:col>
                    <xdr:colOff>1314450</xdr:colOff>
                    <xdr:row>2</xdr:row>
                    <xdr:rowOff>133350</xdr:rowOff>
                  </from>
                  <to>
                    <xdr:col>1</xdr:col>
                    <xdr:colOff>2047875</xdr:colOff>
                    <xdr:row>3</xdr:row>
                    <xdr:rowOff>142875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pageSetUpPr fitToPage="1"/>
  </sheetPr>
  <dimension ref="A2:CF213"/>
  <sheetViews>
    <sheetView workbookViewId="0">
      <pane xSplit="6" ySplit="14" topLeftCell="G44" activePane="bottomRight" state="frozen"/>
      <selection pane="topRight" activeCell="F1" sqref="F1"/>
      <selection pane="bottomLeft" activeCell="A14" sqref="A14"/>
      <selection pane="bottomRight" activeCell="T7" sqref="T7"/>
    </sheetView>
  </sheetViews>
  <sheetFormatPr defaultColWidth="9.140625" defaultRowHeight="12.75" outlineLevelRow="1" outlineLevelCol="3"/>
  <cols>
    <col min="1" max="1" width="3.5703125" style="820" customWidth="1"/>
    <col min="2" max="2" width="39.7109375" style="821" customWidth="1"/>
    <col min="3" max="3" width="10.140625" style="821" hidden="1" customWidth="1" outlineLevel="3"/>
    <col min="4" max="5" width="9.140625" style="821" hidden="1" customWidth="1" outlineLevel="3"/>
    <col min="6" max="6" width="9.140625" style="821" hidden="1" customWidth="1" outlineLevel="3" collapsed="1"/>
    <col min="7" max="7" width="9.140625" style="821" hidden="1" customWidth="1" outlineLevel="1" collapsed="1"/>
    <col min="8" max="8" width="9.140625" style="821" hidden="1" customWidth="1" outlineLevel="1"/>
    <col min="9" max="9" width="9.85546875" style="821" hidden="1" customWidth="1" outlineLevel="1"/>
    <col min="10" max="10" width="9.28515625" style="821" hidden="1" customWidth="1" outlineLevel="1"/>
    <col min="11" max="11" width="11.140625" style="821" hidden="1" customWidth="1" outlineLevel="1"/>
    <col min="12" max="12" width="11" style="821" customWidth="1" collapsed="1"/>
    <col min="13" max="13" width="11.85546875" style="821" customWidth="1"/>
    <col min="14" max="14" width="10.85546875" style="821" customWidth="1"/>
    <col min="15" max="18" width="11" style="821" customWidth="1"/>
    <col min="19" max="19" width="11.5703125" style="821" customWidth="1"/>
    <col min="20" max="20" width="24.85546875" style="821" customWidth="1"/>
    <col min="21" max="21" width="8.5703125" style="821" hidden="1" customWidth="1" outlineLevel="1"/>
    <col min="22" max="22" width="8.5703125" style="821" customWidth="1" collapsed="1"/>
    <col min="23" max="24" width="8.5703125" style="821" customWidth="1"/>
    <col min="25" max="28" width="6.140625" style="821" bestFit="1" customWidth="1"/>
    <col min="29" max="29" width="5.7109375" style="821" bestFit="1" customWidth="1"/>
    <col min="30" max="31" width="6.140625" style="821" bestFit="1" customWidth="1"/>
    <col min="32" max="32" width="5.7109375" style="821" bestFit="1" customWidth="1"/>
    <col min="33" max="34" width="6.140625" style="821" bestFit="1" customWidth="1"/>
    <col min="35" max="16384" width="9.140625" style="821"/>
  </cols>
  <sheetData>
    <row r="2" spans="1:84" s="1124" customFormat="1" ht="16.5" customHeight="1">
      <c r="A2" s="1122"/>
      <c r="B2" s="227" t="s">
        <v>641</v>
      </c>
      <c r="C2" s="227"/>
      <c r="D2" s="1123"/>
      <c r="E2" s="1123"/>
      <c r="F2" s="1123"/>
      <c r="G2" s="1123"/>
      <c r="T2" s="1593" t="s">
        <v>476</v>
      </c>
      <c r="U2" s="1593"/>
      <c r="V2" s="1593"/>
      <c r="W2" s="1593"/>
      <c r="X2" s="1593"/>
    </row>
    <row r="3" spans="1:84" s="1126" customFormat="1" ht="15.75" customHeight="1">
      <c r="A3" s="1125"/>
      <c r="B3" s="1126" t="s">
        <v>315</v>
      </c>
      <c r="C3" s="1127">
        <v>2010</v>
      </c>
      <c r="D3" s="1127">
        <v>2011</v>
      </c>
      <c r="E3" s="1127">
        <v>2012</v>
      </c>
      <c r="F3" s="1127">
        <v>2013</v>
      </c>
      <c r="G3" s="1127">
        <v>2014</v>
      </c>
      <c r="H3" s="1127">
        <v>2015</v>
      </c>
      <c r="I3" s="1127">
        <v>2016</v>
      </c>
      <c r="J3" s="1127">
        <v>2017</v>
      </c>
      <c r="K3" s="1127" t="s">
        <v>58</v>
      </c>
      <c r="L3" s="1127" t="s">
        <v>59</v>
      </c>
      <c r="M3" s="1127" t="s">
        <v>60</v>
      </c>
      <c r="N3" s="1127" t="s">
        <v>61</v>
      </c>
      <c r="O3" s="1127" t="s">
        <v>62</v>
      </c>
      <c r="P3" s="1127" t="s">
        <v>45</v>
      </c>
      <c r="Q3" s="1127" t="s">
        <v>46</v>
      </c>
      <c r="R3" s="1127" t="s">
        <v>44</v>
      </c>
      <c r="T3" s="1139" t="s">
        <v>475</v>
      </c>
      <c r="U3" s="1140" t="s">
        <v>458</v>
      </c>
      <c r="V3" s="1141" t="s">
        <v>311</v>
      </c>
      <c r="W3" s="1142" t="s">
        <v>24</v>
      </c>
      <c r="X3" s="1143" t="s">
        <v>310</v>
      </c>
    </row>
    <row r="4" spans="1:84" s="1133" customFormat="1">
      <c r="A4" s="1128"/>
      <c r="B4" s="1012" t="s">
        <v>41</v>
      </c>
      <c r="C4" s="1129">
        <v>6.8310854724137897</v>
      </c>
      <c r="D4" s="1130">
        <v>6.4645234154184879</v>
      </c>
      <c r="E4" s="1131">
        <v>6.3964545004545466</v>
      </c>
      <c r="F4" s="1131">
        <v>6.2878499814248245</v>
      </c>
      <c r="G4" s="1131">
        <v>6.117855770250582</v>
      </c>
      <c r="H4" s="1131">
        <v>6.1989999999999998</v>
      </c>
      <c r="I4" s="1131">
        <v>6.4480000000000004</v>
      </c>
      <c r="J4" s="1131">
        <v>6.8832000000000004</v>
      </c>
      <c r="K4" s="1131">
        <f>6.9*0.75+7*0.25</f>
        <v>6.9250000000000007</v>
      </c>
      <c r="L4" s="1131">
        <f>K4</f>
        <v>6.9250000000000007</v>
      </c>
      <c r="M4" s="1131">
        <f t="shared" ref="M4:R4" si="0">L4</f>
        <v>6.9250000000000007</v>
      </c>
      <c r="N4" s="1131">
        <f t="shared" si="0"/>
        <v>6.9250000000000007</v>
      </c>
      <c r="O4" s="1131">
        <f t="shared" si="0"/>
        <v>6.9250000000000007</v>
      </c>
      <c r="P4" s="1131">
        <f t="shared" si="0"/>
        <v>6.9250000000000007</v>
      </c>
      <c r="Q4" s="1131">
        <f t="shared" si="0"/>
        <v>6.9250000000000007</v>
      </c>
      <c r="R4" s="1131">
        <f t="shared" si="0"/>
        <v>6.9250000000000007</v>
      </c>
      <c r="S4" s="1132"/>
      <c r="T4" s="13" t="s">
        <v>473</v>
      </c>
      <c r="U4" s="833">
        <v>217</v>
      </c>
      <c r="V4" s="1148">
        <v>242.5</v>
      </c>
      <c r="W4" s="1149">
        <f>L64</f>
        <v>196.82199849448304</v>
      </c>
      <c r="X4" s="891">
        <v>123.41171705704791</v>
      </c>
      <c r="Y4" s="1132"/>
      <c r="Z4" s="1132"/>
      <c r="AA4" s="1132"/>
      <c r="AB4" s="1132"/>
      <c r="AC4" s="1132"/>
      <c r="AD4" s="1132"/>
      <c r="AE4" s="1132"/>
      <c r="AF4" s="1132"/>
      <c r="AG4" s="1132"/>
      <c r="AH4" s="1132"/>
      <c r="AI4" s="1132"/>
      <c r="AJ4" s="1132"/>
      <c r="AK4" s="1132"/>
      <c r="AL4" s="1132"/>
      <c r="AM4" s="1132"/>
      <c r="AN4" s="1132"/>
      <c r="AO4" s="1132"/>
      <c r="AP4" s="1132"/>
      <c r="AQ4" s="1132"/>
      <c r="AR4" s="1132"/>
      <c r="AS4" s="1132"/>
      <c r="AT4" s="1132"/>
      <c r="AU4" s="1132"/>
      <c r="AV4" s="1132"/>
      <c r="AW4" s="1132"/>
      <c r="AX4" s="1132"/>
      <c r="AY4" s="1132"/>
      <c r="AZ4" s="1132"/>
      <c r="BA4" s="1132"/>
      <c r="BB4" s="1132"/>
      <c r="BC4" s="1132"/>
      <c r="BD4" s="1132"/>
      <c r="BE4" s="1132"/>
      <c r="BF4" s="1132"/>
      <c r="BG4" s="1132"/>
      <c r="BH4" s="1132"/>
      <c r="BI4" s="1132"/>
      <c r="BJ4" s="1132"/>
      <c r="BK4" s="1132"/>
      <c r="BL4" s="1132"/>
      <c r="BM4" s="1132"/>
      <c r="BN4" s="1132"/>
      <c r="BO4" s="1132"/>
      <c r="BP4" s="1132"/>
      <c r="BQ4" s="1132"/>
      <c r="BR4" s="1132"/>
      <c r="BS4" s="1132"/>
      <c r="BT4" s="1132"/>
      <c r="BU4" s="1132"/>
      <c r="BV4" s="1132"/>
      <c r="BW4" s="1132"/>
      <c r="BX4" s="1132"/>
      <c r="BY4" s="1132"/>
      <c r="BZ4" s="1132"/>
      <c r="CA4" s="1132"/>
      <c r="CB4" s="1132"/>
      <c r="CC4" s="1132"/>
      <c r="CD4" s="1132"/>
      <c r="CE4" s="1132"/>
      <c r="CF4" s="1132"/>
    </row>
    <row r="5" spans="1:84" ht="13.5" thickBot="1">
      <c r="B5" s="1134" t="s">
        <v>706</v>
      </c>
      <c r="C5" s="1134"/>
      <c r="L5" s="1264">
        <f>O53</f>
        <v>229.90482984323083</v>
      </c>
      <c r="T5" s="13" t="s">
        <v>835</v>
      </c>
      <c r="U5" s="833">
        <v>20</v>
      </c>
      <c r="V5" s="1148">
        <v>20.283576867037169</v>
      </c>
      <c r="W5" s="1149">
        <f>L74</f>
        <v>20.283576867037169</v>
      </c>
      <c r="X5" s="891">
        <v>20.283576867037169</v>
      </c>
    </row>
    <row r="6" spans="1:84" ht="12.75" customHeight="1">
      <c r="B6" s="1134" t="s">
        <v>783</v>
      </c>
      <c r="C6" s="1134"/>
      <c r="L6" s="1263">
        <v>205</v>
      </c>
      <c r="M6" s="1136" t="s">
        <v>712</v>
      </c>
      <c r="N6" s="1137"/>
      <c r="O6" s="1137"/>
      <c r="P6" s="1137"/>
      <c r="Q6" s="1137"/>
      <c r="R6" s="1138"/>
      <c r="T6" s="13" t="s">
        <v>845</v>
      </c>
      <c r="U6" s="833">
        <v>13</v>
      </c>
      <c r="V6" s="1148">
        <v>12.79925448171063</v>
      </c>
      <c r="W6" s="1149">
        <f>SUM(W7:W9)</f>
        <v>12.79925448171063</v>
      </c>
      <c r="X6" s="891">
        <v>12.79925448171063</v>
      </c>
    </row>
    <row r="7" spans="1:84" ht="12.75" hidden="1" customHeight="1" outlineLevel="1">
      <c r="B7" s="1134" t="s">
        <v>316</v>
      </c>
      <c r="C7" s="1134"/>
      <c r="L7" s="1345">
        <f>O53</f>
        <v>229.90482984323083</v>
      </c>
      <c r="M7" s="1145"/>
      <c r="N7" s="1146" t="str">
        <f>K3</f>
        <v>2018E</v>
      </c>
      <c r="O7" s="1146" t="str">
        <f>L3</f>
        <v>2019E</v>
      </c>
      <c r="P7" s="1146" t="str">
        <f>M3</f>
        <v>2020E</v>
      </c>
      <c r="Q7" s="1146" t="str">
        <f>N3</f>
        <v>2021E</v>
      </c>
      <c r="R7" s="1147" t="str">
        <f>O3</f>
        <v>2022E</v>
      </c>
      <c r="T7" s="1117" t="s">
        <v>883</v>
      </c>
      <c r="U7" s="1153">
        <v>7.5571509540903081</v>
      </c>
      <c r="V7" s="1154">
        <v>7.5340315630261703</v>
      </c>
      <c r="W7" s="1155">
        <f>O49</f>
        <v>7.5340315630261703</v>
      </c>
      <c r="X7" s="1153">
        <v>7.5340315630261703</v>
      </c>
    </row>
    <row r="8" spans="1:84" ht="12.75" hidden="1" customHeight="1" outlineLevel="1">
      <c r="B8" s="868"/>
      <c r="C8" s="868"/>
      <c r="L8" s="1144"/>
      <c r="M8" s="1150" t="s">
        <v>323</v>
      </c>
      <c r="N8" s="1151">
        <f>$L$5/K89</f>
        <v>49.084413326021505</v>
      </c>
      <c r="O8" s="1151">
        <f>$L$5/L89</f>
        <v>37.588550080078122</v>
      </c>
      <c r="P8" s="1151">
        <f>$L$5/M89</f>
        <v>30.09659879291511</v>
      </c>
      <c r="Q8" s="1151">
        <f>$L$5/N89</f>
        <v>25.112251013528919</v>
      </c>
      <c r="R8" s="1152">
        <f>$L$5/O89</f>
        <v>21.02946692135621</v>
      </c>
      <c r="T8" s="1117" t="s">
        <v>579</v>
      </c>
      <c r="U8" s="1153">
        <v>1.1602898434562898</v>
      </c>
      <c r="V8" s="1154">
        <v>1.1567401995757352</v>
      </c>
      <c r="W8" s="1155">
        <f>O50</f>
        <v>1.1567401995757352</v>
      </c>
      <c r="X8" s="1153">
        <v>1.1567401995757352</v>
      </c>
    </row>
    <row r="9" spans="1:84" ht="12.75" hidden="1" customHeight="1" outlineLevel="1">
      <c r="B9" s="821" t="s">
        <v>22</v>
      </c>
      <c r="L9" s="1158">
        <f>Model!L387</f>
        <v>2628.0749999999998</v>
      </c>
      <c r="M9" s="1150" t="s">
        <v>324</v>
      </c>
      <c r="N9" s="1156">
        <f>N8/K103/100</f>
        <v>1.5187215875895268</v>
      </c>
      <c r="O9" s="1156">
        <f>O8/L103/100</f>
        <v>1.4532781359541789</v>
      </c>
      <c r="P9" s="1156">
        <f>P8/M103/100</f>
        <v>1.345336550519471</v>
      </c>
      <c r="Q9" s="1156">
        <f>Q8/N103/100</f>
        <v>1.1935661186991604</v>
      </c>
      <c r="R9" s="1157">
        <f>R8/O103/100</f>
        <v>1.0963431519291915</v>
      </c>
      <c r="T9" s="1117" t="s">
        <v>846</v>
      </c>
      <c r="U9" s="1153">
        <v>4.1210902610162314</v>
      </c>
      <c r="V9" s="1154">
        <v>4.108482719108725</v>
      </c>
      <c r="W9" s="1155">
        <f>O51+O52</f>
        <v>4.108482719108725</v>
      </c>
      <c r="X9" s="1153">
        <v>4.108482719108725</v>
      </c>
    </row>
    <row r="10" spans="1:84" collapsed="1">
      <c r="B10" s="821" t="s">
        <v>317</v>
      </c>
      <c r="L10" s="916">
        <f>L9*L6</f>
        <v>538755.375</v>
      </c>
      <c r="M10" s="1150" t="s">
        <v>710</v>
      </c>
      <c r="N10" s="1156">
        <f>($L$5*$L$9-$L$11)/K110</f>
        <v>16.231095701983854</v>
      </c>
      <c r="O10" s="1156">
        <f>($L$5*$L$9-$L$11)/L110</f>
        <v>11.918117684873398</v>
      </c>
      <c r="P10" s="1156">
        <f>($L$5*$L$9-$L$11)/M110</f>
        <v>9.1620126899610188</v>
      </c>
      <c r="Q10" s="1156">
        <f>($L$5*$L$9-$L$11)/N110</f>
        <v>7.5011410917868258</v>
      </c>
      <c r="R10" s="1157">
        <f>($L$5*$L$9-$L$11)/O110</f>
        <v>6.2321568323176457</v>
      </c>
      <c r="T10" s="1159" t="s">
        <v>474</v>
      </c>
      <c r="U10" s="1160">
        <v>250</v>
      </c>
      <c r="V10" s="1161">
        <v>275.57569334211911</v>
      </c>
      <c r="W10" s="1162">
        <f>SUM(W4:W6)</f>
        <v>229.90482984323083</v>
      </c>
      <c r="X10" s="1160">
        <v>156.49454840579571</v>
      </c>
    </row>
    <row r="11" spans="1:84">
      <c r="B11" s="821" t="s">
        <v>319</v>
      </c>
      <c r="L11" s="1158">
        <f>Model!L663/Valuation!L4</f>
        <v>22126.691893992862</v>
      </c>
      <c r="M11" s="1150" t="s">
        <v>325</v>
      </c>
      <c r="N11" s="1156">
        <f>($L$5*$L$9-$L$11)/K118</f>
        <v>37.743764824597427</v>
      </c>
      <c r="O11" s="1156">
        <f>($L$5*$L$9-$L$11)/L118</f>
        <v>27.438110505011473</v>
      </c>
      <c r="P11" s="1156">
        <f>($L$5*$L$9-$L$11)/M118</f>
        <v>20.80188051520269</v>
      </c>
      <c r="Q11" s="1156">
        <f>($L$5*$L$9-$L$11)/N118</f>
        <v>16.611574497617465</v>
      </c>
      <c r="R11" s="1157">
        <f>($L$5*$L$9-$L$11)/O118</f>
        <v>14.020916017405224</v>
      </c>
      <c r="T11" s="141" t="s">
        <v>729</v>
      </c>
      <c r="U11" s="411">
        <v>0.24</v>
      </c>
      <c r="V11" s="1166">
        <v>0.28132320590973614</v>
      </c>
      <c r="W11" s="1167">
        <f>Model!T114</f>
        <v>0.24054551861619267</v>
      </c>
      <c r="X11" s="1168">
        <v>0.16039209994953141</v>
      </c>
    </row>
    <row r="12" spans="1:84">
      <c r="B12" s="821" t="s">
        <v>711</v>
      </c>
      <c r="L12" s="916">
        <f>L10-L11</f>
        <v>516628.68310600711</v>
      </c>
      <c r="M12" s="1150" t="s">
        <v>392</v>
      </c>
      <c r="N12" s="1156">
        <f>($L$5*$L$9-$L$11)/K122</f>
        <v>63.64702678929892</v>
      </c>
      <c r="O12" s="1156">
        <f>($L$5*$L$9-$L$11)/L122</f>
        <v>46.94528665846785</v>
      </c>
      <c r="P12" s="1156">
        <f>($L$5*$L$9-$L$11)/M122</f>
        <v>34.233174042904764</v>
      </c>
      <c r="Q12" s="1156">
        <f>($L$5*$L$9-$L$11)/N122</f>
        <v>27.41523904199984</v>
      </c>
      <c r="R12" s="1157">
        <f>($L$5*$L$9-$L$11)/O122</f>
        <v>20.552539914922331</v>
      </c>
      <c r="T12" s="141" t="s">
        <v>730</v>
      </c>
      <c r="U12" s="411">
        <v>0.4</v>
      </c>
      <c r="V12" s="1166">
        <v>0.46569780412804218</v>
      </c>
      <c r="W12" s="1167">
        <f>Model!T10</f>
        <v>0.40023383665429124</v>
      </c>
      <c r="X12" s="1168">
        <v>0.26955271091099475</v>
      </c>
    </row>
    <row r="13" spans="1:84" ht="13.5" thickBot="1">
      <c r="B13" s="821" t="s">
        <v>318</v>
      </c>
      <c r="L13" s="916">
        <f>L41</f>
        <v>521704.2381807646</v>
      </c>
      <c r="M13" s="1163" t="s">
        <v>326</v>
      </c>
      <c r="N13" s="1164">
        <f>K122/($L$5*$L$9)</f>
        <v>1.5136275982733028E-2</v>
      </c>
      <c r="O13" s="1164">
        <f>L122/($L$5*$L$9)</f>
        <v>2.052131388550078E-2</v>
      </c>
      <c r="P13" s="1164">
        <f>M122/($L$5*$L$9)</f>
        <v>2.8141678062215871E-2</v>
      </c>
      <c r="Q13" s="1164">
        <f>N122/($L$5*$L$9)</f>
        <v>3.5140272221859711E-2</v>
      </c>
      <c r="R13" s="1165">
        <f>O122/($L$5*$L$9)</f>
        <v>4.6873961415531039E-2</v>
      </c>
      <c r="T13" s="141" t="s">
        <v>589</v>
      </c>
      <c r="U13" s="1236">
        <v>4.36E-2</v>
      </c>
      <c r="V13" s="1169">
        <v>4.5340000000000005E-2</v>
      </c>
      <c r="W13" s="1170">
        <f>Model!M179</f>
        <v>4.3559999999999988E-2</v>
      </c>
      <c r="X13" s="1171">
        <v>3.966999999999999E-2</v>
      </c>
    </row>
    <row r="14" spans="1:84">
      <c r="I14" s="916"/>
      <c r="T14" s="141"/>
      <c r="U14" s="1235"/>
      <c r="V14" s="932"/>
      <c r="W14" s="932"/>
      <c r="X14" s="932"/>
    </row>
    <row r="15" spans="1:84">
      <c r="I15" s="916"/>
    </row>
    <row r="16" spans="1:84">
      <c r="I16" s="916"/>
    </row>
    <row r="17" spans="1:23" s="1173" customFormat="1">
      <c r="A17" s="820"/>
      <c r="B17" s="1172" t="s">
        <v>837</v>
      </c>
      <c r="D17" s="1174"/>
      <c r="E17" s="1174"/>
      <c r="F17" s="1174"/>
      <c r="G17" s="1174" t="s">
        <v>347</v>
      </c>
      <c r="H17" s="1174" t="s">
        <v>348</v>
      </c>
      <c r="I17" s="1174" t="s">
        <v>349</v>
      </c>
      <c r="J17" s="1174" t="s">
        <v>246</v>
      </c>
      <c r="K17" s="1174" t="s">
        <v>448</v>
      </c>
      <c r="L17" s="1174" t="s">
        <v>449</v>
      </c>
      <c r="M17" s="1174" t="s">
        <v>450</v>
      </c>
      <c r="N17" s="1174" t="s">
        <v>451</v>
      </c>
      <c r="O17" s="1174" t="s">
        <v>452</v>
      </c>
      <c r="P17" s="1174" t="s">
        <v>453</v>
      </c>
      <c r="Q17" s="1174" t="s">
        <v>454</v>
      </c>
      <c r="R17" s="1174" t="s">
        <v>455</v>
      </c>
    </row>
    <row r="18" spans="1:23">
      <c r="B18" s="821" t="s">
        <v>400</v>
      </c>
      <c r="D18" s="916"/>
      <c r="E18" s="916"/>
      <c r="F18" s="916"/>
      <c r="G18" s="916">
        <f>Model!G19</f>
        <v>52504</v>
      </c>
      <c r="H18" s="916">
        <f>Model!H19</f>
        <v>76204</v>
      </c>
      <c r="I18" s="916">
        <f>Model!I19</f>
        <v>101143</v>
      </c>
      <c r="J18" s="916">
        <f>Model!J19</f>
        <v>158273</v>
      </c>
      <c r="K18" s="916">
        <f>Model!K19</f>
        <v>248344.72960419999</v>
      </c>
      <c r="L18" s="916">
        <f>Model!L19</f>
        <v>338216.75367454573</v>
      </c>
      <c r="M18" s="916">
        <f>Model!M19</f>
        <v>439958.68699306762</v>
      </c>
      <c r="N18" s="916">
        <f>Model!N19</f>
        <v>537372.51758970472</v>
      </c>
      <c r="O18" s="916">
        <f>Model!O19</f>
        <v>646791.66165817413</v>
      </c>
      <c r="P18" s="916">
        <f>Model!P19</f>
        <v>786164.16224977071</v>
      </c>
      <c r="Q18" s="916">
        <f>Model!Q19</f>
        <v>905274.26396225637</v>
      </c>
      <c r="R18" s="916">
        <f>Model!R19</f>
        <v>1029217.6741948476</v>
      </c>
    </row>
    <row r="19" spans="1:23">
      <c r="B19" s="821" t="s">
        <v>401</v>
      </c>
      <c r="D19" s="916"/>
      <c r="E19" s="916"/>
      <c r="F19" s="916"/>
      <c r="G19" s="916">
        <f>Model!G354</f>
        <v>24920</v>
      </c>
      <c r="H19" s="916">
        <f>Model!H354</f>
        <v>23135</v>
      </c>
      <c r="I19" s="916">
        <f>Model!I354</f>
        <v>29102</v>
      </c>
      <c r="J19" s="916">
        <f>Model!J354</f>
        <v>48055</v>
      </c>
      <c r="K19" s="916">
        <f>Model!K354</f>
        <v>71560.428283606394</v>
      </c>
      <c r="L19" s="916">
        <f>Model!L354</f>
        <v>99660.732219031503</v>
      </c>
      <c r="M19" s="916">
        <f>Model!M354</f>
        <v>130839.22848456303</v>
      </c>
      <c r="N19" s="916">
        <f>Model!N354</f>
        <v>164720.03173878946</v>
      </c>
      <c r="O19" s="916">
        <f>Model!O354</f>
        <v>206234.38850862649</v>
      </c>
      <c r="P19" s="916">
        <f>Model!P354</f>
        <v>251734.34559665856</v>
      </c>
      <c r="Q19" s="916">
        <f>Model!Q354</f>
        <v>286335.61051890184</v>
      </c>
      <c r="R19" s="916">
        <f>Model!R354</f>
        <v>321617.02648601856</v>
      </c>
    </row>
    <row r="20" spans="1:23">
      <c r="B20" s="821" t="s">
        <v>402</v>
      </c>
      <c r="D20" s="916"/>
      <c r="E20" s="916"/>
      <c r="F20" s="916"/>
      <c r="G20" s="916">
        <f>Model!G360</f>
        <v>-3196</v>
      </c>
      <c r="H20" s="916">
        <f>Model!H360</f>
        <v>-6416</v>
      </c>
      <c r="I20" s="916">
        <f>Model!I360</f>
        <v>-8449</v>
      </c>
      <c r="J20" s="916">
        <f>Model!J360</f>
        <v>-13776</v>
      </c>
      <c r="K20" s="916">
        <f>Model!K360</f>
        <v>-16157.680823189887</v>
      </c>
      <c r="L20" s="916">
        <f>Model!L360</f>
        <v>-20818.08528186577</v>
      </c>
      <c r="M20" s="916">
        <f>Model!M360</f>
        <v>-31429.485084854939</v>
      </c>
      <c r="N20" s="916">
        <f>Model!N360</f>
        <v>-39654.554508384157</v>
      </c>
      <c r="O20" s="916">
        <f>Model!O360</f>
        <v>-50175.760806889586</v>
      </c>
      <c r="P20" s="916">
        <f>Model!P360</f>
        <v>-62029.697367626053</v>
      </c>
      <c r="Q20" s="916">
        <f>Model!Q360</f>
        <v>-71721.094860046476</v>
      </c>
      <c r="R20" s="916">
        <f>Model!R360</f>
        <v>-81774.080724366038</v>
      </c>
    </row>
    <row r="21" spans="1:23">
      <c r="B21" s="1175" t="s">
        <v>403</v>
      </c>
      <c r="C21" s="1175"/>
      <c r="D21" s="916"/>
      <c r="E21" s="916"/>
      <c r="F21" s="916"/>
      <c r="G21" s="916">
        <f>Model!G765+Model!G766</f>
        <v>1654</v>
      </c>
      <c r="H21" s="916">
        <f>Model!H765+Model!H766</f>
        <v>4499</v>
      </c>
      <c r="I21" s="916">
        <f>Model!I765+Model!I766</f>
        <v>7048</v>
      </c>
      <c r="J21" s="916">
        <f>Model!J765+Model!J766</f>
        <v>14292</v>
      </c>
      <c r="K21" s="916">
        <f>Model!K765+Model!K766</f>
        <v>16362.007207940313</v>
      </c>
      <c r="L21" s="916">
        <f>Model!L765+Model!L766</f>
        <v>26955.324412726495</v>
      </c>
      <c r="M21" s="916">
        <f>Model!M765+Model!M766</f>
        <v>39179.092533469564</v>
      </c>
      <c r="N21" s="916">
        <f>Model!N765+Model!N766</f>
        <v>51067.875262892703</v>
      </c>
      <c r="O21" s="916">
        <f>Model!O765+Model!O766</f>
        <v>55386.364798847593</v>
      </c>
      <c r="P21" s="916">
        <f>Model!P765+Model!P766</f>
        <v>56039.581032848844</v>
      </c>
      <c r="Q21" s="916">
        <f>Model!Q765+Model!Q766</f>
        <v>57221.558197198683</v>
      </c>
      <c r="R21" s="916">
        <f>Model!R765+Model!R766</f>
        <v>57882.079076404523</v>
      </c>
    </row>
    <row r="22" spans="1:23">
      <c r="B22" s="1175" t="s">
        <v>404</v>
      </c>
      <c r="C22" s="1175"/>
      <c r="D22" s="916"/>
      <c r="E22" s="916"/>
      <c r="F22" s="916"/>
      <c r="G22" s="916">
        <f>Model!G767</f>
        <v>2844</v>
      </c>
      <c r="H22" s="916">
        <f>Model!H767</f>
        <v>13028</v>
      </c>
      <c r="I22" s="916">
        <f>Model!I767</f>
        <v>16082</v>
      </c>
      <c r="J22" s="916">
        <f>Model!J767</f>
        <v>15995</v>
      </c>
      <c r="K22" s="916">
        <f>Model!K767</f>
        <v>18874.199449919201</v>
      </c>
      <c r="L22" s="916">
        <f>Model!L767</f>
        <v>20293.005220472744</v>
      </c>
      <c r="M22" s="916">
        <f>Model!M767</f>
        <v>23757.769097625653</v>
      </c>
      <c r="N22" s="916">
        <f>Model!N767</f>
        <v>26868.625879485237</v>
      </c>
      <c r="O22" s="916">
        <f>Model!O767</f>
        <v>25871.666466326966</v>
      </c>
      <c r="P22" s="916">
        <f>Model!P767</f>
        <v>28301.909840991742</v>
      </c>
      <c r="Q22" s="916">
        <f>Model!Q767</f>
        <v>32589.873502641229</v>
      </c>
      <c r="R22" s="916">
        <f>Model!R767</f>
        <v>37051.836271014508</v>
      </c>
    </row>
    <row r="23" spans="1:23">
      <c r="B23" s="1175" t="s">
        <v>405</v>
      </c>
      <c r="C23" s="1175"/>
      <c r="D23" s="916"/>
      <c r="E23" s="916"/>
      <c r="F23" s="916"/>
      <c r="G23" s="916">
        <f>SUM(Model!G777:G784)</f>
        <v>-4493</v>
      </c>
      <c r="H23" s="845">
        <v>-7670</v>
      </c>
      <c r="I23" s="845">
        <v>4573</v>
      </c>
      <c r="J23" s="916">
        <f>SUM(Model!J777:J784)</f>
        <v>7259</v>
      </c>
      <c r="K23" s="916">
        <f>SUM(Model!K777:K784)</f>
        <v>756.21357606737354</v>
      </c>
      <c r="L23" s="916">
        <f>SUM(Model!L777:L784)</f>
        <v>14733.181564009517</v>
      </c>
      <c r="M23" s="916">
        <f>SUM(Model!M777:M784)</f>
        <v>18426.040547211924</v>
      </c>
      <c r="N23" s="916">
        <f>SUM(Model!N777:N784)</f>
        <v>13478.324713043625</v>
      </c>
      <c r="O23" s="916">
        <f>SUM(Model!O777:O784)</f>
        <v>14612.650997368828</v>
      </c>
      <c r="P23" s="916">
        <f>SUM(Model!P777:P784)</f>
        <v>24866.48414885535</v>
      </c>
      <c r="Q23" s="916">
        <f>SUM(Model!Q777:Q784)</f>
        <v>23532.423718969374</v>
      </c>
      <c r="R23" s="916">
        <f>SUM(Model!R777:R784)</f>
        <v>25393.270107083787</v>
      </c>
    </row>
    <row r="24" spans="1:23">
      <c r="B24" s="1175" t="s">
        <v>406</v>
      </c>
      <c r="C24" s="1175"/>
      <c r="D24" s="916"/>
      <c r="E24" s="916"/>
      <c r="F24" s="916"/>
      <c r="G24" s="916">
        <f>-Model!G683</f>
        <v>-4776</v>
      </c>
      <c r="H24" s="916">
        <f>-Model!H683</f>
        <v>-7705</v>
      </c>
      <c r="I24" s="916">
        <f>-Model!I683</f>
        <v>-10845</v>
      </c>
      <c r="J24" s="916">
        <f>-Model!J683</f>
        <v>-17546</v>
      </c>
      <c r="K24" s="916">
        <f>-Model!K683</f>
        <v>-28062.954445274598</v>
      </c>
      <c r="L24" s="916">
        <f>-Model!L683</f>
        <v>-54960.222472113688</v>
      </c>
      <c r="M24" s="916">
        <f>-Model!M683</f>
        <v>-63024.081911756934</v>
      </c>
      <c r="N24" s="916">
        <f>-Model!N683</f>
        <v>-69448.680741999473</v>
      </c>
      <c r="O24" s="916">
        <f>-Model!O683</f>
        <v>-55802.354854347519</v>
      </c>
      <c r="P24" s="916">
        <f>-Model!P683</f>
        <v>-66039.239119154896</v>
      </c>
      <c r="Q24" s="916">
        <f>-Model!Q683</f>
        <v>-73774.195963265171</v>
      </c>
      <c r="R24" s="916">
        <f>-Model!R683</f>
        <v>-77879.938042499532</v>
      </c>
    </row>
    <row r="25" spans="1:23" s="837" customFormat="1">
      <c r="A25" s="831"/>
      <c r="B25" s="837" t="s">
        <v>369</v>
      </c>
      <c r="D25" s="1176"/>
      <c r="E25" s="1176"/>
      <c r="F25" s="1176"/>
      <c r="G25" s="1176">
        <f t="shared" ref="G25:O25" si="1">SUM(G19:G24)</f>
        <v>16953</v>
      </c>
      <c r="H25" s="1176">
        <f t="shared" si="1"/>
        <v>18871</v>
      </c>
      <c r="I25" s="1176">
        <f t="shared" si="1"/>
        <v>37511</v>
      </c>
      <c r="J25" s="1176">
        <f t="shared" si="1"/>
        <v>54279</v>
      </c>
      <c r="K25" s="1176">
        <f t="shared" si="1"/>
        <v>63332.213249068787</v>
      </c>
      <c r="L25" s="1176">
        <f t="shared" si="1"/>
        <v>85863.935662260788</v>
      </c>
      <c r="M25" s="1176">
        <f t="shared" si="1"/>
        <v>117748.56366625831</v>
      </c>
      <c r="N25" s="1176">
        <f t="shared" si="1"/>
        <v>147031.62234382742</v>
      </c>
      <c r="O25" s="1176">
        <f t="shared" si="1"/>
        <v>196126.95510993275</v>
      </c>
      <c r="P25" s="1176">
        <f>SUM(P19:P24)</f>
        <v>232873.38413257358</v>
      </c>
      <c r="Q25" s="1176">
        <f>SUM(Q19:Q24)</f>
        <v>254184.17511439949</v>
      </c>
      <c r="R25" s="1176">
        <f>SUM(R19:R24)</f>
        <v>282290.19317365583</v>
      </c>
    </row>
    <row r="26" spans="1:23">
      <c r="B26" s="869" t="s">
        <v>407</v>
      </c>
      <c r="C26" s="869"/>
      <c r="F26" s="1177"/>
      <c r="G26" s="1177"/>
      <c r="H26" s="1177">
        <f t="shared" ref="H26:O26" si="2">H25/G25-1</f>
        <v>0.11313631805580138</v>
      </c>
      <c r="I26" s="1177">
        <f t="shared" si="2"/>
        <v>0.98775899528376865</v>
      </c>
      <c r="J26" s="1177">
        <f t="shared" si="2"/>
        <v>0.44701554210764849</v>
      </c>
      <c r="K26" s="1177">
        <f t="shared" si="2"/>
        <v>0.16679034707840579</v>
      </c>
      <c r="L26" s="1177">
        <f t="shared" si="2"/>
        <v>0.35577033009379777</v>
      </c>
      <c r="M26" s="1177">
        <f t="shared" si="2"/>
        <v>0.37133899998962616</v>
      </c>
      <c r="N26" s="1177">
        <f t="shared" si="2"/>
        <v>0.24869142999117844</v>
      </c>
      <c r="O26" s="1177">
        <f t="shared" si="2"/>
        <v>0.33391002549980642</v>
      </c>
      <c r="P26" s="1177">
        <f>P25/O25-1</f>
        <v>0.1873604217331768</v>
      </c>
      <c r="Q26" s="1177">
        <f>Q25/P25-1</f>
        <v>9.1512351491803701E-2</v>
      </c>
      <c r="R26" s="1177">
        <f>R25/Q25-1</f>
        <v>0.11057343773115225</v>
      </c>
      <c r="T26" s="1178">
        <f>(R25/G25)^((1/11))-1</f>
        <v>0.29134069945225738</v>
      </c>
    </row>
    <row r="27" spans="1:23">
      <c r="B27" s="869"/>
      <c r="C27" s="869"/>
      <c r="F27" s="1177"/>
      <c r="G27" s="1177"/>
      <c r="H27" s="1177"/>
      <c r="I27" s="1177"/>
      <c r="J27" s="1177"/>
      <c r="K27" s="1177"/>
      <c r="L27" s="1177"/>
      <c r="M27" s="1177"/>
      <c r="N27" s="1177"/>
      <c r="O27" s="1177"/>
      <c r="P27" s="1177"/>
      <c r="Q27" s="1177"/>
      <c r="R27" s="1177"/>
    </row>
    <row r="28" spans="1:23">
      <c r="B28" s="821" t="s">
        <v>408</v>
      </c>
      <c r="O28" s="916"/>
      <c r="P28" s="916"/>
      <c r="Q28" s="916"/>
      <c r="R28" s="916">
        <f>R25*(1+$L$35)*$L$36</f>
        <v>4940078.3805389777</v>
      </c>
      <c r="W28" s="1583"/>
    </row>
    <row r="30" spans="1:23">
      <c r="B30" s="821" t="s">
        <v>409</v>
      </c>
      <c r="H30" s="916"/>
      <c r="I30" s="1179"/>
      <c r="J30" s="1179"/>
      <c r="K30" s="1195"/>
      <c r="L30" s="1195">
        <v>0.25</v>
      </c>
      <c r="M30" s="1195">
        <f t="shared" ref="M30:R30" si="3">L30+1</f>
        <v>1.25</v>
      </c>
      <c r="N30" s="1195">
        <f t="shared" si="3"/>
        <v>2.25</v>
      </c>
      <c r="O30" s="1195">
        <f t="shared" si="3"/>
        <v>3.25</v>
      </c>
      <c r="P30" s="1195">
        <f t="shared" si="3"/>
        <v>4.25</v>
      </c>
      <c r="Q30" s="1195">
        <f t="shared" si="3"/>
        <v>5.25</v>
      </c>
      <c r="R30" s="1195">
        <f t="shared" si="3"/>
        <v>6.25</v>
      </c>
    </row>
    <row r="31" spans="1:23">
      <c r="B31" s="821" t="s">
        <v>410</v>
      </c>
      <c r="H31" s="1179"/>
      <c r="I31" s="1179"/>
      <c r="J31" s="1179"/>
      <c r="K31" s="1179"/>
      <c r="L31" s="1179">
        <f t="shared" ref="L31:R31" si="4">1/(1+$L$34)^L30</f>
        <v>0.97424739966422236</v>
      </c>
      <c r="M31" s="1179">
        <f t="shared" si="4"/>
        <v>0.87770036005785779</v>
      </c>
      <c r="N31" s="1179">
        <f t="shared" si="4"/>
        <v>0.79072104509716912</v>
      </c>
      <c r="O31" s="1179">
        <f t="shared" si="4"/>
        <v>0.71236130188934155</v>
      </c>
      <c r="P31" s="1179">
        <f t="shared" si="4"/>
        <v>0.64176693863904632</v>
      </c>
      <c r="Q31" s="1179">
        <f t="shared" si="4"/>
        <v>0.57816841318833001</v>
      </c>
      <c r="R31" s="1179">
        <f t="shared" si="4"/>
        <v>0.52087244431381075</v>
      </c>
    </row>
    <row r="32" spans="1:23">
      <c r="B32" s="821" t="s">
        <v>411</v>
      </c>
      <c r="H32" s="916"/>
      <c r="I32" s="916"/>
      <c r="J32" s="916"/>
      <c r="K32" s="916"/>
      <c r="L32" s="916">
        <f t="shared" ref="L32:R32" si="5">+L31*(L25+L28)</f>
        <v>83652.716043893655</v>
      </c>
      <c r="M32" s="916">
        <f t="shared" si="5"/>
        <v>103347.95672617051</v>
      </c>
      <c r="N32" s="916">
        <f t="shared" si="5"/>
        <v>116260.9980820435</v>
      </c>
      <c r="O32" s="916">
        <f t="shared" si="5"/>
        <v>139713.25307770414</v>
      </c>
      <c r="P32" s="916">
        <f t="shared" si="5"/>
        <v>149450.43882527642</v>
      </c>
      <c r="Q32" s="916">
        <f t="shared" si="5"/>
        <v>146961.26118347695</v>
      </c>
      <c r="R32" s="916">
        <f t="shared" si="5"/>
        <v>2720187.8840973293</v>
      </c>
    </row>
    <row r="33" spans="1:21">
      <c r="J33" s="1180"/>
      <c r="K33" s="1180"/>
      <c r="L33" s="1180"/>
      <c r="M33" s="1180"/>
      <c r="N33" s="1180"/>
      <c r="O33" s="1180"/>
      <c r="P33" s="1180"/>
      <c r="Q33" s="1180"/>
      <c r="R33" s="1180"/>
    </row>
    <row r="34" spans="1:21" s="837" customFormat="1">
      <c r="A34" s="831"/>
      <c r="B34" s="837" t="s">
        <v>412</v>
      </c>
      <c r="L34" s="1181">
        <v>0.11</v>
      </c>
    </row>
    <row r="35" spans="1:21">
      <c r="B35" s="869" t="s">
        <v>413</v>
      </c>
      <c r="C35" s="869"/>
      <c r="L35" s="1177">
        <v>0.05</v>
      </c>
    </row>
    <row r="36" spans="1:21">
      <c r="B36" s="869" t="s">
        <v>414</v>
      </c>
      <c r="C36" s="869"/>
      <c r="L36" s="916">
        <f>1/(L34-L35)</f>
        <v>16.666666666666668</v>
      </c>
      <c r="U36" s="1135"/>
    </row>
    <row r="37" spans="1:21">
      <c r="H37" s="1182"/>
      <c r="U37" s="820"/>
    </row>
    <row r="38" spans="1:21">
      <c r="B38" s="821" t="s">
        <v>415</v>
      </c>
      <c r="H38" s="852"/>
      <c r="L38" s="916">
        <f>SUM(L32:R32)</f>
        <v>3459574.5080358945</v>
      </c>
      <c r="U38" s="1183"/>
    </row>
    <row r="39" spans="1:21">
      <c r="B39" s="821" t="s">
        <v>379</v>
      </c>
      <c r="H39" s="852"/>
      <c r="L39" s="916">
        <f>Model!L663</f>
        <v>153227.34136590059</v>
      </c>
      <c r="U39" s="820"/>
    </row>
    <row r="40" spans="1:21">
      <c r="B40" s="821" t="s">
        <v>416</v>
      </c>
      <c r="H40" s="852"/>
      <c r="L40" s="916">
        <f>SUM(L38:L39)</f>
        <v>3612801.8494017953</v>
      </c>
      <c r="U40" s="1183"/>
    </row>
    <row r="41" spans="1:21">
      <c r="B41" s="821" t="s">
        <v>417</v>
      </c>
      <c r="H41" s="1184"/>
      <c r="J41" s="1135"/>
      <c r="L41" s="1185">
        <f>L40/K4</f>
        <v>521704.2381807646</v>
      </c>
      <c r="U41" s="820"/>
    </row>
    <row r="42" spans="1:21">
      <c r="B42" s="868" t="s">
        <v>590</v>
      </c>
      <c r="H42" s="1186"/>
      <c r="L42" s="1187">
        <f>L41/L9</f>
        <v>198.5119291423436</v>
      </c>
      <c r="U42" s="820"/>
    </row>
    <row r="43" spans="1:21">
      <c r="B43" s="868"/>
      <c r="H43" s="1186"/>
      <c r="K43" s="1187"/>
      <c r="U43" s="820"/>
    </row>
    <row r="44" spans="1:21" s="1173" customFormat="1">
      <c r="A44" s="820"/>
      <c r="B44" s="1172" t="s">
        <v>472</v>
      </c>
      <c r="D44" s="1174"/>
      <c r="E44" s="1174"/>
      <c r="F44" s="1174"/>
      <c r="G44" s="1174"/>
      <c r="H44" s="1174"/>
      <c r="I44" s="1174"/>
      <c r="J44" s="1174"/>
      <c r="K44" s="1174"/>
      <c r="L44" s="1174"/>
      <c r="M44" s="1174"/>
      <c r="N44" s="1174"/>
      <c r="O44" s="1174"/>
      <c r="P44" s="1174"/>
      <c r="Q44" s="1174"/>
      <c r="R44" s="1174"/>
    </row>
    <row r="45" spans="1:21">
      <c r="B45" s="868" t="s">
        <v>736</v>
      </c>
      <c r="D45" s="916"/>
      <c r="E45" s="916"/>
      <c r="F45" s="916"/>
      <c r="G45" s="916"/>
      <c r="H45" s="916"/>
      <c r="I45" s="916"/>
      <c r="J45" s="916"/>
      <c r="L45" s="1188" t="s">
        <v>315</v>
      </c>
      <c r="M45" s="1188" t="s">
        <v>737</v>
      </c>
      <c r="N45" s="1188" t="s">
        <v>738</v>
      </c>
      <c r="O45" s="1187" t="s">
        <v>735</v>
      </c>
      <c r="P45" s="916"/>
      <c r="Q45" s="916"/>
      <c r="R45" s="916"/>
    </row>
    <row r="46" spans="1:21">
      <c r="B46" s="868" t="s">
        <v>842</v>
      </c>
      <c r="D46" s="916"/>
      <c r="E46" s="916"/>
      <c r="F46" s="916"/>
      <c r="G46" s="916"/>
      <c r="H46" s="916"/>
      <c r="I46" s="916"/>
      <c r="J46" s="916"/>
      <c r="M46" s="1189"/>
      <c r="N46" s="1189"/>
      <c r="O46" s="1190">
        <f>L64</f>
        <v>196.82199849448304</v>
      </c>
      <c r="P46" s="916"/>
      <c r="Q46" s="916"/>
      <c r="R46" s="916"/>
    </row>
    <row r="47" spans="1:21">
      <c r="B47" s="821" t="s">
        <v>835</v>
      </c>
      <c r="D47" s="916"/>
      <c r="E47" s="916"/>
      <c r="F47" s="916"/>
      <c r="G47" s="916"/>
      <c r="H47" s="916"/>
      <c r="I47" s="916"/>
      <c r="J47" s="916"/>
      <c r="M47" s="1189"/>
      <c r="N47" s="1189"/>
      <c r="O47" s="916">
        <f>L74</f>
        <v>20.283576867037169</v>
      </c>
      <c r="P47" s="916"/>
      <c r="Q47" s="916"/>
      <c r="R47" s="916"/>
    </row>
    <row r="48" spans="1:21">
      <c r="B48" s="821" t="s">
        <v>841</v>
      </c>
      <c r="D48" s="916"/>
      <c r="E48" s="916"/>
      <c r="F48" s="916"/>
      <c r="G48" s="916"/>
      <c r="H48" s="916"/>
      <c r="I48" s="916"/>
      <c r="J48" s="916"/>
      <c r="M48" s="1189"/>
      <c r="N48" s="1189"/>
      <c r="O48" s="916">
        <f>O49+O50+O51+O52</f>
        <v>12.79925448171063</v>
      </c>
      <c r="P48" s="916"/>
      <c r="Q48" s="916"/>
      <c r="R48" s="916"/>
    </row>
    <row r="49" spans="1:21" ht="12.75" hidden="1" customHeight="1" outlineLevel="1">
      <c r="B49" s="1335" t="s">
        <v>883</v>
      </c>
      <c r="C49" s="1336"/>
      <c r="D49" s="1337"/>
      <c r="E49" s="1337"/>
      <c r="F49" s="1337"/>
      <c r="G49" s="1337"/>
      <c r="H49" s="1337"/>
      <c r="I49" s="1337"/>
      <c r="J49" s="1337"/>
      <c r="K49" s="1336"/>
      <c r="L49" s="1337">
        <v>60</v>
      </c>
      <c r="M49" s="1338">
        <v>0.33</v>
      </c>
      <c r="N49" s="1339">
        <f>L49*M49</f>
        <v>19.8</v>
      </c>
      <c r="O49" s="1337">
        <f>N49*1000/$L$9</f>
        <v>7.5340315630261703</v>
      </c>
      <c r="P49" s="916"/>
      <c r="Q49" s="916"/>
      <c r="R49" s="916"/>
      <c r="T49" s="868"/>
      <c r="U49" s="868"/>
    </row>
    <row r="50" spans="1:21" ht="12.75" hidden="1" customHeight="1" outlineLevel="1">
      <c r="B50" s="1340" t="s">
        <v>579</v>
      </c>
      <c r="C50" s="1341"/>
      <c r="D50" s="1337"/>
      <c r="E50" s="1337"/>
      <c r="F50" s="1337"/>
      <c r="G50" s="1337"/>
      <c r="H50" s="1337"/>
      <c r="I50" s="1337"/>
      <c r="J50" s="1337"/>
      <c r="K50" s="1336"/>
      <c r="L50" s="1337">
        <v>8</v>
      </c>
      <c r="M50" s="1342">
        <v>0.38</v>
      </c>
      <c r="N50" s="1339">
        <f>L50*M50</f>
        <v>3.04</v>
      </c>
      <c r="O50" s="1337">
        <f>N50*1000/$L$9</f>
        <v>1.1567401995757352</v>
      </c>
      <c r="P50" s="916"/>
      <c r="Q50" s="916"/>
      <c r="R50" s="916"/>
    </row>
    <row r="51" spans="1:21" ht="12.75" hidden="1" customHeight="1" outlineLevel="1">
      <c r="B51" s="1340" t="s">
        <v>739</v>
      </c>
      <c r="C51" s="1341"/>
      <c r="D51" s="1337"/>
      <c r="E51" s="1337"/>
      <c r="F51" s="1337"/>
      <c r="G51" s="1337"/>
      <c r="H51" s="1337"/>
      <c r="I51" s="1337"/>
      <c r="J51" s="1337"/>
      <c r="K51" s="1336"/>
      <c r="L51" s="1337">
        <f>67.793/K4</f>
        <v>9.7896028880866428</v>
      </c>
      <c r="M51" s="1343" t="s">
        <v>721</v>
      </c>
      <c r="N51" s="1339">
        <f>L51</f>
        <v>9.7896028880866428</v>
      </c>
      <c r="O51" s="1337">
        <f>N51*1000/$L$9</f>
        <v>3.7250089468857031</v>
      </c>
      <c r="P51" s="916"/>
      <c r="Q51" s="916"/>
      <c r="R51" s="916"/>
    </row>
    <row r="52" spans="1:21" ht="12.75" hidden="1" customHeight="1" outlineLevel="1">
      <c r="B52" s="1340" t="s">
        <v>740</v>
      </c>
      <c r="C52" s="1341"/>
      <c r="D52" s="1337"/>
      <c r="E52" s="1337"/>
      <c r="F52" s="1337"/>
      <c r="G52" s="1337"/>
      <c r="H52" s="1337"/>
      <c r="I52" s="1337"/>
      <c r="J52" s="1337"/>
      <c r="K52" s="1336"/>
      <c r="L52" s="1337">
        <v>1.007797833935018</v>
      </c>
      <c r="M52" s="1343" t="s">
        <v>721</v>
      </c>
      <c r="N52" s="1339">
        <f>L52</f>
        <v>1.007797833935018</v>
      </c>
      <c r="O52" s="1344">
        <f>N52*1000/$L$9</f>
        <v>0.38347377222302181</v>
      </c>
      <c r="P52" s="916"/>
      <c r="Q52" s="916"/>
      <c r="R52" s="916"/>
    </row>
    <row r="53" spans="1:21" collapsed="1">
      <c r="B53" s="868" t="s">
        <v>126</v>
      </c>
      <c r="H53" s="1186"/>
      <c r="L53" s="1144"/>
      <c r="O53" s="1190">
        <f>O46+O47+O48</f>
        <v>229.90482984323083</v>
      </c>
    </row>
    <row r="54" spans="1:21">
      <c r="B54" s="868"/>
      <c r="H54" s="1186"/>
      <c r="K54" s="1144"/>
      <c r="N54" s="1187"/>
    </row>
    <row r="55" spans="1:21" s="1329" customFormat="1">
      <c r="A55" s="1333"/>
      <c r="B55" s="960" t="s">
        <v>770</v>
      </c>
      <c r="K55" s="1330"/>
      <c r="L55" s="1262" t="s">
        <v>59</v>
      </c>
      <c r="M55" s="1262" t="s">
        <v>60</v>
      </c>
      <c r="N55" s="1262" t="s">
        <v>61</v>
      </c>
      <c r="O55" s="1262" t="s">
        <v>62</v>
      </c>
      <c r="P55" s="1262" t="s">
        <v>45</v>
      </c>
      <c r="Q55" s="1262" t="s">
        <v>46</v>
      </c>
      <c r="R55" s="1262" t="s">
        <v>44</v>
      </c>
    </row>
    <row r="56" spans="1:21">
      <c r="B56" s="868" t="s">
        <v>369</v>
      </c>
      <c r="G56" s="916"/>
      <c r="H56" s="916"/>
      <c r="I56" s="916">
        <f>Valuation!I25-Model!I63</f>
        <v>38763</v>
      </c>
      <c r="J56" s="916">
        <f>Valuation!J25-Model!J63</f>
        <v>54755</v>
      </c>
      <c r="K56" s="916">
        <f>Valuation!K25-Model!K63</f>
        <v>63965.464769068785</v>
      </c>
      <c r="L56" s="916">
        <f>Valuation!L25-Model!L63</f>
        <v>86723.622574260793</v>
      </c>
      <c r="M56" s="916">
        <f>Valuation!M25-Model!M63</f>
        <v>118775.67460437032</v>
      </c>
      <c r="N56" s="916">
        <f>Valuation!N25-Model!N63</f>
        <v>147804.1946492565</v>
      </c>
      <c r="O56" s="916">
        <f>Valuation!O25-Model!O63</f>
        <v>196864.17409462683</v>
      </c>
      <c r="P56" s="916">
        <f>Valuation!P25-Model!P63</f>
        <v>232873.38413257358</v>
      </c>
      <c r="Q56" s="916">
        <f>Valuation!Q25-Model!Q63</f>
        <v>252849.88919681593</v>
      </c>
      <c r="R56" s="916">
        <f>Valuation!R25-Model!R63</f>
        <v>278880.17498286086</v>
      </c>
      <c r="U56" s="820"/>
    </row>
    <row r="57" spans="1:21">
      <c r="B57" s="868"/>
      <c r="H57" s="1186"/>
      <c r="J57" s="1177">
        <f t="shared" ref="J57" si="6">J56/I56-1</f>
        <v>0.41255836751541408</v>
      </c>
      <c r="K57" s="1177">
        <f t="shared" ref="K57:R57" si="7">K56/J56-1</f>
        <v>0.16821230516060237</v>
      </c>
      <c r="L57" s="1177">
        <f t="shared" si="7"/>
        <v>0.35578820364011432</v>
      </c>
      <c r="M57" s="1177">
        <f t="shared" si="7"/>
        <v>0.3695884821077855</v>
      </c>
      <c r="N57" s="1177">
        <f t="shared" si="7"/>
        <v>0.24439785454031093</v>
      </c>
      <c r="O57" s="1177">
        <f t="shared" si="7"/>
        <v>0.33192548805391509</v>
      </c>
      <c r="P57" s="1177">
        <f t="shared" si="7"/>
        <v>0.18291398220906463</v>
      </c>
      <c r="Q57" s="1177">
        <f t="shared" si="7"/>
        <v>8.5782688900462034E-2</v>
      </c>
      <c r="R57" s="1177">
        <f t="shared" si="7"/>
        <v>0.10294758628817591</v>
      </c>
      <c r="U57" s="820"/>
    </row>
    <row r="58" spans="1:21">
      <c r="B58" s="821" t="s">
        <v>408</v>
      </c>
      <c r="H58" s="1186"/>
      <c r="K58" s="1187"/>
      <c r="R58" s="916">
        <f>R56*(1+$L$35)*$L$36</f>
        <v>4880403.0622000657</v>
      </c>
      <c r="U58" s="820"/>
    </row>
    <row r="59" spans="1:21">
      <c r="B59" s="821" t="s">
        <v>411</v>
      </c>
      <c r="H59" s="1186"/>
      <c r="K59" s="916"/>
      <c r="L59" s="916">
        <f t="shared" ref="L59:R59" si="8">+L31*(L56+L58)</f>
        <v>84490.263782435024</v>
      </c>
      <c r="M59" s="916">
        <f t="shared" si="8"/>
        <v>104249.45236637078</v>
      </c>
      <c r="N59" s="916">
        <f t="shared" si="8"/>
        <v>116871.88726280551</v>
      </c>
      <c r="O59" s="916">
        <f t="shared" si="8"/>
        <v>140238.41935341834</v>
      </c>
      <c r="P59" s="916">
        <f t="shared" si="8"/>
        <v>149450.43882527642</v>
      </c>
      <c r="Q59" s="916">
        <f t="shared" si="8"/>
        <v>146189.81921176813</v>
      </c>
      <c r="R59" s="916">
        <f t="shared" si="8"/>
        <v>2687328.470658741</v>
      </c>
      <c r="U59" s="820"/>
    </row>
    <row r="60" spans="1:21">
      <c r="B60" s="821" t="s">
        <v>415</v>
      </c>
      <c r="H60" s="1186"/>
      <c r="L60" s="916">
        <f>SUM(L59:R59)</f>
        <v>3428818.7514608148</v>
      </c>
      <c r="R60" s="916"/>
      <c r="U60" s="820"/>
    </row>
    <row r="61" spans="1:21">
      <c r="B61" s="821" t="s">
        <v>379</v>
      </c>
      <c r="H61" s="1186"/>
      <c r="L61" s="916">
        <f>L39</f>
        <v>153227.34136590059</v>
      </c>
      <c r="R61" s="916"/>
      <c r="U61" s="820"/>
    </row>
    <row r="62" spans="1:21">
      <c r="B62" s="821" t="s">
        <v>416</v>
      </c>
      <c r="H62" s="1186"/>
      <c r="L62" s="916">
        <f>SUM(L60:L61)</f>
        <v>3582046.0928267157</v>
      </c>
      <c r="R62" s="916"/>
      <c r="U62" s="820"/>
    </row>
    <row r="63" spans="1:21">
      <c r="B63" s="821" t="s">
        <v>417</v>
      </c>
      <c r="H63" s="1186"/>
      <c r="L63" s="1185">
        <f>L62/L4</f>
        <v>517262.97369338851</v>
      </c>
      <c r="R63" s="916"/>
      <c r="U63" s="820"/>
    </row>
    <row r="64" spans="1:21">
      <c r="B64" s="868" t="s">
        <v>590</v>
      </c>
      <c r="H64" s="1186"/>
      <c r="L64" s="1190">
        <f>L63/L9</f>
        <v>196.82199849448304</v>
      </c>
      <c r="R64" s="916"/>
      <c r="U64" s="820"/>
    </row>
    <row r="65" spans="1:21">
      <c r="B65" s="868"/>
      <c r="H65" s="1186"/>
      <c r="L65" s="1187"/>
      <c r="R65" s="916"/>
      <c r="U65" s="820"/>
    </row>
    <row r="66" spans="1:21">
      <c r="B66" s="960" t="s">
        <v>833</v>
      </c>
      <c r="G66" s="1261"/>
      <c r="H66" s="1328"/>
      <c r="I66" s="1261"/>
      <c r="J66" s="1261"/>
      <c r="K66" s="1261"/>
      <c r="L66" s="1332" t="s">
        <v>838</v>
      </c>
      <c r="R66" s="916"/>
      <c r="U66" s="820"/>
    </row>
    <row r="67" spans="1:21">
      <c r="B67" s="821" t="s">
        <v>836</v>
      </c>
      <c r="H67" s="1186"/>
      <c r="L67" s="916">
        <f>Model!R16/L4</f>
        <v>24621.069969638898</v>
      </c>
      <c r="R67" s="916"/>
      <c r="U67" s="820"/>
    </row>
    <row r="68" spans="1:21">
      <c r="B68" s="868" t="s">
        <v>827</v>
      </c>
      <c r="H68" s="1186"/>
      <c r="L68" s="1331">
        <f>M190</f>
        <v>4.3905297363804641</v>
      </c>
      <c r="R68" s="916"/>
      <c r="U68" s="820"/>
    </row>
    <row r="69" spans="1:21">
      <c r="B69" s="821" t="s">
        <v>828</v>
      </c>
      <c r="H69" s="1186"/>
      <c r="L69" s="916">
        <f>L67*L68</f>
        <v>108099.53984320363</v>
      </c>
      <c r="R69" s="916"/>
      <c r="U69" s="820"/>
    </row>
    <row r="70" spans="1:21" s="820" customFormat="1">
      <c r="B70" s="821" t="s">
        <v>321</v>
      </c>
      <c r="H70" s="1186"/>
      <c r="L70" s="916">
        <v>0</v>
      </c>
      <c r="R70" s="917"/>
      <c r="S70" s="1326"/>
      <c r="T70" s="1327"/>
    </row>
    <row r="71" spans="1:21" s="820" customFormat="1">
      <c r="B71" s="821" t="s">
        <v>829</v>
      </c>
      <c r="H71" s="1186"/>
      <c r="L71" s="916">
        <f>+L69</f>
        <v>108099.53984320363</v>
      </c>
      <c r="R71" s="917"/>
      <c r="S71" s="1326"/>
      <c r="T71" s="1327"/>
    </row>
    <row r="72" spans="1:21" s="820" customFormat="1">
      <c r="B72" s="821" t="s">
        <v>843</v>
      </c>
      <c r="H72" s="1186"/>
      <c r="L72" s="916">
        <f>Model!R387</f>
        <v>2775.9439036036401</v>
      </c>
      <c r="R72" s="917"/>
      <c r="S72" s="1326"/>
      <c r="T72" s="1327"/>
    </row>
    <row r="73" spans="1:21" s="820" customFormat="1">
      <c r="B73" s="821" t="s">
        <v>840</v>
      </c>
      <c r="H73" s="1186"/>
      <c r="L73" s="916">
        <f>L71/L72</f>
        <v>38.941543344183692</v>
      </c>
      <c r="M73" s="489"/>
      <c r="R73" s="917"/>
      <c r="S73" s="1326"/>
      <c r="T73" s="1327"/>
    </row>
    <row r="74" spans="1:21">
      <c r="B74" s="868" t="s">
        <v>839</v>
      </c>
      <c r="C74" s="868"/>
      <c r="D74" s="868"/>
      <c r="E74" s="868"/>
      <c r="F74" s="868"/>
      <c r="G74" s="868"/>
      <c r="H74" s="1334"/>
      <c r="I74" s="868"/>
      <c r="J74" s="868"/>
      <c r="K74" s="1144"/>
      <c r="L74" s="1190">
        <f>L73*R31</f>
        <v>20.283576867037169</v>
      </c>
      <c r="U74" s="820"/>
    </row>
    <row r="75" spans="1:21">
      <c r="B75" s="821" t="s">
        <v>844</v>
      </c>
      <c r="H75" s="1186"/>
      <c r="K75" s="1144"/>
      <c r="L75" s="489">
        <f>L71*R31</f>
        <v>56306.07154732765</v>
      </c>
      <c r="M75" s="1265" t="s">
        <v>851</v>
      </c>
      <c r="U75" s="820"/>
    </row>
    <row r="76" spans="1:21">
      <c r="B76" s="868"/>
      <c r="H76" s="1186"/>
      <c r="K76" s="1144"/>
      <c r="N76" s="1187"/>
    </row>
    <row r="77" spans="1:21" s="1173" customFormat="1">
      <c r="A77" s="820"/>
      <c r="B77" s="1172" t="s">
        <v>716</v>
      </c>
      <c r="H77" s="1191"/>
    </row>
    <row r="78" spans="1:21" s="837" customFormat="1">
      <c r="A78" s="831"/>
      <c r="B78" s="837" t="s">
        <v>380</v>
      </c>
      <c r="G78" s="1192">
        <f t="shared" ref="G78:R78" si="9">$L$6/G82</f>
        <v>127.32919254658384</v>
      </c>
      <c r="H78" s="1193">
        <f t="shared" si="9"/>
        <v>131.00979381443301</v>
      </c>
      <c r="I78" s="1193">
        <f t="shared" si="9"/>
        <v>47.394765148798854</v>
      </c>
      <c r="J78" s="1193">
        <f t="shared" si="9"/>
        <v>83.15002946375958</v>
      </c>
      <c r="K78" s="1193">
        <f t="shared" si="9"/>
        <v>57.213894706198701</v>
      </c>
      <c r="L78" s="1193">
        <f t="shared" si="9"/>
        <v>43.272691598280367</v>
      </c>
      <c r="M78" s="1193">
        <f t="shared" si="9"/>
        <v>33.752336743867964</v>
      </c>
      <c r="N78" s="1193">
        <f t="shared" si="9"/>
        <v>27.284871105127166</v>
      </c>
      <c r="O78" s="1193">
        <f t="shared" si="9"/>
        <v>21.749591370150256</v>
      </c>
      <c r="P78" s="1193">
        <f t="shared" si="9"/>
        <v>17.735386764847885</v>
      </c>
      <c r="Q78" s="1193">
        <f t="shared" si="9"/>
        <v>15.478467357980872</v>
      </c>
      <c r="R78" s="1193">
        <f t="shared" si="9"/>
        <v>13.7054470917752</v>
      </c>
    </row>
    <row r="79" spans="1:21">
      <c r="B79" s="1194" t="s">
        <v>381</v>
      </c>
      <c r="C79" s="1194"/>
      <c r="D79" s="1179"/>
      <c r="E79" s="916"/>
      <c r="F79" s="916"/>
      <c r="G79" s="916">
        <f>Model!G378</f>
        <v>23076</v>
      </c>
      <c r="H79" s="916">
        <f>Model!H378</f>
        <v>24149</v>
      </c>
      <c r="I79" s="916">
        <f>Model!I378</f>
        <v>71460</v>
      </c>
      <c r="J79" s="916">
        <f>Model!J378</f>
        <v>43675</v>
      </c>
      <c r="K79" s="916">
        <f>Model!K378</f>
        <v>64884.926888184702</v>
      </c>
      <c r="L79" s="916">
        <f>Model!L378</f>
        <v>86217.908664208517</v>
      </c>
      <c r="M79" s="916">
        <f>Model!M378</f>
        <v>111089.65299759815</v>
      </c>
      <c r="N79" s="916">
        <f>Model!N378</f>
        <v>138795.99122570484</v>
      </c>
      <c r="O79" s="916">
        <f>Model!O378</f>
        <v>175860.82297877726</v>
      </c>
      <c r="P79" s="916">
        <f>Model!P378</f>
        <v>217821.58457585447</v>
      </c>
      <c r="Q79" s="916">
        <f>Model!Q378</f>
        <v>252078.02933116944</v>
      </c>
      <c r="R79" s="916">
        <f>Model!R378</f>
        <v>287535.26519526955</v>
      </c>
    </row>
    <row r="80" spans="1:21">
      <c r="B80" s="1194" t="s">
        <v>382</v>
      </c>
      <c r="C80" s="1194"/>
      <c r="D80" s="1179"/>
      <c r="E80" s="916"/>
      <c r="F80" s="916"/>
      <c r="G80" s="916">
        <f t="shared" ref="G80:R80" si="10">G79/G4</f>
        <v>3771.9097779669996</v>
      </c>
      <c r="H80" s="916">
        <f t="shared" si="10"/>
        <v>3895.6283271495404</v>
      </c>
      <c r="I80" s="916">
        <f t="shared" si="10"/>
        <v>11082.506203473944</v>
      </c>
      <c r="J80" s="916">
        <f t="shared" si="10"/>
        <v>6345.1592282659221</v>
      </c>
      <c r="K80" s="916">
        <f t="shared" si="10"/>
        <v>9369.664532589848</v>
      </c>
      <c r="L80" s="916">
        <f t="shared" si="10"/>
        <v>12450.239518297258</v>
      </c>
      <c r="M80" s="916">
        <f t="shared" si="10"/>
        <v>16041.827147667602</v>
      </c>
      <c r="N80" s="916">
        <f t="shared" si="10"/>
        <v>20042.742415264234</v>
      </c>
      <c r="O80" s="916">
        <f t="shared" si="10"/>
        <v>25395.064690076135</v>
      </c>
      <c r="P80" s="916">
        <f t="shared" si="10"/>
        <v>31454.380444166709</v>
      </c>
      <c r="Q80" s="916">
        <f t="shared" si="10"/>
        <v>36401.15947020497</v>
      </c>
      <c r="R80" s="916">
        <f t="shared" si="10"/>
        <v>41521.337934334952</v>
      </c>
    </row>
    <row r="81" spans="1:19">
      <c r="B81" s="821" t="s">
        <v>383</v>
      </c>
      <c r="E81" s="1195"/>
      <c r="F81" s="1195"/>
      <c r="G81" s="1195">
        <f>Model!G382</f>
        <v>10</v>
      </c>
      <c r="H81" s="1195">
        <f>Model!H382</f>
        <v>9.6999999999999993</v>
      </c>
      <c r="I81" s="1195">
        <f>Model!I382</f>
        <v>27.89</v>
      </c>
      <c r="J81" s="1195">
        <f>Model!J382</f>
        <v>16.97</v>
      </c>
      <c r="K81" s="1195">
        <f>Model!K382</f>
        <v>24.812591544238892</v>
      </c>
      <c r="L81" s="1195">
        <f>Model!L382</f>
        <v>32.806487130012847</v>
      </c>
      <c r="M81" s="1195">
        <f>Model!M382</f>
        <v>42.060050857305868</v>
      </c>
      <c r="N81" s="1195">
        <f>Model!N382</f>
        <v>52.029749179692288</v>
      </c>
      <c r="O81" s="1195">
        <f>Model!O382</f>
        <v>65.271341233028082</v>
      </c>
      <c r="P81" s="1195">
        <f>Model!P382</f>
        <v>80.044772568125964</v>
      </c>
      <c r="Q81" s="1195">
        <f>Model!Q382</f>
        <v>91.716121962684213</v>
      </c>
      <c r="R81" s="1195">
        <f>Model!R382</f>
        <v>103.58107915005077</v>
      </c>
    </row>
    <row r="82" spans="1:19">
      <c r="B82" s="821" t="s">
        <v>384</v>
      </c>
      <c r="E82" s="1195"/>
      <c r="F82" s="1195"/>
      <c r="G82" s="1195">
        <f>Model!G384</f>
        <v>1.61</v>
      </c>
      <c r="H82" s="1195">
        <f>Model!H384</f>
        <v>1.5647685110501692</v>
      </c>
      <c r="I82" s="1195">
        <f>Model!I384</f>
        <v>4.3253722084367245</v>
      </c>
      <c r="J82" s="1195">
        <f>Model!J384</f>
        <v>2.4654230590423056</v>
      </c>
      <c r="K82" s="1195">
        <f>Model!K384</f>
        <v>3.5830457103594062</v>
      </c>
      <c r="L82" s="1195">
        <f>Model!L384</f>
        <v>4.7373988635397613</v>
      </c>
      <c r="M82" s="1195">
        <f>Model!M384</f>
        <v>6.0736535534015683</v>
      </c>
      <c r="N82" s="1195">
        <f>Model!N384</f>
        <v>7.5133211811830014</v>
      </c>
      <c r="O82" s="1195">
        <f>Model!O384</f>
        <v>9.4254644379823933</v>
      </c>
      <c r="P82" s="1195">
        <f>Model!P384</f>
        <v>11.558811923195083</v>
      </c>
      <c r="Q82" s="1195">
        <f>Model!Q384</f>
        <v>13.244205337571726</v>
      </c>
      <c r="R82" s="1195">
        <f>Model!R384</f>
        <v>14.957556555964008</v>
      </c>
    </row>
    <row r="83" spans="1:19">
      <c r="B83" s="869" t="s">
        <v>709</v>
      </c>
      <c r="C83" s="869"/>
      <c r="H83" s="1135">
        <f t="shared" ref="H83:R83" si="11">H82/G82-1</f>
        <v>-2.8094092515422942E-2</v>
      </c>
      <c r="I83" s="1135">
        <f t="shared" si="11"/>
        <v>1.7642249814535318</v>
      </c>
      <c r="J83" s="1135">
        <f t="shared" si="11"/>
        <v>-0.4300090396305204</v>
      </c>
      <c r="K83" s="1135">
        <f t="shared" si="11"/>
        <v>0.45331881164088794</v>
      </c>
      <c r="L83" s="1135">
        <f t="shared" si="11"/>
        <v>0.32217092565770389</v>
      </c>
      <c r="M83" s="1135">
        <f t="shared" si="11"/>
        <v>0.28206505898119882</v>
      </c>
      <c r="N83" s="1135">
        <f t="shared" si="11"/>
        <v>0.23703486132743667</v>
      </c>
      <c r="O83" s="1135">
        <f t="shared" si="11"/>
        <v>0.25450040144541219</v>
      </c>
      <c r="P83" s="1135">
        <f t="shared" si="11"/>
        <v>0.22633871245811554</v>
      </c>
      <c r="Q83" s="1135">
        <f t="shared" si="11"/>
        <v>0.14581026368242589</v>
      </c>
      <c r="R83" s="1135">
        <f t="shared" si="11"/>
        <v>0.12936610198361786</v>
      </c>
    </row>
    <row r="84" spans="1:19">
      <c r="B84" s="869"/>
      <c r="C84" s="869"/>
      <c r="H84" s="1135"/>
      <c r="I84" s="1135"/>
      <c r="J84" s="1135"/>
      <c r="K84" s="1135"/>
      <c r="L84" s="1135"/>
      <c r="M84" s="1135"/>
      <c r="N84" s="1135"/>
      <c r="O84" s="1135"/>
      <c r="P84" s="1135"/>
      <c r="Q84" s="1135"/>
      <c r="R84" s="1135"/>
    </row>
    <row r="85" spans="1:19" s="837" customFormat="1">
      <c r="A85" s="831"/>
      <c r="B85" s="837" t="s">
        <v>724</v>
      </c>
      <c r="G85" s="1196">
        <f t="shared" ref="G85:R85" si="12">$L$6/G89</f>
        <v>103.73535425156074</v>
      </c>
      <c r="H85" s="1193">
        <f t="shared" si="12"/>
        <v>90.96599856836076</v>
      </c>
      <c r="I85" s="1193">
        <f t="shared" si="12"/>
        <v>78.821705426356601</v>
      </c>
      <c r="J85" s="1193">
        <f t="shared" si="12"/>
        <v>60.198634812286691</v>
      </c>
      <c r="K85" s="1193">
        <f t="shared" si="12"/>
        <v>43.767261169309776</v>
      </c>
      <c r="L85" s="1193">
        <f t="shared" si="12"/>
        <v>33.516706768058768</v>
      </c>
      <c r="M85" s="1193">
        <f t="shared" si="12"/>
        <v>26.836333785395929</v>
      </c>
      <c r="N85" s="1193">
        <f t="shared" si="12"/>
        <v>22.391923916012516</v>
      </c>
      <c r="O85" s="1193">
        <f t="shared" si="12"/>
        <v>18.751414321385361</v>
      </c>
      <c r="P85" s="1193">
        <f t="shared" si="12"/>
        <v>15.592077664085325</v>
      </c>
      <c r="Q85" s="1193">
        <f t="shared" si="12"/>
        <v>13.627913905215475</v>
      </c>
      <c r="R85" s="1193">
        <f t="shared" si="12"/>
        <v>12.079920663673905</v>
      </c>
    </row>
    <row r="86" spans="1:19">
      <c r="B86" s="1194" t="s">
        <v>385</v>
      </c>
      <c r="C86" s="1194"/>
      <c r="D86" s="1179"/>
      <c r="E86" s="916"/>
      <c r="F86" s="916"/>
      <c r="G86" s="916">
        <f>Model!G511</f>
        <v>28186</v>
      </c>
      <c r="H86" s="916">
        <f>Model!H511</f>
        <v>34922</v>
      </c>
      <c r="I86" s="916">
        <f>Model!I511</f>
        <v>42962</v>
      </c>
      <c r="J86" s="916">
        <f>Model!J511</f>
        <v>60309</v>
      </c>
      <c r="K86" s="916">
        <f>Model!K511</f>
        <v>84819.549494751816</v>
      </c>
      <c r="L86" s="916">
        <f>Model!L511</f>
        <v>111314.06786750625</v>
      </c>
      <c r="M86" s="916">
        <f>Model!M511</f>
        <v>139718.61457375504</v>
      </c>
      <c r="N86" s="916">
        <f>Model!N511</f>
        <v>169124.84807942758</v>
      </c>
      <c r="O86" s="916">
        <f>Model!O511</f>
        <v>203979.33575840006</v>
      </c>
      <c r="P86" s="916">
        <f>Model!P511</f>
        <v>247763.64839967122</v>
      </c>
      <c r="Q86" s="916">
        <f>Model!Q511</f>
        <v>286308.05681663565</v>
      </c>
      <c r="R86" s="916">
        <f>Model!R511</f>
        <v>326227.25544910907</v>
      </c>
      <c r="S86" s="916"/>
    </row>
    <row r="87" spans="1:19">
      <c r="B87" s="1194" t="s">
        <v>386</v>
      </c>
      <c r="C87" s="1194"/>
      <c r="E87" s="916"/>
      <c r="F87" s="916"/>
      <c r="G87" s="916">
        <f t="shared" ref="G87:R87" si="13">G86/$G$4</f>
        <v>4607.1697435334481</v>
      </c>
      <c r="H87" s="916">
        <f t="shared" si="13"/>
        <v>5708.2091032312164</v>
      </c>
      <c r="I87" s="916">
        <f t="shared" si="13"/>
        <v>7022.3950373122825</v>
      </c>
      <c r="J87" s="916">
        <f t="shared" si="13"/>
        <v>9857.8656092655474</v>
      </c>
      <c r="K87" s="916">
        <f t="shared" si="13"/>
        <v>13864.261054862638</v>
      </c>
      <c r="L87" s="916">
        <f t="shared" si="13"/>
        <v>18194.948041893265</v>
      </c>
      <c r="M87" s="916">
        <f t="shared" si="13"/>
        <v>22837.8405475277</v>
      </c>
      <c r="N87" s="916">
        <f t="shared" si="13"/>
        <v>27644.464732534936</v>
      </c>
      <c r="O87" s="916">
        <f t="shared" si="13"/>
        <v>33341.638544389098</v>
      </c>
      <c r="P87" s="916">
        <f t="shared" si="13"/>
        <v>40498.445485504315</v>
      </c>
      <c r="Q87" s="916">
        <f t="shared" si="13"/>
        <v>46798.758841107614</v>
      </c>
      <c r="R87" s="916">
        <f t="shared" si="13"/>
        <v>53323.789853866903</v>
      </c>
      <c r="S87" s="916"/>
    </row>
    <row r="88" spans="1:19">
      <c r="B88" s="821" t="s">
        <v>383</v>
      </c>
      <c r="E88" s="1195"/>
      <c r="F88" s="1195"/>
      <c r="G88" s="1195">
        <f>Model!G515</f>
        <v>12.09</v>
      </c>
      <c r="H88" s="1195">
        <f>Model!H515</f>
        <v>13.97</v>
      </c>
      <c r="I88" s="1195">
        <f>Model!I515</f>
        <v>16.77</v>
      </c>
      <c r="J88" s="1195">
        <f>Model!J515</f>
        <v>23.44</v>
      </c>
      <c r="K88" s="1195">
        <f>Model!K515</f>
        <v>32.435774185373546</v>
      </c>
      <c r="L88" s="1195">
        <f>Model!L515</f>
        <v>42.355742460738853</v>
      </c>
      <c r="M88" s="1195">
        <f>Model!M515</f>
        <v>52.899364397254075</v>
      </c>
      <c r="N88" s="1195">
        <f>Model!N515</f>
        <v>63.398973903480574</v>
      </c>
      <c r="O88" s="1195">
        <f>Model!O515</f>
        <v>75.707622671478461</v>
      </c>
      <c r="P88" s="1195">
        <f>Model!P515</f>
        <v>91.047840485681633</v>
      </c>
      <c r="Q88" s="1195">
        <f>Model!Q515</f>
        <v>104.17038219302971</v>
      </c>
      <c r="R88" s="1195">
        <f>Model!R515</f>
        <v>117.51939764546808</v>
      </c>
    </row>
    <row r="89" spans="1:19">
      <c r="B89" s="821" t="s">
        <v>384</v>
      </c>
      <c r="E89" s="1195"/>
      <c r="F89" s="1195"/>
      <c r="G89" s="1195">
        <f t="shared" ref="G89:R89" si="14">G88/G4</f>
        <v>1.9761825799801103</v>
      </c>
      <c r="H89" s="1195">
        <f t="shared" si="14"/>
        <v>2.2535892885949349</v>
      </c>
      <c r="I89" s="1195">
        <f t="shared" si="14"/>
        <v>2.600806451612903</v>
      </c>
      <c r="J89" s="1195">
        <f t="shared" si="14"/>
        <v>3.4053928405392839</v>
      </c>
      <c r="K89" s="1195">
        <f t="shared" si="14"/>
        <v>4.6838663083571905</v>
      </c>
      <c r="L89" s="1195">
        <f t="shared" si="14"/>
        <v>6.1163527019117474</v>
      </c>
      <c r="M89" s="1195">
        <f t="shared" si="14"/>
        <v>7.6388973858850644</v>
      </c>
      <c r="N89" s="1195">
        <f t="shared" si="14"/>
        <v>9.1550864842571222</v>
      </c>
      <c r="O89" s="1195">
        <f t="shared" si="14"/>
        <v>10.932508689022159</v>
      </c>
      <c r="P89" s="1195">
        <f t="shared" si="14"/>
        <v>13.147702597210342</v>
      </c>
      <c r="Q89" s="1195">
        <f t="shared" si="14"/>
        <v>15.042654468307537</v>
      </c>
      <c r="R89" s="1195">
        <f t="shared" si="14"/>
        <v>16.970310129309468</v>
      </c>
    </row>
    <row r="90" spans="1:19">
      <c r="B90" s="869" t="s">
        <v>709</v>
      </c>
      <c r="C90" s="869"/>
      <c r="H90" s="1135">
        <f t="shared" ref="H90:R90" si="15">H89/G89-1</f>
        <v>0.14037503995082101</v>
      </c>
      <c r="I90" s="1135">
        <f t="shared" si="15"/>
        <v>0.15407295587318437</v>
      </c>
      <c r="J90" s="1135">
        <f t="shared" si="15"/>
        <v>0.30936034799029843</v>
      </c>
      <c r="K90" s="1135">
        <f t="shared" si="15"/>
        <v>0.37542613368959965</v>
      </c>
      <c r="L90" s="1135">
        <f t="shared" si="15"/>
        <v>0.30583417613748765</v>
      </c>
      <c r="M90" s="1135">
        <f t="shared" si="15"/>
        <v>0.24893016445853844</v>
      </c>
      <c r="N90" s="1135">
        <f t="shared" si="15"/>
        <v>0.19848271573507836</v>
      </c>
      <c r="O90" s="1135">
        <f t="shared" si="15"/>
        <v>0.19414586719868243</v>
      </c>
      <c r="P90" s="1135">
        <f t="shared" si="15"/>
        <v>0.20262448182753912</v>
      </c>
      <c r="Q90" s="1135">
        <f t="shared" si="15"/>
        <v>0.14412798411634764</v>
      </c>
      <c r="R90" s="1135">
        <f t="shared" si="15"/>
        <v>0.12814597749773426</v>
      </c>
    </row>
    <row r="91" spans="1:19">
      <c r="B91" s="869"/>
      <c r="C91" s="869"/>
      <c r="H91" s="1135"/>
      <c r="I91" s="1135"/>
      <c r="J91" s="1135"/>
      <c r="K91" s="1135"/>
      <c r="L91" s="1135"/>
      <c r="M91" s="1135"/>
      <c r="N91" s="1135"/>
      <c r="O91" s="1135"/>
      <c r="P91" s="1135"/>
      <c r="Q91" s="1135"/>
      <c r="R91" s="1135"/>
    </row>
    <row r="92" spans="1:19" s="837" customFormat="1">
      <c r="A92" s="831"/>
      <c r="B92" s="837" t="s">
        <v>765</v>
      </c>
      <c r="G92" s="1193">
        <f t="shared" ref="G92:R92" si="16">$L$6/G96</f>
        <v>116.10228185907449</v>
      </c>
      <c r="H92" s="1193">
        <f t="shared" si="16"/>
        <v>91.469778966504165</v>
      </c>
      <c r="I92" s="1193">
        <f t="shared" si="16"/>
        <v>77.729675512395943</v>
      </c>
      <c r="J92" s="1193">
        <f t="shared" si="16"/>
        <v>56.758310842414595</v>
      </c>
      <c r="K92" s="1193">
        <f t="shared" si="16"/>
        <v>34.868845029558344</v>
      </c>
      <c r="L92" s="1193">
        <f t="shared" si="16"/>
        <v>33.385759951774112</v>
      </c>
      <c r="M92" s="1193">
        <f t="shared" si="16"/>
        <v>26.731468482992025</v>
      </c>
      <c r="N92" s="1193">
        <f t="shared" si="16"/>
        <v>22.147098121232833</v>
      </c>
      <c r="O92" s="1193">
        <f t="shared" si="16"/>
        <v>18.418086957144403</v>
      </c>
      <c r="P92" s="1193">
        <f t="shared" si="16"/>
        <v>15.199030979279524</v>
      </c>
      <c r="Q92" s="1193">
        <f t="shared" si="16"/>
        <v>13.165064974865748</v>
      </c>
      <c r="R92" s="1193">
        <f t="shared" si="16"/>
        <v>11.559677674159865</v>
      </c>
    </row>
    <row r="93" spans="1:19">
      <c r="B93" s="1194" t="s">
        <v>766</v>
      </c>
      <c r="C93" s="1194"/>
      <c r="D93" s="1179"/>
      <c r="E93" s="916"/>
      <c r="F93" s="916"/>
      <c r="G93" s="916">
        <f>G86-Model!G369</f>
        <v>28389</v>
      </c>
      <c r="H93" s="916">
        <f>H86-Model!H369</f>
        <v>36512</v>
      </c>
      <c r="I93" s="916">
        <f>I86-Model!I369</f>
        <v>44692</v>
      </c>
      <c r="J93" s="916">
        <f>J86-Model!J369</f>
        <v>65336</v>
      </c>
      <c r="K93" s="916">
        <f>K86-Model!K369</f>
        <v>106997.54949475182</v>
      </c>
      <c r="L93" s="916">
        <f>L86-Model!L369</f>
        <v>111750.66786750626</v>
      </c>
      <c r="M93" s="916">
        <f>M86-Model!M369</f>
        <v>139568.87457375505</v>
      </c>
      <c r="N93" s="916">
        <f>N86-Model!N369</f>
        <v>168459.13407942757</v>
      </c>
      <c r="O93" s="916">
        <f>O86-Model!O369</f>
        <v>202566.15035840007</v>
      </c>
      <c r="P93" s="916">
        <f>P86-Model!P369</f>
        <v>245468.34445967121</v>
      </c>
      <c r="Q93" s="916">
        <f>Q86-Model!Q369</f>
        <v>283392.52248263563</v>
      </c>
      <c r="R93" s="916">
        <f>R86-Model!R369</f>
        <v>322749.56768170907</v>
      </c>
      <c r="S93" s="916"/>
    </row>
    <row r="94" spans="1:19">
      <c r="B94" s="1194" t="s">
        <v>767</v>
      </c>
      <c r="C94" s="1194"/>
      <c r="E94" s="916"/>
      <c r="F94" s="916"/>
      <c r="G94" s="916">
        <f t="shared" ref="G94:R94" si="17">G93/G4</f>
        <v>4640.3513038093752</v>
      </c>
      <c r="H94" s="916">
        <f t="shared" si="17"/>
        <v>5889.9822552024525</v>
      </c>
      <c r="I94" s="916">
        <f t="shared" si="17"/>
        <v>6931.1414392059551</v>
      </c>
      <c r="J94" s="916">
        <f t="shared" si="17"/>
        <v>9492.0966992096692</v>
      </c>
      <c r="K94" s="916">
        <f t="shared" si="17"/>
        <v>15450.90967433239</v>
      </c>
      <c r="L94" s="916">
        <f t="shared" si="17"/>
        <v>16137.280558484657</v>
      </c>
      <c r="M94" s="916">
        <f t="shared" si="17"/>
        <v>20154.350118953796</v>
      </c>
      <c r="N94" s="916">
        <f t="shared" si="17"/>
        <v>24326.228747931778</v>
      </c>
      <c r="O94" s="916">
        <f t="shared" si="17"/>
        <v>29251.429654642609</v>
      </c>
      <c r="P94" s="916">
        <f t="shared" si="17"/>
        <v>35446.69234074674</v>
      </c>
      <c r="Q94" s="916">
        <f t="shared" si="17"/>
        <v>40923.107939730769</v>
      </c>
      <c r="R94" s="916">
        <f t="shared" si="17"/>
        <v>46606.435766311777</v>
      </c>
      <c r="S94" s="916"/>
    </row>
    <row r="95" spans="1:19">
      <c r="B95" s="821" t="s">
        <v>383</v>
      </c>
      <c r="E95" s="1195"/>
      <c r="F95" s="1195"/>
      <c r="G95" s="916">
        <f t="shared" ref="G95:R95" si="18">G93/$L$9</f>
        <v>10.802203133472219</v>
      </c>
      <c r="H95" s="916">
        <f t="shared" si="18"/>
        <v>13.893058607535934</v>
      </c>
      <c r="I95" s="916">
        <f t="shared" si="18"/>
        <v>17.005602960341697</v>
      </c>
      <c r="J95" s="916">
        <f t="shared" si="18"/>
        <v>24.860782131407973</v>
      </c>
      <c r="K95" s="916">
        <f t="shared" si="18"/>
        <v>40.713278538379548</v>
      </c>
      <c r="L95" s="916">
        <f t="shared" si="18"/>
        <v>42.521871661770028</v>
      </c>
      <c r="M95" s="916">
        <f t="shared" si="18"/>
        <v>53.106884154278347</v>
      </c>
      <c r="N95" s="916">
        <f t="shared" si="18"/>
        <v>64.099819860326505</v>
      </c>
      <c r="O95" s="916">
        <f t="shared" si="18"/>
        <v>77.077766181863183</v>
      </c>
      <c r="P95" s="916">
        <f t="shared" si="18"/>
        <v>93.40233610519914</v>
      </c>
      <c r="Q95" s="916">
        <f t="shared" si="18"/>
        <v>107.83273783382728</v>
      </c>
      <c r="R95" s="916">
        <f t="shared" si="18"/>
        <v>122.80835504379026</v>
      </c>
    </row>
    <row r="96" spans="1:19">
      <c r="B96" s="821" t="s">
        <v>384</v>
      </c>
      <c r="E96" s="1195"/>
      <c r="F96" s="1195"/>
      <c r="G96" s="1195">
        <f t="shared" ref="G96:R96" si="19">G95/G4</f>
        <v>1.765684504365125</v>
      </c>
      <c r="H96" s="1195">
        <f t="shared" si="19"/>
        <v>2.2411773846646126</v>
      </c>
      <c r="I96" s="1195">
        <f t="shared" si="19"/>
        <v>2.6373453722614295</v>
      </c>
      <c r="J96" s="1195">
        <f t="shared" si="19"/>
        <v>3.6118058652092007</v>
      </c>
      <c r="K96" s="1195">
        <f t="shared" si="19"/>
        <v>5.8791737961558912</v>
      </c>
      <c r="L96" s="1195">
        <f t="shared" si="19"/>
        <v>6.1403424782339382</v>
      </c>
      <c r="M96" s="1195">
        <f t="shared" si="19"/>
        <v>7.6688641378019264</v>
      </c>
      <c r="N96" s="1195">
        <f t="shared" si="19"/>
        <v>9.2562916765814442</v>
      </c>
      <c r="O96" s="1195">
        <f t="shared" si="19"/>
        <v>11.130363347561469</v>
      </c>
      <c r="P96" s="1195">
        <f t="shared" si="19"/>
        <v>13.487701964649695</v>
      </c>
      <c r="Q96" s="1195">
        <f t="shared" si="19"/>
        <v>15.571514488639316</v>
      </c>
      <c r="R96" s="1195">
        <f t="shared" si="19"/>
        <v>17.734058490078013</v>
      </c>
    </row>
    <row r="97" spans="1:19">
      <c r="B97" s="869" t="s">
        <v>709</v>
      </c>
      <c r="C97" s="869"/>
      <c r="H97" s="1135"/>
      <c r="I97" s="1135"/>
      <c r="J97" s="1135">
        <f t="shared" ref="J97:R97" si="20">J96/I96-1</f>
        <v>0.36948535569014451</v>
      </c>
      <c r="K97" s="1135">
        <f t="shared" si="20"/>
        <v>0.62776572594533997</v>
      </c>
      <c r="L97" s="1135">
        <f t="shared" si="20"/>
        <v>4.4422684399772816E-2</v>
      </c>
      <c r="M97" s="1135">
        <f t="shared" si="20"/>
        <v>0.24893101076792323</v>
      </c>
      <c r="N97" s="1135">
        <f t="shared" si="20"/>
        <v>0.20699643522886957</v>
      </c>
      <c r="O97" s="1135">
        <f t="shared" si="20"/>
        <v>0.20246463016301153</v>
      </c>
      <c r="P97" s="1135">
        <f t="shared" si="20"/>
        <v>0.21179350066812441</v>
      </c>
      <c r="Q97" s="1135">
        <f t="shared" si="20"/>
        <v>0.15449722491282403</v>
      </c>
      <c r="R97" s="1135">
        <f t="shared" si="20"/>
        <v>0.13887820629242253</v>
      </c>
    </row>
    <row r="98" spans="1:19">
      <c r="B98" s="869"/>
      <c r="C98" s="869"/>
      <c r="H98" s="1135"/>
      <c r="I98" s="1135"/>
      <c r="J98" s="1135"/>
      <c r="K98" s="1135"/>
      <c r="L98" s="1135"/>
      <c r="M98" s="1135"/>
      <c r="N98" s="1135"/>
      <c r="O98" s="1135"/>
      <c r="P98" s="1135"/>
      <c r="Q98" s="1135"/>
      <c r="R98" s="1135"/>
    </row>
    <row r="99" spans="1:19" s="837" customFormat="1">
      <c r="A99" s="831"/>
      <c r="B99" s="837" t="s">
        <v>399</v>
      </c>
      <c r="H99" s="1193">
        <f>H78/H100/100</f>
        <v>5.5286525663689394</v>
      </c>
      <c r="I99" s="1193">
        <f t="shared" ref="I99:O99" si="21">I78/I100/100</f>
        <v>1.2145849375100273</v>
      </c>
      <c r="J99" s="1193">
        <f t="shared" si="21"/>
        <v>12.875578912324858</v>
      </c>
      <c r="K99" s="1193">
        <f t="shared" si="21"/>
        <v>1.567311674974381</v>
      </c>
      <c r="L99" s="1193">
        <f t="shared" si="21"/>
        <v>1.5000236759487933</v>
      </c>
      <c r="M99" s="1193">
        <f t="shared" si="21"/>
        <v>1.2584381586804934</v>
      </c>
      <c r="N99" s="1193">
        <f t="shared" si="21"/>
        <v>1.0843274849195355</v>
      </c>
      <c r="O99" s="1193">
        <f t="shared" si="21"/>
        <v>0.98828723671185603</v>
      </c>
      <c r="P99" s="1193">
        <f>P78/P100/100</f>
        <v>0.99593423819682614</v>
      </c>
      <c r="Q99" s="1193"/>
      <c r="R99" s="1193"/>
    </row>
    <row r="100" spans="1:19">
      <c r="B100" s="821" t="s">
        <v>713</v>
      </c>
      <c r="G100" s="1197"/>
      <c r="H100" s="1177">
        <f>(J79/G79)^(1/3)-1</f>
        <v>0.2369651415814622</v>
      </c>
      <c r="I100" s="1177">
        <f t="shared" ref="I100:O100" si="22">(K79/H79)^(1/3)-1</f>
        <v>0.39021367452457456</v>
      </c>
      <c r="J100" s="1177">
        <f t="shared" si="22"/>
        <v>6.4579643393095187E-2</v>
      </c>
      <c r="K100" s="1177">
        <f t="shared" si="22"/>
        <v>0.36504478094399384</v>
      </c>
      <c r="L100" s="1177">
        <f t="shared" si="22"/>
        <v>0.28848005729582615</v>
      </c>
      <c r="M100" s="1177">
        <f t="shared" si="22"/>
        <v>0.26820814762370371</v>
      </c>
      <c r="N100" s="1177">
        <f t="shared" si="22"/>
        <v>0.25162943376974245</v>
      </c>
      <c r="O100" s="1177">
        <f t="shared" si="22"/>
        <v>0.22007358349090511</v>
      </c>
      <c r="P100" s="1177">
        <f>(R79/O79)^(1/3)-1</f>
        <v>0.17807788993135154</v>
      </c>
      <c r="Q100" s="1177"/>
      <c r="R100" s="1177"/>
    </row>
    <row r="101" spans="1:19">
      <c r="H101" s="1177"/>
      <c r="I101" s="1177"/>
      <c r="J101" s="1177"/>
      <c r="K101" s="1177"/>
      <c r="L101" s="1177"/>
      <c r="M101" s="1177"/>
      <c r="N101" s="1177"/>
      <c r="O101" s="1177"/>
      <c r="P101" s="1177"/>
      <c r="Q101" s="1177"/>
      <c r="R101" s="1177"/>
    </row>
    <row r="102" spans="1:19" s="837" customFormat="1">
      <c r="A102" s="831"/>
      <c r="B102" s="837" t="s">
        <v>725</v>
      </c>
      <c r="H102" s="1193">
        <f>H85/H103/100</f>
        <v>3.1520365875873368</v>
      </c>
      <c r="I102" s="1193">
        <f t="shared" ref="I102:P102" si="23">I85/I103/100</f>
        <v>2.2899616952009949</v>
      </c>
      <c r="J102" s="1193">
        <f t="shared" si="23"/>
        <v>1.611836838781602</v>
      </c>
      <c r="K102" s="1193">
        <f t="shared" si="23"/>
        <v>1.3542035009362368</v>
      </c>
      <c r="L102" s="1193">
        <f t="shared" si="23"/>
        <v>1.2958493219727305</v>
      </c>
      <c r="M102" s="1193">
        <f t="shared" si="23"/>
        <v>1.1996006914885258</v>
      </c>
      <c r="N102" s="1193">
        <f t="shared" si="23"/>
        <v>1.0642710485907267</v>
      </c>
      <c r="O102" s="1193">
        <f t="shared" si="23"/>
        <v>0.97757992426143747</v>
      </c>
      <c r="P102" s="1193">
        <f t="shared" si="23"/>
        <v>0.92021117834882449</v>
      </c>
      <c r="Q102" s="1193"/>
      <c r="R102" s="1193"/>
    </row>
    <row r="103" spans="1:19">
      <c r="B103" s="821" t="s">
        <v>714</v>
      </c>
      <c r="G103" s="1197"/>
      <c r="H103" s="1177">
        <f>(J86/G86)^(1/3)-1</f>
        <v>0.28859436126656401</v>
      </c>
      <c r="I103" s="1177">
        <f t="shared" ref="I103:P103" si="24">(K86/H86)^(1/3)-1</f>
        <v>0.34420534453279683</v>
      </c>
      <c r="J103" s="1177">
        <f t="shared" si="24"/>
        <v>0.3734784648413374</v>
      </c>
      <c r="K103" s="1177">
        <f t="shared" si="24"/>
        <v>0.32319559902962158</v>
      </c>
      <c r="L103" s="1177">
        <f t="shared" si="24"/>
        <v>0.25864663583752745</v>
      </c>
      <c r="M103" s="1177">
        <f t="shared" si="24"/>
        <v>0.2237105561526147</v>
      </c>
      <c r="N103" s="1177">
        <f t="shared" si="24"/>
        <v>0.21039681522543696</v>
      </c>
      <c r="O103" s="1177">
        <f t="shared" si="24"/>
        <v>0.19181464201560883</v>
      </c>
      <c r="P103" s="1177">
        <f t="shared" si="24"/>
        <v>0.16944021145301535</v>
      </c>
      <c r="Q103" s="1177"/>
      <c r="R103" s="1177"/>
    </row>
    <row r="105" spans="1:19" s="837" customFormat="1">
      <c r="A105" s="831"/>
      <c r="B105" s="837" t="s">
        <v>768</v>
      </c>
      <c r="H105" s="1193">
        <f t="shared" ref="H105:P105" si="25">H92/H106/100</f>
        <v>3.3951205924849641</v>
      </c>
      <c r="I105" s="1193">
        <f t="shared" si="25"/>
        <v>2.0500717346103063</v>
      </c>
      <c r="J105" s="1193">
        <f t="shared" si="25"/>
        <v>1.7443462709521731</v>
      </c>
      <c r="K105" s="1193">
        <f t="shared" si="25"/>
        <v>1.2222108055414014</v>
      </c>
      <c r="L105" s="1193">
        <f t="shared" si="25"/>
        <v>2.0439343188729908</v>
      </c>
      <c r="M105" s="1193">
        <f t="shared" si="25"/>
        <v>1.2190231072704463</v>
      </c>
      <c r="N105" s="1193">
        <f t="shared" si="25"/>
        <v>1.0695007504220706</v>
      </c>
      <c r="O105" s="1193">
        <f t="shared" si="25"/>
        <v>0.97286578750038388</v>
      </c>
      <c r="P105" s="1193">
        <f t="shared" si="25"/>
        <v>0.90484779011302596</v>
      </c>
      <c r="Q105" s="1193"/>
      <c r="R105" s="1193"/>
    </row>
    <row r="106" spans="1:19">
      <c r="B106" s="821" t="s">
        <v>769</v>
      </c>
      <c r="G106" s="1197"/>
      <c r="H106" s="1177">
        <f>(J96/G96)^(1/3)-1</f>
        <v>0.26941540506387551</v>
      </c>
      <c r="I106" s="1177">
        <f>(K96/H96)^(1/3)-1</f>
        <v>0.37915588123149946</v>
      </c>
      <c r="J106" s="1177">
        <f t="shared" ref="J106:P106" si="26">(L96/I96)^(1/3)-1</f>
        <v>0.32538442502836529</v>
      </c>
      <c r="K106" s="1177">
        <f t="shared" si="26"/>
        <v>0.28529321514313177</v>
      </c>
      <c r="L106" s="1177">
        <f t="shared" si="26"/>
        <v>0.16334066923531454</v>
      </c>
      <c r="M106" s="1177">
        <f t="shared" si="26"/>
        <v>0.2192859866524377</v>
      </c>
      <c r="N106" s="1177">
        <f t="shared" si="26"/>
        <v>0.20707884601757076</v>
      </c>
      <c r="O106" s="1177">
        <f t="shared" si="26"/>
        <v>0.18931786063180001</v>
      </c>
      <c r="P106" s="1177">
        <f t="shared" si="26"/>
        <v>0.1679733447476397</v>
      </c>
      <c r="Q106" s="1177"/>
      <c r="R106" s="1177"/>
    </row>
    <row r="108" spans="1:19" s="837" customFormat="1">
      <c r="A108" s="831"/>
      <c r="B108" s="837" t="s">
        <v>387</v>
      </c>
      <c r="G108" s="1196">
        <f t="shared" ref="G108:R108" si="27">$L$12/G110</f>
        <v>60.198456689338805</v>
      </c>
      <c r="H108" s="1193">
        <f t="shared" si="27"/>
        <v>42.026418646975721</v>
      </c>
      <c r="I108" s="1193">
        <f t="shared" si="27"/>
        <v>32.935761730100296</v>
      </c>
      <c r="J108" s="1193">
        <f t="shared" si="27"/>
        <v>22.467878611988578</v>
      </c>
      <c r="K108" s="1193">
        <f t="shared" si="27"/>
        <v>14.40599780881597</v>
      </c>
      <c r="L108" s="1193">
        <f t="shared" si="27"/>
        <v>10.577990568591856</v>
      </c>
      <c r="M108" s="1193">
        <f t="shared" si="27"/>
        <v>8.1317944986172588</v>
      </c>
      <c r="N108" s="1193">
        <f t="shared" si="27"/>
        <v>6.6576788231673465</v>
      </c>
      <c r="O108" s="1193">
        <f t="shared" si="27"/>
        <v>5.5313848996400168</v>
      </c>
      <c r="P108" s="1193">
        <f t="shared" si="27"/>
        <v>4.5507717119423337</v>
      </c>
      <c r="Q108" s="1193">
        <f t="shared" si="27"/>
        <v>3.9520107584305113</v>
      </c>
      <c r="R108" s="1193">
        <f t="shared" si="27"/>
        <v>3.476090355043584</v>
      </c>
    </row>
    <row r="109" spans="1:19">
      <c r="B109" s="821" t="s">
        <v>388</v>
      </c>
      <c r="D109" s="1179"/>
      <c r="E109" s="916"/>
      <c r="F109" s="916"/>
      <c r="G109" s="916">
        <f>Model!G19</f>
        <v>52504</v>
      </c>
      <c r="H109" s="916">
        <f>Model!H19</f>
        <v>76204</v>
      </c>
      <c r="I109" s="916">
        <f>Model!I19</f>
        <v>101143</v>
      </c>
      <c r="J109" s="916">
        <f>Model!J19</f>
        <v>158273</v>
      </c>
      <c r="K109" s="916">
        <f>Model!K19</f>
        <v>248344.72960419999</v>
      </c>
      <c r="L109" s="916">
        <f>Model!L19</f>
        <v>338216.75367454573</v>
      </c>
      <c r="M109" s="916">
        <f>Model!M19</f>
        <v>439958.68699306762</v>
      </c>
      <c r="N109" s="916">
        <f>Model!N19</f>
        <v>537372.51758970472</v>
      </c>
      <c r="O109" s="916">
        <f>Model!O19</f>
        <v>646791.66165817413</v>
      </c>
      <c r="P109" s="916">
        <f>Model!P19</f>
        <v>786164.16224977071</v>
      </c>
      <c r="Q109" s="916">
        <f>Model!Q19</f>
        <v>905274.26396225637</v>
      </c>
      <c r="R109" s="916">
        <f>Model!R19</f>
        <v>1029217.6741948476</v>
      </c>
      <c r="S109" s="916"/>
    </row>
    <row r="110" spans="1:19">
      <c r="B110" s="821" t="s">
        <v>389</v>
      </c>
      <c r="D110" s="1179"/>
      <c r="E110" s="916"/>
      <c r="F110" s="916"/>
      <c r="G110" s="916">
        <f t="shared" ref="G110:R110" si="28">G109/G4</f>
        <v>8582.0918262428222</v>
      </c>
      <c r="H110" s="916">
        <f t="shared" si="28"/>
        <v>12292.950475883208</v>
      </c>
      <c r="I110" s="916">
        <f t="shared" si="28"/>
        <v>15685.949131513647</v>
      </c>
      <c r="J110" s="916">
        <f t="shared" si="28"/>
        <v>22994.101580660157</v>
      </c>
      <c r="K110" s="916">
        <f t="shared" si="28"/>
        <v>35862.054816490971</v>
      </c>
      <c r="L110" s="916">
        <f t="shared" si="28"/>
        <v>48839.964429537285</v>
      </c>
      <c r="M110" s="916">
        <f t="shared" si="28"/>
        <v>63531.940360009758</v>
      </c>
      <c r="N110" s="916">
        <f t="shared" si="28"/>
        <v>77598.91950753858</v>
      </c>
      <c r="O110" s="916">
        <f t="shared" si="28"/>
        <v>93399.51792897821</v>
      </c>
      <c r="P110" s="916">
        <f t="shared" si="28"/>
        <v>113525.5107941907</v>
      </c>
      <c r="Q110" s="916">
        <f t="shared" si="28"/>
        <v>130725.52548191426</v>
      </c>
      <c r="R110" s="916">
        <f t="shared" si="28"/>
        <v>148623.49085846174</v>
      </c>
      <c r="S110" s="916"/>
    </row>
    <row r="112" spans="1:19" s="837" customFormat="1">
      <c r="A112" s="831"/>
      <c r="B112" s="837" t="s">
        <v>390</v>
      </c>
      <c r="G112" s="1196">
        <f t="shared" ref="G112:R112" si="29">$L$12/G114</f>
        <v>118.93805110322289</v>
      </c>
      <c r="H112" s="1193">
        <f t="shared" si="29"/>
        <v>115.89278448918499</v>
      </c>
      <c r="I112" s="1193">
        <f t="shared" si="29"/>
        <v>92.149979216252675</v>
      </c>
      <c r="J112" s="1193">
        <f t="shared" si="29"/>
        <v>57.036562329466825</v>
      </c>
      <c r="K112" s="1193">
        <f t="shared" si="29"/>
        <v>40.691020562698952</v>
      </c>
      <c r="L112" s="1193">
        <f t="shared" si="29"/>
        <v>28.255923661515677</v>
      </c>
      <c r="M112" s="1193">
        <f t="shared" si="29"/>
        <v>21.042753563774127</v>
      </c>
      <c r="N112" s="1193">
        <f t="shared" si="29"/>
        <v>16.579490853865181</v>
      </c>
      <c r="O112" s="1193">
        <f t="shared" si="29"/>
        <v>13.674961123227115</v>
      </c>
      <c r="P112" s="1193">
        <f t="shared" si="29"/>
        <v>11.624290821801203</v>
      </c>
      <c r="Q112" s="1193">
        <f t="shared" si="29"/>
        <v>10.413561282621654</v>
      </c>
      <c r="R112" s="1193">
        <f t="shared" si="29"/>
        <v>9.4273045128972477</v>
      </c>
    </row>
    <row r="113" spans="1:19">
      <c r="B113" s="821" t="s">
        <v>132</v>
      </c>
      <c r="D113" s="1179"/>
      <c r="E113" s="916"/>
      <c r="F113" s="916"/>
      <c r="G113" s="916">
        <f t="shared" ref="G113:R113" si="30">G19+G21</f>
        <v>26574</v>
      </c>
      <c r="H113" s="916">
        <f t="shared" si="30"/>
        <v>27634</v>
      </c>
      <c r="I113" s="916">
        <f t="shared" si="30"/>
        <v>36150</v>
      </c>
      <c r="J113" s="916">
        <f t="shared" si="30"/>
        <v>62347</v>
      </c>
      <c r="K113" s="916">
        <f t="shared" si="30"/>
        <v>87922.435491546712</v>
      </c>
      <c r="L113" s="916">
        <f t="shared" si="30"/>
        <v>126616.05663175799</v>
      </c>
      <c r="M113" s="916">
        <f t="shared" si="30"/>
        <v>170018.32101803261</v>
      </c>
      <c r="N113" s="916">
        <f t="shared" si="30"/>
        <v>215787.90700168215</v>
      </c>
      <c r="O113" s="916">
        <f t="shared" si="30"/>
        <v>261620.75330747408</v>
      </c>
      <c r="P113" s="916">
        <f t="shared" si="30"/>
        <v>307773.92662950739</v>
      </c>
      <c r="Q113" s="916">
        <f t="shared" si="30"/>
        <v>343557.16871610051</v>
      </c>
      <c r="R113" s="916">
        <f t="shared" si="30"/>
        <v>379499.10556242306</v>
      </c>
      <c r="S113" s="916"/>
    </row>
    <row r="114" spans="1:19">
      <c r="B114" s="821" t="s">
        <v>391</v>
      </c>
      <c r="D114" s="1179"/>
      <c r="E114" s="916"/>
      <c r="F114" s="916"/>
      <c r="G114" s="916">
        <f t="shared" ref="G114:R114" si="31">G113/G4</f>
        <v>4343.6787328694336</v>
      </c>
      <c r="H114" s="916">
        <f t="shared" si="31"/>
        <v>4457.8157767381836</v>
      </c>
      <c r="I114" s="916">
        <f t="shared" si="31"/>
        <v>5606.3895781637711</v>
      </c>
      <c r="J114" s="916">
        <f t="shared" si="31"/>
        <v>9057.8509995350996</v>
      </c>
      <c r="K114" s="916">
        <f t="shared" si="31"/>
        <v>12696.380576396636</v>
      </c>
      <c r="L114" s="916">
        <f t="shared" si="31"/>
        <v>18283.907094838698</v>
      </c>
      <c r="M114" s="916">
        <f t="shared" si="31"/>
        <v>24551.382096466801</v>
      </c>
      <c r="N114" s="916">
        <f t="shared" si="31"/>
        <v>31160.708592300667</v>
      </c>
      <c r="O114" s="916">
        <f t="shared" si="31"/>
        <v>37779.170152703831</v>
      </c>
      <c r="P114" s="916">
        <f t="shared" si="31"/>
        <v>44443.888321950522</v>
      </c>
      <c r="Q114" s="916">
        <f t="shared" si="31"/>
        <v>49611.143496909819</v>
      </c>
      <c r="R114" s="916">
        <f t="shared" si="31"/>
        <v>54801.314882660365</v>
      </c>
      <c r="S114" s="916"/>
    </row>
    <row r="115" spans="1:19">
      <c r="E115" s="916"/>
      <c r="F115" s="916"/>
      <c r="G115" s="916"/>
      <c r="H115" s="916"/>
      <c r="I115" s="916"/>
      <c r="J115" s="916"/>
      <c r="K115" s="916"/>
      <c r="L115" s="916"/>
      <c r="M115" s="916"/>
      <c r="N115" s="916"/>
      <c r="O115" s="916"/>
      <c r="P115" s="916"/>
      <c r="Q115" s="916"/>
      <c r="R115" s="916"/>
      <c r="S115" s="916"/>
    </row>
    <row r="116" spans="1:19" s="837" customFormat="1">
      <c r="A116" s="831"/>
      <c r="B116" s="837" t="s">
        <v>726</v>
      </c>
      <c r="G116" s="1196">
        <f t="shared" ref="G116:R116" si="32">$L$12/G118</f>
        <v>102.84923269718021</v>
      </c>
      <c r="H116" s="1193">
        <f t="shared" si="32"/>
        <v>78.585164443700791</v>
      </c>
      <c r="I116" s="1193">
        <f t="shared" si="32"/>
        <v>63.645811017721321</v>
      </c>
      <c r="J116" s="1193">
        <f t="shared" si="32"/>
        <v>47.760537116622821</v>
      </c>
      <c r="K116" s="1193">
        <f t="shared" si="32"/>
        <v>33.499685008520856</v>
      </c>
      <c r="L116" s="1193">
        <f t="shared" si="32"/>
        <v>24.352845123384569</v>
      </c>
      <c r="M116" s="1193">
        <f t="shared" si="32"/>
        <v>18.462822881676065</v>
      </c>
      <c r="N116" s="1193">
        <f t="shared" si="32"/>
        <v>14.7436938459066</v>
      </c>
      <c r="O116" s="1193">
        <f t="shared" si="32"/>
        <v>12.444340735397464</v>
      </c>
      <c r="P116" s="1193">
        <f t="shared" si="32"/>
        <v>10.645375960622351</v>
      </c>
      <c r="Q116" s="1193">
        <f t="shared" si="32"/>
        <v>9.5113166633079036</v>
      </c>
      <c r="R116" s="1193">
        <f t="shared" si="32"/>
        <v>8.5887541503619076</v>
      </c>
    </row>
    <row r="117" spans="1:19">
      <c r="B117" s="821" t="s">
        <v>132</v>
      </c>
      <c r="D117" s="1179"/>
      <c r="E117" s="916"/>
      <c r="F117" s="916"/>
      <c r="G117" s="916">
        <f>Model!G505</f>
        <v>30731</v>
      </c>
      <c r="H117" s="916">
        <f>Model!H505</f>
        <v>40753</v>
      </c>
      <c r="I117" s="916">
        <f>Model!I505</f>
        <v>52340</v>
      </c>
      <c r="J117" s="916">
        <f>Model!J505</f>
        <v>74456</v>
      </c>
      <c r="K117" s="916">
        <f>Model!K505</f>
        <v>106796.63494146589</v>
      </c>
      <c r="L117" s="916">
        <f>Model!L505</f>
        <v>146909.06185223075</v>
      </c>
      <c r="M117" s="916">
        <f>Model!M505</f>
        <v>193776.09011565833</v>
      </c>
      <c r="N117" s="916">
        <f>Model!N505</f>
        <v>242656.53288116737</v>
      </c>
      <c r="O117" s="916">
        <f>Model!O505</f>
        <v>287492.41977380106</v>
      </c>
      <c r="P117" s="916">
        <f>Model!P505</f>
        <v>336075.83647049911</v>
      </c>
      <c r="Q117" s="916">
        <f>Model!Q505</f>
        <v>376147.04221874167</v>
      </c>
      <c r="R117" s="916">
        <f>Model!R505</f>
        <v>416550.94183343765</v>
      </c>
    </row>
    <row r="118" spans="1:19">
      <c r="B118" s="821" t="s">
        <v>391</v>
      </c>
      <c r="D118" s="1179"/>
      <c r="E118" s="916"/>
      <c r="F118" s="916"/>
      <c r="G118" s="916">
        <f t="shared" ref="G118:R118" si="33">G117/G4</f>
        <v>5023.1651666971684</v>
      </c>
      <c r="H118" s="916">
        <f t="shared" si="33"/>
        <v>6574.1248588482013</v>
      </c>
      <c r="I118" s="916">
        <f t="shared" si="33"/>
        <v>8117.2456575682381</v>
      </c>
      <c r="J118" s="916">
        <f t="shared" si="33"/>
        <v>10817.061831706182</v>
      </c>
      <c r="K118" s="916">
        <f t="shared" si="33"/>
        <v>15421.896742449946</v>
      </c>
      <c r="L118" s="916">
        <f t="shared" si="33"/>
        <v>21214.304960610938</v>
      </c>
      <c r="M118" s="916">
        <f t="shared" si="33"/>
        <v>27982.106875907335</v>
      </c>
      <c r="N118" s="916">
        <f t="shared" si="33"/>
        <v>35040.654567677593</v>
      </c>
      <c r="O118" s="916">
        <f t="shared" si="33"/>
        <v>41515.150869862962</v>
      </c>
      <c r="P118" s="916">
        <f t="shared" si="33"/>
        <v>48530.806710541379</v>
      </c>
      <c r="Q118" s="916">
        <f t="shared" si="33"/>
        <v>54317.262414258723</v>
      </c>
      <c r="R118" s="916">
        <f t="shared" si="33"/>
        <v>60151.760553565</v>
      </c>
    </row>
    <row r="120" spans="1:19" s="837" customFormat="1">
      <c r="A120" s="831"/>
      <c r="B120" s="837" t="s">
        <v>392</v>
      </c>
      <c r="G120" s="1196">
        <f t="shared" ref="G120:R120" si="34">$L$12/G122</f>
        <v>186.43660532159765</v>
      </c>
      <c r="H120" s="1196">
        <f t="shared" si="34"/>
        <v>169.70914135838791</v>
      </c>
      <c r="I120" s="1196">
        <f t="shared" si="34"/>
        <v>88.806530048986545</v>
      </c>
      <c r="J120" s="1196">
        <f t="shared" si="34"/>
        <v>65.514444841564298</v>
      </c>
      <c r="K120" s="1196">
        <f t="shared" si="34"/>
        <v>56.490266911076318</v>
      </c>
      <c r="L120" s="1196">
        <f t="shared" si="34"/>
        <v>41.666546064013723</v>
      </c>
      <c r="M120" s="1196">
        <f t="shared" si="34"/>
        <v>30.383840949851873</v>
      </c>
      <c r="N120" s="1196">
        <f t="shared" si="34"/>
        <v>24.332545431233179</v>
      </c>
      <c r="O120" s="1196">
        <f t="shared" si="34"/>
        <v>18.24151926747529</v>
      </c>
      <c r="P120" s="1196">
        <f t="shared" si="34"/>
        <v>15.363085153915058</v>
      </c>
      <c r="Q120" s="1196">
        <f t="shared" si="34"/>
        <v>14.075044714718851</v>
      </c>
      <c r="R120" s="1196">
        <f t="shared" si="34"/>
        <v>12.673673110238875</v>
      </c>
    </row>
    <row r="121" spans="1:19">
      <c r="B121" s="821" t="s">
        <v>393</v>
      </c>
      <c r="D121" s="1179"/>
      <c r="E121" s="916"/>
      <c r="F121" s="916"/>
      <c r="G121" s="916">
        <f t="shared" ref="G121:R121" si="35">G25</f>
        <v>16953</v>
      </c>
      <c r="H121" s="916">
        <f t="shared" si="35"/>
        <v>18871</v>
      </c>
      <c r="I121" s="916">
        <f t="shared" si="35"/>
        <v>37511</v>
      </c>
      <c r="J121" s="916">
        <f t="shared" si="35"/>
        <v>54279</v>
      </c>
      <c r="K121" s="916">
        <f t="shared" si="35"/>
        <v>63332.213249068787</v>
      </c>
      <c r="L121" s="916">
        <f t="shared" si="35"/>
        <v>85863.935662260788</v>
      </c>
      <c r="M121" s="916">
        <f t="shared" si="35"/>
        <v>117748.56366625831</v>
      </c>
      <c r="N121" s="916">
        <f t="shared" si="35"/>
        <v>147031.62234382742</v>
      </c>
      <c r="O121" s="916">
        <f t="shared" si="35"/>
        <v>196126.95510993275</v>
      </c>
      <c r="P121" s="916">
        <f t="shared" si="35"/>
        <v>232873.38413257358</v>
      </c>
      <c r="Q121" s="916">
        <f t="shared" si="35"/>
        <v>254184.17511439949</v>
      </c>
      <c r="R121" s="916">
        <f t="shared" si="35"/>
        <v>282290.19317365583</v>
      </c>
      <c r="S121" s="916"/>
    </row>
    <row r="122" spans="1:19">
      <c r="B122" s="821" t="s">
        <v>394</v>
      </c>
      <c r="E122" s="916"/>
      <c r="F122" s="916"/>
      <c r="G122" s="916">
        <f t="shared" ref="G122:R122" si="36">G121/G4</f>
        <v>2771.0689229448149</v>
      </c>
      <c r="H122" s="916">
        <f t="shared" si="36"/>
        <v>3044.2006775286336</v>
      </c>
      <c r="I122" s="916">
        <f t="shared" si="36"/>
        <v>5817.4627791563271</v>
      </c>
      <c r="J122" s="916">
        <f t="shared" si="36"/>
        <v>7885.7217573221751</v>
      </c>
      <c r="K122" s="916">
        <f t="shared" si="36"/>
        <v>9145.4459565442285</v>
      </c>
      <c r="L122" s="916">
        <f t="shared" si="36"/>
        <v>12399.124283358957</v>
      </c>
      <c r="M122" s="916">
        <f t="shared" si="36"/>
        <v>17003.402695488563</v>
      </c>
      <c r="N122" s="916">
        <f t="shared" si="36"/>
        <v>21232.003226545472</v>
      </c>
      <c r="O122" s="916">
        <f t="shared" si="36"/>
        <v>28321.581965333247</v>
      </c>
      <c r="P122" s="916">
        <f t="shared" si="36"/>
        <v>33627.925506508815</v>
      </c>
      <c r="Q122" s="916">
        <f t="shared" si="36"/>
        <v>36705.296045400646</v>
      </c>
      <c r="R122" s="916">
        <f t="shared" si="36"/>
        <v>40763.926812080259</v>
      </c>
      <c r="S122" s="916"/>
    </row>
    <row r="123" spans="1:19">
      <c r="E123" s="916"/>
      <c r="F123" s="916"/>
      <c r="G123" s="916"/>
      <c r="H123" s="916"/>
      <c r="I123" s="916"/>
      <c r="J123" s="916"/>
      <c r="K123" s="916"/>
      <c r="L123" s="916"/>
      <c r="M123" s="916"/>
      <c r="N123" s="916"/>
      <c r="O123" s="916"/>
      <c r="P123" s="916"/>
      <c r="Q123" s="916"/>
      <c r="R123" s="916"/>
      <c r="S123" s="916"/>
    </row>
    <row r="124" spans="1:19" s="837" customFormat="1">
      <c r="A124" s="831"/>
      <c r="B124" s="837" t="s">
        <v>727</v>
      </c>
      <c r="G124" s="1196">
        <f t="shared" ref="G124:R124" si="37">$L$10/G126</f>
        <v>62.77669662687159</v>
      </c>
      <c r="H124" s="1196">
        <f t="shared" si="37"/>
        <v>43.826368295955589</v>
      </c>
      <c r="I124" s="1196">
        <f t="shared" si="37"/>
        <v>34.346367598350852</v>
      </c>
      <c r="J124" s="1196">
        <f t="shared" si="37"/>
        <v>23.430155473138186</v>
      </c>
      <c r="K124" s="1196">
        <f t="shared" si="37"/>
        <v>15.022992345442969</v>
      </c>
      <c r="L124" s="1196">
        <f t="shared" si="37"/>
        <v>11.031035368121053</v>
      </c>
      <c r="M124" s="1196">
        <f t="shared" si="37"/>
        <v>8.4800711570761358</v>
      </c>
      <c r="N124" s="1196">
        <f t="shared" si="37"/>
        <v>6.9428205755836716</v>
      </c>
      <c r="O124" s="1196">
        <f t="shared" si="37"/>
        <v>5.7682886051903841</v>
      </c>
      <c r="P124" s="1196">
        <f t="shared" si="37"/>
        <v>4.7456767314326767</v>
      </c>
      <c r="Q124" s="1196">
        <f t="shared" si="37"/>
        <v>4.1212714426956829</v>
      </c>
      <c r="R124" s="1196">
        <f t="shared" si="37"/>
        <v>3.624967842486432</v>
      </c>
    </row>
    <row r="125" spans="1:19">
      <c r="B125" s="821" t="s">
        <v>424</v>
      </c>
      <c r="D125" s="1179"/>
      <c r="E125" s="916"/>
      <c r="F125" s="916"/>
      <c r="G125" s="916">
        <f>Model!G336</f>
        <v>52504</v>
      </c>
      <c r="H125" s="916">
        <f>Model!H336</f>
        <v>76204</v>
      </c>
      <c r="I125" s="916">
        <f>Model!I336</f>
        <v>101143</v>
      </c>
      <c r="J125" s="916">
        <f>Model!J336</f>
        <v>158273</v>
      </c>
      <c r="K125" s="916">
        <f>Model!K336</f>
        <v>248344.72960419999</v>
      </c>
      <c r="L125" s="916">
        <f>Model!L336</f>
        <v>338216.75367454573</v>
      </c>
      <c r="M125" s="916">
        <f>Model!M336</f>
        <v>439958.68699306762</v>
      </c>
      <c r="N125" s="916">
        <f>Model!N336</f>
        <v>537372.51758970472</v>
      </c>
      <c r="O125" s="916">
        <f>Model!O336</f>
        <v>646791.66165817413</v>
      </c>
      <c r="P125" s="916">
        <f>Model!P336</f>
        <v>786164.16224977071</v>
      </c>
      <c r="Q125" s="916">
        <f>Model!Q336</f>
        <v>905274.26396225637</v>
      </c>
      <c r="R125" s="916">
        <f>Model!R336</f>
        <v>1029217.6741948476</v>
      </c>
    </row>
    <row r="126" spans="1:19">
      <c r="B126" s="821" t="s">
        <v>728</v>
      </c>
      <c r="D126" s="1179"/>
      <c r="E126" s="916"/>
      <c r="F126" s="916"/>
      <c r="G126" s="916">
        <f t="shared" ref="G126:R126" si="38">G125/G4</f>
        <v>8582.0918262428222</v>
      </c>
      <c r="H126" s="916">
        <f t="shared" si="38"/>
        <v>12292.950475883208</v>
      </c>
      <c r="I126" s="916">
        <f t="shared" si="38"/>
        <v>15685.949131513647</v>
      </c>
      <c r="J126" s="916">
        <f t="shared" si="38"/>
        <v>22994.101580660157</v>
      </c>
      <c r="K126" s="916">
        <f t="shared" si="38"/>
        <v>35862.054816490971</v>
      </c>
      <c r="L126" s="916">
        <f t="shared" si="38"/>
        <v>48839.964429537285</v>
      </c>
      <c r="M126" s="916">
        <f t="shared" si="38"/>
        <v>63531.940360009758</v>
      </c>
      <c r="N126" s="916">
        <f t="shared" si="38"/>
        <v>77598.91950753858</v>
      </c>
      <c r="O126" s="916">
        <f t="shared" si="38"/>
        <v>93399.51792897821</v>
      </c>
      <c r="P126" s="916">
        <f t="shared" si="38"/>
        <v>113525.5107941907</v>
      </c>
      <c r="Q126" s="916">
        <f t="shared" si="38"/>
        <v>130725.52548191426</v>
      </c>
      <c r="R126" s="916">
        <f t="shared" si="38"/>
        <v>148623.49085846174</v>
      </c>
    </row>
    <row r="127" spans="1:19">
      <c r="D127" s="1179"/>
      <c r="E127" s="916"/>
      <c r="F127" s="916"/>
      <c r="G127" s="916"/>
      <c r="H127" s="916"/>
      <c r="I127" s="916"/>
      <c r="J127" s="916"/>
      <c r="K127" s="916"/>
      <c r="L127" s="916"/>
      <c r="M127" s="916"/>
      <c r="N127" s="916"/>
      <c r="O127" s="916"/>
      <c r="P127" s="916"/>
      <c r="Q127" s="916"/>
      <c r="R127" s="916"/>
    </row>
    <row r="128" spans="1:19" s="837" customFormat="1">
      <c r="A128" s="831"/>
      <c r="B128" s="837" t="s">
        <v>395</v>
      </c>
      <c r="G128" s="1196">
        <f t="shared" ref="G128:R128" si="39">$L$10/G130</f>
        <v>112.34670664998521</v>
      </c>
      <c r="H128" s="1193">
        <f t="shared" si="39"/>
        <v>22.963198107969664</v>
      </c>
      <c r="I128" s="1193">
        <f t="shared" si="39"/>
        <v>16.009690248724581</v>
      </c>
      <c r="J128" s="1193">
        <f t="shared" si="39"/>
        <v>13.301199061689605</v>
      </c>
      <c r="K128" s="1193">
        <f t="shared" si="39"/>
        <v>10.290435383582505</v>
      </c>
      <c r="L128" s="1193">
        <f t="shared" si="39"/>
        <v>7.953799231991546</v>
      </c>
      <c r="M128" s="1193">
        <f t="shared" si="39"/>
        <v>6.1778096883711067</v>
      </c>
      <c r="N128" s="1193">
        <f t="shared" si="39"/>
        <v>4.8479374969448248</v>
      </c>
      <c r="O128" s="1193">
        <f t="shared" si="39"/>
        <v>3.8410674898961039</v>
      </c>
      <c r="P128" s="1193">
        <f t="shared" si="39"/>
        <v>3.0645370380030466</v>
      </c>
      <c r="Q128" s="1193">
        <f t="shared" si="39"/>
        <v>2.483768482248351</v>
      </c>
      <c r="R128" s="1193">
        <f t="shared" si="39"/>
        <v>2.0424246856269304</v>
      </c>
    </row>
    <row r="129" spans="1:18">
      <c r="B129" s="821" t="s">
        <v>396</v>
      </c>
      <c r="D129" s="1179"/>
      <c r="E129" s="916"/>
      <c r="F129" s="916"/>
      <c r="G129" s="916">
        <f>Model!G641</f>
        <v>29338</v>
      </c>
      <c r="H129" s="916">
        <f>Model!H641</f>
        <v>145439</v>
      </c>
      <c r="I129" s="916">
        <f>Model!I641</f>
        <v>216987</v>
      </c>
      <c r="J129" s="916">
        <f>Model!J641</f>
        <v>278799</v>
      </c>
      <c r="K129" s="916">
        <f>Model!K641</f>
        <v>362558.1263381039</v>
      </c>
      <c r="L129" s="916">
        <f>Model!L641</f>
        <v>469069.0402227852</v>
      </c>
      <c r="M129" s="916">
        <f>Model!M641</f>
        <v>603916.462318009</v>
      </c>
      <c r="N129" s="916">
        <f>Model!N641</f>
        <v>769581.07942319906</v>
      </c>
      <c r="O129" s="916">
        <f>Model!O641</f>
        <v>971313.56886830332</v>
      </c>
      <c r="P129" s="916">
        <f>Model!P641</f>
        <v>1217437.0632851496</v>
      </c>
      <c r="Q129" s="916">
        <f>Model!Q641</f>
        <v>1502104.9661189602</v>
      </c>
      <c r="R129" s="916">
        <f>Model!R641</f>
        <v>1826692.0675852443</v>
      </c>
    </row>
    <row r="130" spans="1:18">
      <c r="B130" s="821" t="s">
        <v>397</v>
      </c>
      <c r="D130" s="1179"/>
      <c r="E130" s="916"/>
      <c r="F130" s="916"/>
      <c r="G130" s="916">
        <f t="shared" ref="G130:R130" si="40">G129/G4</f>
        <v>4795.4710117002878</v>
      </c>
      <c r="H130" s="916">
        <f t="shared" si="40"/>
        <v>23461.687368930474</v>
      </c>
      <c r="I130" s="916">
        <f t="shared" si="40"/>
        <v>33651.830024813891</v>
      </c>
      <c r="J130" s="916">
        <f t="shared" si="40"/>
        <v>40504.271269177123</v>
      </c>
      <c r="K130" s="916">
        <f t="shared" si="40"/>
        <v>52354.964092144961</v>
      </c>
      <c r="L130" s="916">
        <f t="shared" si="40"/>
        <v>67735.601476214462</v>
      </c>
      <c r="M130" s="916">
        <f t="shared" si="40"/>
        <v>87208.153403322591</v>
      </c>
      <c r="N130" s="916">
        <f t="shared" si="40"/>
        <v>111130.84179396376</v>
      </c>
      <c r="O130" s="916">
        <f t="shared" si="40"/>
        <v>140261.88720119902</v>
      </c>
      <c r="P130" s="916">
        <f t="shared" si="40"/>
        <v>175803.18603395662</v>
      </c>
      <c r="Q130" s="916">
        <f t="shared" si="40"/>
        <v>216910.46442151046</v>
      </c>
      <c r="R130" s="916">
        <f t="shared" si="40"/>
        <v>263782.24802675005</v>
      </c>
    </row>
    <row r="132" spans="1:18" s="837" customFormat="1">
      <c r="A132" s="831"/>
      <c r="B132" s="837" t="s">
        <v>398</v>
      </c>
      <c r="G132" s="1181"/>
      <c r="H132" s="1181">
        <f t="shared" ref="H132:R132" si="41">H86/AVERAGE(G129:H129)</f>
        <v>0.39961779868060443</v>
      </c>
      <c r="I132" s="1181">
        <f t="shared" si="41"/>
        <v>0.23708012118335881</v>
      </c>
      <c r="J132" s="1181">
        <f t="shared" si="41"/>
        <v>0.24328641793031672</v>
      </c>
      <c r="K132" s="1181">
        <f t="shared" si="41"/>
        <v>0.26450021684186459</v>
      </c>
      <c r="L132" s="1181">
        <f t="shared" si="41"/>
        <v>0.26770185569534588</v>
      </c>
      <c r="M132" s="1181">
        <f t="shared" si="41"/>
        <v>0.26042964092787085</v>
      </c>
      <c r="N132" s="1181">
        <f t="shared" si="41"/>
        <v>0.24626887626609786</v>
      </c>
      <c r="O132" s="1181">
        <f t="shared" si="41"/>
        <v>0.23433851779438056</v>
      </c>
      <c r="P132" s="1181">
        <f t="shared" si="41"/>
        <v>0.22639732892358161</v>
      </c>
      <c r="Q132" s="1181">
        <f t="shared" si="41"/>
        <v>0.21055608166450718</v>
      </c>
      <c r="R132" s="1181">
        <f t="shared" si="41"/>
        <v>0.19600309189538739</v>
      </c>
    </row>
    <row r="134" spans="1:18" s="837" customFormat="1">
      <c r="A134" s="831"/>
      <c r="B134" s="837" t="s">
        <v>33</v>
      </c>
      <c r="G134" s="1181"/>
      <c r="H134" s="1181">
        <f>H86/AVERAGE(Model!G609:H609)</f>
        <v>0.19031944258998373</v>
      </c>
      <c r="I134" s="1181">
        <f>I86/AVERAGE(Model!H609:I609)</f>
        <v>0.13865888629435563</v>
      </c>
      <c r="J134" s="1181">
        <f>J86/AVERAGE(Model!I609:J609)</f>
        <v>0.13847314240055472</v>
      </c>
      <c r="K134" s="1181">
        <f>K86/AVERAGE(Model!J609:K609)</f>
        <v>0.14629755956161453</v>
      </c>
      <c r="L134" s="1181">
        <f>L86/AVERAGE(Model!K609:L609)</f>
        <v>0.15372418878476005</v>
      </c>
      <c r="M134" s="1181">
        <f>M86/AVERAGE(Model!L609:M609)</f>
        <v>0.15776427435367743</v>
      </c>
      <c r="N134" s="1181">
        <f>N86/AVERAGE(Model!M609:N609)</f>
        <v>0.15710173298078273</v>
      </c>
      <c r="O134" s="1181">
        <f>O86/AVERAGE(Model!N609:O609)</f>
        <v>0.15716632604992639</v>
      </c>
      <c r="P134" s="1181">
        <f>P86/AVERAGE(Model!O609:P609)</f>
        <v>0.15791372514950083</v>
      </c>
      <c r="Q134" s="1181">
        <f>Q86/AVERAGE(Model!P609:Q609)</f>
        <v>0.15194795382458551</v>
      </c>
      <c r="R134" s="1181">
        <f>R86/AVERAGE(Model!Q609:R609)</f>
        <v>0.14603667435387874</v>
      </c>
    </row>
    <row r="136" spans="1:18" s="837" customFormat="1">
      <c r="A136" s="831"/>
      <c r="B136" s="837" t="s">
        <v>34</v>
      </c>
      <c r="G136" s="1181"/>
      <c r="H136" s="1181">
        <f>H86/(Model!H641+Model!H611+Model!H612+Model!H623+Model!H625)</f>
        <v>0.17634523713339259</v>
      </c>
      <c r="I136" s="1181">
        <f>I86/(Model!I641+Model!I611+Model!I612+Model!I623+Model!I625)</f>
        <v>0.15647980535634284</v>
      </c>
      <c r="J136" s="1181">
        <f>J86/(Model!J641+Model!J611+Model!J612+Model!J623+Model!J625)</f>
        <v>0.16276370937924223</v>
      </c>
      <c r="K136" s="1181">
        <f>K86/(Model!K641+Model!K611+Model!K612+Model!K623+Model!K625)</f>
        <v>0.16976721205156275</v>
      </c>
      <c r="L136" s="1181">
        <f>L86/(Model!L641+Model!L611+Model!L612+Model!L623+Model!L625)</f>
        <v>0.18239284220541402</v>
      </c>
      <c r="M136" s="1181">
        <f>M86/(Model!M641+Model!M611+Model!M612+Model!M623+Model!M625)</f>
        <v>0.18611385535088396</v>
      </c>
      <c r="N136" s="1181">
        <f>N86/(Model!N641+Model!N611+Model!N612+Model!N623+Model!N625)</f>
        <v>0.18359024247495276</v>
      </c>
      <c r="O136" s="1181">
        <f>O86/(Model!O641+Model!O611+Model!O612+Model!O623+Model!O625)</f>
        <v>0.18077447937434413</v>
      </c>
      <c r="P136" s="1181">
        <f>P86/(Model!P641+Model!P611+Model!P612+Model!P623+Model!P625)</f>
        <v>0.17935765174921589</v>
      </c>
      <c r="Q136" s="1181">
        <f>Q86/(Model!Q641+Model!Q611+Model!Q612+Model!Q623+Model!Q625)</f>
        <v>0.1712404239340003</v>
      </c>
      <c r="R136" s="1181">
        <f>R86/(Model!R641+Model!R611+Model!R612+Model!R623+Model!R625)</f>
        <v>0.16289412011800747</v>
      </c>
    </row>
    <row r="138" spans="1:18" s="837" customFormat="1">
      <c r="A138" s="831"/>
      <c r="B138" s="837" t="s">
        <v>723</v>
      </c>
      <c r="G138" s="1181"/>
      <c r="H138" s="1181">
        <f t="shared" ref="H138:R138" si="42">H139/$L$6</f>
        <v>3.5027028732659983E-2</v>
      </c>
      <c r="I138" s="1181">
        <f t="shared" si="42"/>
        <v>6.9625291441407902E-2</v>
      </c>
      <c r="J138" s="1181">
        <f t="shared" si="42"/>
        <v>0.10074887883949185</v>
      </c>
      <c r="K138" s="1181">
        <f t="shared" si="42"/>
        <v>0.11755281930889097</v>
      </c>
      <c r="L138" s="1181">
        <f t="shared" si="42"/>
        <v>0.15937462463787166</v>
      </c>
      <c r="M138" s="1181">
        <f t="shared" si="42"/>
        <v>0.218556638374621</v>
      </c>
      <c r="N138" s="1181">
        <f t="shared" si="42"/>
        <v>0.27290980130607034</v>
      </c>
      <c r="O138" s="1181">
        <f t="shared" si="42"/>
        <v>0.36403712001932748</v>
      </c>
      <c r="P138" s="1181">
        <f t="shared" si="42"/>
        <v>0.43224326835267968</v>
      </c>
      <c r="Q138" s="1181">
        <f t="shared" si="42"/>
        <v>0.47179886625613621</v>
      </c>
      <c r="R138" s="1181">
        <f t="shared" si="42"/>
        <v>0.52396728881573729</v>
      </c>
    </row>
    <row r="139" spans="1:18">
      <c r="B139" s="821" t="s">
        <v>722</v>
      </c>
      <c r="H139" s="1198">
        <f t="shared" ref="H139:R139" si="43">H25/$L$9</f>
        <v>7.1805408901952958</v>
      </c>
      <c r="I139" s="1198">
        <f t="shared" si="43"/>
        <v>14.273184745488619</v>
      </c>
      <c r="J139" s="1198">
        <f t="shared" si="43"/>
        <v>20.65352016209583</v>
      </c>
      <c r="K139" s="1198">
        <f t="shared" si="43"/>
        <v>24.098327958322649</v>
      </c>
      <c r="L139" s="1198">
        <f t="shared" si="43"/>
        <v>32.671798050763691</v>
      </c>
      <c r="M139" s="1198">
        <f t="shared" si="43"/>
        <v>44.804110866797302</v>
      </c>
      <c r="N139" s="1198">
        <f t="shared" si="43"/>
        <v>55.946509267744425</v>
      </c>
      <c r="O139" s="1198">
        <f t="shared" si="43"/>
        <v>74.627609603962128</v>
      </c>
      <c r="P139" s="1198">
        <f t="shared" si="43"/>
        <v>88.609870012299339</v>
      </c>
      <c r="Q139" s="1198">
        <f t="shared" si="43"/>
        <v>96.718767582507922</v>
      </c>
      <c r="R139" s="1198">
        <f t="shared" si="43"/>
        <v>107.41329420722614</v>
      </c>
    </row>
    <row r="141" spans="1:18" s="1199" customFormat="1">
      <c r="A141" s="831"/>
      <c r="B141" s="1199" t="s">
        <v>322</v>
      </c>
      <c r="K141" s="1200"/>
    </row>
    <row r="142" spans="1:18">
      <c r="L142" s="1201" t="s">
        <v>456</v>
      </c>
      <c r="M142" s="1202"/>
      <c r="N142" s="1202"/>
      <c r="O142" s="1202"/>
      <c r="P142" s="1202"/>
      <c r="Q142" s="1202"/>
      <c r="R142" s="1203"/>
    </row>
    <row r="143" spans="1:18" ht="12.75" customHeight="1">
      <c r="L143" s="1590" t="s">
        <v>412</v>
      </c>
      <c r="M143" s="1591"/>
      <c r="N143" s="1591"/>
      <c r="O143" s="1591"/>
      <c r="P143" s="1591"/>
      <c r="Q143" s="1591"/>
      <c r="R143" s="1592"/>
    </row>
    <row r="144" spans="1:18" ht="12.75" customHeight="1">
      <c r="L144" s="1588" t="s">
        <v>413</v>
      </c>
      <c r="M144" s="850">
        <f>L41</f>
        <v>521704.2381807646</v>
      </c>
      <c r="N144" s="1204">
        <v>0.1</v>
      </c>
      <c r="O144" s="1204">
        <v>0.105</v>
      </c>
      <c r="P144" s="1204">
        <v>0.11</v>
      </c>
      <c r="Q144" s="1204">
        <v>0.115</v>
      </c>
      <c r="R144" s="1205">
        <v>0.12</v>
      </c>
    </row>
    <row r="145" spans="4:18" ht="12.75" customHeight="1">
      <c r="D145" s="1206"/>
      <c r="F145" s="1206"/>
      <c r="G145" s="1206"/>
      <c r="H145" s="1206"/>
      <c r="L145" s="1588"/>
      <c r="M145" s="1207">
        <f>M146-0.5%</f>
        <v>4.0000000000000008E-2</v>
      </c>
      <c r="N145" s="916">
        <f t="dataTable" ref="N145:R149" dt2D="1" dtr="1" r1="L34" r2="L35"/>
        <v>543841.14477209211</v>
      </c>
      <c r="O145" s="916">
        <v>501679.95175215654</v>
      </c>
      <c r="P145" s="916">
        <v>465588.96465632255</v>
      </c>
      <c r="Q145" s="916">
        <v>434353.0175524425</v>
      </c>
      <c r="R145" s="1208">
        <v>407060.76862220105</v>
      </c>
    </row>
    <row r="146" spans="4:18" ht="12.75" customHeight="1">
      <c r="D146" s="1206"/>
      <c r="F146" s="1206"/>
      <c r="G146" s="1206"/>
      <c r="H146" s="1206"/>
      <c r="L146" s="1588"/>
      <c r="M146" s="1207">
        <f>M147-0.5%</f>
        <v>4.5000000000000005E-2</v>
      </c>
      <c r="N146" s="916">
        <v>581288.4422373611</v>
      </c>
      <c r="O146" s="916">
        <v>532620.60301883495</v>
      </c>
      <c r="P146" s="916">
        <v>491488.32166760333</v>
      </c>
      <c r="Q146" s="916">
        <v>456275.69834650779</v>
      </c>
      <c r="R146" s="1208">
        <v>425797.77256234898</v>
      </c>
    </row>
    <row r="147" spans="4:18" ht="12.75" customHeight="1">
      <c r="D147" s="1206"/>
      <c r="F147" s="1206"/>
      <c r="G147" s="1206"/>
      <c r="H147" s="1206"/>
      <c r="L147" s="1588"/>
      <c r="M147" s="1207">
        <v>0.05</v>
      </c>
      <c r="N147" s="916">
        <v>626225.19919568382</v>
      </c>
      <c r="O147" s="916">
        <v>569186.82724309142</v>
      </c>
      <c r="P147" s="1209">
        <v>521704.2381807646</v>
      </c>
      <c r="Q147" s="916">
        <v>481571.09926273697</v>
      </c>
      <c r="R147" s="1208">
        <v>447211.49135108927</v>
      </c>
    </row>
    <row r="148" spans="4:18" ht="12.75" customHeight="1">
      <c r="D148" s="1206"/>
      <c r="F148" s="1206"/>
      <c r="G148" s="1206"/>
      <c r="H148" s="1206"/>
      <c r="L148" s="1588"/>
      <c r="M148" s="1207">
        <f>M147+0.5%</f>
        <v>5.5E-2</v>
      </c>
      <c r="N148" s="916">
        <v>681147.90214474476</v>
      </c>
      <c r="O148" s="916">
        <v>613066.29631219897</v>
      </c>
      <c r="P148" s="916">
        <v>557413.95769631851</v>
      </c>
      <c r="Q148" s="916">
        <v>511082.40033167088</v>
      </c>
      <c r="R148" s="1208">
        <v>471919.62841502042</v>
      </c>
    </row>
    <row r="149" spans="4:18" ht="12.75" customHeight="1">
      <c r="D149" s="1206"/>
      <c r="F149" s="1206"/>
      <c r="G149" s="1206"/>
      <c r="H149" s="1206"/>
      <c r="L149" s="1589"/>
      <c r="M149" s="1210">
        <f>M148+0.5%</f>
        <v>0.06</v>
      </c>
      <c r="N149" s="1211">
        <v>749801.2808310712</v>
      </c>
      <c r="O149" s="1211">
        <v>666696.75850777503</v>
      </c>
      <c r="P149" s="1211">
        <v>600265.62111498346</v>
      </c>
      <c r="Q149" s="1211">
        <v>545959.39250404737</v>
      </c>
      <c r="R149" s="1212">
        <v>500745.78832294018</v>
      </c>
    </row>
    <row r="150" spans="4:18">
      <c r="D150" s="1206"/>
      <c r="F150" s="1206"/>
      <c r="G150" s="1206"/>
      <c r="H150" s="1206"/>
      <c r="L150" s="1206"/>
      <c r="M150" s="1206"/>
    </row>
    <row r="151" spans="4:18">
      <c r="D151" s="1206"/>
      <c r="F151" s="1206"/>
      <c r="G151" s="1206"/>
      <c r="H151" s="1206"/>
      <c r="L151" s="1213" t="s">
        <v>457</v>
      </c>
      <c r="M151" s="1202"/>
      <c r="N151" s="1202"/>
      <c r="O151" s="1202"/>
      <c r="P151" s="1202"/>
      <c r="Q151" s="1202"/>
      <c r="R151" s="1203"/>
    </row>
    <row r="152" spans="4:18">
      <c r="D152" s="1206"/>
      <c r="F152" s="1206"/>
      <c r="G152" s="1206"/>
      <c r="H152" s="1206"/>
      <c r="L152" s="1590" t="s">
        <v>412</v>
      </c>
      <c r="M152" s="1591"/>
      <c r="N152" s="1591"/>
      <c r="O152" s="1591"/>
      <c r="P152" s="1591"/>
      <c r="Q152" s="1591"/>
      <c r="R152" s="1592"/>
    </row>
    <row r="153" spans="4:18" ht="12.75" customHeight="1">
      <c r="D153" s="1206"/>
      <c r="F153" s="1206"/>
      <c r="G153" s="1206"/>
      <c r="H153" s="1206"/>
      <c r="L153" s="1588" t="s">
        <v>413</v>
      </c>
      <c r="M153" s="850"/>
      <c r="N153" s="1204">
        <v>0.1</v>
      </c>
      <c r="O153" s="1204">
        <v>0.105</v>
      </c>
      <c r="P153" s="1204">
        <v>0.11</v>
      </c>
      <c r="Q153" s="1204">
        <v>0.115</v>
      </c>
      <c r="R153" s="1205">
        <v>0.12</v>
      </c>
    </row>
    <row r="154" spans="4:18">
      <c r="D154" s="1206"/>
      <c r="F154" s="1206"/>
      <c r="G154" s="1206"/>
      <c r="H154" s="1206"/>
      <c r="L154" s="1588"/>
      <c r="M154" s="1207">
        <f>M155-0.5%</f>
        <v>4.0000000000000008E-2</v>
      </c>
      <c r="N154" s="916">
        <f>N145/Model!$H$387</f>
        <v>217.53645790883684</v>
      </c>
      <c r="O154" s="916">
        <f>O145/Model!$H$387</f>
        <v>200.6719807008626</v>
      </c>
      <c r="P154" s="916">
        <f>P145/Model!$H$387</f>
        <v>186.23558586252904</v>
      </c>
      <c r="Q154" s="916">
        <f>Q145/Model!$H$387</f>
        <v>173.74120702097699</v>
      </c>
      <c r="R154" s="1208">
        <f>R145/Model!$H$387</f>
        <v>162.82430744888043</v>
      </c>
    </row>
    <row r="155" spans="4:18">
      <c r="D155" s="1206"/>
      <c r="F155" s="1206"/>
      <c r="G155" s="1206"/>
      <c r="H155" s="1206"/>
      <c r="L155" s="1588"/>
      <c r="M155" s="1207">
        <f>M156-0.5%</f>
        <v>4.5000000000000005E-2</v>
      </c>
      <c r="N155" s="916">
        <f>N146/Model!$H$387</f>
        <v>232.51537689494444</v>
      </c>
      <c r="O155" s="916">
        <f>O146/Model!$H$387</f>
        <v>213.04824120753398</v>
      </c>
      <c r="P155" s="916">
        <f>P146/Model!$H$387</f>
        <v>196.59532866704134</v>
      </c>
      <c r="Q155" s="916">
        <f>Q146/Model!$H$387</f>
        <v>182.51027933860311</v>
      </c>
      <c r="R155" s="1208">
        <f>R146/Model!$H$387</f>
        <v>170.31910902493959</v>
      </c>
    </row>
    <row r="156" spans="4:18">
      <c r="D156" s="1206"/>
      <c r="F156" s="1206"/>
      <c r="G156" s="1206"/>
      <c r="H156" s="1206"/>
      <c r="L156" s="1588"/>
      <c r="M156" s="1207">
        <v>0.05</v>
      </c>
      <c r="N156" s="916">
        <f>N147/Model!$H$387</f>
        <v>250.49007967827353</v>
      </c>
      <c r="O156" s="916">
        <f>O147/Model!$H$387</f>
        <v>227.67473089723657</v>
      </c>
      <c r="P156" s="916">
        <f>P147/Model!$H$387</f>
        <v>208.68169527230583</v>
      </c>
      <c r="Q156" s="916">
        <f>Q147/Model!$H$387</f>
        <v>192.62843970509479</v>
      </c>
      <c r="R156" s="1208">
        <f>R147/Model!$H$387</f>
        <v>178.88459654043569</v>
      </c>
    </row>
    <row r="157" spans="4:18">
      <c r="D157" s="1206"/>
      <c r="F157" s="1206"/>
      <c r="G157" s="1206"/>
      <c r="H157" s="1206"/>
      <c r="L157" s="1588"/>
      <c r="M157" s="1207">
        <f>M156+0.5%</f>
        <v>5.5E-2</v>
      </c>
      <c r="N157" s="916">
        <f>N148/Model!$H$387</f>
        <v>272.45916085789793</v>
      </c>
      <c r="O157" s="916">
        <f>O148/Model!$H$387</f>
        <v>245.22651852487959</v>
      </c>
      <c r="P157" s="916">
        <f>P148/Model!$H$387</f>
        <v>222.9655830785274</v>
      </c>
      <c r="Q157" s="916">
        <f>Q148/Model!$H$387</f>
        <v>204.43296013266834</v>
      </c>
      <c r="R157" s="1208">
        <f>R148/Model!$H$387</f>
        <v>188.76785136600816</v>
      </c>
    </row>
    <row r="158" spans="4:18">
      <c r="D158" s="1206"/>
      <c r="F158" s="1206"/>
      <c r="G158" s="1206"/>
      <c r="H158" s="1206"/>
      <c r="L158" s="1589"/>
      <c r="M158" s="1210">
        <f>M157+0.5%</f>
        <v>0.06</v>
      </c>
      <c r="N158" s="1211">
        <f>N149/Model!$H$387</f>
        <v>299.92051233242847</v>
      </c>
      <c r="O158" s="1211">
        <f>O149/Model!$H$387</f>
        <v>266.67870340311003</v>
      </c>
      <c r="P158" s="1211">
        <f>P149/Model!$H$387</f>
        <v>240.10624844599337</v>
      </c>
      <c r="Q158" s="1211">
        <f>Q149/Model!$H$387</f>
        <v>218.38375700161896</v>
      </c>
      <c r="R158" s="1212">
        <f>R149/Model!$H$387</f>
        <v>200.29831532917606</v>
      </c>
    </row>
    <row r="159" spans="4:18">
      <c r="D159" s="1206"/>
      <c r="F159" s="1206"/>
      <c r="G159" s="1206"/>
      <c r="H159" s="1206"/>
      <c r="I159" s="1206"/>
      <c r="J159" s="1206"/>
    </row>
    <row r="160" spans="4:18">
      <c r="D160" s="1206"/>
      <c r="F160" s="1206"/>
      <c r="G160" s="1206"/>
      <c r="H160" s="1206"/>
      <c r="I160" s="1206"/>
      <c r="J160" s="1206"/>
    </row>
    <row r="161" spans="4:20">
      <c r="D161" s="1206"/>
      <c r="F161" s="1206"/>
      <c r="G161" s="1206"/>
      <c r="H161" s="1206"/>
      <c r="I161" s="1206"/>
      <c r="J161" s="1206"/>
    </row>
    <row r="162" spans="4:20">
      <c r="D162" s="1206"/>
      <c r="F162" s="1206"/>
      <c r="G162" s="1206"/>
      <c r="H162" s="1206"/>
      <c r="I162" s="1214"/>
      <c r="J162" s="1215"/>
      <c r="K162" s="1215"/>
    </row>
    <row r="163" spans="4:20">
      <c r="D163" s="1206"/>
      <c r="F163" s="1206"/>
      <c r="G163" s="1206"/>
      <c r="H163" s="1206"/>
      <c r="I163" s="1206"/>
      <c r="J163" s="1206"/>
      <c r="L163" s="1041" t="s">
        <v>747</v>
      </c>
      <c r="M163" s="1041"/>
      <c r="N163" s="1041"/>
      <c r="O163" s="1041"/>
      <c r="P163" s="1216"/>
      <c r="Q163" s="1216"/>
      <c r="R163" s="1216"/>
    </row>
    <row r="164" spans="4:20">
      <c r="L164" s="868" t="s">
        <v>749</v>
      </c>
    </row>
    <row r="165" spans="4:20">
      <c r="L165" s="821" t="s">
        <v>750</v>
      </c>
      <c r="O165" s="1135">
        <f>Model!J660/Model!J662</f>
        <v>0.2475690293119874</v>
      </c>
    </row>
    <row r="166" spans="4:20">
      <c r="L166" s="821" t="s">
        <v>751</v>
      </c>
      <c r="O166" s="1217">
        <v>3.1E-2</v>
      </c>
      <c r="Q166" s="821" t="s">
        <v>748</v>
      </c>
    </row>
    <row r="167" spans="4:20">
      <c r="L167" s="821" t="s">
        <v>752</v>
      </c>
      <c r="O167" s="1177">
        <f>1-20%</f>
        <v>0.8</v>
      </c>
      <c r="Q167" s="821" t="s">
        <v>758</v>
      </c>
    </row>
    <row r="168" spans="4:20">
      <c r="Q168" s="821" t="s">
        <v>759</v>
      </c>
    </row>
    <row r="169" spans="4:20">
      <c r="L169" s="821" t="s">
        <v>753</v>
      </c>
      <c r="O169" s="1177">
        <f>1-O165</f>
        <v>0.75243097068801257</v>
      </c>
      <c r="Q169" s="821" t="s">
        <v>761</v>
      </c>
      <c r="R169" s="821" t="s">
        <v>762</v>
      </c>
      <c r="S169" s="821" t="s">
        <v>760</v>
      </c>
    </row>
    <row r="170" spans="4:20">
      <c r="L170" s="821" t="s">
        <v>754</v>
      </c>
      <c r="O170" s="1218">
        <v>1.33</v>
      </c>
      <c r="Q170" s="821">
        <v>300</v>
      </c>
      <c r="R170" s="1135">
        <f t="shared" ref="R170:R175" si="44">Q170/Q$176</f>
        <v>3.7499999999999999E-2</v>
      </c>
      <c r="S170" s="1219">
        <v>1.6899999999999998E-2</v>
      </c>
      <c r="T170" s="1219">
        <f t="shared" ref="T170:T175" si="45">R170*S170</f>
        <v>6.3374999999999987E-4</v>
      </c>
    </row>
    <row r="171" spans="4:20">
      <c r="L171" s="821" t="s">
        <v>764</v>
      </c>
      <c r="O171" s="1217">
        <v>8.7599999999999997E-2</v>
      </c>
      <c r="P171" s="820"/>
      <c r="Q171" s="821">
        <v>1000</v>
      </c>
      <c r="R171" s="1135">
        <f t="shared" si="44"/>
        <v>0.125</v>
      </c>
      <c r="S171" s="1219">
        <v>1.77E-2</v>
      </c>
      <c r="T171" s="1219">
        <f t="shared" si="45"/>
        <v>2.2125000000000001E-3</v>
      </c>
    </row>
    <row r="172" spans="4:20">
      <c r="L172" s="821" t="s">
        <v>763</v>
      </c>
      <c r="O172" s="1217">
        <v>2.35E-2</v>
      </c>
      <c r="Q172" s="821">
        <v>2250</v>
      </c>
      <c r="R172" s="1135">
        <f t="shared" si="44"/>
        <v>0.28125</v>
      </c>
      <c r="S172" s="1219">
        <v>2.6700000000000002E-2</v>
      </c>
      <c r="T172" s="1219">
        <f t="shared" si="45"/>
        <v>7.5093750000000004E-3</v>
      </c>
    </row>
    <row r="173" spans="4:20">
      <c r="L173" s="1220" t="s">
        <v>755</v>
      </c>
      <c r="O173" s="27"/>
      <c r="P173" s="27"/>
      <c r="Q173" s="821">
        <v>1500</v>
      </c>
      <c r="R173" s="1135">
        <f t="shared" si="44"/>
        <v>0.1875</v>
      </c>
      <c r="S173" s="1219">
        <v>3.2599999999999997E-2</v>
      </c>
      <c r="T173" s="1219">
        <f t="shared" si="45"/>
        <v>6.1124999999999999E-3</v>
      </c>
    </row>
    <row r="174" spans="4:20">
      <c r="L174" s="821" t="s">
        <v>756</v>
      </c>
      <c r="O174" s="1221">
        <f>O172+(O171-O172)*O170</f>
        <v>0.10875299999999999</v>
      </c>
      <c r="Q174" s="821">
        <v>2250</v>
      </c>
      <c r="R174" s="1135">
        <f t="shared" si="44"/>
        <v>0.28125</v>
      </c>
      <c r="S174" s="1219">
        <v>3.6799999999999999E-2</v>
      </c>
      <c r="T174" s="1219">
        <f t="shared" si="45"/>
        <v>1.035E-2</v>
      </c>
    </row>
    <row r="175" spans="4:20">
      <c r="Q175" s="821">
        <v>700</v>
      </c>
      <c r="R175" s="1135">
        <f t="shared" si="44"/>
        <v>8.7499999999999994E-2</v>
      </c>
      <c r="S175" s="1219">
        <v>4.5999999999999999E-2</v>
      </c>
      <c r="T175" s="1219">
        <f t="shared" si="45"/>
        <v>4.0249999999999999E-3</v>
      </c>
    </row>
    <row r="176" spans="4:20">
      <c r="L176" s="868" t="s">
        <v>757</v>
      </c>
      <c r="O176" s="1222">
        <f>O165*O166*O167+O169*O174</f>
        <v>8.7968837282170712E-2</v>
      </c>
      <c r="Q176" s="868">
        <f>SUM(Q170:Q175)</f>
        <v>8000</v>
      </c>
      <c r="T176" s="1222">
        <f>SUM(T170:T175)</f>
        <v>3.0843124999999999E-2</v>
      </c>
    </row>
    <row r="181" spans="12:15">
      <c r="L181" s="1308"/>
      <c r="M181" s="1309">
        <v>2018</v>
      </c>
      <c r="N181" s="1310" t="s">
        <v>808</v>
      </c>
      <c r="O181" s="1309" t="s">
        <v>809</v>
      </c>
    </row>
    <row r="182" spans="12:15">
      <c r="L182" s="1311" t="s">
        <v>810</v>
      </c>
      <c r="M182" s="1309" t="s">
        <v>811</v>
      </c>
      <c r="N182" s="1310" t="s">
        <v>812</v>
      </c>
      <c r="O182" s="1309" t="s">
        <v>813</v>
      </c>
    </row>
    <row r="183" spans="12:15">
      <c r="L183" s="1312" t="s">
        <v>814</v>
      </c>
      <c r="M183" s="1313">
        <v>3.8218292737412409</v>
      </c>
      <c r="N183" s="1314">
        <v>-3.2710376134927013E-2</v>
      </c>
      <c r="O183" s="1314">
        <v>0.38894734102860568</v>
      </c>
    </row>
    <row r="184" spans="12:15">
      <c r="L184" s="1312" t="s">
        <v>815</v>
      </c>
      <c r="M184" s="1313">
        <v>4.2718717775045185</v>
      </c>
      <c r="N184" s="1314">
        <v>2.6524080261441439E-3</v>
      </c>
      <c r="O184" s="1314">
        <v>0.45182488650386315</v>
      </c>
    </row>
    <row r="185" spans="12:15">
      <c r="L185" s="1312" t="s">
        <v>816</v>
      </c>
      <c r="M185" s="1313">
        <v>5.5076358274875732</v>
      </c>
      <c r="N185" s="1314">
        <v>0.23674383096834761</v>
      </c>
      <c r="O185" s="1314">
        <v>0.21607726863923646</v>
      </c>
    </row>
    <row r="186" spans="12:15">
      <c r="L186" s="1315" t="s">
        <v>817</v>
      </c>
      <c r="M186" s="1313">
        <v>4.1659502982312038</v>
      </c>
      <c r="N186" s="1314">
        <v>6.6564828299739656E-2</v>
      </c>
      <c r="O186" s="1314">
        <v>0.33085610326057224</v>
      </c>
    </row>
    <row r="187" spans="12:15">
      <c r="L187" s="1312" t="s">
        <v>818</v>
      </c>
      <c r="M187" s="1313">
        <v>3.9609479413292883</v>
      </c>
      <c r="N187" s="1314">
        <v>4.5211422215442575E-2</v>
      </c>
      <c r="O187" s="1314">
        <v>0.37406073281438518</v>
      </c>
    </row>
    <row r="188" spans="12:15">
      <c r="L188" s="1312" t="s">
        <v>819</v>
      </c>
      <c r="M188" s="1313">
        <v>4.0934548097554746</v>
      </c>
      <c r="N188" s="1314">
        <v>9.5311342611513139E-2</v>
      </c>
      <c r="O188" s="1314">
        <v>0.39989954929354077</v>
      </c>
    </row>
    <row r="189" spans="12:15">
      <c r="L189" s="1324" t="s">
        <v>820</v>
      </c>
      <c r="M189" s="1313">
        <v>4.9120182266139496</v>
      </c>
      <c r="N189" s="1314">
        <v>0.1498506982974033</v>
      </c>
      <c r="O189" s="1314">
        <v>0.26592651461767691</v>
      </c>
    </row>
    <row r="190" spans="12:15">
      <c r="L190" s="1316" t="s">
        <v>821</v>
      </c>
      <c r="M190" s="1317">
        <f>+AVERAGE(M183:M189)</f>
        <v>4.3905297363804641</v>
      </c>
      <c r="N190" s="1318">
        <f>+AVERAGE(N183:N189)</f>
        <v>8.0517736326237627E-2</v>
      </c>
      <c r="O190" s="1318">
        <f>+AVERAGE(O183:O189)</f>
        <v>0.34679891373684008</v>
      </c>
    </row>
    <row r="191" spans="12:15">
      <c r="L191" s="1316" t="s">
        <v>822</v>
      </c>
      <c r="M191" s="1317">
        <f>+MEDIAN(M183:M189)</f>
        <v>4.1659502982312038</v>
      </c>
      <c r="N191" s="1318">
        <f>+MEDIAN(N183:N189)</f>
        <v>6.6564828299739656E-2</v>
      </c>
      <c r="O191" s="1318">
        <f>+MEDIAN(O183:O189)</f>
        <v>0.37406073281438518</v>
      </c>
    </row>
    <row r="192" spans="12:15">
      <c r="L192" s="1319"/>
      <c r="M192" s="1320"/>
      <c r="N192" s="1320"/>
      <c r="O192" s="1319"/>
    </row>
    <row r="193" spans="1:15">
      <c r="L193" s="1316" t="s">
        <v>823</v>
      </c>
      <c r="M193" s="1317">
        <v>6.5</v>
      </c>
      <c r="N193" s="1318">
        <v>0.43630295466700186</v>
      </c>
      <c r="O193" s="1318">
        <v>0.56055510280507725</v>
      </c>
    </row>
    <row r="194" spans="1:15">
      <c r="A194" s="821"/>
      <c r="L194" s="1321" t="s">
        <v>824</v>
      </c>
      <c r="M194" s="1322">
        <f>+M193/M190-1</f>
        <v>0.48045916786309606</v>
      </c>
      <c r="N194" s="1323">
        <f>+N193/N190</f>
        <v>5.4187185901403385</v>
      </c>
      <c r="O194" s="1323">
        <f>+O193/O190</f>
        <v>1.6163692578069633</v>
      </c>
    </row>
    <row r="195" spans="1:15">
      <c r="A195" s="821"/>
      <c r="M195" s="1322"/>
      <c r="N195" s="1323"/>
      <c r="O195" s="1323"/>
    </row>
    <row r="197" spans="1:15">
      <c r="A197" s="821"/>
      <c r="L197" s="8" t="s">
        <v>834</v>
      </c>
      <c r="M197" s="29"/>
      <c r="O197" s="8"/>
    </row>
    <row r="198" spans="1:15">
      <c r="A198" s="821"/>
      <c r="L198" s="1297" t="s">
        <v>825</v>
      </c>
      <c r="M198" s="1298" t="s">
        <v>823</v>
      </c>
    </row>
    <row r="199" spans="1:15">
      <c r="A199" s="821"/>
      <c r="L199" s="1301" t="s">
        <v>826</v>
      </c>
      <c r="M199" s="1302">
        <v>30586.914900000003</v>
      </c>
    </row>
    <row r="200" spans="1:15">
      <c r="A200" s="821"/>
      <c r="L200" s="8"/>
      <c r="M200" s="8"/>
    </row>
    <row r="201" spans="1:15">
      <c r="A201" s="821"/>
      <c r="L201" s="1301" t="s">
        <v>827</v>
      </c>
      <c r="M201" s="1303">
        <v>6.5</v>
      </c>
    </row>
    <row r="202" spans="1:15">
      <c r="A202" s="821"/>
      <c r="L202" s="1301"/>
      <c r="M202" s="8"/>
    </row>
    <row r="203" spans="1:15">
      <c r="A203" s="821"/>
      <c r="L203" s="8" t="s">
        <v>828</v>
      </c>
      <c r="M203" s="1304">
        <f>M199*M201</f>
        <v>198814.94685000001</v>
      </c>
    </row>
    <row r="204" spans="1:15">
      <c r="A204" s="821"/>
      <c r="L204" s="8"/>
      <c r="M204" s="8"/>
    </row>
    <row r="205" spans="1:15">
      <c r="A205" s="821"/>
      <c r="L205" s="8" t="s">
        <v>321</v>
      </c>
      <c r="M205" s="1305">
        <v>0</v>
      </c>
    </row>
    <row r="206" spans="1:15">
      <c r="A206" s="821"/>
      <c r="L206" s="8"/>
      <c r="M206" s="8"/>
    </row>
    <row r="207" spans="1:15">
      <c r="A207" s="821"/>
      <c r="L207" s="1301" t="s">
        <v>829</v>
      </c>
      <c r="M207" s="1302">
        <f>+M203</f>
        <v>198814.94685000001</v>
      </c>
    </row>
    <row r="208" spans="1:15">
      <c r="A208" s="821"/>
      <c r="L208" s="8"/>
      <c r="M208" s="1306"/>
    </row>
    <row r="209" spans="1:13">
      <c r="A209" s="821"/>
      <c r="L209" s="8" t="s">
        <v>830</v>
      </c>
      <c r="M209" s="1307">
        <v>498.5</v>
      </c>
    </row>
    <row r="210" spans="1:13">
      <c r="A210" s="821"/>
      <c r="L210" s="8"/>
      <c r="M210" s="8"/>
    </row>
    <row r="211" spans="1:13">
      <c r="A211" s="821"/>
      <c r="L211" s="1299" t="s">
        <v>831</v>
      </c>
      <c r="M211" s="1300">
        <f>M207/M209</f>
        <v>398.82637281845535</v>
      </c>
    </row>
    <row r="213" spans="1:13">
      <c r="A213" s="821"/>
      <c r="L213" s="1325" t="s">
        <v>832</v>
      </c>
    </row>
  </sheetData>
  <mergeCells count="5">
    <mergeCell ref="L153:L158"/>
    <mergeCell ref="L152:R152"/>
    <mergeCell ref="L143:R143"/>
    <mergeCell ref="L144:L149"/>
    <mergeCell ref="T2:X2"/>
  </mergeCells>
  <phoneticPr fontId="8" type="noConversion"/>
  <pageMargins left="0" right="0" top="0" bottom="0" header="0" footer="0"/>
  <pageSetup paperSize="5" scale="18" orientation="landscape" r:id="rId1"/>
  <headerFooter scaleWithDoc="0" alignWithMargins="0"/>
  <rowBreaks count="1" manualBreakCount="1">
    <brk id="103" min="1" max="82" man="1"/>
  </rowBreaks>
  <drawing r:id="rId2"/>
  <legacyDrawing r:id="rId3"/>
  <mc:AlternateContent xmlns:mc="http://schemas.openxmlformats.org/markup-compatibility/2006">
    <mc:Choice Requires="x14">
      <controls>
        <mc:AlternateContent xmlns:mc="http://schemas.openxmlformats.org/markup-compatibility/2006">
          <mc:Choice Requires="x14">
            <control shapeId="15391" r:id="rId4" name="Drop Down 31">
              <controlPr defaultSize="0" print="0" autoLine="0" autoPict="0">
                <anchor moveWithCells="1">
                  <from>
                    <xdr:col>1</xdr:col>
                    <xdr:colOff>0</xdr:colOff>
                    <xdr:row>1</xdr:row>
                    <xdr:rowOff>28575</xdr:rowOff>
                  </from>
                  <to>
                    <xdr:col>1</xdr:col>
                    <xdr:colOff>76200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cols>
    <col min="1" max="1" width="29.5703125" style="1594" bestFit="1" customWidth="1"/>
    <col min="2" max="2" width="19.85546875" style="1616" customWidth="1"/>
    <col min="3" max="3" width="12" style="1594" bestFit="1" customWidth="1"/>
    <col min="4" max="256" width="9.140625" style="1594"/>
    <col min="257" max="257" width="29.5703125" style="1594" bestFit="1" customWidth="1"/>
    <col min="258" max="258" width="19.85546875" style="1594" customWidth="1"/>
    <col min="259" max="259" width="12" style="1594" bestFit="1" customWidth="1"/>
    <col min="260" max="512" width="9.140625" style="1594"/>
    <col min="513" max="513" width="29.5703125" style="1594" bestFit="1" customWidth="1"/>
    <col min="514" max="514" width="19.85546875" style="1594" customWidth="1"/>
    <col min="515" max="515" width="12" style="1594" bestFit="1" customWidth="1"/>
    <col min="516" max="768" width="9.140625" style="1594"/>
    <col min="769" max="769" width="29.5703125" style="1594" bestFit="1" customWidth="1"/>
    <col min="770" max="770" width="19.85546875" style="1594" customWidth="1"/>
    <col min="771" max="771" width="12" style="1594" bestFit="1" customWidth="1"/>
    <col min="772" max="1024" width="9.140625" style="1594"/>
    <col min="1025" max="1025" width="29.5703125" style="1594" bestFit="1" customWidth="1"/>
    <col min="1026" max="1026" width="19.85546875" style="1594" customWidth="1"/>
    <col min="1027" max="1027" width="12" style="1594" bestFit="1" customWidth="1"/>
    <col min="1028" max="1280" width="9.140625" style="1594"/>
    <col min="1281" max="1281" width="29.5703125" style="1594" bestFit="1" customWidth="1"/>
    <col min="1282" max="1282" width="19.85546875" style="1594" customWidth="1"/>
    <col min="1283" max="1283" width="12" style="1594" bestFit="1" customWidth="1"/>
    <col min="1284" max="1536" width="9.140625" style="1594"/>
    <col min="1537" max="1537" width="29.5703125" style="1594" bestFit="1" customWidth="1"/>
    <col min="1538" max="1538" width="19.85546875" style="1594" customWidth="1"/>
    <col min="1539" max="1539" width="12" style="1594" bestFit="1" customWidth="1"/>
    <col min="1540" max="1792" width="9.140625" style="1594"/>
    <col min="1793" max="1793" width="29.5703125" style="1594" bestFit="1" customWidth="1"/>
    <col min="1794" max="1794" width="19.85546875" style="1594" customWidth="1"/>
    <col min="1795" max="1795" width="12" style="1594" bestFit="1" customWidth="1"/>
    <col min="1796" max="2048" width="9.140625" style="1594"/>
    <col min="2049" max="2049" width="29.5703125" style="1594" bestFit="1" customWidth="1"/>
    <col min="2050" max="2050" width="19.85546875" style="1594" customWidth="1"/>
    <col min="2051" max="2051" width="12" style="1594" bestFit="1" customWidth="1"/>
    <col min="2052" max="2304" width="9.140625" style="1594"/>
    <col min="2305" max="2305" width="29.5703125" style="1594" bestFit="1" customWidth="1"/>
    <col min="2306" max="2306" width="19.85546875" style="1594" customWidth="1"/>
    <col min="2307" max="2307" width="12" style="1594" bestFit="1" customWidth="1"/>
    <col min="2308" max="2560" width="9.140625" style="1594"/>
    <col min="2561" max="2561" width="29.5703125" style="1594" bestFit="1" customWidth="1"/>
    <col min="2562" max="2562" width="19.85546875" style="1594" customWidth="1"/>
    <col min="2563" max="2563" width="12" style="1594" bestFit="1" customWidth="1"/>
    <col min="2564" max="2816" width="9.140625" style="1594"/>
    <col min="2817" max="2817" width="29.5703125" style="1594" bestFit="1" customWidth="1"/>
    <col min="2818" max="2818" width="19.85546875" style="1594" customWidth="1"/>
    <col min="2819" max="2819" width="12" style="1594" bestFit="1" customWidth="1"/>
    <col min="2820" max="3072" width="9.140625" style="1594"/>
    <col min="3073" max="3073" width="29.5703125" style="1594" bestFit="1" customWidth="1"/>
    <col min="3074" max="3074" width="19.85546875" style="1594" customWidth="1"/>
    <col min="3075" max="3075" width="12" style="1594" bestFit="1" customWidth="1"/>
    <col min="3076" max="3328" width="9.140625" style="1594"/>
    <col min="3329" max="3329" width="29.5703125" style="1594" bestFit="1" customWidth="1"/>
    <col min="3330" max="3330" width="19.85546875" style="1594" customWidth="1"/>
    <col min="3331" max="3331" width="12" style="1594" bestFit="1" customWidth="1"/>
    <col min="3332" max="3584" width="9.140625" style="1594"/>
    <col min="3585" max="3585" width="29.5703125" style="1594" bestFit="1" customWidth="1"/>
    <col min="3586" max="3586" width="19.85546875" style="1594" customWidth="1"/>
    <col min="3587" max="3587" width="12" style="1594" bestFit="1" customWidth="1"/>
    <col min="3588" max="3840" width="9.140625" style="1594"/>
    <col min="3841" max="3841" width="29.5703125" style="1594" bestFit="1" customWidth="1"/>
    <col min="3842" max="3842" width="19.85546875" style="1594" customWidth="1"/>
    <col min="3843" max="3843" width="12" style="1594" bestFit="1" customWidth="1"/>
    <col min="3844" max="4096" width="9.140625" style="1594"/>
    <col min="4097" max="4097" width="29.5703125" style="1594" bestFit="1" customWidth="1"/>
    <col min="4098" max="4098" width="19.85546875" style="1594" customWidth="1"/>
    <col min="4099" max="4099" width="12" style="1594" bestFit="1" customWidth="1"/>
    <col min="4100" max="4352" width="9.140625" style="1594"/>
    <col min="4353" max="4353" width="29.5703125" style="1594" bestFit="1" customWidth="1"/>
    <col min="4354" max="4354" width="19.85546875" style="1594" customWidth="1"/>
    <col min="4355" max="4355" width="12" style="1594" bestFit="1" customWidth="1"/>
    <col min="4356" max="4608" width="9.140625" style="1594"/>
    <col min="4609" max="4609" width="29.5703125" style="1594" bestFit="1" customWidth="1"/>
    <col min="4610" max="4610" width="19.85546875" style="1594" customWidth="1"/>
    <col min="4611" max="4611" width="12" style="1594" bestFit="1" customWidth="1"/>
    <col min="4612" max="4864" width="9.140625" style="1594"/>
    <col min="4865" max="4865" width="29.5703125" style="1594" bestFit="1" customWidth="1"/>
    <col min="4866" max="4866" width="19.85546875" style="1594" customWidth="1"/>
    <col min="4867" max="4867" width="12" style="1594" bestFit="1" customWidth="1"/>
    <col min="4868" max="5120" width="9.140625" style="1594"/>
    <col min="5121" max="5121" width="29.5703125" style="1594" bestFit="1" customWidth="1"/>
    <col min="5122" max="5122" width="19.85546875" style="1594" customWidth="1"/>
    <col min="5123" max="5123" width="12" style="1594" bestFit="1" customWidth="1"/>
    <col min="5124" max="5376" width="9.140625" style="1594"/>
    <col min="5377" max="5377" width="29.5703125" style="1594" bestFit="1" customWidth="1"/>
    <col min="5378" max="5378" width="19.85546875" style="1594" customWidth="1"/>
    <col min="5379" max="5379" width="12" style="1594" bestFit="1" customWidth="1"/>
    <col min="5380" max="5632" width="9.140625" style="1594"/>
    <col min="5633" max="5633" width="29.5703125" style="1594" bestFit="1" customWidth="1"/>
    <col min="5634" max="5634" width="19.85546875" style="1594" customWidth="1"/>
    <col min="5635" max="5635" width="12" style="1594" bestFit="1" customWidth="1"/>
    <col min="5636" max="5888" width="9.140625" style="1594"/>
    <col min="5889" max="5889" width="29.5703125" style="1594" bestFit="1" customWidth="1"/>
    <col min="5890" max="5890" width="19.85546875" style="1594" customWidth="1"/>
    <col min="5891" max="5891" width="12" style="1594" bestFit="1" customWidth="1"/>
    <col min="5892" max="6144" width="9.140625" style="1594"/>
    <col min="6145" max="6145" width="29.5703125" style="1594" bestFit="1" customWidth="1"/>
    <col min="6146" max="6146" width="19.85546875" style="1594" customWidth="1"/>
    <col min="6147" max="6147" width="12" style="1594" bestFit="1" customWidth="1"/>
    <col min="6148" max="6400" width="9.140625" style="1594"/>
    <col min="6401" max="6401" width="29.5703125" style="1594" bestFit="1" customWidth="1"/>
    <col min="6402" max="6402" width="19.85546875" style="1594" customWidth="1"/>
    <col min="6403" max="6403" width="12" style="1594" bestFit="1" customWidth="1"/>
    <col min="6404" max="6656" width="9.140625" style="1594"/>
    <col min="6657" max="6657" width="29.5703125" style="1594" bestFit="1" customWidth="1"/>
    <col min="6658" max="6658" width="19.85546875" style="1594" customWidth="1"/>
    <col min="6659" max="6659" width="12" style="1594" bestFit="1" customWidth="1"/>
    <col min="6660" max="6912" width="9.140625" style="1594"/>
    <col min="6913" max="6913" width="29.5703125" style="1594" bestFit="1" customWidth="1"/>
    <col min="6914" max="6914" width="19.85546875" style="1594" customWidth="1"/>
    <col min="6915" max="6915" width="12" style="1594" bestFit="1" customWidth="1"/>
    <col min="6916" max="7168" width="9.140625" style="1594"/>
    <col min="7169" max="7169" width="29.5703125" style="1594" bestFit="1" customWidth="1"/>
    <col min="7170" max="7170" width="19.85546875" style="1594" customWidth="1"/>
    <col min="7171" max="7171" width="12" style="1594" bestFit="1" customWidth="1"/>
    <col min="7172" max="7424" width="9.140625" style="1594"/>
    <col min="7425" max="7425" width="29.5703125" style="1594" bestFit="1" customWidth="1"/>
    <col min="7426" max="7426" width="19.85546875" style="1594" customWidth="1"/>
    <col min="7427" max="7427" width="12" style="1594" bestFit="1" customWidth="1"/>
    <col min="7428" max="7680" width="9.140625" style="1594"/>
    <col min="7681" max="7681" width="29.5703125" style="1594" bestFit="1" customWidth="1"/>
    <col min="7682" max="7682" width="19.85546875" style="1594" customWidth="1"/>
    <col min="7683" max="7683" width="12" style="1594" bestFit="1" customWidth="1"/>
    <col min="7684" max="7936" width="9.140625" style="1594"/>
    <col min="7937" max="7937" width="29.5703125" style="1594" bestFit="1" customWidth="1"/>
    <col min="7938" max="7938" width="19.85546875" style="1594" customWidth="1"/>
    <col min="7939" max="7939" width="12" style="1594" bestFit="1" customWidth="1"/>
    <col min="7940" max="8192" width="9.140625" style="1594"/>
    <col min="8193" max="8193" width="29.5703125" style="1594" bestFit="1" customWidth="1"/>
    <col min="8194" max="8194" width="19.85546875" style="1594" customWidth="1"/>
    <col min="8195" max="8195" width="12" style="1594" bestFit="1" customWidth="1"/>
    <col min="8196" max="8448" width="9.140625" style="1594"/>
    <col min="8449" max="8449" width="29.5703125" style="1594" bestFit="1" customWidth="1"/>
    <col min="8450" max="8450" width="19.85546875" style="1594" customWidth="1"/>
    <col min="8451" max="8451" width="12" style="1594" bestFit="1" customWidth="1"/>
    <col min="8452" max="8704" width="9.140625" style="1594"/>
    <col min="8705" max="8705" width="29.5703125" style="1594" bestFit="1" customWidth="1"/>
    <col min="8706" max="8706" width="19.85546875" style="1594" customWidth="1"/>
    <col min="8707" max="8707" width="12" style="1594" bestFit="1" customWidth="1"/>
    <col min="8708" max="8960" width="9.140625" style="1594"/>
    <col min="8961" max="8961" width="29.5703125" style="1594" bestFit="1" customWidth="1"/>
    <col min="8962" max="8962" width="19.85546875" style="1594" customWidth="1"/>
    <col min="8963" max="8963" width="12" style="1594" bestFit="1" customWidth="1"/>
    <col min="8964" max="9216" width="9.140625" style="1594"/>
    <col min="9217" max="9217" width="29.5703125" style="1594" bestFit="1" customWidth="1"/>
    <col min="9218" max="9218" width="19.85546875" style="1594" customWidth="1"/>
    <col min="9219" max="9219" width="12" style="1594" bestFit="1" customWidth="1"/>
    <col min="9220" max="9472" width="9.140625" style="1594"/>
    <col min="9473" max="9473" width="29.5703125" style="1594" bestFit="1" customWidth="1"/>
    <col min="9474" max="9474" width="19.85546875" style="1594" customWidth="1"/>
    <col min="9475" max="9475" width="12" style="1594" bestFit="1" customWidth="1"/>
    <col min="9476" max="9728" width="9.140625" style="1594"/>
    <col min="9729" max="9729" width="29.5703125" style="1594" bestFit="1" customWidth="1"/>
    <col min="9730" max="9730" width="19.85546875" style="1594" customWidth="1"/>
    <col min="9731" max="9731" width="12" style="1594" bestFit="1" customWidth="1"/>
    <col min="9732" max="9984" width="9.140625" style="1594"/>
    <col min="9985" max="9985" width="29.5703125" style="1594" bestFit="1" customWidth="1"/>
    <col min="9986" max="9986" width="19.85546875" style="1594" customWidth="1"/>
    <col min="9987" max="9987" width="12" style="1594" bestFit="1" customWidth="1"/>
    <col min="9988" max="10240" width="9.140625" style="1594"/>
    <col min="10241" max="10241" width="29.5703125" style="1594" bestFit="1" customWidth="1"/>
    <col min="10242" max="10242" width="19.85546875" style="1594" customWidth="1"/>
    <col min="10243" max="10243" width="12" style="1594" bestFit="1" customWidth="1"/>
    <col min="10244" max="10496" width="9.140625" style="1594"/>
    <col min="10497" max="10497" width="29.5703125" style="1594" bestFit="1" customWidth="1"/>
    <col min="10498" max="10498" width="19.85546875" style="1594" customWidth="1"/>
    <col min="10499" max="10499" width="12" style="1594" bestFit="1" customWidth="1"/>
    <col min="10500" max="10752" width="9.140625" style="1594"/>
    <col min="10753" max="10753" width="29.5703125" style="1594" bestFit="1" customWidth="1"/>
    <col min="10754" max="10754" width="19.85546875" style="1594" customWidth="1"/>
    <col min="10755" max="10755" width="12" style="1594" bestFit="1" customWidth="1"/>
    <col min="10756" max="11008" width="9.140625" style="1594"/>
    <col min="11009" max="11009" width="29.5703125" style="1594" bestFit="1" customWidth="1"/>
    <col min="11010" max="11010" width="19.85546875" style="1594" customWidth="1"/>
    <col min="11011" max="11011" width="12" style="1594" bestFit="1" customWidth="1"/>
    <col min="11012" max="11264" width="9.140625" style="1594"/>
    <col min="11265" max="11265" width="29.5703125" style="1594" bestFit="1" customWidth="1"/>
    <col min="11266" max="11266" width="19.85546875" style="1594" customWidth="1"/>
    <col min="11267" max="11267" width="12" style="1594" bestFit="1" customWidth="1"/>
    <col min="11268" max="11520" width="9.140625" style="1594"/>
    <col min="11521" max="11521" width="29.5703125" style="1594" bestFit="1" customWidth="1"/>
    <col min="11522" max="11522" width="19.85546875" style="1594" customWidth="1"/>
    <col min="11523" max="11523" width="12" style="1594" bestFit="1" customWidth="1"/>
    <col min="11524" max="11776" width="9.140625" style="1594"/>
    <col min="11777" max="11777" width="29.5703125" style="1594" bestFit="1" customWidth="1"/>
    <col min="11778" max="11778" width="19.85546875" style="1594" customWidth="1"/>
    <col min="11779" max="11779" width="12" style="1594" bestFit="1" customWidth="1"/>
    <col min="11780" max="12032" width="9.140625" style="1594"/>
    <col min="12033" max="12033" width="29.5703125" style="1594" bestFit="1" customWidth="1"/>
    <col min="12034" max="12034" width="19.85546875" style="1594" customWidth="1"/>
    <col min="12035" max="12035" width="12" style="1594" bestFit="1" customWidth="1"/>
    <col min="12036" max="12288" width="9.140625" style="1594"/>
    <col min="12289" max="12289" width="29.5703125" style="1594" bestFit="1" customWidth="1"/>
    <col min="12290" max="12290" width="19.85546875" style="1594" customWidth="1"/>
    <col min="12291" max="12291" width="12" style="1594" bestFit="1" customWidth="1"/>
    <col min="12292" max="12544" width="9.140625" style="1594"/>
    <col min="12545" max="12545" width="29.5703125" style="1594" bestFit="1" customWidth="1"/>
    <col min="12546" max="12546" width="19.85546875" style="1594" customWidth="1"/>
    <col min="12547" max="12547" width="12" style="1594" bestFit="1" customWidth="1"/>
    <col min="12548" max="12800" width="9.140625" style="1594"/>
    <col min="12801" max="12801" width="29.5703125" style="1594" bestFit="1" customWidth="1"/>
    <col min="12802" max="12802" width="19.85546875" style="1594" customWidth="1"/>
    <col min="12803" max="12803" width="12" style="1594" bestFit="1" customWidth="1"/>
    <col min="12804" max="13056" width="9.140625" style="1594"/>
    <col min="13057" max="13057" width="29.5703125" style="1594" bestFit="1" customWidth="1"/>
    <col min="13058" max="13058" width="19.85546875" style="1594" customWidth="1"/>
    <col min="13059" max="13059" width="12" style="1594" bestFit="1" customWidth="1"/>
    <col min="13060" max="13312" width="9.140625" style="1594"/>
    <col min="13313" max="13313" width="29.5703125" style="1594" bestFit="1" customWidth="1"/>
    <col min="13314" max="13314" width="19.85546875" style="1594" customWidth="1"/>
    <col min="13315" max="13315" width="12" style="1594" bestFit="1" customWidth="1"/>
    <col min="13316" max="13568" width="9.140625" style="1594"/>
    <col min="13569" max="13569" width="29.5703125" style="1594" bestFit="1" customWidth="1"/>
    <col min="13570" max="13570" width="19.85546875" style="1594" customWidth="1"/>
    <col min="13571" max="13571" width="12" style="1594" bestFit="1" customWidth="1"/>
    <col min="13572" max="13824" width="9.140625" style="1594"/>
    <col min="13825" max="13825" width="29.5703125" style="1594" bestFit="1" customWidth="1"/>
    <col min="13826" max="13826" width="19.85546875" style="1594" customWidth="1"/>
    <col min="13827" max="13827" width="12" style="1594" bestFit="1" customWidth="1"/>
    <col min="13828" max="14080" width="9.140625" style="1594"/>
    <col min="14081" max="14081" width="29.5703125" style="1594" bestFit="1" customWidth="1"/>
    <col min="14082" max="14082" width="19.85546875" style="1594" customWidth="1"/>
    <col min="14083" max="14083" width="12" style="1594" bestFit="1" customWidth="1"/>
    <col min="14084" max="14336" width="9.140625" style="1594"/>
    <col min="14337" max="14337" width="29.5703125" style="1594" bestFit="1" customWidth="1"/>
    <col min="14338" max="14338" width="19.85546875" style="1594" customWidth="1"/>
    <col min="14339" max="14339" width="12" style="1594" bestFit="1" customWidth="1"/>
    <col min="14340" max="14592" width="9.140625" style="1594"/>
    <col min="14593" max="14593" width="29.5703125" style="1594" bestFit="1" customWidth="1"/>
    <col min="14594" max="14594" width="19.85546875" style="1594" customWidth="1"/>
    <col min="14595" max="14595" width="12" style="1594" bestFit="1" customWidth="1"/>
    <col min="14596" max="14848" width="9.140625" style="1594"/>
    <col min="14849" max="14849" width="29.5703125" style="1594" bestFit="1" customWidth="1"/>
    <col min="14850" max="14850" width="19.85546875" style="1594" customWidth="1"/>
    <col min="14851" max="14851" width="12" style="1594" bestFit="1" customWidth="1"/>
    <col min="14852" max="15104" width="9.140625" style="1594"/>
    <col min="15105" max="15105" width="29.5703125" style="1594" bestFit="1" customWidth="1"/>
    <col min="15106" max="15106" width="19.85546875" style="1594" customWidth="1"/>
    <col min="15107" max="15107" width="12" style="1594" bestFit="1" customWidth="1"/>
    <col min="15108" max="15360" width="9.140625" style="1594"/>
    <col min="15361" max="15361" width="29.5703125" style="1594" bestFit="1" customWidth="1"/>
    <col min="15362" max="15362" width="19.85546875" style="1594" customWidth="1"/>
    <col min="15363" max="15363" width="12" style="1594" bestFit="1" customWidth="1"/>
    <col min="15364" max="15616" width="9.140625" style="1594"/>
    <col min="15617" max="15617" width="29.5703125" style="1594" bestFit="1" customWidth="1"/>
    <col min="15618" max="15618" width="19.85546875" style="1594" customWidth="1"/>
    <col min="15619" max="15619" width="12" style="1594" bestFit="1" customWidth="1"/>
    <col min="15620" max="15872" width="9.140625" style="1594"/>
    <col min="15873" max="15873" width="29.5703125" style="1594" bestFit="1" customWidth="1"/>
    <col min="15874" max="15874" width="19.85546875" style="1594" customWidth="1"/>
    <col min="15875" max="15875" width="12" style="1594" bestFit="1" customWidth="1"/>
    <col min="15876" max="16128" width="9.140625" style="1594"/>
    <col min="16129" max="16129" width="29.5703125" style="1594" bestFit="1" customWidth="1"/>
    <col min="16130" max="16130" width="19.85546875" style="1594" customWidth="1"/>
    <col min="16131" max="16131" width="12" style="1594" bestFit="1" customWidth="1"/>
    <col min="16132" max="16384" width="9.140625" style="1594"/>
  </cols>
  <sheetData>
    <row r="1" spans="1:2">
      <c r="A1" s="1594" t="s">
        <v>1212</v>
      </c>
      <c r="B1" s="1615">
        <v>6.1</v>
      </c>
    </row>
    <row r="2" spans="1:2">
      <c r="A2" s="1594" t="s">
        <v>1213</v>
      </c>
      <c r="B2" s="1619">
        <v>43194.391273148147</v>
      </c>
    </row>
    <row r="3" spans="1:2">
      <c r="A3" s="1594" t="s">
        <v>1214</v>
      </c>
      <c r="B3" s="1616" t="s">
        <v>896</v>
      </c>
    </row>
    <row r="4" spans="1:2">
      <c r="A4" s="1594" t="s">
        <v>1215</v>
      </c>
      <c r="B4" s="1616" t="s">
        <v>1216</v>
      </c>
    </row>
    <row r="5" spans="1:2">
      <c r="A5" s="1594" t="s">
        <v>1217</v>
      </c>
      <c r="B5" s="1616" t="s">
        <v>1218</v>
      </c>
    </row>
    <row r="6" spans="1:2">
      <c r="A6" s="1594" t="s">
        <v>1219</v>
      </c>
    </row>
    <row r="7" spans="1:2">
      <c r="A7" s="1594" t="s">
        <v>1220</v>
      </c>
      <c r="B7" s="1616" t="s">
        <v>333</v>
      </c>
    </row>
    <row r="8" spans="1:2">
      <c r="A8" s="1594" t="s">
        <v>1221</v>
      </c>
      <c r="B8" s="1616" t="s">
        <v>1222</v>
      </c>
    </row>
    <row r="9" spans="1:2">
      <c r="A9" s="1594" t="s">
        <v>1223</v>
      </c>
      <c r="B9" s="1616" t="s">
        <v>1260</v>
      </c>
    </row>
    <row r="10" spans="1:2">
      <c r="A10" s="1594" t="s">
        <v>1224</v>
      </c>
    </row>
    <row r="11" spans="1:2">
      <c r="A11" s="1594" t="s">
        <v>1225</v>
      </c>
    </row>
    <row r="12" spans="1:2">
      <c r="A12" s="1594" t="s">
        <v>1226</v>
      </c>
    </row>
    <row r="13" spans="1:2">
      <c r="A13" s="1594" t="s">
        <v>1227</v>
      </c>
    </row>
    <row r="14" spans="1:2">
      <c r="A14" s="1594" t="s">
        <v>1228</v>
      </c>
    </row>
    <row r="15" spans="1:2">
      <c r="A15" s="1594" t="s">
        <v>1229</v>
      </c>
    </row>
    <row r="16" spans="1:2">
      <c r="A16" s="1594" t="s">
        <v>1230</v>
      </c>
    </row>
    <row r="17" spans="1:4">
      <c r="A17" s="1594" t="s">
        <v>1231</v>
      </c>
      <c r="B17" s="1616" t="s">
        <v>1261</v>
      </c>
    </row>
    <row r="18" spans="1:4">
      <c r="A18" s="1594" t="s">
        <v>1232</v>
      </c>
      <c r="B18" s="1616" t="s">
        <v>1264</v>
      </c>
    </row>
    <row r="19" spans="1:4">
      <c r="A19" s="1594" t="s">
        <v>1233</v>
      </c>
      <c r="B19" s="1616" t="s">
        <v>332</v>
      </c>
    </row>
    <row r="20" spans="1:4">
      <c r="A20" s="1594" t="s">
        <v>1234</v>
      </c>
      <c r="B20" s="1617" t="s">
        <v>1265</v>
      </c>
    </row>
    <row r="21" spans="1:4">
      <c r="A21" s="1594" t="s">
        <v>1235</v>
      </c>
      <c r="B21" s="1616" t="s">
        <v>332</v>
      </c>
    </row>
    <row r="22" spans="1:4">
      <c r="A22" s="1594" t="s">
        <v>1236</v>
      </c>
      <c r="B22" s="1617" t="s">
        <v>50</v>
      </c>
    </row>
    <row r="23" spans="1:4">
      <c r="A23" s="1594" t="s">
        <v>485</v>
      </c>
      <c r="B23" s="1615">
        <v>174.67</v>
      </c>
    </row>
    <row r="24" spans="1:4">
      <c r="A24" s="1594" t="s">
        <v>484</v>
      </c>
      <c r="B24" s="1616" t="s">
        <v>21</v>
      </c>
      <c r="D24" s="1594" t="s">
        <v>627</v>
      </c>
    </row>
    <row r="25" spans="1:4">
      <c r="A25" s="1594" t="s">
        <v>1237</v>
      </c>
      <c r="B25" s="1616" t="s">
        <v>1266</v>
      </c>
    </row>
    <row r="26" spans="1:4">
      <c r="A26" s="1594" t="s">
        <v>1238</v>
      </c>
      <c r="B26" s="1616">
        <v>0</v>
      </c>
    </row>
    <row r="27" spans="1:4">
      <c r="A27" s="1594" t="s">
        <v>1239</v>
      </c>
      <c r="B27" s="1616" t="s">
        <v>1240</v>
      </c>
    </row>
    <row r="28" spans="1:4">
      <c r="A28" s="1594" t="s">
        <v>1241</v>
      </c>
      <c r="B28" s="1616" t="s">
        <v>1242</v>
      </c>
    </row>
    <row r="29" spans="1:4">
      <c r="A29" s="1594" t="s">
        <v>1243</v>
      </c>
    </row>
    <row r="30" spans="1:4">
      <c r="A30" s="1594" t="s">
        <v>1244</v>
      </c>
    </row>
    <row r="31" spans="1:4">
      <c r="A31" s="1594" t="s">
        <v>1245</v>
      </c>
    </row>
    <row r="32" spans="1:4">
      <c r="A32" s="1594" t="s">
        <v>1246</v>
      </c>
      <c r="B32" s="1615"/>
    </row>
    <row r="33" spans="1:2">
      <c r="A33" s="1594" t="s">
        <v>1247</v>
      </c>
      <c r="B33" s="1615"/>
    </row>
    <row r="34" spans="1:2">
      <c r="A34" s="1594" t="s">
        <v>1248</v>
      </c>
      <c r="B34" s="1615"/>
    </row>
    <row r="35" spans="1:2">
      <c r="A35" s="1594" t="s">
        <v>1249</v>
      </c>
      <c r="B35" s="1616">
        <v>1000000</v>
      </c>
    </row>
    <row r="36" spans="1:2">
      <c r="A36" s="1594" t="s">
        <v>1250</v>
      </c>
      <c r="B36" s="1616" t="s">
        <v>1262</v>
      </c>
    </row>
    <row r="37" spans="1:2">
      <c r="A37" s="1594" t="s">
        <v>1251</v>
      </c>
      <c r="B37" s="1616" t="s">
        <v>1252</v>
      </c>
    </row>
    <row r="38" spans="1:2">
      <c r="A38" s="1594" t="s">
        <v>1253</v>
      </c>
      <c r="B38" s="1616" t="s">
        <v>1254</v>
      </c>
    </row>
    <row r="39" spans="1:2">
      <c r="A39" s="1594" t="s">
        <v>1255</v>
      </c>
      <c r="B39" s="1616" t="s">
        <v>1263</v>
      </c>
    </row>
    <row r="40" spans="1:2">
      <c r="A40" s="1594" t="s">
        <v>1256</v>
      </c>
      <c r="B40" s="1616">
        <v>1900000858</v>
      </c>
    </row>
    <row r="41" spans="1:2">
      <c r="A41" s="1594" t="s">
        <v>1257</v>
      </c>
      <c r="B41" s="1616">
        <v>5</v>
      </c>
    </row>
    <row r="42" spans="1:2">
      <c r="A42" s="1618" t="s">
        <v>1258</v>
      </c>
    </row>
    <row r="43" spans="1:2">
      <c r="A43" s="1594" t="s">
        <v>1259</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3"/>
  <sheetViews>
    <sheetView workbookViewId="0">
      <selection activeCell="E11" sqref="E11"/>
    </sheetView>
  </sheetViews>
  <sheetFormatPr defaultRowHeight="12.75"/>
  <cols>
    <col min="1" max="1" width="28.5703125" style="1594" bestFit="1" customWidth="1"/>
    <col min="2" max="256" width="9.140625" style="1594"/>
    <col min="257" max="257" width="28.5703125" style="1594" bestFit="1" customWidth="1"/>
    <col min="258" max="512" width="9.140625" style="1594"/>
    <col min="513" max="513" width="28.5703125" style="1594" bestFit="1" customWidth="1"/>
    <col min="514" max="768" width="9.140625" style="1594"/>
    <col min="769" max="769" width="28.5703125" style="1594" bestFit="1" customWidth="1"/>
    <col min="770" max="1024" width="9.140625" style="1594"/>
    <col min="1025" max="1025" width="28.5703125" style="1594" bestFit="1" customWidth="1"/>
    <col min="1026" max="1280" width="9.140625" style="1594"/>
    <col min="1281" max="1281" width="28.5703125" style="1594" bestFit="1" customWidth="1"/>
    <col min="1282" max="1536" width="9.140625" style="1594"/>
    <col min="1537" max="1537" width="28.5703125" style="1594" bestFit="1" customWidth="1"/>
    <col min="1538" max="1792" width="9.140625" style="1594"/>
    <col min="1793" max="1793" width="28.5703125" style="1594" bestFit="1" customWidth="1"/>
    <col min="1794" max="2048" width="9.140625" style="1594"/>
    <col min="2049" max="2049" width="28.5703125" style="1594" bestFit="1" customWidth="1"/>
    <col min="2050" max="2304" width="9.140625" style="1594"/>
    <col min="2305" max="2305" width="28.5703125" style="1594" bestFit="1" customWidth="1"/>
    <col min="2306" max="2560" width="9.140625" style="1594"/>
    <col min="2561" max="2561" width="28.5703125" style="1594" bestFit="1" customWidth="1"/>
    <col min="2562" max="2816" width="9.140625" style="1594"/>
    <col min="2817" max="2817" width="28.5703125" style="1594" bestFit="1" customWidth="1"/>
    <col min="2818" max="3072" width="9.140625" style="1594"/>
    <col min="3073" max="3073" width="28.5703125" style="1594" bestFit="1" customWidth="1"/>
    <col min="3074" max="3328" width="9.140625" style="1594"/>
    <col min="3329" max="3329" width="28.5703125" style="1594" bestFit="1" customWidth="1"/>
    <col min="3330" max="3584" width="9.140625" style="1594"/>
    <col min="3585" max="3585" width="28.5703125" style="1594" bestFit="1" customWidth="1"/>
    <col min="3586" max="3840" width="9.140625" style="1594"/>
    <col min="3841" max="3841" width="28.5703125" style="1594" bestFit="1" customWidth="1"/>
    <col min="3842" max="4096" width="9.140625" style="1594"/>
    <col min="4097" max="4097" width="28.5703125" style="1594" bestFit="1" customWidth="1"/>
    <col min="4098" max="4352" width="9.140625" style="1594"/>
    <col min="4353" max="4353" width="28.5703125" style="1594" bestFit="1" customWidth="1"/>
    <col min="4354" max="4608" width="9.140625" style="1594"/>
    <col min="4609" max="4609" width="28.5703125" style="1594" bestFit="1" customWidth="1"/>
    <col min="4610" max="4864" width="9.140625" style="1594"/>
    <col min="4865" max="4865" width="28.5703125" style="1594" bestFit="1" customWidth="1"/>
    <col min="4866" max="5120" width="9.140625" style="1594"/>
    <col min="5121" max="5121" width="28.5703125" style="1594" bestFit="1" customWidth="1"/>
    <col min="5122" max="5376" width="9.140625" style="1594"/>
    <col min="5377" max="5377" width="28.5703125" style="1594" bestFit="1" customWidth="1"/>
    <col min="5378" max="5632" width="9.140625" style="1594"/>
    <col min="5633" max="5633" width="28.5703125" style="1594" bestFit="1" customWidth="1"/>
    <col min="5634" max="5888" width="9.140625" style="1594"/>
    <col min="5889" max="5889" width="28.5703125" style="1594" bestFit="1" customWidth="1"/>
    <col min="5890" max="6144" width="9.140625" style="1594"/>
    <col min="6145" max="6145" width="28.5703125" style="1594" bestFit="1" customWidth="1"/>
    <col min="6146" max="6400" width="9.140625" style="1594"/>
    <col min="6401" max="6401" width="28.5703125" style="1594" bestFit="1" customWidth="1"/>
    <col min="6402" max="6656" width="9.140625" style="1594"/>
    <col min="6657" max="6657" width="28.5703125" style="1594" bestFit="1" customWidth="1"/>
    <col min="6658" max="6912" width="9.140625" style="1594"/>
    <col min="6913" max="6913" width="28.5703125" style="1594" bestFit="1" customWidth="1"/>
    <col min="6914" max="7168" width="9.140625" style="1594"/>
    <col min="7169" max="7169" width="28.5703125" style="1594" bestFit="1" customWidth="1"/>
    <col min="7170" max="7424" width="9.140625" style="1594"/>
    <col min="7425" max="7425" width="28.5703125" style="1594" bestFit="1" customWidth="1"/>
    <col min="7426" max="7680" width="9.140625" style="1594"/>
    <col min="7681" max="7681" width="28.5703125" style="1594" bestFit="1" customWidth="1"/>
    <col min="7682" max="7936" width="9.140625" style="1594"/>
    <col min="7937" max="7937" width="28.5703125" style="1594" bestFit="1" customWidth="1"/>
    <col min="7938" max="8192" width="9.140625" style="1594"/>
    <col min="8193" max="8193" width="28.5703125" style="1594" bestFit="1" customWidth="1"/>
    <col min="8194" max="8448" width="9.140625" style="1594"/>
    <col min="8449" max="8449" width="28.5703125" style="1594" bestFit="1" customWidth="1"/>
    <col min="8450" max="8704" width="9.140625" style="1594"/>
    <col min="8705" max="8705" width="28.5703125" style="1594" bestFit="1" customWidth="1"/>
    <col min="8706" max="8960" width="9.140625" style="1594"/>
    <col min="8961" max="8961" width="28.5703125" style="1594" bestFit="1" customWidth="1"/>
    <col min="8962" max="9216" width="9.140625" style="1594"/>
    <col min="9217" max="9217" width="28.5703125" style="1594" bestFit="1" customWidth="1"/>
    <col min="9218" max="9472" width="9.140625" style="1594"/>
    <col min="9473" max="9473" width="28.5703125" style="1594" bestFit="1" customWidth="1"/>
    <col min="9474" max="9728" width="9.140625" style="1594"/>
    <col min="9729" max="9729" width="28.5703125" style="1594" bestFit="1" customWidth="1"/>
    <col min="9730" max="9984" width="9.140625" style="1594"/>
    <col min="9985" max="9985" width="28.5703125" style="1594" bestFit="1" customWidth="1"/>
    <col min="9986" max="10240" width="9.140625" style="1594"/>
    <col min="10241" max="10241" width="28.5703125" style="1594" bestFit="1" customWidth="1"/>
    <col min="10242" max="10496" width="9.140625" style="1594"/>
    <col min="10497" max="10497" width="28.5703125" style="1594" bestFit="1" customWidth="1"/>
    <col min="10498" max="10752" width="9.140625" style="1594"/>
    <col min="10753" max="10753" width="28.5703125" style="1594" bestFit="1" customWidth="1"/>
    <col min="10754" max="11008" width="9.140625" style="1594"/>
    <col min="11009" max="11009" width="28.5703125" style="1594" bestFit="1" customWidth="1"/>
    <col min="11010" max="11264" width="9.140625" style="1594"/>
    <col min="11265" max="11265" width="28.5703125" style="1594" bestFit="1" customWidth="1"/>
    <col min="11266" max="11520" width="9.140625" style="1594"/>
    <col min="11521" max="11521" width="28.5703125" style="1594" bestFit="1" customWidth="1"/>
    <col min="11522" max="11776" width="9.140625" style="1594"/>
    <col min="11777" max="11777" width="28.5703125" style="1594" bestFit="1" customWidth="1"/>
    <col min="11778" max="12032" width="9.140625" style="1594"/>
    <col min="12033" max="12033" width="28.5703125" style="1594" bestFit="1" customWidth="1"/>
    <col min="12034" max="12288" width="9.140625" style="1594"/>
    <col min="12289" max="12289" width="28.5703125" style="1594" bestFit="1" customWidth="1"/>
    <col min="12290" max="12544" width="9.140625" style="1594"/>
    <col min="12545" max="12545" width="28.5703125" style="1594" bestFit="1" customWidth="1"/>
    <col min="12546" max="12800" width="9.140625" style="1594"/>
    <col min="12801" max="12801" width="28.5703125" style="1594" bestFit="1" customWidth="1"/>
    <col min="12802" max="13056" width="9.140625" style="1594"/>
    <col min="13057" max="13057" width="28.5703125" style="1594" bestFit="1" customWidth="1"/>
    <col min="13058" max="13312" width="9.140625" style="1594"/>
    <col min="13313" max="13313" width="28.5703125" style="1594" bestFit="1" customWidth="1"/>
    <col min="13314" max="13568" width="9.140625" style="1594"/>
    <col min="13569" max="13569" width="28.5703125" style="1594" bestFit="1" customWidth="1"/>
    <col min="13570" max="13824" width="9.140625" style="1594"/>
    <col min="13825" max="13825" width="28.5703125" style="1594" bestFit="1" customWidth="1"/>
    <col min="13826" max="14080" width="9.140625" style="1594"/>
    <col min="14081" max="14081" width="28.5703125" style="1594" bestFit="1" customWidth="1"/>
    <col min="14082" max="14336" width="9.140625" style="1594"/>
    <col min="14337" max="14337" width="28.5703125" style="1594" bestFit="1" customWidth="1"/>
    <col min="14338" max="14592" width="9.140625" style="1594"/>
    <col min="14593" max="14593" width="28.5703125" style="1594" bestFit="1" customWidth="1"/>
    <col min="14594" max="14848" width="9.140625" style="1594"/>
    <col min="14849" max="14849" width="28.5703125" style="1594" bestFit="1" customWidth="1"/>
    <col min="14850" max="15104" width="9.140625" style="1594"/>
    <col min="15105" max="15105" width="28.5703125" style="1594" bestFit="1" customWidth="1"/>
    <col min="15106" max="15360" width="9.140625" style="1594"/>
    <col min="15361" max="15361" width="28.5703125" style="1594" bestFit="1" customWidth="1"/>
    <col min="15362" max="15616" width="9.140625" style="1594"/>
    <col min="15617" max="15617" width="28.5703125" style="1594" bestFit="1" customWidth="1"/>
    <col min="15618" max="15872" width="9.140625" style="1594"/>
    <col min="15873" max="15873" width="28.5703125" style="1594" bestFit="1" customWidth="1"/>
    <col min="15874" max="16128" width="9.140625" style="1594"/>
    <col min="16129" max="16129" width="28.5703125" style="1594" bestFit="1" customWidth="1"/>
    <col min="16130" max="16384" width="9.140625" style="1594"/>
  </cols>
  <sheetData>
    <row r="1" spans="1:1">
      <c r="A1" s="1620" t="s">
        <v>1267</v>
      </c>
    </row>
    <row r="2" spans="1:1">
      <c r="A2" s="1620" t="s">
        <v>1272</v>
      </c>
    </row>
    <row r="3" spans="1:1">
      <c r="A3" s="1620" t="s">
        <v>1273</v>
      </c>
    </row>
    <row r="4" spans="1:1">
      <c r="A4" s="1620" t="s">
        <v>1274</v>
      </c>
    </row>
    <row r="5" spans="1:1">
      <c r="A5" s="1620" t="s">
        <v>1275</v>
      </c>
    </row>
    <row r="6" spans="1:1">
      <c r="A6" s="1620" t="s">
        <v>1268</v>
      </c>
    </row>
    <row r="7" spans="1:1">
      <c r="A7" s="1620" t="s">
        <v>1276</v>
      </c>
    </row>
    <row r="8" spans="1:1">
      <c r="A8" s="1620" t="s">
        <v>1277</v>
      </c>
    </row>
    <row r="9" spans="1:1">
      <c r="A9" s="1620" t="s">
        <v>1278</v>
      </c>
    </row>
    <row r="10" spans="1:1">
      <c r="A10" s="1620" t="s">
        <v>1269</v>
      </c>
    </row>
    <row r="11" spans="1:1">
      <c r="A11" s="1620" t="s">
        <v>1279</v>
      </c>
    </row>
    <row r="12" spans="1:1">
      <c r="A12" s="1620" t="s">
        <v>1270</v>
      </c>
    </row>
    <row r="13" spans="1:1">
      <c r="A13" s="1620" t="s">
        <v>1271</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H2"/>
  <sheetViews>
    <sheetView workbookViewId="0"/>
  </sheetViews>
  <sheetFormatPr defaultRowHeight="12.75"/>
  <sheetData>
    <row r="1" spans="1:8">
      <c r="A1" t="s">
        <v>52</v>
      </c>
    </row>
    <row r="2" spans="1:8">
      <c r="A2" s="2" t="s">
        <v>47</v>
      </c>
      <c r="B2" s="2" t="s">
        <v>21</v>
      </c>
      <c r="C2" s="2" t="s">
        <v>49</v>
      </c>
      <c r="D2" s="2" t="s">
        <v>50</v>
      </c>
      <c r="E2" s="2" t="s">
        <v>48</v>
      </c>
      <c r="F2" s="2" t="s">
        <v>882</v>
      </c>
      <c r="G2" s="2" t="s">
        <v>51</v>
      </c>
      <c r="H2" s="2" t="s">
        <v>39</v>
      </c>
    </row>
  </sheetData>
  <phoneticPr fontId="8" type="noConversion"/>
  <pageMargins left="0.7" right="0.7" top="0.75" bottom="0.75" header="0.3" footer="0.3"/>
  <pageSetup orientation="portrait" r:id="rId1"/>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Links xmlns:lk="thomsonreuters.linking.metadata">
  <Link>
    <GUID>9af13e3d-16b5-4bda-8254-5141467a0903</GUID>
    <SOURCETYPE>Chart</SOURCETYPE>
    <SOURCE_OBJECTNAME>Chart 1</SOURCE_OBJECTNAME>
    <SOURCE_SHEETCODE>Sheet37</SOURCE_SHEETCODE>
    <SOURCE_SHEETNAME>Quarterly Charts</SOURCE_SHEETNAME>
    <OBJECTTYPE>Native</OBJECTTYPE>
    <SOURCEAPPLICATION>EXCEL_SOURCE</SOURCEAPPLICATION>
    <UPDATEDAT>3/15/2015 4:49:11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/MSResearch/Content/ExternalAssets/2015-03/Images/6WawcmdEtkmp584VvZqTMw--.png</TARGET_BINARYFULLNAME>
    <TARGET_STORYFULLNAME>/MSResearch/Content/ExternalAssets/2015-03/Sections/20150315_044905_Chart1.xml</TARGET_STORYFULLNAME>
    <TARGET_UUID>22f0c710-caf0-11e4-b2c3-562df972b59d</TARGET_UUID>
  </Link>
  <Link>
    <GUID>4d1a9811-555f-4e42-aa4e-57ae59bb1c24</GUID>
    <SOURCETYPE>Chart</SOURCETYPE>
    <SOURCE_OBJECTNAME>Chart 51</SOURCE_OBJECTNAME>
    <SOURCE_SHEETCODE>Sheet37</SOURCE_SHEETCODE>
    <SOURCE_SHEETNAME>Quarterly Charts</SOURCE_SHEETNAME>
    <OBJECTTYPE>Native</OBJECTTYPE>
    <SOURCEAPPLICATION>EXCEL_SOURCE</SOURCEAPPLICATION>
    <UPDATEDAT>3/15/2015 4:50:47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/MSResearch/Content/ExternalAssets/2015-03/Images/jv1GHRTCfE_e-Y6V94IQQ--.png</TARGET_BINARYFULLNAME>
    <TARGET_STORYFULLNAME>/MSResearch/Content/ExternalAssets/2015-03/Sections/20150315_045040_Chart51.xml</TARGET_STORYFULLNAME>
    <TARGET_UUID>5bcb0550-caf0-11e4-b2c3-562df972b59d</TARGET_UUID>
  </Link>
  <Link>
    <GUID>993b9087-48cc-4ca0-8ad3-68cd1bd83701</GUID>
    <SOURCETYPE>Chart</SOURCETYPE>
    <SOURCE_OBJECTNAME>Chart 52</SOURCE_OBJECTNAME>
    <SOURCE_SHEETCODE>Sheet37</SOURCE_SHEETCODE>
    <SOURCE_SHEETNAME>Quarterly Charts</SOURCE_SHEETNAME>
    <OBJECTTYPE>Native</OBJECTTYPE>
    <SOURCEAPPLICATION>EXCEL_SOURCE</SOURCEAPPLICATION>
    <UPDATEDAT>3/15/2015 4:51:34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/MSResearch/Content/ExternalAssets/2015-03/Images/XWpzVmDPQUeIhafZJmE6SQ--.png</TARGET_BINARYFULLNAME>
    <TARGET_STORYFULLNAME>/MSResearch/Content/ExternalAssets/2015-03/Sections/20150315_045127_Chart52.xml</TARGET_STORYFULLNAME>
    <TARGET_UUID>77864ab6-caf0-11e4-b2c3-562df972b59d</TARGET_UUID>
  </Link>
  <Link>
    <GUID>2cc748d6-4436-4516-bb51-8b687094581f</GUID>
    <SOURCETYPE>Chart</SOURCETYPE>
    <SOURCE_OBJECTNAME>Chart 8</SOURCE_OBJECTNAME>
    <SOURCE_SHEETCODE>Sheet37</SOURCE_SHEETCODE>
    <SOURCE_SHEETNAME>Quarterly Charts</SOURCE_SHEETNAME>
    <OBJECTTYPE>Native</OBJECTTYPE>
    <SOURCEAPPLICATION>EXCEL_SOURCE</SOURCEAPPLICATION>
    <UPDATEDAT>3/15/2015 4:52:53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/MSResearch/Content/ExternalAssets/2015-03/Images/SE8_kYocAE2FDYJr9ONSVw--.png</TARGET_BINARYFULLNAME>
    <TARGET_STORYFULLNAME>/MSResearch/Content/ExternalAssets/2015-03/Sections/20150315_045247_Chart8.xml</TARGET_STORYFULLNAME>
    <TARGET_UUID>a6fd12d4-caf0-11e4-b2c3-562df972b59d</TARGET_UUID>
  </Link>
  <Link>
    <GUID>8468051f-7c5b-4b95-9f16-ff2d6a017e3e</GUID>
    <SOURCETYPE>Chart</SOURCETYPE>
    <SOURCE_OBJECTNAME>MWA_Risk_Reward</SOURCE_OBJECTNAME>
    <SOURCE_SHEETCODE>MWRSSData</SOURCE_SHEETCODE>
    <SOURCE_SHEETNAME>MWA RR</SOURCE_SHEETNAME>
    <OBJECTTYPE>Native</OBJECTTYPE>
    <SOURCEAPPLICATION>EXCEL_SOURCE</SOURCEAPPLICATION>
    <UPDATEDAT>3/16/2015 12:36:16 AM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/MSResearch/Content/ExternalAssets/2015-03/Images/dAhITpWiCEmuRx5rO-HuSg--.png</TARGET_BINARYFULLNAME>
    <TARGET_STORYFULLNAME>/MSResearch/Content/ExternalAssets/2015-03/Sections/20150315_123610_MWA_Risk_Reward.xml</TARGET_STORYFULLNAME>
    <TARGET_UUID>6334114c-cb31-11e4-b2c3-562df972b59d</TARGET_UUID>
  </Link>
  <Link>
    <GUID>88623963-a8ca-4d2c-9062-90128f06c203</GUID>
    <SOURCE_ALTADDRESS>$K$8:$R$13</SOURCE_ALTADDRESS>
    <SOURCETYPE>Table</SOURCETYPE>
    <SOURCE_OBJECTNAME>Linking_Range_124</SOURCE_OBJECTNAME>
    <OBJECTTYPE>Native</OBJECTTYPE>
    <SOURCE_SHEETCODE>Sheet13</SOURCE_SHEETCODE>
    <SOURCE_SHEETNAME>Scenario</SOURCE_SHEETNAME>
    <SOURCEAPPLICATION>EXCEL_SOURCE</SOURCEAPPLICATION>
    <UPDATEDAT>3/16/2015 8:23:34 AM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/MSResearch/Content/ExternalAssets/2015-03/Images/XJGX7gl1ykiDxfmiPjPYQQ--.png</TARGET_BINARYFULLNAME>
    <TARGET_STORYFULLNAME>/MSResearch/Content/ExternalAssets/2015-03/Sections/20150315_082329_Linking_Range_124.xml</TARGET_STORYFULLNAME>
    <TARGET_UUID>ab6698cc-cb72-11e4-b2c3-562df972b59d</TARGET_UUID>
  </Link>
  <Link>
    <GUID>7f62358c-323e-4707-b45b-356daa0916fb</GUID>
    <SOURCE_ALTADDRESS>$K$8:$U$13</SOURCE_ALTADDRESS>
    <SOURCETYPE>Table</SOURCETYPE>
    <SOURCE_OBJECTNAME>Linking_Range_125</SOURCE_OBJECTNAME>
    <OBJECTTYPE>Native</OBJECTTYPE>
    <SOURCE_SHEETCODE>Sheet13</SOURCE_SHEETCODE>
    <SOURCE_SHEETNAME>Scenario</SOURCE_SHEETNAME>
    <SOURCEAPPLICATION>EXCEL_SOURCE</SOURCEAPPLICATION>
    <UPDATEDAT>3/16/2015 8:25:17 AM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/MSResearch/Content/ExternalAssets/2015-03/Images/jp5FkWO9kmxGr4AUUYprw--.png</TARGET_BINARYFULLNAME>
    <TARGET_STORYFULLNAME>/MSResearch/Content/ExternalAssets/2015-03/Sections/20150315_082512_Linking_Range_125.xml</TARGET_STORYFULLNAME>
    <TARGET_UUID>e93ca89e-cb72-11e4-b2c3-562df972b59d</TARGET_UUID>
  </Link>
  <Link>
    <GUID>17adc523-c21b-4931-a7c5-6aaeb0d725a6</GUID>
    <SOURCETYPE>Chart</SOURCETYPE>
    <SOURCE_OBJECTNAME>Chart 15</SOURCE_OBJECTNAME>
    <SOURCE_SHEETCODE>Sheet37</SOURCE_SHEETCODE>
    <SOURCE_SHEETNAME>Quarterly Charts</SOURCE_SHEETNAME>
    <OBJECTTYPE>Native</OBJECTTYPE>
    <SOURCEAPPLICATION>EXCEL_SOURCE</SOURCEAPPLICATION>
    <UPDATEDAT>3/16/2015 3:56:54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/MSResearch/Content/ExternalAssets/2015-03/Images/RC-G3eAnpU2TGOjNr2Uiqg--.png</TARGET_BINARYFULLNAME>
    <TARGET_STORYFULLNAME>/MSResearch/Content/ExternalAssets/2015-03/Sections/20150315_043602_Chart15.xml</TARGET_STORYFULLNAME>
    <TARGET_UUID>508392fe-caee-11e4-b2c3-562df972b59d</TARGET_UUID>
    <HIDEGRIDLINES>False</HIDEGRIDLINES>
    <LINKSTATUS>Unknown</LINKSTATUS>
  </Link>
  <Link>
    <GUID>3c98fde6-8904-4015-80a8-aa336309f2e6</GUID>
    <SOURCETYPE>Chart</SOURCETYPE>
    <SOURCE_OBJECTNAME>Chart 53</SOURCE_OBJECTNAME>
    <SOURCE_SHEETCODE>Sheet37</SOURCE_SHEETCODE>
    <SOURCE_SHEETNAME>Quarterly Charts</SOURCE_SHEETNAME>
    <OBJECTTYPE>Native</OBJECTTYPE>
    <SOURCEAPPLICATION>EXCEL_SOURCE</SOURCEAPPLICATION>
    <UPDATEDAT>3/16/2015 3:56:56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/MSResearch/Content/ExternalAssets/2015-03/Images/AKUJcedEikqaMZX8HMjA-g--.png</TARGET_BINARYFULLNAME>
    <TARGET_STORYFULLNAME>/MSResearch/Content/ExternalAssets/2015-03/Sections/20150315_044038_Chart53.xml</TARGET_STORYFULLNAME>
    <TARGET_UUID>f503553a-caee-11e4-b2c3-562df972b59d</TARGET_UUID>
    <LINKSTATUS>Unknown</LINKSTATUS>
  </Link>
  <Link>
    <GUID>8b186ea2-ca12-4e74-9ba9-6ba5daf5d500</GUID>
    <SOURCE_ALTADDRESS>$AF$361:$AN$381</SOURCE_ALTADDRESS>
    <SOURCETYPE>Table</SOURCETYPE>
    <SOURCE_OBJECTNAME>Linking_Range_118</SOURCE_OBJECTNAME>
    <OBJECTTYPE>Native</OBJECTTYPE>
    <SOURCE_SHEETCODE>Sheet37</SOURCE_SHEETCODE>
    <SOURCE_SHEETNAME>Quarterly Charts</SOURCE_SHEETNAME>
    <SOURCEAPPLICATION>EXCEL_SOURCE</SOURCEAPPLICATION>
    <UPDATEDAT>3/16/2015 3:56:58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/MSResearch/Content/ExternalAssets/2015-03/Images/bVi8Pml-WUmVyJoHITJSnw--.png</TARGET_BINARYFULLNAME>
    <TARGET_STORYFULLNAME>/MSResearch/Content/ExternalAssets/2015-03/Sections/20150315_044156_Linking_Range_118.xml</TARGET_STORYFULLNAME>
    <TARGET_UUID>2346041a-caef-11e4-b2c3-562df972b59d</TARGET_UUID>
    <LINKSTATUS>Unknown</LINKSTATUS>
  </Link>
  <Link>
    <GUID>46d03f7e-2193-4107-a5ed-2faeba082f90</GUID>
    <SOURCE_ALTADDRESS>$X$227:$AC$243</SOURCE_ALTADDRESS>
    <SOURCETYPE>Table</SOURCETYPE>
    <SOURCE_OBJECTNAME>Linking_Range_119</SOURCE_OBJECTNAME>
    <OBJECTTYPE>Native</OBJECTTYPE>
    <SOURCE_SHEETCODE>Sheet37</SOURCE_SHEETCODE>
    <SOURCE_SHEETNAME>Quarterly Charts</SOURCE_SHEETNAME>
    <SOURCEAPPLICATION>EXCEL_SOURCE</SOURCEAPPLICATION>
    <UPDATEDAT>3/16/2015 3:56:59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/MSResearch/Content/ExternalAssets/2015-03/Images/3DyxB7inyEODbH2aGxWomQ--.png</TARGET_BINARYFULLNAME>
    <TARGET_STORYFULLNAME>/MSResearch/Content/ExternalAssets/2015-03/Sections/20150315_044624_Linking_Range_119.xml</TARGET_STORYFULLNAME>
    <TARGET_UUID>c2c1ef04-caef-11e4-b2c3-562df972b59d</TARGET_UUID>
    <LINKSTATUS>Unknown</LINKSTATUS>
  </Link>
  <Link>
    <GUID>7b35b856-2178-4623-9545-f245624bec65</GUID>
    <SOURCE_ALTADDRESS>$Q$228:$V$244</SOURCE_ALTADDRESS>
    <SOURCETYPE>Table</SOURCETYPE>
    <SOURCE_OBJECTNAME>Linking_Range_120</SOURCE_OBJECTNAME>
    <OBJECTTYPE>Native</OBJECTTYPE>
    <SOURCE_SHEETCODE>Sheet37</SOURCE_SHEETCODE>
    <SOURCE_SHEETNAME>Quarterly Charts</SOURCE_SHEETNAME>
    <SOURCEAPPLICATION>EXCEL_SOURCE</SOURCEAPPLICATION>
    <UPDATEDAT>3/16/2015 3:57:00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/MSResearch/Content/ExternalAssets/2015-03/Images/exoMwBeFGdnqnrnxZBig--.png</TARGET_BINARYFULLNAME>
    <TARGET_STORYFULLNAME>/MSResearch/Content/ExternalAssets/2015-03/Sections/20150315_044653_Linking_Range_12.xml</TARGET_STORYFULLNAME>
    <TARGET_UUID>d416255e-caef-11e4-b2c3-562df972b59d</TARGET_UUID>
    <LINKSTATUS>Unknown</LINKSTATUS>
  </Link>
  <Link>
    <GUID>d7786086-355d-4408-9fa4-dcf4a49cc697</GUID>
    <SOURCE_ALTADDRESS>$A$168:$K$182</SOURCE_ALTADDRESS>
    <SOURCETYPE>Table</SOURCETYPE>
    <SOURCE_OBJECTNAME>Linking_Range_103</SOURCE_OBJECTNAME>
    <OBJECTTYPE>Native</OBJECTTYPE>
    <SOURCE_SHEETCODE>Sheet37</SOURCE_SHEETCODE>
    <SOURCE_SHEETNAME>Quarterly Charts</SOURCE_SHEETNAME>
    <SOURCEAPPLICATION>EXCEL_SOURCE</SOURCEAPPLICATION>
    <UPDATEDAT>3/16/2015 3:57:01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/MSResearch/Content/ExternalAssets/2015-03/Images/w7NKuNoJyUigT1As_-LIDQ--.png</TARGET_BINARYFULLNAME>
    <TARGET_STORYFULLNAME>/MSResearch/Content/ExternalAssets/2015-03/Sections/20150315_044801_Linking_Range_13.xml</TARGET_STORYFULLNAME>
    <TARGET_UUID>fcb4b700-caef-11e4-b2c3-562df972b59d</TARGET_UUID>
    <LINKSTATUS>Unknown</LINKSTATUS>
  </Link>
  <Link>
    <GUID>86419060-94f8-46e6-babe-555f82b5ef20</GUID>
    <SOURCETYPE>Chart</SOURCETYPE>
    <SOURCE_OBJECTNAME>Chart 45</SOURCE_OBJECTNAME>
    <SOURCE_SHEETCODE>Sheet37</SOURCE_SHEETCODE>
    <SOURCE_SHEETNAME>Quarterly Charts</SOURCE_SHEETNAME>
    <OBJECTTYPE>Native</OBJECTTYPE>
    <SOURCEAPPLICATION>EXCEL_SOURCE</SOURCEAPPLICATION>
    <UPDATEDAT>3/16/2015 4:33:14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/MSResearch/Content/ExternalAssets/2015-03/Images/9Mbp7224Dk_l3V9rKP4SHg--.png</TARGET_BINARYFULLNAME>
    <TARGET_STORYFULLNAME>/MSResearch/Content/ExternalAssets/2015-03/Sections/20150316_043306_Chart45.xml</TARGET_STORYFULLNAME>
    <TARGET_UUID>1203926c-cbb7-11e4-b2c3-562df972b59d</TARGET_UUID>
  </Link>
  <Link>
    <GUID>50c67e73-db90-4476-bc06-d88c173269fb</GUID>
    <SOURCETYPE>Chart</SOURCETYPE>
    <SOURCE_OBJECTNAME>Chart 46</SOURCE_OBJECTNAME>
    <SOURCE_SHEETCODE>Sheet37</SOURCE_SHEETCODE>
    <SOURCE_SHEETNAME>Quarterly Charts</SOURCE_SHEETNAME>
    <OBJECTTYPE>Native</OBJECTTYPE>
    <SOURCEAPPLICATION>EXCEL_SOURCE</SOURCEAPPLICATION>
    <UPDATEDAT>3/16/2015 4:34:29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/MSResearch/Content/ExternalAssets/2015-03/Images/szRPzgObfU6qqfLpJ-FKJA--.png</TARGET_BINARYFULLNAME>
    <TARGET_STORYFULLNAME>/MSResearch/Content/ExternalAssets/2015-03/Sections/20150316_043423_Chart46.xml</TARGET_STORYFULLNAME>
    <TARGET_UUID>3f802c6e-cbb7-11e4-b2c3-562df972b59d</TARGET_UUID>
  </Link>
  <Link>
    <GUID>a31c9007-cb22-4393-ba52-bcc430a53cbb</GUID>
    <SOURCETYPE>Chart</SOURCETYPE>
    <SOURCE_OBJECTNAME>Chart 33</SOURCE_OBJECTNAME>
    <SOURCE_SHEETCODE>Sheet37</SOURCE_SHEETCODE>
    <SOURCE_SHEETNAME>Quarterly Charts</SOURCE_SHEETNAME>
    <OBJECTTYPE>Native</OBJECTTYPE>
    <SOURCEAPPLICATION>EXCEL_SOURCE</SOURCEAPPLICATION>
    <UPDATEDAT>3/16/2015 4:35:39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/MSResearch/Content/ExternalAssets/2015-03/Images/xe42AKqMTEqHdG2mENBgwA--.png</TARGET_BINARYFULLNAME>
    <TARGET_STORYFULLNAME>/MSResearch/Content/ExternalAssets/2015-03/Sections/20150316_043534_Chart33.xml</TARGET_STORYFULLNAME>
    <TARGET_UUID>69e3edc4-cbb7-11e4-b2c3-562df972b59d</TARGET_UUID>
  </Link>
  <Link>
    <GUID>f233115c-831a-4865-8d52-dfa4c8d4f79f</GUID>
    <SOURCETYPE>Chart</SOURCETYPE>
    <SOURCE_OBJECTNAME>Chart 34</SOURCE_OBJECTNAME>
    <SOURCE_SHEETCODE>Sheet37</SOURCE_SHEETCODE>
    <SOURCE_SHEETNAME>Quarterly Charts</SOURCE_SHEETNAME>
    <OBJECTTYPE>Native</OBJECTTYPE>
    <SOURCEAPPLICATION>EXCEL_SOURCE</SOURCEAPPLICATION>
    <UPDATEDAT>3/16/2015 4:36:14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/MSResearch/Content/ExternalAssets/2015-03/Images/BlhrAW1ZEyOjJ_uBheVPQ--.png</TARGET_BINARYFULLNAME>
    <TARGET_STORYFULLNAME>/MSResearch/Content/ExternalAssets/2015-03/Sections/20150316_043609_Chart34.xml</TARGET_STORYFULLNAME>
    <TARGET_UUID>7eb5deec-cbb7-11e4-b2c3-562df972b59d</TARGET_UUID>
  </Link>
  <Link>
    <GUID>4860afec-8853-4822-8537-71c3b64b3a06</GUID>
    <SOURCETYPE>Chart</SOURCETYPE>
    <SOURCE_OBJECTNAME>Chart 47</SOURCE_OBJECTNAME>
    <SOURCE_SHEETCODE>Sheet37</SOURCE_SHEETCODE>
    <SOURCE_SHEETNAME>Quarterly Charts</SOURCE_SHEETNAME>
    <OBJECTTYPE>Native</OBJECTTYPE>
    <SOURCEAPPLICATION>EXCEL_SOURCE</SOURCEAPPLICATION>
    <UPDATEDAT>3/16/2015 4:37:45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/MSResearch/Content/ExternalAssets/2015-03/Images/dRTaPuyyKkG-Xu5HxPxbA--.png</TARGET_BINARYFULLNAME>
    <TARGET_STORYFULLNAME>/MSResearch/Content/ExternalAssets/2015-03/Sections/20150316_043739_Chart47.xml</TARGET_STORYFULLNAME>
    <TARGET_UUID>b471631c-cbb7-11e4-b2c3-562df972b59d</TARGET_UUID>
  </Link>
  <Link>
    <GUID>9fb15955-405e-4a98-bf9e-1b5ffd83ef12</GUID>
    <SOURCETYPE>Chart</SOURCETYPE>
    <SOURCE_OBJECTNAME>Chart 48</SOURCE_OBJECTNAME>
    <SOURCE_SHEETCODE>Sheet37</SOURCE_SHEETCODE>
    <SOURCE_SHEETNAME>Quarterly Charts</SOURCE_SHEETNAME>
    <OBJECTTYPE>Native</OBJECTTYPE>
    <SOURCEAPPLICATION>EXCEL_SOURCE</SOURCEAPPLICATION>
    <UPDATEDAT>3/16/2015 4:38:25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/MSResearch/Content/ExternalAssets/2015-03/Images/ZHaXNxXKwEG-EgCrTmBxVA--.png</TARGET_BINARYFULLNAME>
    <TARGET_STORYFULLNAME>/MSResearch/Content/ExternalAssets/2015-03/Sections/20150316_043820_Chart48.xml</TARGET_STORYFULLNAME>
    <TARGET_UUID>ccb72560-cbb7-11e4-b2c3-562df972b59d</TARGET_UUID>
  </Link>
  <Link>
    <GUID>8c87c43a-04ed-411d-88ca-440a53a9df6d</GUID>
    <SOURCETYPE>Chart</SOURCETYPE>
    <SOURCE_OBJECTNAME>Chart 57</SOURCE_OBJECTNAME>
    <SOURCE_SHEETCODE>Sheet37</SOURCE_SHEETCODE>
    <SOURCE_SHEETNAME>Quarterly Charts</SOURCE_SHEETNAME>
    <OBJECTTYPE>Native</OBJECTTYPE>
    <SOURCEAPPLICATION>EXCEL_SOURCE</SOURCEAPPLICATION>
    <UPDATEDAT>3/16/2015 4:39:56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/MSResearch/Content/ExternalAssets/2015-03/Images/WNo1nHWE5WeWlixisCpGg--.png</TARGET_BINARYFULLNAME>
    <TARGET_STORYFULLNAME>/MSResearch/Content/ExternalAssets/2015-03/Sections/20150316_043916_Chart57.xml</TARGET_STORYFULLNAME>
    <TARGET_UUID>ee67002c-cbb7-11e4-b2c3-562df972b59d</TARGET_UUID>
    <HIDEGRIDLINES>False</HIDEGRIDLINES>
  </Link>
  <Link>
    <GUID>aa89bf0a-172f-4ab4-ba46-72ee7346327d</GUID>
    <SOURCETYPE>Chart</SOURCETYPE>
    <SOURCE_OBJECTNAME>Chart 58</SOURCE_OBJECTNAME>
    <SOURCE_SHEETCODE>Sheet37</SOURCE_SHEETCODE>
    <SOURCE_SHEETNAME>Quarterly Charts</SOURCE_SHEETNAME>
    <OBJECTTYPE>Native</OBJECTTYPE>
    <SOURCEAPPLICATION>EXCEL_SOURCE</SOURCEAPPLICATION>
    <UPDATEDAT>3/16/2015 4:40:36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/MSResearch/Content/ExternalAssets/2015-03/Images/zvfFv1NElk_PuDCjuPSmFA--.png</TARGET_BINARYFULLNAME>
    <TARGET_STORYFULLNAME>/MSResearch/Content/ExternalAssets/2015-03/Sections/20150316_044030_Chart58.xml</TARGET_STORYFULLNAME>
    <TARGET_UUID>1a747e42-cbb8-11e4-b2c3-562df972b59d</TARGET_UUID>
  </Link>
  <Link>
    <GUID>611a24d7-1231-4cfb-a6a1-c77186c86dfd</GUID>
    <SOURCETYPE>Chart</SOURCETYPE>
    <SOURCE_OBJECTNAME>66</SOURCE_OBJECTNAME>
    <SOURCE_SHEETCODE>Sheet37</SOURCE_SHEETCODE>
    <SOURCE_SHEETNAME>Quarterly Charts</SOURCE_SHEETNAME>
    <OBJECTTYPE>Native</OBJECTTYPE>
    <SOURCEAPPLICATION>EXCEL_SOURCE</SOURCEAPPLICATION>
    <UPDATEDAT>3/16/2015 5:27:43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/MSResearch/Content/ExternalAssets/2015-03/Images/oAlG7pawTEGN81S3K2BhSw--.png</TARGET_BINARYFULLNAME>
    <TARGET_STORYFULLNAME>/MSResearch/Content/ExternalAssets/2015-03/Sections/20150315_045318_66.xml</TARGET_STORYFULLNAME>
    <TARGET_UUID>b9fc89fa-caf0-11e4-b2c3-562df972b59d</TARGET_UUID>
    <HIDEGRIDLINES>False</HIDEGRIDLINES>
  </Link>
  <Link>
    <GUID>d41d4914-5f55-4163-b580-da9a2ab830c6</GUID>
    <SOURCETYPE>Chart</SOURCETYPE>
    <SOURCE_OBJECTNAME>98</SOURCE_OBJECTNAME>
    <SOURCE_SHEETCODE>Sheet37</SOURCE_SHEETCODE>
    <SOURCE_SHEETNAME>Quarterly Charts</SOURCE_SHEETNAME>
    <OBJECTTYPE>Native</OBJECTTYPE>
    <SOURCEAPPLICATION>EXCEL_SOURCE</SOURCEAPPLICATION>
    <UPDATEDAT>3/16/2015 5:28:46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/MSResearch/Content/ExternalAssets/2015-03/Images/woyyIb7Tk_6x4WIBveAUw--.png</TARGET_BINARYFULLNAME>
    <TARGET_STORYFULLNAME>/MSResearch/Content/ExternalAssets/2015-03/Sections/20150315_044945_98.xml</TARGET_STORYFULLNAME>
    <TARGET_UUID>3af64182-caf0-11e4-b2c3-562df972b59d</TARGET_UUID>
    <HIDEGRIDLINES>False</HIDEGRIDLINES>
  </Link>
  <Link>
    <GUID>81c4cdc8-0285-4751-a2c7-319f94ef0505</GUID>
    <SOURCETYPE>Chart</SOURCETYPE>
    <SOURCE_OBJECTNAME>Chart 16</SOURCE_OBJECTNAME>
    <SOURCE_SHEETCODE>Sheet37</SOURCE_SHEETCODE>
    <SOURCE_SHEETNAME>Quarterly Charts</SOURCE_SHEETNAME>
    <OBJECTTYPE>Native</OBJECTTYPE>
    <SOURCEAPPLICATION>EXCEL_SOURCE</SOURCEAPPLICATION>
    <UPDATEDAT>3/16/2015 5:30:10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/MSResearch/Content/ExternalAssets/2015-03/Images/RvEo9Tan9kSkow-JLq4cgg--.png</TARGET_BINARYFULLNAME>
    <TARGET_STORYFULLNAME>/MSResearch/Content/ExternalAssets/2015-03/Sections/20150315_043743_Chart16.xml</TARGET_STORYFULLNAME>
    <TARGET_UUID>8cb010ae-caee-11e4-b2c3-562df972b59d</TARGET_UUID>
    <LINKSTATUS>Unknown</LINKSTATUS>
    <HIDEGRIDLINES>False</HIDEGRIDLINES>
  </Link>
  <Link>
    <GUID>cce3c65f-d445-4e46-9e9f-b007dd724627</GUID>
    <SOURCETYPE>Chart</SOURCETYPE>
    <SOURCE_OBJECTNAME>Chart 13</SOURCE_OBJECTNAME>
    <SOURCE_SHEETCODE>Sheet37</SOURCE_SHEETCODE>
    <SOURCE_SHEETNAME>Quarterly Charts</SOURCE_SHEETNAME>
    <OBJECTTYPE>Native</OBJECTTYPE>
    <SOURCEAPPLICATION>EXCEL_SOURCE</SOURCEAPPLICATION>
    <UPDATEDAT>3/16/2015 5:32:42 PM</UPDATEDAT>
    <SOURCE_ISOUTOFDATE>False</SOURCE_ISOUTOFDATE>
    <SOURCE_WORKBOOKNAME>Alibaba.xlsm</SOURCE_WORKBOOKNAME>
    <SOURCE_WORKBOOKPATH>\\MSAD\ROOT\AP\HK\LIB\ER\ecomm\Alibaba\Financials</SOURCE_WORKBOOKPATH>
    <TRANSPARENTBACKGROUND>False</TRANSPARENTBACKGROUND>
    <TRANSPARENTPLOTAREA>False</TRANSPARENTPLOTAREA>
    <TARGETTYPE>Picture</TARGETTYPE>
    <TARGETAPPLICATION>METHODE_TARGET</TARGETAPPLICATION>
    <TABLEBACKGROUND>Existing</TABLEBACKGROUND>
    <EXTRACTSOURCEMODE>CopyToClipboard</EXTRACTSOURCEMODE>
    <TARGET_BINARYFULLNAME>/MSResearch/Content/ExternalAssets/2015-03/Images/ZC3cNfXRxUGviDev3klHlQ--.png</TARGET_BINARYFULLNAME>
    <TARGET_STORYFULLNAME>/MSResearch/Content/ExternalAssets/2015-03/Sections/20150315_043218_Chart13.xml</TARGET_STORYFULLNAME>
    <TARGET_UUID>cae6893a-caed-11e4-b2c3-562df972b59d</TARGET_UUID>
    <LINKSTATUS>Unknown</LINKSTATUS>
    <HIDEGRIDLINES>False</HIDEGRIDLINES>
  </Link>
  <Link>
    <GUID>55b707c8-2691-43bd-b7b8-ffb5ae71b04f</GUID>
    <SOURCE_ALTADDRESS>$K$8:$O$13</SOURCE_ALTADDRESS>
    <SOURCETYPE>Table</SOURCETYPE>
    <SOURCE_OBJECTNAME>Linking_Range_123</SOURCE_OBJECTNAME>
    <OBJECTTYPE>Native</OBJECTTYPE>
    <SOURCE_SHEETCODE>Sheet13</SOURCE_SHEETCODE>
    <SOURCE_SHEETNAME>Scenario</SOURCE_SHEETNAME>
    <SOURCEAPPLICATION>EXCEL_SOURCE</SOURCEAPPLICATION>
    <UPDATEDAT>3/16/2015 5:39:51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/MSResearch/Content/ExternalAssets/2015-03/Images/Dk46Yk2sUO6D8ijQhwCg--.png</TARGET_BINARYFULLNAME>
    <TARGET_STORYFULLNAME>/MSResearch/Content/ExternalAssets/2015-03/Sections/20150315_020638_Linking_Range_123.xml</TARGET_STORYFULLNAME>
    <TARGET_UUID>06671e20-cb3e-11e4-b2c3-562df972b59d</TARGET_UUID>
    <LINKSTATUS>Unknown</LINKSTATUS>
    <TRANSPARENTBACKGROUND>False</TRANSPARENTBACKGROUND>
    <TRANSPARENTPLOTAREA>False</TRANSPARENTPLOTAREA>
  </Link>
  <Link>
    <GUID>d3a5cd1c-b72e-4e7b-bfe2-61642ef0682d</GUID>
    <SOURCE_ALTADDRESS>$A$88:$AF$190</SOURCE_ALTADDRESS>
    <SOURCETYPE>Table</SOURCETYPE>
    <SOURCE_OBJECTNAME>Linking_Range_127</SOURCE_OBJECTNAME>
    <OBJECTTYPE>Native</OBJECTTYPE>
    <SOURCE_SHEETCODE>Sheet55</SOURCE_SHEETCODE>
    <SOURCE_SHEETNAME>NewVsOld</SOURCE_SHEETNAME>
    <SOURCEAPPLICATION>EXCEL_SOURCE</SOURCEAPPLICATION>
    <UPDATEDAT>3/17/2015 12:22:58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/MSResearch/Content/ExternalAssets/2015-03/Images/qV7WRjHj6kOMtrYPV5TxA--.png</TARGET_BINARYFULLNAME>
    <TARGET_STORYFULLNAME>/MSResearch/Content/ExternalAssets/2015-03/Sections/20150316_051647_Linking_Range_127.xml</TARGET_STORYFULLNAME>
    <TARGET_UUID>2c25c8da-cbbd-11e4-b2c3-562df972b59d</TARGET_UUID>
    <TRANSPARENTBACKGROUND>False</TRANSPARENTBACKGROUND>
    <TRANSPARENTPLOTAREA>False</TRANSPARENTPLOTAREA>
    <LINKSTATUS>Unknown</LINKSTATUS>
  </Link>
  <Link>
    <GUID>3e0ea2a2-8127-41c8-89ba-9f4faf589c6c</GUID>
    <SOURCE_ALTADDRESS>$A$2:$AF$85</SOURCE_ALTADDRESS>
    <SOURCETYPE>Table</SOURCETYPE>
    <SOURCE_OBJECTNAME>Linking_Range_126</SOURCE_OBJECTNAME>
    <OBJECTTYPE>Native</OBJECTTYPE>
    <SOURCE_SHEETCODE>Sheet55</SOURCE_SHEETCODE>
    <SOURCE_SHEETNAME>NewVsOld</SOURCE_SHEETNAME>
    <SOURCEAPPLICATION>EXCEL_SOURCE</SOURCEAPPLICATION>
    <UPDATEDAT>3/17/2015 12:24:42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/MSResearch/Content/ExternalAssets/2015-03/Images/f65rnTLgE6T5lvk7gG26g--.png</TARGET_BINARYFULLNAME>
    <TARGET_STORYFULLNAME>/MSResearch/Content/ExternalAssets/2015-03/Sections/20150316_051401_Linking_Range_126.xml</TARGET_STORYFULLNAME>
    <TARGET_UUID>c93a0b78-cbbc-11e4-b2c3-562df972b59d</TARGET_UUID>
    <TRANSPARENTBACKGROUND>False</TRANSPARENTBACKGROUND>
    <TRANSPARENTPLOTAREA>False</TRANSPARENTPLOTAREA>
    <LINKSTATUS>Unknown</LINKSTATUS>
  </Link>
  <Link>
    <GUID>452de6ef-8271-43bd-8f31-ded9d6e08e21</GUID>
    <SOURCE_ALTADDRESS>$B$4:$R$78</SOURCE_ALTADDRESS>
    <SOURCETYPE>Table</SOURCETYPE>
    <SOURCE_OBJECTNAME>Linking_Range_101</SOURCE_OBJECTNAME>
    <OBJECTTYPE>Native</OBJECTTYPE>
    <SOURCE_SHEETCODE>Sheet51</SOURCE_SHEETCODE>
    <SOURCE_SHEETNAME>FinSum(Short)</SOURCE_SHEETNAME>
    <SOURCEAPPLICATION>EXCEL_SOURCE</SOURCEAPPLICATION>
    <UPDATEDAT>3/17/2015 12:41:52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/MSResearch/Content/ExternalAssets/2015-03/Images/f7K8xgUuZkafK9aiFTyPHw--.png</TARGET_BINARYFULLNAME>
    <TARGET_STORYFULLNAME>/MSResearch/Content/ExternalAssets/2015-03/Sections/20150315_120631_Linking_Range_11.xml</TARGET_STORYFULLNAME>
    <TARGET_UUID>3f07c45c-cb2d-11e4-b2c3-562df972b59d</TARGET_UUID>
    <LINKSTATUS>Unknown</LINKSTATUS>
  </Link>
  <Link>
    <GUID>6435f516-423b-4003-b57e-dec46a589b32</GUID>
    <SOURCE_ALTADDRESS>$B$84:$R$158</SOURCE_ALTADDRESS>
    <SOURCETYPE>Table</SOURCETYPE>
    <SOURCE_OBJECTNAME>Linking_Range_102</SOURCE_OBJECTNAME>
    <OBJECTTYPE>Native</OBJECTTYPE>
    <SOURCE_SHEETCODE>Sheet51</SOURCE_SHEETCODE>
    <SOURCE_SHEETNAME>FinSum(Short)</SOURCE_SHEETNAME>
    <SOURCEAPPLICATION>EXCEL_SOURCE</SOURCEAPPLICATION>
    <UPDATEDAT>3/17/2015 12:42:34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/MSResearch/Content/ExternalAssets/2015-03/Images/RGLGPmTjWUiYUu5utvZ9A--.png</TARGET_BINARYFULLNAME>
    <TARGET_STORYFULLNAME>/MSResearch/Content/ExternalAssets/2015-03/Sections/20150315_120737_Linking_Range_12.xml</TARGET_STORYFULLNAME>
    <TARGET_UUID>66649e44-cb2d-11e4-b2c3-562df972b59d</TARGET_UUID>
    <LINKSTATUS>Unknown</LINKSTATUS>
  </Link>
  <Link>
    <GUID>d6566b8e-2417-49c9-a78d-e794aa4d5acb</GUID>
    <SOURCE_ALTADDRESS>$A$3:$L$85</SOURCE_ALTADDRESS>
    <SOURCETYPE>Table</SOURCETYPE>
    <SOURCE_OBJECTNAME>Linking_Range_121</SOURCE_OBJECTNAME>
    <OBJECTTYPE>Native</OBJECTTYPE>
    <SOURCE_SHEETCODE>Sheet55</SOURCE_SHEETCODE>
    <SOURCE_SHEETNAME>NewVsOld</SOURCE_SHEETNAME>
    <SOURCEAPPLICATION>EXCEL_SOURCE</SOURCEAPPLICATION>
    <UPDATEDAT>3/17/2015 12:54:57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/MSResearch/Content/ExternalAssets/2015-03/Images/ladu1ZPxNS18BEElT4Idg--.png</TARGET_BINARYFULLNAME>
    <TARGET_STORYFULLNAME>/MSResearch/Content/ExternalAssets/2015-03/Sections/20150315_012218_Linking_Range_121.xml</TARGET_STORYFULLNAME>
    <TARGET_UUID>d500bc66-cb37-11e4-b2c3-562df972b59d</TARGET_UUID>
    <LINKSTATUS>Unknown</LINKSTATUS>
  </Link>
  <Link>
    <GUID>823ba0fb-17b1-420c-8e6d-c387e61d3ebe</GUID>
    <SOURCE_ALTADDRESS>$A$4:$K$85</SOURCE_ALTADDRESS>
    <SOURCETYPE>Table</SOURCETYPE>
    <SOURCE_OBJECTNAME>Linking_Range_128</SOURCE_OBJECTNAME>
    <OBJECTTYPE>Native</OBJECTTYPE>
    <SOURCE_SHEETCODE>Sheet55</SOURCE_SHEETCODE>
    <SOURCE_SHEETNAME>NewVsOld</SOURCE_SHEETNAME>
    <SOURCEAPPLICATION>EXCEL_SOURCE</SOURCEAPPLICATION>
    <UPDATEDAT>3/17/2015 12:58:25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/MSResearch/Content/ExternalAssets/2015-03/Images/ZYUStExrpkemENhuMhrvrQ--.png</TARGET_BINARYFULLNAME>
    <TARGET_STORYFULLNAME>/MSResearch/Content/ExternalAssets/2015-03/Sections/20150317_125820_Linking_Range_128.xml</TARGET_STORYFULLNAME>
    <TARGET_UUID>3b67e7ec-cc62-11e4-b2c3-562df972b59d</TARGET_UUID>
  </Link>
  <Link>
    <GUID>e3408a22-a509-4178-9fbf-52f0514aabb2</GUID>
    <SOURCE_ALTADDRESS>$A$89:$L$190</SOURCE_ALTADDRESS>
    <SOURCETYPE>Table</SOURCETYPE>
    <SOURCE_OBJECTNAME>Linking_Range_122</SOURCE_OBJECTNAME>
    <OBJECTTYPE>Native</OBJECTTYPE>
    <SOURCE_SHEETCODE>Sheet55</SOURCE_SHEETCODE>
    <SOURCE_SHEETNAME>NewVsOld</SOURCE_SHEETNAME>
    <SOURCEAPPLICATION>EXCEL_SOURCE</SOURCEAPPLICATION>
    <UPDATEDAT>3/17/2015 12:58:55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/MSResearch/Content/ExternalAssets/2015-03/Images/QUxJnpfWUyHQequQLuLug--.png</TARGET_BINARYFULLNAME>
    <TARGET_STORYFULLNAME>/MSResearch/Content/ExternalAssets/2015-03/Sections/20150315_012351_Linking_Range_122.xml</TARGET_STORYFULLNAME>
    <TARGET_UUID>0c99855e-cb38-11e4-b2c3-562df972b59d</TARGET_UUID>
    <LINKSTATUS>Unknown</LINKSTATUS>
  </Link>
  <Link>
    <GUID>292d7c14-184c-4814-bcdc-31e19ff7270f</GUID>
    <SOURCE_ALTADDRESS>$A$67:$P$95</SOURCE_ALTADDRESS>
    <SOURCETYPE>Table</SOURCETYPE>
    <SOURCE_OBJECTNAME>Linking_Range_85</SOURCE_OBJECTNAME>
    <OBJECTTYPE>Native</OBJECTTYPE>
    <SOURCE_SHEETCODE>Sheet6</SOURCE_SHEETCODE>
    <SOURCE_SHEETNAME>Valuation</SOURCE_SHEETNAME>
    <SOURCEAPPLICATION>EXCEL_SOURCE</SOURCEAPPLICATION>
    <UPDATEDAT>3/17/2015 12:59:53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/MSResearch/Content/ExternalAssets/2015-03/Images/QcOhajPyzUWFJIf2kO31BQ--.png</TARGET_BINARYFULLNAME>
    <TARGET_STORYFULLNAME>/MSResearch/Content/ExternalAssets/2015-03/Sections/20150315_021026_Linking_Range_85.xml</TARGET_STORYFULLNAME>
    <TARGET_UUID>8e28dd08-cb3e-11e4-b2c3-562df972b59d</TARGET_UUID>
    <TRANSPARENTBACKGROUND>False</TRANSPARENTBACKGROUND>
    <TRANSPARENTPLOTAREA>False</TRANSPARENTPLOTAREA>
    <LINKSTATUS>Unknown</LINKSTATUS>
  </Link>
  <Link>
    <GUID>66493cb8-fda3-49f3-b63b-abd1b836e90d</GUID>
    <SOURCE_ALTADDRESS>$P$2:$AF$85</SOURCE_ALTADDRESS>
    <SOURCETYPE>Table</SOURCETYPE>
    <SOURCE_OBJECTNAME>Linking_Range_129</SOURCE_OBJECTNAME>
    <OBJECTTYPE>Native</OBJECTTYPE>
    <SOURCE_SHEETCODE>Sheet55</SOURCE_SHEETCODE>
    <SOURCE_SHEETNAME>NewVsOld</SOURCE_SHEETNAME>
    <SOURCEAPPLICATION>EXCEL_SOURCE</SOURCEAPPLICATION>
    <UPDATEDAT>3/17/2015 1:28:00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/MSResearch/Content/ExternalAssets/2015-03/Images/gs5RLAKE6WbZ8wsudxycA--.png</TARGET_BINARYFULLNAME>
    <TARGET_STORYFULLNAME>/MSResearch/Content/ExternalAssets/2015-03/Sections/20150317_012754_Linking_Range_129.xml</TARGET_STORYFULLNAME>
    <TARGET_UUID>5d140412-cc66-11e4-b2c3-562df972b59d</TARGET_UUID>
  </Link>
  <Link>
    <GUID>b9984c72-8155-450d-8cf3-ffc9cf3e9d48</GUID>
    <SOURCE_ALTADDRESS>$P$88:$AF$190</SOURCE_ALTADDRESS>
    <SOURCETYPE>Table</SOURCETYPE>
    <SOURCE_OBJECTNAME>Linking_Range_130</SOURCE_OBJECTNAME>
    <OBJECTTYPE>Native</OBJECTTYPE>
    <SOURCE_SHEETCODE>Sheet55</SOURCE_SHEETCODE>
    <SOURCE_SHEETNAME>NewVsOld</SOURCE_SHEETNAME>
    <SOURCEAPPLICATION>EXCEL_SOURCE</SOURCEAPPLICATION>
    <UPDATEDAT>3/17/2015 1:29:53 PM</UPDATEDAT>
    <SOURCE_ISOUTOFDATE>False</SOURCE_ISOUTOFDATE>
    <SOURCE_WORKBOOKNAME>Alibaba.xlsm</SOURCE_WORKBOOKNAME>
    <SOURCE_WORKBOOKPATH>\\MSAD\ROOT\AP\HK\LIB\ER\ECOMM\ALIBABA\FINANCIALS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/MSResearch/Content/ExternalAssets/2015-03/Images/Vji7JqIKxUaILy-VEsdbw--.png</TARGET_BINARYFULLNAME>
    <TARGET_STORYFULLNAME>/MSResearch/Content/ExternalAssets/2015-03/Sections/20150317_012947_Linking_Range_13.xml</TARGET_STORYFULLNAME>
    <TARGET_UUID>a02abf48-cc66-11e4-b2c3-562df972b59d</TARGET_UUID>
  </Link>
</lk:Links>
</file>

<file path=customXml/item2.xml><?xml version="1.0" encoding="utf-8"?>
<lkmtd:Metadata xmlns:lkmtd="thomsonreuters.linking.metadatachange">
  <MetadataChanged>0</MetadataChanged>
</lkmtd:Metadata>
</file>

<file path=customXml/itemProps1.xml><?xml version="1.0" encoding="utf-8"?>
<ds:datastoreItem xmlns:ds="http://schemas.openxmlformats.org/officeDocument/2006/customXml" ds:itemID="{D65DF34D-91A9-46AC-9FFC-D1945BC0F952}">
  <ds:schemaRefs>
    <ds:schemaRef ds:uri="thomsonreuters.linking.metadata"/>
  </ds:schemaRefs>
</ds:datastoreItem>
</file>

<file path=customXml/itemProps2.xml><?xml version="1.0" encoding="utf-8"?>
<ds:datastoreItem xmlns:ds="http://schemas.openxmlformats.org/officeDocument/2006/customXml" ds:itemID="{9C476A75-586E-423E-BDC0-199F3C4E741A}">
  <ds:schemaRefs>
    <ds:schemaRef ds:uri="thomsonreuters.linking.metadatachang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96</vt:i4>
      </vt:variant>
    </vt:vector>
  </HeadingPairs>
  <TitlesOfParts>
    <vt:vector size="103" baseType="lpstr">
      <vt:lpstr>ImportantDisclosures</vt:lpstr>
      <vt:lpstr>Reported</vt:lpstr>
      <vt:lpstr>Scenario</vt:lpstr>
      <vt:lpstr>Model</vt:lpstr>
      <vt:lpstr>Valuation</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FX</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Linking_17</vt:lpstr>
      <vt:lpstr>Linking_55</vt:lpstr>
      <vt:lpstr>Linking_57</vt:lpstr>
      <vt:lpstr>Linking_64</vt:lpstr>
      <vt:lpstr>Linking_66</vt:lpstr>
      <vt:lpstr>Linking_71</vt:lpstr>
      <vt:lpstr>Linking_73</vt:lpstr>
      <vt:lpstr>Linking_Range_112</vt:lpstr>
      <vt:lpstr>Linking_Range_113</vt:lpstr>
      <vt:lpstr>Linking_Range_114</vt:lpstr>
      <vt:lpstr>Linking_Range_115</vt:lpstr>
      <vt:lpstr>Linking_Range_116</vt:lpstr>
      <vt:lpstr>Linking_Range_123</vt:lpstr>
      <vt:lpstr>Linking_Range_22</vt:lpstr>
      <vt:lpstr>Linking_Range_28</vt:lpstr>
      <vt:lpstr>Linking_Range_29</vt:lpstr>
      <vt:lpstr>Linking_Range_38</vt:lpstr>
      <vt:lpstr>Linking_Range_85</vt:lpstr>
      <vt:lpstr>Linking_Range_86</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Model!Print_Area</vt:lpstr>
      <vt:lpstr>Scenario!Print_Area</vt:lpstr>
      <vt:lpstr>Valuation!Print_Area</vt:lpstr>
      <vt:lpstr>Model!Print_Titles</vt:lpstr>
      <vt:lpstr>Scenario!Print_Titles</vt:lpstr>
      <vt:lpstr>Valuation!Print_Titles</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Rmb_USD</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2014-06-09T02:24:52Z</dcterms:created>
  <dc:creator>Amanda Chen</dc:creator>
  <cp:lastModifiedBy>Ko, Alex (Research)</cp:lastModifiedBy>
  <cp:lastPrinted>2018-04-03T15:17:50Z</cp:lastPrinted>
  <dcterms:modified xsi:type="dcterms:W3CDTF">2018-04-04T01:23:30Z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LinkingAutoNameNumberLinking_Range_" pid="2">
    <vt:lpwstr>130</vt:lpwstr>
  </property>
  <property fmtid="{D5CDD505-2E9C-101B-9397-08002B2CF9AE}" name="ERModPubTicket" pid="3">
    <vt:lpwstr>NA</vt:lpwstr>
  </property>
  <property fmtid="{D5CDD505-2E9C-101B-9397-08002B2CF9AE}" name="ERCompanyUploadState" pid="4">
    <vt:lpwstr>P</vt:lpwstr>
  </property>
  <property fmtid="{D5CDD505-2E9C-101B-9397-08002B2CF9AE}" name="ModelId" pid="5">
    <vt:lpwstr>759338</vt:lpwstr>
  </property>
  <property fmtid="{D5CDD505-2E9C-101B-9397-08002B2CF9AE}" name="ERModPubCompanyName" pid="6">
    <vt:lpwstr>Alibaba Group Holding</vt:lpwstr>
  </property>
  <property fmtid="{D5CDD505-2E9C-101B-9397-08002B2CF9AE}" name="MSDH34TAG" pid="7">
    <vt:lpwstr>.TEZUF76X5TAHATHESADREYAK-00-INB160+*94600-06=cc776fde/-37a6/-11e8/-bf62/-2af41e5950fc,MD=20180403213313/-0400,ZZ=000Z-6d77.</vt:lpwstr>
  </property>
</Properties>
</file>